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F9616F1-195C-436B-83AE-8743CC96D667}" xr6:coauthVersionLast="47" xr6:coauthVersionMax="47" xr10:uidLastSave="{00000000-0000-0000-0000-000000000000}"/>
  <bookViews>
    <workbookView xWindow="-110" yWindow="-110" windowWidth="19420" windowHeight="10300" xr2:uid="{E0DA2378-D10E-4A13-ABE9-1C0D2F78200E}"/>
  </bookViews>
  <sheets>
    <sheet name="Clean data" sheetId="1" r:id="rId1"/>
    <sheet name="raw" sheetId="2" r:id="rId2"/>
  </sheets>
  <definedNames>
    <definedName name="_xlnm._FilterDatabase" localSheetId="0" hidden="1">'Clean data'!$A$1:$M$3001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Q2933" i="1"/>
  <c r="Q2929" i="1"/>
  <c r="Q2923" i="1"/>
  <c r="Q2880" i="1"/>
  <c r="Q2874" i="1"/>
  <c r="Q2868" i="1"/>
  <c r="Q2840" i="1"/>
  <c r="Q2781" i="1"/>
  <c r="Q2732" i="1"/>
  <c r="Q2672" i="1"/>
  <c r="Q2604" i="1"/>
  <c r="Q2603" i="1"/>
  <c r="Q2570" i="1"/>
  <c r="Q2515" i="1"/>
  <c r="Q2481" i="1"/>
  <c r="Q2409" i="1"/>
  <c r="Q2396" i="1"/>
  <c r="Q2339" i="1"/>
  <c r="Q2338" i="1"/>
  <c r="Q2337" i="1"/>
  <c r="Q2304" i="1"/>
  <c r="Q2218" i="1"/>
  <c r="Q2217" i="1"/>
  <c r="Q2200" i="1"/>
  <c r="Q2194" i="1"/>
  <c r="Q2149" i="1"/>
  <c r="Q2125" i="1"/>
  <c r="Q2077" i="1"/>
  <c r="Q2063" i="1"/>
  <c r="Q2027" i="1"/>
  <c r="Q2021" i="1"/>
  <c r="Q2000" i="1"/>
  <c r="Q1968" i="1"/>
  <c r="Q1921" i="1"/>
  <c r="Q1870" i="1"/>
  <c r="Q1853" i="1"/>
  <c r="Q1810" i="1"/>
  <c r="Q1806" i="1"/>
  <c r="Q1692" i="1"/>
  <c r="Q1661" i="1"/>
  <c r="Q1655" i="1"/>
  <c r="Q1650" i="1"/>
  <c r="Q1646" i="1"/>
  <c r="Q1645" i="1"/>
  <c r="Q1600" i="1"/>
  <c r="Q1597" i="1"/>
  <c r="Q1550" i="1"/>
  <c r="Q1538" i="1"/>
  <c r="Q1526" i="1"/>
  <c r="Q1502" i="1"/>
  <c r="Q1501" i="1"/>
  <c r="Q1478" i="1"/>
  <c r="Q1439" i="1"/>
  <c r="Q1433" i="1"/>
  <c r="Q1415" i="1"/>
  <c r="Q1410" i="1"/>
  <c r="Q1356" i="1"/>
  <c r="Q1347" i="1"/>
  <c r="Q1344" i="1"/>
  <c r="Q1343" i="1"/>
  <c r="Q1317" i="1"/>
  <c r="Q1315" i="1"/>
  <c r="Q1307" i="1"/>
  <c r="Q1277" i="1"/>
  <c r="Q1202" i="1"/>
  <c r="Q1181" i="1"/>
  <c r="Q1172" i="1"/>
  <c r="Q1169" i="1"/>
  <c r="Q1146" i="1"/>
  <c r="Q1141" i="1"/>
  <c r="Q1138" i="1"/>
  <c r="Q1136" i="1"/>
  <c r="Q1125" i="1"/>
  <c r="Q1088" i="1"/>
  <c r="Q1057" i="1"/>
  <c r="Q1037" i="1"/>
  <c r="Q989" i="1"/>
  <c r="Q971" i="1"/>
  <c r="Q919" i="1"/>
  <c r="Q879" i="1"/>
  <c r="Q852" i="1"/>
  <c r="Q800" i="1"/>
  <c r="Q772" i="1"/>
  <c r="Q749" i="1"/>
  <c r="Q738" i="1"/>
  <c r="Q717" i="1"/>
  <c r="Q715" i="1"/>
  <c r="Q675" i="1"/>
  <c r="Q667" i="1"/>
  <c r="Q660" i="1"/>
  <c r="Q642" i="1"/>
  <c r="Q629" i="1"/>
  <c r="Q580" i="1"/>
  <c r="Q572" i="1"/>
  <c r="Q551" i="1"/>
  <c r="Q523" i="1"/>
  <c r="Q503" i="1"/>
  <c r="Q485" i="1"/>
  <c r="Q477" i="1"/>
  <c r="Q454" i="1"/>
  <c r="Q435" i="1"/>
  <c r="Q434" i="1"/>
  <c r="Q433" i="1"/>
  <c r="Q430" i="1"/>
  <c r="Q390" i="1"/>
  <c r="Q376" i="1"/>
  <c r="Q346" i="1"/>
  <c r="Q326" i="1"/>
  <c r="Q318" i="1"/>
  <c r="Q308" i="1"/>
  <c r="Q302" i="1"/>
  <c r="Q299" i="1"/>
  <c r="Q265" i="1"/>
  <c r="Q235" i="1"/>
  <c r="Q228" i="1"/>
  <c r="Q186" i="1"/>
  <c r="Q151" i="1"/>
  <c r="Q119" i="1"/>
  <c r="Q110" i="1"/>
  <c r="Q59" i="1"/>
  <c r="Q48" i="1"/>
  <c r="R2933" i="1"/>
  <c r="R2929" i="1"/>
  <c r="R2923" i="1"/>
  <c r="R2880" i="1"/>
  <c r="R2874" i="1"/>
  <c r="R2868" i="1"/>
  <c r="R2840" i="1"/>
  <c r="R2781" i="1"/>
  <c r="R2732" i="1"/>
  <c r="R2672" i="1"/>
  <c r="R2604" i="1"/>
  <c r="R2603" i="1"/>
  <c r="R2570" i="1"/>
  <c r="R2515" i="1"/>
  <c r="R2481" i="1"/>
  <c r="R2409" i="1"/>
  <c r="R2396" i="1"/>
  <c r="R2339" i="1"/>
  <c r="R2338" i="1"/>
  <c r="R2337" i="1"/>
  <c r="R2304" i="1"/>
  <c r="R2218" i="1"/>
  <c r="R2217" i="1"/>
  <c r="R2200" i="1"/>
  <c r="R2194" i="1"/>
  <c r="R2149" i="1"/>
  <c r="R2125" i="1"/>
  <c r="R2077" i="1"/>
  <c r="R2063" i="1"/>
  <c r="R2027" i="1"/>
  <c r="R2021" i="1"/>
  <c r="R2000" i="1"/>
  <c r="R1968" i="1"/>
  <c r="R1921" i="1"/>
  <c r="R1870" i="1"/>
  <c r="R1853" i="1"/>
  <c r="R1810" i="1"/>
  <c r="R1806" i="1"/>
  <c r="R1692" i="1"/>
  <c r="R1661" i="1"/>
  <c r="R1655" i="1"/>
  <c r="R1650" i="1"/>
  <c r="R1646" i="1"/>
  <c r="R1645" i="1"/>
  <c r="R1600" i="1"/>
  <c r="J1600" i="1" s="1"/>
  <c r="R1597" i="1"/>
  <c r="R1550" i="1"/>
  <c r="R1538" i="1"/>
  <c r="R1526" i="1"/>
  <c r="R1502" i="1"/>
  <c r="R1501" i="1"/>
  <c r="R1478" i="1"/>
  <c r="R1439" i="1"/>
  <c r="R1433" i="1"/>
  <c r="R1415" i="1"/>
  <c r="R1410" i="1"/>
  <c r="R1356" i="1"/>
  <c r="R1347" i="1"/>
  <c r="R1344" i="1"/>
  <c r="R1343" i="1"/>
  <c r="R1317" i="1"/>
  <c r="R1315" i="1"/>
  <c r="R1307" i="1"/>
  <c r="R1277" i="1"/>
  <c r="R1202" i="1"/>
  <c r="R1181" i="1"/>
  <c r="R1172" i="1"/>
  <c r="R1169" i="1"/>
  <c r="J1169" i="1" s="1"/>
  <c r="R1146" i="1"/>
  <c r="R1141" i="1"/>
  <c r="R1138" i="1"/>
  <c r="R1136" i="1"/>
  <c r="R1125" i="1"/>
  <c r="R1088" i="1"/>
  <c r="R1057" i="1"/>
  <c r="R1037" i="1"/>
  <c r="R989" i="1"/>
  <c r="R971" i="1"/>
  <c r="R919" i="1"/>
  <c r="R879" i="1"/>
  <c r="J879" i="1" s="1"/>
  <c r="R852" i="1"/>
  <c r="R800" i="1"/>
  <c r="R772" i="1"/>
  <c r="R749" i="1"/>
  <c r="R738" i="1"/>
  <c r="R717" i="1"/>
  <c r="R715" i="1"/>
  <c r="R675" i="1"/>
  <c r="R667" i="1"/>
  <c r="R660" i="1"/>
  <c r="R642" i="1"/>
  <c r="R629" i="1"/>
  <c r="J629" i="1" s="1"/>
  <c r="R580" i="1"/>
  <c r="J580" i="1" s="1"/>
  <c r="R572" i="1"/>
  <c r="R551" i="1"/>
  <c r="R523" i="1"/>
  <c r="R503" i="1"/>
  <c r="R485" i="1"/>
  <c r="R477" i="1"/>
  <c r="R454" i="1"/>
  <c r="R435" i="1"/>
  <c r="R434" i="1"/>
  <c r="R433" i="1"/>
  <c r="R430" i="1"/>
  <c r="R390" i="1"/>
  <c r="R376" i="1"/>
  <c r="R346" i="1"/>
  <c r="R326" i="1"/>
  <c r="R318" i="1"/>
  <c r="R308" i="1"/>
  <c r="R302" i="1"/>
  <c r="R299" i="1"/>
  <c r="R265" i="1"/>
  <c r="R235" i="1"/>
  <c r="R228" i="1"/>
  <c r="R186" i="1"/>
  <c r="R151" i="1"/>
  <c r="R119" i="1"/>
  <c r="R110" i="1"/>
  <c r="R59" i="1"/>
  <c r="R48" i="1"/>
  <c r="R35" i="1"/>
  <c r="Q35" i="1"/>
  <c r="R36" i="1"/>
  <c r="R2991" i="1"/>
  <c r="R2962" i="1"/>
  <c r="R2936" i="1"/>
  <c r="R2866" i="1"/>
  <c r="R2855" i="1"/>
  <c r="R2852" i="1"/>
  <c r="R2847" i="1"/>
  <c r="R2760" i="1"/>
  <c r="R2739" i="1"/>
  <c r="R2715" i="1"/>
  <c r="R2680" i="1"/>
  <c r="R2677" i="1"/>
  <c r="R2676" i="1"/>
  <c r="R2665" i="1"/>
  <c r="R2651" i="1"/>
  <c r="R2650" i="1"/>
  <c r="R2633" i="1"/>
  <c r="R2588" i="1"/>
  <c r="R2550" i="1"/>
  <c r="R2544" i="1"/>
  <c r="R2526" i="1"/>
  <c r="R2519" i="1"/>
  <c r="R2503" i="1"/>
  <c r="R2456" i="1"/>
  <c r="R2439" i="1"/>
  <c r="R2327" i="1"/>
  <c r="R2324" i="1"/>
  <c r="R2299" i="1"/>
  <c r="R2296" i="1"/>
  <c r="R2294" i="1"/>
  <c r="R2288" i="1"/>
  <c r="R2228" i="1"/>
  <c r="R2131" i="1"/>
  <c r="R2087" i="1"/>
  <c r="R2081" i="1"/>
  <c r="R2066" i="1"/>
  <c r="R2058" i="1"/>
  <c r="R2044" i="1"/>
  <c r="R1995" i="1"/>
  <c r="R1967" i="1"/>
  <c r="R1874" i="1"/>
  <c r="R1865" i="1"/>
  <c r="R1809" i="1"/>
  <c r="R1807" i="1"/>
  <c r="R1782" i="1"/>
  <c r="R1724" i="1"/>
  <c r="R1629" i="1"/>
  <c r="R1589" i="1"/>
  <c r="R1551" i="1"/>
  <c r="R1529" i="1"/>
  <c r="R1525" i="1"/>
  <c r="R1474" i="1"/>
  <c r="R1469" i="1"/>
  <c r="R1442" i="1"/>
  <c r="R1418" i="1"/>
  <c r="R1407" i="1"/>
  <c r="R1401" i="1"/>
  <c r="R1365" i="1"/>
  <c r="R1349" i="1"/>
  <c r="R1346" i="1"/>
  <c r="R1305" i="1"/>
  <c r="R1300" i="1"/>
  <c r="R1290" i="1"/>
  <c r="R1245" i="1"/>
  <c r="R1196" i="1"/>
  <c r="R1171" i="1"/>
  <c r="R1142" i="1"/>
  <c r="R1133" i="1"/>
  <c r="R1112" i="1"/>
  <c r="R1099" i="1"/>
  <c r="R1034" i="1"/>
  <c r="R998" i="1"/>
  <c r="R930" i="1"/>
  <c r="R884" i="1"/>
  <c r="R847" i="1"/>
  <c r="R842" i="1"/>
  <c r="R793" i="1"/>
  <c r="R703" i="1"/>
  <c r="R695" i="1"/>
  <c r="R655" i="1"/>
  <c r="R653" i="1"/>
  <c r="R617" i="1"/>
  <c r="R596" i="1"/>
  <c r="R584" i="1"/>
  <c r="R582" i="1"/>
  <c r="R562" i="1"/>
  <c r="R549" i="1"/>
  <c r="R527" i="1"/>
  <c r="R515" i="1"/>
  <c r="R475" i="1"/>
  <c r="R414" i="1"/>
  <c r="R371" i="1"/>
  <c r="R338" i="1"/>
  <c r="R320" i="1"/>
  <c r="R257" i="1"/>
  <c r="R254" i="1"/>
  <c r="R252" i="1"/>
  <c r="R227" i="1"/>
  <c r="R222" i="1"/>
  <c r="R202" i="1"/>
  <c r="R176" i="1"/>
  <c r="R156" i="1"/>
  <c r="R78" i="1"/>
  <c r="R45" i="1"/>
  <c r="R31" i="1"/>
  <c r="J31" i="1" s="1"/>
  <c r="Q2991" i="1"/>
  <c r="Q2962" i="1"/>
  <c r="Q2936" i="1"/>
  <c r="Q2866" i="1"/>
  <c r="Q2855" i="1"/>
  <c r="Q2852" i="1"/>
  <c r="Q2847" i="1"/>
  <c r="Q2760" i="1"/>
  <c r="Q2739" i="1"/>
  <c r="Q2715" i="1"/>
  <c r="Q2680" i="1"/>
  <c r="Q2677" i="1"/>
  <c r="Q2676" i="1"/>
  <c r="Q2665" i="1"/>
  <c r="Q2651" i="1"/>
  <c r="Q2650" i="1"/>
  <c r="Q2633" i="1"/>
  <c r="Q2588" i="1"/>
  <c r="Q2550" i="1"/>
  <c r="Q2544" i="1"/>
  <c r="Q2526" i="1"/>
  <c r="Q2519" i="1"/>
  <c r="Q2503" i="1"/>
  <c r="Q2456" i="1"/>
  <c r="Q2439" i="1"/>
  <c r="Q2327" i="1"/>
  <c r="Q2324" i="1"/>
  <c r="Q2299" i="1"/>
  <c r="Q2296" i="1"/>
  <c r="Q2294" i="1"/>
  <c r="Q2288" i="1"/>
  <c r="Q2228" i="1"/>
  <c r="Q2131" i="1"/>
  <c r="Q2087" i="1"/>
  <c r="Q2081" i="1"/>
  <c r="Q2066" i="1"/>
  <c r="Q2058" i="1"/>
  <c r="Q2044" i="1"/>
  <c r="Q1995" i="1"/>
  <c r="Q1967" i="1"/>
  <c r="Q1874" i="1"/>
  <c r="Q1865" i="1"/>
  <c r="Q1809" i="1"/>
  <c r="Q1807" i="1"/>
  <c r="Q1782" i="1"/>
  <c r="Q1724" i="1"/>
  <c r="Q1629" i="1"/>
  <c r="Q1589" i="1"/>
  <c r="Q1551" i="1"/>
  <c r="Q1529" i="1"/>
  <c r="Q1525" i="1"/>
  <c r="Q1474" i="1"/>
  <c r="Q1469" i="1"/>
  <c r="Q1442" i="1"/>
  <c r="Q1418" i="1"/>
  <c r="Q1407" i="1"/>
  <c r="Q1401" i="1"/>
  <c r="Q1365" i="1"/>
  <c r="Q1349" i="1"/>
  <c r="Q1346" i="1"/>
  <c r="Q1305" i="1"/>
  <c r="Q1300" i="1"/>
  <c r="Q1290" i="1"/>
  <c r="Q1245" i="1"/>
  <c r="Q1196" i="1"/>
  <c r="Q1171" i="1"/>
  <c r="Q1142" i="1"/>
  <c r="Q1133" i="1"/>
  <c r="Q1112" i="1"/>
  <c r="Q1099" i="1"/>
  <c r="Q1034" i="1"/>
  <c r="Q998" i="1"/>
  <c r="Q930" i="1"/>
  <c r="Q884" i="1"/>
  <c r="Q847" i="1"/>
  <c r="Q842" i="1"/>
  <c r="Q793" i="1"/>
  <c r="Q703" i="1"/>
  <c r="Q695" i="1"/>
  <c r="Q655" i="1"/>
  <c r="Q653" i="1"/>
  <c r="Q617" i="1"/>
  <c r="Q596" i="1"/>
  <c r="Q584" i="1"/>
  <c r="Q582" i="1"/>
  <c r="Q562" i="1"/>
  <c r="Q549" i="1"/>
  <c r="Q527" i="1"/>
  <c r="Q515" i="1"/>
  <c r="Q475" i="1"/>
  <c r="Q414" i="1"/>
  <c r="Q371" i="1"/>
  <c r="Q338" i="1"/>
  <c r="Q320" i="1"/>
  <c r="Q257" i="1"/>
  <c r="Q254" i="1"/>
  <c r="Q252" i="1"/>
  <c r="Q227" i="1"/>
  <c r="Q222" i="1"/>
  <c r="Q202" i="1"/>
  <c r="Q176" i="1"/>
  <c r="Q156" i="1"/>
  <c r="Q78" i="1"/>
  <c r="Q45" i="1"/>
  <c r="Q36" i="1"/>
  <c r="Q3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2" i="1"/>
  <c r="P3" i="1"/>
  <c r="J3" i="1" s="1"/>
  <c r="P4" i="1"/>
  <c r="J4" i="1" s="1"/>
  <c r="P5" i="1"/>
  <c r="J5" i="1" s="1"/>
  <c r="P6" i="1"/>
  <c r="J6" i="1" s="1"/>
  <c r="P7" i="1"/>
  <c r="J7" i="1" s="1"/>
  <c r="P8" i="1"/>
  <c r="J8" i="1" s="1"/>
  <c r="P9" i="1"/>
  <c r="J9" i="1" s="1"/>
  <c r="P10" i="1"/>
  <c r="J10" i="1" s="1"/>
  <c r="P11" i="1"/>
  <c r="J11" i="1" s="1"/>
  <c r="P12" i="1"/>
  <c r="J12" i="1" s="1"/>
  <c r="P13" i="1"/>
  <c r="J13" i="1" s="1"/>
  <c r="P14" i="1"/>
  <c r="J14" i="1" s="1"/>
  <c r="P15" i="1"/>
  <c r="J15" i="1" s="1"/>
  <c r="P16" i="1"/>
  <c r="J16" i="1" s="1"/>
  <c r="P17" i="1"/>
  <c r="J17" i="1" s="1"/>
  <c r="P18" i="1"/>
  <c r="J18" i="1" s="1"/>
  <c r="P19" i="1"/>
  <c r="J19" i="1" s="1"/>
  <c r="P20" i="1"/>
  <c r="J20" i="1" s="1"/>
  <c r="P21" i="1"/>
  <c r="J21" i="1" s="1"/>
  <c r="P22" i="1"/>
  <c r="J22" i="1" s="1"/>
  <c r="P23" i="1"/>
  <c r="J23" i="1" s="1"/>
  <c r="P24" i="1"/>
  <c r="J24" i="1" s="1"/>
  <c r="P25" i="1"/>
  <c r="J25" i="1" s="1"/>
  <c r="P26" i="1"/>
  <c r="J26" i="1" s="1"/>
  <c r="P27" i="1"/>
  <c r="J27" i="1" s="1"/>
  <c r="P28" i="1"/>
  <c r="J28" i="1" s="1"/>
  <c r="P29" i="1"/>
  <c r="J29" i="1" s="1"/>
  <c r="P30" i="1"/>
  <c r="J30" i="1" s="1"/>
  <c r="P31" i="1"/>
  <c r="P32" i="1"/>
  <c r="J32" i="1" s="1"/>
  <c r="P33" i="1"/>
  <c r="J33" i="1" s="1"/>
  <c r="P34" i="1"/>
  <c r="J34" i="1" s="1"/>
  <c r="P35" i="1"/>
  <c r="J35" i="1" s="1"/>
  <c r="P36" i="1"/>
  <c r="J36" i="1" s="1"/>
  <c r="P37" i="1"/>
  <c r="J37" i="1" s="1"/>
  <c r="P38" i="1"/>
  <c r="J38" i="1" s="1"/>
  <c r="P39" i="1"/>
  <c r="J39" i="1" s="1"/>
  <c r="P40" i="1"/>
  <c r="J40" i="1" s="1"/>
  <c r="P41" i="1"/>
  <c r="J41" i="1" s="1"/>
  <c r="P42" i="1"/>
  <c r="J42" i="1" s="1"/>
  <c r="P43" i="1"/>
  <c r="J43" i="1" s="1"/>
  <c r="P44" i="1"/>
  <c r="J44" i="1" s="1"/>
  <c r="P45" i="1"/>
  <c r="P46" i="1"/>
  <c r="J46" i="1" s="1"/>
  <c r="P47" i="1"/>
  <c r="J47" i="1" s="1"/>
  <c r="P48" i="1"/>
  <c r="J48" i="1" s="1"/>
  <c r="P49" i="1"/>
  <c r="J49" i="1" s="1"/>
  <c r="P50" i="1"/>
  <c r="J50" i="1" s="1"/>
  <c r="P51" i="1"/>
  <c r="J51" i="1" s="1"/>
  <c r="P52" i="1"/>
  <c r="J52" i="1" s="1"/>
  <c r="P53" i="1"/>
  <c r="J53" i="1" s="1"/>
  <c r="P54" i="1"/>
  <c r="J54" i="1" s="1"/>
  <c r="P55" i="1"/>
  <c r="J55" i="1" s="1"/>
  <c r="P56" i="1"/>
  <c r="J56" i="1" s="1"/>
  <c r="P57" i="1"/>
  <c r="J57" i="1" s="1"/>
  <c r="P58" i="1"/>
  <c r="J58" i="1" s="1"/>
  <c r="P59" i="1"/>
  <c r="J59" i="1" s="1"/>
  <c r="P60" i="1"/>
  <c r="J60" i="1" s="1"/>
  <c r="P61" i="1"/>
  <c r="J61" i="1" s="1"/>
  <c r="P62" i="1"/>
  <c r="J62" i="1" s="1"/>
  <c r="P63" i="1"/>
  <c r="J63" i="1" s="1"/>
  <c r="P64" i="1"/>
  <c r="J64" i="1" s="1"/>
  <c r="P65" i="1"/>
  <c r="J65" i="1" s="1"/>
  <c r="P66" i="1"/>
  <c r="J66" i="1" s="1"/>
  <c r="P67" i="1"/>
  <c r="J67" i="1" s="1"/>
  <c r="P68" i="1"/>
  <c r="J68" i="1" s="1"/>
  <c r="P69" i="1"/>
  <c r="J69" i="1" s="1"/>
  <c r="P70" i="1"/>
  <c r="J70" i="1" s="1"/>
  <c r="P71" i="1"/>
  <c r="J71" i="1" s="1"/>
  <c r="P72" i="1"/>
  <c r="J72" i="1" s="1"/>
  <c r="P73" i="1"/>
  <c r="J73" i="1" s="1"/>
  <c r="P74" i="1"/>
  <c r="J74" i="1" s="1"/>
  <c r="P75" i="1"/>
  <c r="J75" i="1" s="1"/>
  <c r="P76" i="1"/>
  <c r="J76" i="1" s="1"/>
  <c r="P77" i="1"/>
  <c r="J77" i="1" s="1"/>
  <c r="P78" i="1"/>
  <c r="P79" i="1"/>
  <c r="J79" i="1" s="1"/>
  <c r="P80" i="1"/>
  <c r="J80" i="1" s="1"/>
  <c r="P81" i="1"/>
  <c r="J81" i="1" s="1"/>
  <c r="P82" i="1"/>
  <c r="J82" i="1" s="1"/>
  <c r="P83" i="1"/>
  <c r="J83" i="1" s="1"/>
  <c r="P84" i="1"/>
  <c r="J84" i="1" s="1"/>
  <c r="P85" i="1"/>
  <c r="J85" i="1" s="1"/>
  <c r="P86" i="1"/>
  <c r="J86" i="1" s="1"/>
  <c r="P87" i="1"/>
  <c r="J87" i="1" s="1"/>
  <c r="P88" i="1"/>
  <c r="J88" i="1" s="1"/>
  <c r="P89" i="1"/>
  <c r="J89" i="1" s="1"/>
  <c r="P90" i="1"/>
  <c r="J90" i="1" s="1"/>
  <c r="P91" i="1"/>
  <c r="J91" i="1" s="1"/>
  <c r="P92" i="1"/>
  <c r="J92" i="1" s="1"/>
  <c r="P93" i="1"/>
  <c r="J93" i="1" s="1"/>
  <c r="P94" i="1"/>
  <c r="J94" i="1" s="1"/>
  <c r="P95" i="1"/>
  <c r="J95" i="1" s="1"/>
  <c r="P96" i="1"/>
  <c r="J96" i="1" s="1"/>
  <c r="P97" i="1"/>
  <c r="J97" i="1" s="1"/>
  <c r="P98" i="1"/>
  <c r="J98" i="1" s="1"/>
  <c r="P99" i="1"/>
  <c r="J99" i="1" s="1"/>
  <c r="P100" i="1"/>
  <c r="J100" i="1" s="1"/>
  <c r="P101" i="1"/>
  <c r="J101" i="1" s="1"/>
  <c r="P102" i="1"/>
  <c r="J102" i="1" s="1"/>
  <c r="P103" i="1"/>
  <c r="J103" i="1" s="1"/>
  <c r="P104" i="1"/>
  <c r="J104" i="1" s="1"/>
  <c r="P105" i="1"/>
  <c r="J105" i="1" s="1"/>
  <c r="P106" i="1"/>
  <c r="J106" i="1" s="1"/>
  <c r="P107" i="1"/>
  <c r="J107" i="1" s="1"/>
  <c r="P108" i="1"/>
  <c r="J108" i="1" s="1"/>
  <c r="P109" i="1"/>
  <c r="J109" i="1" s="1"/>
  <c r="P110" i="1"/>
  <c r="J110" i="1" s="1"/>
  <c r="P111" i="1"/>
  <c r="J111" i="1" s="1"/>
  <c r="P112" i="1"/>
  <c r="J112" i="1" s="1"/>
  <c r="P113" i="1"/>
  <c r="J113" i="1" s="1"/>
  <c r="P114" i="1"/>
  <c r="J114" i="1" s="1"/>
  <c r="P115" i="1"/>
  <c r="J115" i="1" s="1"/>
  <c r="P116" i="1"/>
  <c r="J116" i="1" s="1"/>
  <c r="P117" i="1"/>
  <c r="J117" i="1" s="1"/>
  <c r="P118" i="1"/>
  <c r="J118" i="1" s="1"/>
  <c r="P119" i="1"/>
  <c r="J119" i="1" s="1"/>
  <c r="P120" i="1"/>
  <c r="J120" i="1" s="1"/>
  <c r="P121" i="1"/>
  <c r="J121" i="1" s="1"/>
  <c r="P122" i="1"/>
  <c r="J122" i="1" s="1"/>
  <c r="P123" i="1"/>
  <c r="J123" i="1" s="1"/>
  <c r="P124" i="1"/>
  <c r="J124" i="1" s="1"/>
  <c r="P125" i="1"/>
  <c r="J125" i="1" s="1"/>
  <c r="P126" i="1"/>
  <c r="J126" i="1" s="1"/>
  <c r="P127" i="1"/>
  <c r="J127" i="1" s="1"/>
  <c r="P128" i="1"/>
  <c r="J128" i="1" s="1"/>
  <c r="P129" i="1"/>
  <c r="J129" i="1" s="1"/>
  <c r="P130" i="1"/>
  <c r="J130" i="1" s="1"/>
  <c r="P131" i="1"/>
  <c r="J131" i="1" s="1"/>
  <c r="P132" i="1"/>
  <c r="J132" i="1" s="1"/>
  <c r="P133" i="1"/>
  <c r="J133" i="1" s="1"/>
  <c r="P134" i="1"/>
  <c r="J134" i="1" s="1"/>
  <c r="P135" i="1"/>
  <c r="J135" i="1" s="1"/>
  <c r="P136" i="1"/>
  <c r="J136" i="1" s="1"/>
  <c r="P137" i="1"/>
  <c r="J137" i="1" s="1"/>
  <c r="P138" i="1"/>
  <c r="J138" i="1" s="1"/>
  <c r="P139" i="1"/>
  <c r="J139" i="1" s="1"/>
  <c r="P140" i="1"/>
  <c r="J140" i="1" s="1"/>
  <c r="P141" i="1"/>
  <c r="J141" i="1" s="1"/>
  <c r="P142" i="1"/>
  <c r="J142" i="1" s="1"/>
  <c r="P143" i="1"/>
  <c r="J143" i="1" s="1"/>
  <c r="P144" i="1"/>
  <c r="J144" i="1" s="1"/>
  <c r="P145" i="1"/>
  <c r="J145" i="1" s="1"/>
  <c r="P146" i="1"/>
  <c r="J146" i="1" s="1"/>
  <c r="P147" i="1"/>
  <c r="J147" i="1" s="1"/>
  <c r="P148" i="1"/>
  <c r="J148" i="1" s="1"/>
  <c r="P149" i="1"/>
  <c r="J149" i="1" s="1"/>
  <c r="P150" i="1"/>
  <c r="J150" i="1" s="1"/>
  <c r="P151" i="1"/>
  <c r="P152" i="1"/>
  <c r="J152" i="1" s="1"/>
  <c r="P153" i="1"/>
  <c r="J153" i="1" s="1"/>
  <c r="P154" i="1"/>
  <c r="J154" i="1" s="1"/>
  <c r="P155" i="1"/>
  <c r="J155" i="1" s="1"/>
  <c r="P156" i="1"/>
  <c r="J156" i="1" s="1"/>
  <c r="P157" i="1"/>
  <c r="J157" i="1" s="1"/>
  <c r="P158" i="1"/>
  <c r="J158" i="1" s="1"/>
  <c r="P159" i="1"/>
  <c r="J159" i="1" s="1"/>
  <c r="P160" i="1"/>
  <c r="J160" i="1" s="1"/>
  <c r="P161" i="1"/>
  <c r="J161" i="1" s="1"/>
  <c r="P162" i="1"/>
  <c r="J162" i="1" s="1"/>
  <c r="P163" i="1"/>
  <c r="J163" i="1" s="1"/>
  <c r="P164" i="1"/>
  <c r="J164" i="1" s="1"/>
  <c r="P165" i="1"/>
  <c r="J165" i="1" s="1"/>
  <c r="P166" i="1"/>
  <c r="J166" i="1" s="1"/>
  <c r="P167" i="1"/>
  <c r="J167" i="1" s="1"/>
  <c r="P168" i="1"/>
  <c r="J168" i="1" s="1"/>
  <c r="P169" i="1"/>
  <c r="J169" i="1" s="1"/>
  <c r="P170" i="1"/>
  <c r="J170" i="1" s="1"/>
  <c r="P171" i="1"/>
  <c r="J171" i="1" s="1"/>
  <c r="P172" i="1"/>
  <c r="J172" i="1" s="1"/>
  <c r="P173" i="1"/>
  <c r="J173" i="1" s="1"/>
  <c r="P174" i="1"/>
  <c r="J174" i="1" s="1"/>
  <c r="P175" i="1"/>
  <c r="J175" i="1" s="1"/>
  <c r="P176" i="1"/>
  <c r="P177" i="1"/>
  <c r="J177" i="1" s="1"/>
  <c r="P178" i="1"/>
  <c r="J178" i="1" s="1"/>
  <c r="P179" i="1"/>
  <c r="J179" i="1" s="1"/>
  <c r="P180" i="1"/>
  <c r="J180" i="1" s="1"/>
  <c r="P181" i="1"/>
  <c r="J181" i="1" s="1"/>
  <c r="P182" i="1"/>
  <c r="J182" i="1" s="1"/>
  <c r="P183" i="1"/>
  <c r="J183" i="1" s="1"/>
  <c r="P184" i="1"/>
  <c r="J184" i="1" s="1"/>
  <c r="P185" i="1"/>
  <c r="J185" i="1" s="1"/>
  <c r="P186" i="1"/>
  <c r="P187" i="1"/>
  <c r="J187" i="1" s="1"/>
  <c r="P188" i="1"/>
  <c r="J188" i="1" s="1"/>
  <c r="P189" i="1"/>
  <c r="J189" i="1" s="1"/>
  <c r="P190" i="1"/>
  <c r="J190" i="1" s="1"/>
  <c r="P191" i="1"/>
  <c r="J191" i="1" s="1"/>
  <c r="P192" i="1"/>
  <c r="J192" i="1" s="1"/>
  <c r="P193" i="1"/>
  <c r="J193" i="1" s="1"/>
  <c r="P194" i="1"/>
  <c r="J194" i="1" s="1"/>
  <c r="P195" i="1"/>
  <c r="J195" i="1" s="1"/>
  <c r="P196" i="1"/>
  <c r="J196" i="1" s="1"/>
  <c r="P197" i="1"/>
  <c r="J197" i="1" s="1"/>
  <c r="P198" i="1"/>
  <c r="J198" i="1" s="1"/>
  <c r="P199" i="1"/>
  <c r="J199" i="1" s="1"/>
  <c r="P200" i="1"/>
  <c r="J200" i="1" s="1"/>
  <c r="P201" i="1"/>
  <c r="J201" i="1" s="1"/>
  <c r="P202" i="1"/>
  <c r="P203" i="1"/>
  <c r="J203" i="1" s="1"/>
  <c r="P204" i="1"/>
  <c r="J204" i="1" s="1"/>
  <c r="P205" i="1"/>
  <c r="J205" i="1" s="1"/>
  <c r="P206" i="1"/>
  <c r="J206" i="1" s="1"/>
  <c r="P207" i="1"/>
  <c r="J207" i="1" s="1"/>
  <c r="P208" i="1"/>
  <c r="J208" i="1" s="1"/>
  <c r="P209" i="1"/>
  <c r="J209" i="1" s="1"/>
  <c r="P210" i="1"/>
  <c r="J210" i="1" s="1"/>
  <c r="P211" i="1"/>
  <c r="J211" i="1" s="1"/>
  <c r="P212" i="1"/>
  <c r="J212" i="1" s="1"/>
  <c r="P213" i="1"/>
  <c r="J213" i="1" s="1"/>
  <c r="P214" i="1"/>
  <c r="J214" i="1" s="1"/>
  <c r="P215" i="1"/>
  <c r="J215" i="1" s="1"/>
  <c r="P216" i="1"/>
  <c r="J216" i="1" s="1"/>
  <c r="P217" i="1"/>
  <c r="J217" i="1" s="1"/>
  <c r="P218" i="1"/>
  <c r="J218" i="1" s="1"/>
  <c r="P219" i="1"/>
  <c r="J219" i="1" s="1"/>
  <c r="P220" i="1"/>
  <c r="J220" i="1" s="1"/>
  <c r="P221" i="1"/>
  <c r="J221" i="1" s="1"/>
  <c r="P222" i="1"/>
  <c r="P223" i="1"/>
  <c r="J223" i="1" s="1"/>
  <c r="P224" i="1"/>
  <c r="J224" i="1" s="1"/>
  <c r="P225" i="1"/>
  <c r="J225" i="1" s="1"/>
  <c r="P226" i="1"/>
  <c r="J226" i="1" s="1"/>
  <c r="P227" i="1"/>
  <c r="P228" i="1"/>
  <c r="J228" i="1" s="1"/>
  <c r="P229" i="1"/>
  <c r="J229" i="1" s="1"/>
  <c r="P230" i="1"/>
  <c r="J230" i="1" s="1"/>
  <c r="P231" i="1"/>
  <c r="J231" i="1" s="1"/>
  <c r="P232" i="1"/>
  <c r="J232" i="1" s="1"/>
  <c r="P233" i="1"/>
  <c r="J233" i="1" s="1"/>
  <c r="P234" i="1"/>
  <c r="J234" i="1" s="1"/>
  <c r="P235" i="1"/>
  <c r="P236" i="1"/>
  <c r="J236" i="1" s="1"/>
  <c r="P237" i="1"/>
  <c r="J237" i="1" s="1"/>
  <c r="P238" i="1"/>
  <c r="J238" i="1" s="1"/>
  <c r="P239" i="1"/>
  <c r="J239" i="1" s="1"/>
  <c r="P240" i="1"/>
  <c r="J240" i="1" s="1"/>
  <c r="P241" i="1"/>
  <c r="J241" i="1" s="1"/>
  <c r="P242" i="1"/>
  <c r="J242" i="1" s="1"/>
  <c r="P243" i="1"/>
  <c r="J243" i="1" s="1"/>
  <c r="P244" i="1"/>
  <c r="J244" i="1" s="1"/>
  <c r="P245" i="1"/>
  <c r="J245" i="1" s="1"/>
  <c r="P246" i="1"/>
  <c r="J246" i="1" s="1"/>
  <c r="P247" i="1"/>
  <c r="J247" i="1" s="1"/>
  <c r="P248" i="1"/>
  <c r="J248" i="1" s="1"/>
  <c r="P249" i="1"/>
  <c r="J249" i="1" s="1"/>
  <c r="P250" i="1"/>
  <c r="J250" i="1" s="1"/>
  <c r="P251" i="1"/>
  <c r="J251" i="1" s="1"/>
  <c r="P252" i="1"/>
  <c r="P253" i="1"/>
  <c r="J253" i="1" s="1"/>
  <c r="P254" i="1"/>
  <c r="P255" i="1"/>
  <c r="J255" i="1" s="1"/>
  <c r="P256" i="1"/>
  <c r="J256" i="1" s="1"/>
  <c r="P257" i="1"/>
  <c r="P258" i="1"/>
  <c r="J258" i="1" s="1"/>
  <c r="P259" i="1"/>
  <c r="J259" i="1" s="1"/>
  <c r="P260" i="1"/>
  <c r="J260" i="1" s="1"/>
  <c r="P261" i="1"/>
  <c r="J261" i="1" s="1"/>
  <c r="P262" i="1"/>
  <c r="J262" i="1" s="1"/>
  <c r="P263" i="1"/>
  <c r="J263" i="1" s="1"/>
  <c r="P264" i="1"/>
  <c r="J264" i="1" s="1"/>
  <c r="P265" i="1"/>
  <c r="P266" i="1"/>
  <c r="J266" i="1" s="1"/>
  <c r="P267" i="1"/>
  <c r="J267" i="1" s="1"/>
  <c r="P268" i="1"/>
  <c r="J268" i="1" s="1"/>
  <c r="P269" i="1"/>
  <c r="J269" i="1" s="1"/>
  <c r="P270" i="1"/>
  <c r="J270" i="1" s="1"/>
  <c r="P271" i="1"/>
  <c r="J271" i="1" s="1"/>
  <c r="P272" i="1"/>
  <c r="J272" i="1" s="1"/>
  <c r="P273" i="1"/>
  <c r="J273" i="1" s="1"/>
  <c r="P274" i="1"/>
  <c r="J274" i="1" s="1"/>
  <c r="P275" i="1"/>
  <c r="J275" i="1" s="1"/>
  <c r="P276" i="1"/>
  <c r="J276" i="1" s="1"/>
  <c r="P277" i="1"/>
  <c r="J277" i="1" s="1"/>
  <c r="P278" i="1"/>
  <c r="J278" i="1" s="1"/>
  <c r="P279" i="1"/>
  <c r="J279" i="1" s="1"/>
  <c r="P280" i="1"/>
  <c r="J280" i="1" s="1"/>
  <c r="P281" i="1"/>
  <c r="J281" i="1" s="1"/>
  <c r="P282" i="1"/>
  <c r="J282" i="1" s="1"/>
  <c r="P283" i="1"/>
  <c r="J283" i="1" s="1"/>
  <c r="P284" i="1"/>
  <c r="J284" i="1" s="1"/>
  <c r="P285" i="1"/>
  <c r="J285" i="1" s="1"/>
  <c r="P286" i="1"/>
  <c r="J286" i="1" s="1"/>
  <c r="P287" i="1"/>
  <c r="J287" i="1" s="1"/>
  <c r="P288" i="1"/>
  <c r="J288" i="1" s="1"/>
  <c r="P289" i="1"/>
  <c r="J289" i="1" s="1"/>
  <c r="P290" i="1"/>
  <c r="J290" i="1" s="1"/>
  <c r="P291" i="1"/>
  <c r="J291" i="1" s="1"/>
  <c r="P292" i="1"/>
  <c r="J292" i="1" s="1"/>
  <c r="P293" i="1"/>
  <c r="J293" i="1" s="1"/>
  <c r="P294" i="1"/>
  <c r="J294" i="1" s="1"/>
  <c r="P295" i="1"/>
  <c r="J295" i="1" s="1"/>
  <c r="P296" i="1"/>
  <c r="J296" i="1" s="1"/>
  <c r="P297" i="1"/>
  <c r="J297" i="1" s="1"/>
  <c r="P298" i="1"/>
  <c r="J298" i="1" s="1"/>
  <c r="P299" i="1"/>
  <c r="J299" i="1" s="1"/>
  <c r="P300" i="1"/>
  <c r="J300" i="1" s="1"/>
  <c r="P301" i="1"/>
  <c r="J301" i="1" s="1"/>
  <c r="P302" i="1"/>
  <c r="P303" i="1"/>
  <c r="J303" i="1" s="1"/>
  <c r="P304" i="1"/>
  <c r="J304" i="1" s="1"/>
  <c r="P305" i="1"/>
  <c r="J305" i="1" s="1"/>
  <c r="P306" i="1"/>
  <c r="J306" i="1" s="1"/>
  <c r="P307" i="1"/>
  <c r="J307" i="1" s="1"/>
  <c r="P308" i="1"/>
  <c r="J308" i="1" s="1"/>
  <c r="P309" i="1"/>
  <c r="J309" i="1" s="1"/>
  <c r="P310" i="1"/>
  <c r="J310" i="1" s="1"/>
  <c r="P311" i="1"/>
  <c r="J311" i="1" s="1"/>
  <c r="P312" i="1"/>
  <c r="J312" i="1" s="1"/>
  <c r="P313" i="1"/>
  <c r="J313" i="1" s="1"/>
  <c r="P314" i="1"/>
  <c r="J314" i="1" s="1"/>
  <c r="P315" i="1"/>
  <c r="J315" i="1" s="1"/>
  <c r="P316" i="1"/>
  <c r="J316" i="1" s="1"/>
  <c r="P317" i="1"/>
  <c r="J317" i="1" s="1"/>
  <c r="P318" i="1"/>
  <c r="J318" i="1" s="1"/>
  <c r="P319" i="1"/>
  <c r="J319" i="1" s="1"/>
  <c r="P320" i="1"/>
  <c r="P321" i="1"/>
  <c r="J321" i="1" s="1"/>
  <c r="P322" i="1"/>
  <c r="J322" i="1" s="1"/>
  <c r="P323" i="1"/>
  <c r="J323" i="1" s="1"/>
  <c r="P324" i="1"/>
  <c r="J324" i="1" s="1"/>
  <c r="P325" i="1"/>
  <c r="J325" i="1" s="1"/>
  <c r="P326" i="1"/>
  <c r="J326" i="1" s="1"/>
  <c r="P327" i="1"/>
  <c r="J327" i="1" s="1"/>
  <c r="P328" i="1"/>
  <c r="J328" i="1" s="1"/>
  <c r="P329" i="1"/>
  <c r="J329" i="1" s="1"/>
  <c r="P330" i="1"/>
  <c r="J330" i="1" s="1"/>
  <c r="P331" i="1"/>
  <c r="J331" i="1" s="1"/>
  <c r="P332" i="1"/>
  <c r="J332" i="1" s="1"/>
  <c r="P333" i="1"/>
  <c r="J333" i="1" s="1"/>
  <c r="P334" i="1"/>
  <c r="J334" i="1" s="1"/>
  <c r="P335" i="1"/>
  <c r="J335" i="1" s="1"/>
  <c r="P336" i="1"/>
  <c r="J336" i="1" s="1"/>
  <c r="P337" i="1"/>
  <c r="J337" i="1" s="1"/>
  <c r="P338" i="1"/>
  <c r="P339" i="1"/>
  <c r="J339" i="1" s="1"/>
  <c r="P340" i="1"/>
  <c r="J340" i="1" s="1"/>
  <c r="P341" i="1"/>
  <c r="J341" i="1" s="1"/>
  <c r="P342" i="1"/>
  <c r="J342" i="1" s="1"/>
  <c r="P343" i="1"/>
  <c r="J343" i="1" s="1"/>
  <c r="P344" i="1"/>
  <c r="J344" i="1" s="1"/>
  <c r="P345" i="1"/>
  <c r="J345" i="1" s="1"/>
  <c r="P346" i="1"/>
  <c r="J346" i="1" s="1"/>
  <c r="P347" i="1"/>
  <c r="J347" i="1" s="1"/>
  <c r="P348" i="1"/>
  <c r="J348" i="1" s="1"/>
  <c r="P349" i="1"/>
  <c r="J349" i="1" s="1"/>
  <c r="P350" i="1"/>
  <c r="J350" i="1" s="1"/>
  <c r="P351" i="1"/>
  <c r="J351" i="1" s="1"/>
  <c r="P352" i="1"/>
  <c r="J352" i="1" s="1"/>
  <c r="P353" i="1"/>
  <c r="J353" i="1" s="1"/>
  <c r="P354" i="1"/>
  <c r="J354" i="1" s="1"/>
  <c r="P355" i="1"/>
  <c r="J355" i="1" s="1"/>
  <c r="P356" i="1"/>
  <c r="J356" i="1" s="1"/>
  <c r="P357" i="1"/>
  <c r="J357" i="1" s="1"/>
  <c r="P358" i="1"/>
  <c r="J358" i="1" s="1"/>
  <c r="P359" i="1"/>
  <c r="J359" i="1" s="1"/>
  <c r="P360" i="1"/>
  <c r="J360" i="1" s="1"/>
  <c r="P361" i="1"/>
  <c r="J361" i="1" s="1"/>
  <c r="P362" i="1"/>
  <c r="J362" i="1" s="1"/>
  <c r="P363" i="1"/>
  <c r="J363" i="1" s="1"/>
  <c r="P364" i="1"/>
  <c r="J364" i="1" s="1"/>
  <c r="P365" i="1"/>
  <c r="J365" i="1" s="1"/>
  <c r="P366" i="1"/>
  <c r="J366" i="1" s="1"/>
  <c r="P367" i="1"/>
  <c r="J367" i="1" s="1"/>
  <c r="P368" i="1"/>
  <c r="J368" i="1" s="1"/>
  <c r="P369" i="1"/>
  <c r="J369" i="1" s="1"/>
  <c r="P370" i="1"/>
  <c r="J370" i="1" s="1"/>
  <c r="P371" i="1"/>
  <c r="P372" i="1"/>
  <c r="J372" i="1" s="1"/>
  <c r="P373" i="1"/>
  <c r="J373" i="1" s="1"/>
  <c r="P374" i="1"/>
  <c r="J374" i="1" s="1"/>
  <c r="P375" i="1"/>
  <c r="J375" i="1" s="1"/>
  <c r="P376" i="1"/>
  <c r="P377" i="1"/>
  <c r="J377" i="1" s="1"/>
  <c r="P378" i="1"/>
  <c r="J378" i="1" s="1"/>
  <c r="P379" i="1"/>
  <c r="J379" i="1" s="1"/>
  <c r="P380" i="1"/>
  <c r="J380" i="1" s="1"/>
  <c r="P381" i="1"/>
  <c r="J381" i="1" s="1"/>
  <c r="P382" i="1"/>
  <c r="J382" i="1" s="1"/>
  <c r="P383" i="1"/>
  <c r="J383" i="1" s="1"/>
  <c r="P384" i="1"/>
  <c r="J384" i="1" s="1"/>
  <c r="P385" i="1"/>
  <c r="J385" i="1" s="1"/>
  <c r="P386" i="1"/>
  <c r="J386" i="1" s="1"/>
  <c r="P387" i="1"/>
  <c r="J387" i="1" s="1"/>
  <c r="P388" i="1"/>
  <c r="J388" i="1" s="1"/>
  <c r="P389" i="1"/>
  <c r="J389" i="1" s="1"/>
  <c r="P390" i="1"/>
  <c r="P391" i="1"/>
  <c r="J391" i="1" s="1"/>
  <c r="P392" i="1"/>
  <c r="J392" i="1" s="1"/>
  <c r="P393" i="1"/>
  <c r="J393" i="1" s="1"/>
  <c r="P394" i="1"/>
  <c r="J394" i="1" s="1"/>
  <c r="P395" i="1"/>
  <c r="J395" i="1" s="1"/>
  <c r="P396" i="1"/>
  <c r="J396" i="1" s="1"/>
  <c r="P397" i="1"/>
  <c r="J397" i="1" s="1"/>
  <c r="P398" i="1"/>
  <c r="J398" i="1" s="1"/>
  <c r="P399" i="1"/>
  <c r="J399" i="1" s="1"/>
  <c r="P400" i="1"/>
  <c r="J400" i="1" s="1"/>
  <c r="P401" i="1"/>
  <c r="J401" i="1" s="1"/>
  <c r="P402" i="1"/>
  <c r="J402" i="1" s="1"/>
  <c r="P403" i="1"/>
  <c r="J403" i="1" s="1"/>
  <c r="P404" i="1"/>
  <c r="J404" i="1" s="1"/>
  <c r="P405" i="1"/>
  <c r="J405" i="1" s="1"/>
  <c r="P406" i="1"/>
  <c r="J406" i="1" s="1"/>
  <c r="P407" i="1"/>
  <c r="J407" i="1" s="1"/>
  <c r="P408" i="1"/>
  <c r="J408" i="1" s="1"/>
  <c r="P409" i="1"/>
  <c r="J409" i="1" s="1"/>
  <c r="P410" i="1"/>
  <c r="J410" i="1" s="1"/>
  <c r="P411" i="1"/>
  <c r="J411" i="1" s="1"/>
  <c r="P412" i="1"/>
  <c r="J412" i="1" s="1"/>
  <c r="P413" i="1"/>
  <c r="J413" i="1" s="1"/>
  <c r="P414" i="1"/>
  <c r="P415" i="1"/>
  <c r="J415" i="1" s="1"/>
  <c r="P416" i="1"/>
  <c r="J416" i="1" s="1"/>
  <c r="P417" i="1"/>
  <c r="J417" i="1" s="1"/>
  <c r="P418" i="1"/>
  <c r="J418" i="1" s="1"/>
  <c r="P419" i="1"/>
  <c r="J419" i="1" s="1"/>
  <c r="P420" i="1"/>
  <c r="J420" i="1" s="1"/>
  <c r="P421" i="1"/>
  <c r="J421" i="1" s="1"/>
  <c r="P422" i="1"/>
  <c r="J422" i="1" s="1"/>
  <c r="P423" i="1"/>
  <c r="J423" i="1" s="1"/>
  <c r="P424" i="1"/>
  <c r="J424" i="1" s="1"/>
  <c r="P425" i="1"/>
  <c r="J425" i="1" s="1"/>
  <c r="P426" i="1"/>
  <c r="J426" i="1" s="1"/>
  <c r="P427" i="1"/>
  <c r="J427" i="1" s="1"/>
  <c r="P428" i="1"/>
  <c r="J428" i="1" s="1"/>
  <c r="P429" i="1"/>
  <c r="J429" i="1" s="1"/>
  <c r="P430" i="1"/>
  <c r="P431" i="1"/>
  <c r="J431" i="1" s="1"/>
  <c r="P432" i="1"/>
  <c r="J432" i="1" s="1"/>
  <c r="P433" i="1"/>
  <c r="P434" i="1"/>
  <c r="P435" i="1"/>
  <c r="P436" i="1"/>
  <c r="J436" i="1" s="1"/>
  <c r="P437" i="1"/>
  <c r="J437" i="1" s="1"/>
  <c r="P438" i="1"/>
  <c r="J438" i="1" s="1"/>
  <c r="P439" i="1"/>
  <c r="J439" i="1" s="1"/>
  <c r="P440" i="1"/>
  <c r="J440" i="1" s="1"/>
  <c r="P441" i="1"/>
  <c r="J441" i="1" s="1"/>
  <c r="P442" i="1"/>
  <c r="J442" i="1" s="1"/>
  <c r="P443" i="1"/>
  <c r="J443" i="1" s="1"/>
  <c r="P444" i="1"/>
  <c r="J444" i="1" s="1"/>
  <c r="P445" i="1"/>
  <c r="J445" i="1" s="1"/>
  <c r="P446" i="1"/>
  <c r="J446" i="1" s="1"/>
  <c r="P447" i="1"/>
  <c r="J447" i="1" s="1"/>
  <c r="P448" i="1"/>
  <c r="J448" i="1" s="1"/>
  <c r="P449" i="1"/>
  <c r="J449" i="1" s="1"/>
  <c r="P450" i="1"/>
  <c r="J450" i="1" s="1"/>
  <c r="P451" i="1"/>
  <c r="J451" i="1" s="1"/>
  <c r="P452" i="1"/>
  <c r="J452" i="1" s="1"/>
  <c r="P453" i="1"/>
  <c r="J453" i="1" s="1"/>
  <c r="P454" i="1"/>
  <c r="J454" i="1" s="1"/>
  <c r="P455" i="1"/>
  <c r="J455" i="1" s="1"/>
  <c r="P456" i="1"/>
  <c r="J456" i="1" s="1"/>
  <c r="P457" i="1"/>
  <c r="J457" i="1" s="1"/>
  <c r="P458" i="1"/>
  <c r="J458" i="1" s="1"/>
  <c r="P459" i="1"/>
  <c r="J459" i="1" s="1"/>
  <c r="P460" i="1"/>
  <c r="J460" i="1" s="1"/>
  <c r="P461" i="1"/>
  <c r="J461" i="1" s="1"/>
  <c r="P462" i="1"/>
  <c r="J462" i="1" s="1"/>
  <c r="P463" i="1"/>
  <c r="J463" i="1" s="1"/>
  <c r="P464" i="1"/>
  <c r="J464" i="1" s="1"/>
  <c r="P465" i="1"/>
  <c r="J465" i="1" s="1"/>
  <c r="P466" i="1"/>
  <c r="J466" i="1" s="1"/>
  <c r="P467" i="1"/>
  <c r="J467" i="1" s="1"/>
  <c r="P468" i="1"/>
  <c r="J468" i="1" s="1"/>
  <c r="P469" i="1"/>
  <c r="J469" i="1" s="1"/>
  <c r="P470" i="1"/>
  <c r="J470" i="1" s="1"/>
  <c r="P471" i="1"/>
  <c r="J471" i="1" s="1"/>
  <c r="P472" i="1"/>
  <c r="J472" i="1" s="1"/>
  <c r="P473" i="1"/>
  <c r="J473" i="1" s="1"/>
  <c r="P474" i="1"/>
  <c r="J474" i="1" s="1"/>
  <c r="P475" i="1"/>
  <c r="P476" i="1"/>
  <c r="J476" i="1" s="1"/>
  <c r="P477" i="1"/>
  <c r="J477" i="1" s="1"/>
  <c r="P478" i="1"/>
  <c r="J478" i="1" s="1"/>
  <c r="P479" i="1"/>
  <c r="J479" i="1" s="1"/>
  <c r="P480" i="1"/>
  <c r="J480" i="1" s="1"/>
  <c r="P481" i="1"/>
  <c r="J481" i="1" s="1"/>
  <c r="P482" i="1"/>
  <c r="J482" i="1" s="1"/>
  <c r="P483" i="1"/>
  <c r="J483" i="1" s="1"/>
  <c r="P484" i="1"/>
  <c r="J484" i="1" s="1"/>
  <c r="P485" i="1"/>
  <c r="J485" i="1" s="1"/>
  <c r="P486" i="1"/>
  <c r="J486" i="1" s="1"/>
  <c r="P487" i="1"/>
  <c r="J487" i="1" s="1"/>
  <c r="P488" i="1"/>
  <c r="J488" i="1" s="1"/>
  <c r="P489" i="1"/>
  <c r="J489" i="1" s="1"/>
  <c r="P490" i="1"/>
  <c r="J490" i="1" s="1"/>
  <c r="P491" i="1"/>
  <c r="J491" i="1" s="1"/>
  <c r="P492" i="1"/>
  <c r="J492" i="1" s="1"/>
  <c r="P493" i="1"/>
  <c r="J493" i="1" s="1"/>
  <c r="P494" i="1"/>
  <c r="J494" i="1" s="1"/>
  <c r="P495" i="1"/>
  <c r="J495" i="1" s="1"/>
  <c r="P496" i="1"/>
  <c r="J496" i="1" s="1"/>
  <c r="P497" i="1"/>
  <c r="J497" i="1" s="1"/>
  <c r="P498" i="1"/>
  <c r="J498" i="1" s="1"/>
  <c r="P499" i="1"/>
  <c r="J499" i="1" s="1"/>
  <c r="P500" i="1"/>
  <c r="J500" i="1" s="1"/>
  <c r="P501" i="1"/>
  <c r="J501" i="1" s="1"/>
  <c r="P502" i="1"/>
  <c r="J502" i="1" s="1"/>
  <c r="P503" i="1"/>
  <c r="J503" i="1" s="1"/>
  <c r="P504" i="1"/>
  <c r="J504" i="1" s="1"/>
  <c r="P505" i="1"/>
  <c r="J505" i="1" s="1"/>
  <c r="P506" i="1"/>
  <c r="J506" i="1" s="1"/>
  <c r="P507" i="1"/>
  <c r="J507" i="1" s="1"/>
  <c r="P508" i="1"/>
  <c r="J508" i="1" s="1"/>
  <c r="P509" i="1"/>
  <c r="J509" i="1" s="1"/>
  <c r="P510" i="1"/>
  <c r="J510" i="1" s="1"/>
  <c r="P511" i="1"/>
  <c r="J511" i="1" s="1"/>
  <c r="P512" i="1"/>
  <c r="J512" i="1" s="1"/>
  <c r="P513" i="1"/>
  <c r="J513" i="1" s="1"/>
  <c r="P514" i="1"/>
  <c r="J514" i="1" s="1"/>
  <c r="P515" i="1"/>
  <c r="P516" i="1"/>
  <c r="J516" i="1" s="1"/>
  <c r="P517" i="1"/>
  <c r="J517" i="1" s="1"/>
  <c r="P518" i="1"/>
  <c r="J518" i="1" s="1"/>
  <c r="P519" i="1"/>
  <c r="J519" i="1" s="1"/>
  <c r="P520" i="1"/>
  <c r="J520" i="1" s="1"/>
  <c r="P521" i="1"/>
  <c r="J521" i="1" s="1"/>
  <c r="P522" i="1"/>
  <c r="J522" i="1" s="1"/>
  <c r="P523" i="1"/>
  <c r="J523" i="1" s="1"/>
  <c r="P524" i="1"/>
  <c r="J524" i="1" s="1"/>
  <c r="P525" i="1"/>
  <c r="J525" i="1" s="1"/>
  <c r="P526" i="1"/>
  <c r="J526" i="1" s="1"/>
  <c r="P527" i="1"/>
  <c r="P528" i="1"/>
  <c r="J528" i="1" s="1"/>
  <c r="P529" i="1"/>
  <c r="J529" i="1" s="1"/>
  <c r="P530" i="1"/>
  <c r="J530" i="1" s="1"/>
  <c r="P531" i="1"/>
  <c r="J531" i="1" s="1"/>
  <c r="P532" i="1"/>
  <c r="J532" i="1" s="1"/>
  <c r="P533" i="1"/>
  <c r="J533" i="1" s="1"/>
  <c r="P534" i="1"/>
  <c r="J534" i="1" s="1"/>
  <c r="P535" i="1"/>
  <c r="J535" i="1" s="1"/>
  <c r="P536" i="1"/>
  <c r="J536" i="1" s="1"/>
  <c r="P537" i="1"/>
  <c r="J537" i="1" s="1"/>
  <c r="P538" i="1"/>
  <c r="J538" i="1" s="1"/>
  <c r="P539" i="1"/>
  <c r="J539" i="1" s="1"/>
  <c r="P540" i="1"/>
  <c r="J540" i="1" s="1"/>
  <c r="P541" i="1"/>
  <c r="J541" i="1" s="1"/>
  <c r="P542" i="1"/>
  <c r="J542" i="1" s="1"/>
  <c r="P543" i="1"/>
  <c r="J543" i="1" s="1"/>
  <c r="P544" i="1"/>
  <c r="J544" i="1" s="1"/>
  <c r="P545" i="1"/>
  <c r="J545" i="1" s="1"/>
  <c r="P546" i="1"/>
  <c r="J546" i="1" s="1"/>
  <c r="P547" i="1"/>
  <c r="J547" i="1" s="1"/>
  <c r="P548" i="1"/>
  <c r="J548" i="1" s="1"/>
  <c r="P549" i="1"/>
  <c r="P550" i="1"/>
  <c r="J550" i="1" s="1"/>
  <c r="P551" i="1"/>
  <c r="J551" i="1" s="1"/>
  <c r="P552" i="1"/>
  <c r="J552" i="1" s="1"/>
  <c r="P553" i="1"/>
  <c r="J553" i="1" s="1"/>
  <c r="P554" i="1"/>
  <c r="J554" i="1" s="1"/>
  <c r="P555" i="1"/>
  <c r="J555" i="1" s="1"/>
  <c r="P556" i="1"/>
  <c r="J556" i="1" s="1"/>
  <c r="P557" i="1"/>
  <c r="J557" i="1" s="1"/>
  <c r="P558" i="1"/>
  <c r="J558" i="1" s="1"/>
  <c r="P559" i="1"/>
  <c r="J559" i="1" s="1"/>
  <c r="P560" i="1"/>
  <c r="J560" i="1" s="1"/>
  <c r="P561" i="1"/>
  <c r="J561" i="1" s="1"/>
  <c r="P562" i="1"/>
  <c r="P563" i="1"/>
  <c r="J563" i="1" s="1"/>
  <c r="P564" i="1"/>
  <c r="J564" i="1" s="1"/>
  <c r="P565" i="1"/>
  <c r="J565" i="1" s="1"/>
  <c r="P566" i="1"/>
  <c r="J566" i="1" s="1"/>
  <c r="P567" i="1"/>
  <c r="J567" i="1" s="1"/>
  <c r="P568" i="1"/>
  <c r="J568" i="1" s="1"/>
  <c r="P569" i="1"/>
  <c r="J569" i="1" s="1"/>
  <c r="P570" i="1"/>
  <c r="J570" i="1" s="1"/>
  <c r="P571" i="1"/>
  <c r="J571" i="1" s="1"/>
  <c r="P572" i="1"/>
  <c r="P573" i="1"/>
  <c r="J573" i="1" s="1"/>
  <c r="P574" i="1"/>
  <c r="J574" i="1" s="1"/>
  <c r="P575" i="1"/>
  <c r="J575" i="1" s="1"/>
  <c r="P576" i="1"/>
  <c r="J576" i="1" s="1"/>
  <c r="P577" i="1"/>
  <c r="J577" i="1" s="1"/>
  <c r="P578" i="1"/>
  <c r="J578" i="1" s="1"/>
  <c r="P579" i="1"/>
  <c r="J579" i="1" s="1"/>
  <c r="P580" i="1"/>
  <c r="P581" i="1"/>
  <c r="J581" i="1" s="1"/>
  <c r="P582" i="1"/>
  <c r="P583" i="1"/>
  <c r="J583" i="1" s="1"/>
  <c r="P584" i="1"/>
  <c r="P585" i="1"/>
  <c r="J585" i="1" s="1"/>
  <c r="P586" i="1"/>
  <c r="J586" i="1" s="1"/>
  <c r="P587" i="1"/>
  <c r="J587" i="1" s="1"/>
  <c r="P588" i="1"/>
  <c r="J588" i="1" s="1"/>
  <c r="P589" i="1"/>
  <c r="J589" i="1" s="1"/>
  <c r="P590" i="1"/>
  <c r="J590" i="1" s="1"/>
  <c r="P591" i="1"/>
  <c r="J591" i="1" s="1"/>
  <c r="P592" i="1"/>
  <c r="J592" i="1" s="1"/>
  <c r="P593" i="1"/>
  <c r="J593" i="1" s="1"/>
  <c r="P594" i="1"/>
  <c r="J594" i="1" s="1"/>
  <c r="P595" i="1"/>
  <c r="J595" i="1" s="1"/>
  <c r="P596" i="1"/>
  <c r="P597" i="1"/>
  <c r="J597" i="1" s="1"/>
  <c r="P598" i="1"/>
  <c r="J598" i="1" s="1"/>
  <c r="P599" i="1"/>
  <c r="J599" i="1" s="1"/>
  <c r="P600" i="1"/>
  <c r="J600" i="1" s="1"/>
  <c r="P601" i="1"/>
  <c r="J601" i="1" s="1"/>
  <c r="P602" i="1"/>
  <c r="J602" i="1" s="1"/>
  <c r="P603" i="1"/>
  <c r="J603" i="1" s="1"/>
  <c r="P604" i="1"/>
  <c r="J604" i="1" s="1"/>
  <c r="P605" i="1"/>
  <c r="J605" i="1" s="1"/>
  <c r="P606" i="1"/>
  <c r="J606" i="1" s="1"/>
  <c r="P607" i="1"/>
  <c r="J607" i="1" s="1"/>
  <c r="P608" i="1"/>
  <c r="J608" i="1" s="1"/>
  <c r="P609" i="1"/>
  <c r="J609" i="1" s="1"/>
  <c r="P610" i="1"/>
  <c r="J610" i="1" s="1"/>
  <c r="P611" i="1"/>
  <c r="J611" i="1" s="1"/>
  <c r="P612" i="1"/>
  <c r="J612" i="1" s="1"/>
  <c r="P613" i="1"/>
  <c r="J613" i="1" s="1"/>
  <c r="P614" i="1"/>
  <c r="J614" i="1" s="1"/>
  <c r="P615" i="1"/>
  <c r="J615" i="1" s="1"/>
  <c r="P616" i="1"/>
  <c r="J616" i="1" s="1"/>
  <c r="P617" i="1"/>
  <c r="P618" i="1"/>
  <c r="J618" i="1" s="1"/>
  <c r="P619" i="1"/>
  <c r="J619" i="1" s="1"/>
  <c r="P620" i="1"/>
  <c r="J620" i="1" s="1"/>
  <c r="P621" i="1"/>
  <c r="J621" i="1" s="1"/>
  <c r="P622" i="1"/>
  <c r="J622" i="1" s="1"/>
  <c r="P623" i="1"/>
  <c r="J623" i="1" s="1"/>
  <c r="P624" i="1"/>
  <c r="J624" i="1" s="1"/>
  <c r="P625" i="1"/>
  <c r="J625" i="1" s="1"/>
  <c r="P626" i="1"/>
  <c r="J626" i="1" s="1"/>
  <c r="P627" i="1"/>
  <c r="J627" i="1" s="1"/>
  <c r="P628" i="1"/>
  <c r="J628" i="1" s="1"/>
  <c r="P629" i="1"/>
  <c r="P630" i="1"/>
  <c r="J630" i="1" s="1"/>
  <c r="P631" i="1"/>
  <c r="J631" i="1" s="1"/>
  <c r="P632" i="1"/>
  <c r="J632" i="1" s="1"/>
  <c r="P633" i="1"/>
  <c r="J633" i="1" s="1"/>
  <c r="P634" i="1"/>
  <c r="J634" i="1" s="1"/>
  <c r="P635" i="1"/>
  <c r="J635" i="1" s="1"/>
  <c r="P636" i="1"/>
  <c r="J636" i="1" s="1"/>
  <c r="P637" i="1"/>
  <c r="J637" i="1" s="1"/>
  <c r="P638" i="1"/>
  <c r="J638" i="1" s="1"/>
  <c r="P639" i="1"/>
  <c r="J639" i="1" s="1"/>
  <c r="P640" i="1"/>
  <c r="J640" i="1" s="1"/>
  <c r="P641" i="1"/>
  <c r="J641" i="1" s="1"/>
  <c r="P642" i="1"/>
  <c r="P643" i="1"/>
  <c r="J643" i="1" s="1"/>
  <c r="P644" i="1"/>
  <c r="J644" i="1" s="1"/>
  <c r="P645" i="1"/>
  <c r="J645" i="1" s="1"/>
  <c r="P646" i="1"/>
  <c r="J646" i="1" s="1"/>
  <c r="P647" i="1"/>
  <c r="J647" i="1" s="1"/>
  <c r="P648" i="1"/>
  <c r="J648" i="1" s="1"/>
  <c r="P649" i="1"/>
  <c r="J649" i="1" s="1"/>
  <c r="P650" i="1"/>
  <c r="J650" i="1" s="1"/>
  <c r="P651" i="1"/>
  <c r="J651" i="1" s="1"/>
  <c r="P652" i="1"/>
  <c r="J652" i="1" s="1"/>
  <c r="P653" i="1"/>
  <c r="P654" i="1"/>
  <c r="J654" i="1" s="1"/>
  <c r="P655" i="1"/>
  <c r="P656" i="1"/>
  <c r="J656" i="1" s="1"/>
  <c r="P657" i="1"/>
  <c r="J657" i="1" s="1"/>
  <c r="P658" i="1"/>
  <c r="J658" i="1" s="1"/>
  <c r="P659" i="1"/>
  <c r="J659" i="1" s="1"/>
  <c r="P660" i="1"/>
  <c r="J660" i="1" s="1"/>
  <c r="P661" i="1"/>
  <c r="J661" i="1" s="1"/>
  <c r="P662" i="1"/>
  <c r="J662" i="1" s="1"/>
  <c r="P663" i="1"/>
  <c r="J663" i="1" s="1"/>
  <c r="P664" i="1"/>
  <c r="J664" i="1" s="1"/>
  <c r="P665" i="1"/>
  <c r="J665" i="1" s="1"/>
  <c r="P666" i="1"/>
  <c r="J666" i="1" s="1"/>
  <c r="P667" i="1"/>
  <c r="P668" i="1"/>
  <c r="J668" i="1" s="1"/>
  <c r="P669" i="1"/>
  <c r="J669" i="1" s="1"/>
  <c r="P670" i="1"/>
  <c r="J670" i="1" s="1"/>
  <c r="P671" i="1"/>
  <c r="J671" i="1" s="1"/>
  <c r="P672" i="1"/>
  <c r="J672" i="1" s="1"/>
  <c r="P673" i="1"/>
  <c r="J673" i="1" s="1"/>
  <c r="P674" i="1"/>
  <c r="J674" i="1" s="1"/>
  <c r="P675" i="1"/>
  <c r="P676" i="1"/>
  <c r="J676" i="1" s="1"/>
  <c r="P677" i="1"/>
  <c r="J677" i="1" s="1"/>
  <c r="P678" i="1"/>
  <c r="J678" i="1" s="1"/>
  <c r="P679" i="1"/>
  <c r="J679" i="1" s="1"/>
  <c r="P680" i="1"/>
  <c r="J680" i="1" s="1"/>
  <c r="P681" i="1"/>
  <c r="J681" i="1" s="1"/>
  <c r="P682" i="1"/>
  <c r="J682" i="1" s="1"/>
  <c r="P683" i="1"/>
  <c r="J683" i="1" s="1"/>
  <c r="P684" i="1"/>
  <c r="J684" i="1" s="1"/>
  <c r="P685" i="1"/>
  <c r="J685" i="1" s="1"/>
  <c r="P686" i="1"/>
  <c r="J686" i="1" s="1"/>
  <c r="P687" i="1"/>
  <c r="J687" i="1" s="1"/>
  <c r="P688" i="1"/>
  <c r="J688" i="1" s="1"/>
  <c r="P689" i="1"/>
  <c r="J689" i="1" s="1"/>
  <c r="P690" i="1"/>
  <c r="J690" i="1" s="1"/>
  <c r="P691" i="1"/>
  <c r="J691" i="1" s="1"/>
  <c r="P692" i="1"/>
  <c r="J692" i="1" s="1"/>
  <c r="P693" i="1"/>
  <c r="J693" i="1" s="1"/>
  <c r="P694" i="1"/>
  <c r="J694" i="1" s="1"/>
  <c r="P695" i="1"/>
  <c r="P696" i="1"/>
  <c r="J696" i="1" s="1"/>
  <c r="P697" i="1"/>
  <c r="J697" i="1" s="1"/>
  <c r="P698" i="1"/>
  <c r="J698" i="1" s="1"/>
  <c r="P699" i="1"/>
  <c r="J699" i="1" s="1"/>
  <c r="P700" i="1"/>
  <c r="J700" i="1" s="1"/>
  <c r="P701" i="1"/>
  <c r="J701" i="1" s="1"/>
  <c r="P702" i="1"/>
  <c r="J702" i="1" s="1"/>
  <c r="P703" i="1"/>
  <c r="P704" i="1"/>
  <c r="J704" i="1" s="1"/>
  <c r="P705" i="1"/>
  <c r="J705" i="1" s="1"/>
  <c r="P706" i="1"/>
  <c r="J706" i="1" s="1"/>
  <c r="P707" i="1"/>
  <c r="J707" i="1" s="1"/>
  <c r="P708" i="1"/>
  <c r="J708" i="1" s="1"/>
  <c r="P709" i="1"/>
  <c r="J709" i="1" s="1"/>
  <c r="P710" i="1"/>
  <c r="J710" i="1" s="1"/>
  <c r="P711" i="1"/>
  <c r="J711" i="1" s="1"/>
  <c r="P712" i="1"/>
  <c r="J712" i="1" s="1"/>
  <c r="P713" i="1"/>
  <c r="J713" i="1" s="1"/>
  <c r="P714" i="1"/>
  <c r="J714" i="1" s="1"/>
  <c r="P715" i="1"/>
  <c r="J715" i="1" s="1"/>
  <c r="P716" i="1"/>
  <c r="J716" i="1" s="1"/>
  <c r="P717" i="1"/>
  <c r="J717" i="1" s="1"/>
  <c r="P718" i="1"/>
  <c r="J718" i="1" s="1"/>
  <c r="P719" i="1"/>
  <c r="J719" i="1" s="1"/>
  <c r="P720" i="1"/>
  <c r="J720" i="1" s="1"/>
  <c r="P721" i="1"/>
  <c r="J721" i="1" s="1"/>
  <c r="P722" i="1"/>
  <c r="J722" i="1" s="1"/>
  <c r="P723" i="1"/>
  <c r="J723" i="1" s="1"/>
  <c r="P724" i="1"/>
  <c r="J724" i="1" s="1"/>
  <c r="P725" i="1"/>
  <c r="J725" i="1" s="1"/>
  <c r="P726" i="1"/>
  <c r="J726" i="1" s="1"/>
  <c r="P727" i="1"/>
  <c r="J727" i="1" s="1"/>
  <c r="P728" i="1"/>
  <c r="J728" i="1" s="1"/>
  <c r="P729" i="1"/>
  <c r="J729" i="1" s="1"/>
  <c r="P730" i="1"/>
  <c r="J730" i="1" s="1"/>
  <c r="P731" i="1"/>
  <c r="J731" i="1" s="1"/>
  <c r="P732" i="1"/>
  <c r="J732" i="1" s="1"/>
  <c r="P733" i="1"/>
  <c r="J733" i="1" s="1"/>
  <c r="P734" i="1"/>
  <c r="J734" i="1" s="1"/>
  <c r="P735" i="1"/>
  <c r="J735" i="1" s="1"/>
  <c r="P736" i="1"/>
  <c r="J736" i="1" s="1"/>
  <c r="P737" i="1"/>
  <c r="J737" i="1" s="1"/>
  <c r="P738" i="1"/>
  <c r="J738" i="1" s="1"/>
  <c r="P739" i="1"/>
  <c r="J739" i="1" s="1"/>
  <c r="P740" i="1"/>
  <c r="J740" i="1" s="1"/>
  <c r="P741" i="1"/>
  <c r="J741" i="1" s="1"/>
  <c r="P742" i="1"/>
  <c r="J742" i="1" s="1"/>
  <c r="P743" i="1"/>
  <c r="J743" i="1" s="1"/>
  <c r="P744" i="1"/>
  <c r="J744" i="1" s="1"/>
  <c r="P745" i="1"/>
  <c r="J745" i="1" s="1"/>
  <c r="P746" i="1"/>
  <c r="J746" i="1" s="1"/>
  <c r="P747" i="1"/>
  <c r="J747" i="1" s="1"/>
  <c r="P748" i="1"/>
  <c r="J748" i="1" s="1"/>
  <c r="P749" i="1"/>
  <c r="J749" i="1" s="1"/>
  <c r="P750" i="1"/>
  <c r="J750" i="1" s="1"/>
  <c r="P751" i="1"/>
  <c r="J751" i="1" s="1"/>
  <c r="P752" i="1"/>
  <c r="J752" i="1" s="1"/>
  <c r="P753" i="1"/>
  <c r="J753" i="1" s="1"/>
  <c r="P754" i="1"/>
  <c r="J754" i="1" s="1"/>
  <c r="P755" i="1"/>
  <c r="J755" i="1" s="1"/>
  <c r="P756" i="1"/>
  <c r="J756" i="1" s="1"/>
  <c r="P757" i="1"/>
  <c r="J757" i="1" s="1"/>
  <c r="P758" i="1"/>
  <c r="J758" i="1" s="1"/>
  <c r="P759" i="1"/>
  <c r="J759" i="1" s="1"/>
  <c r="P760" i="1"/>
  <c r="J760" i="1" s="1"/>
  <c r="P761" i="1"/>
  <c r="J761" i="1" s="1"/>
  <c r="P762" i="1"/>
  <c r="J762" i="1" s="1"/>
  <c r="P763" i="1"/>
  <c r="J763" i="1" s="1"/>
  <c r="P764" i="1"/>
  <c r="J764" i="1" s="1"/>
  <c r="P765" i="1"/>
  <c r="J765" i="1" s="1"/>
  <c r="P766" i="1"/>
  <c r="J766" i="1" s="1"/>
  <c r="P767" i="1"/>
  <c r="J767" i="1" s="1"/>
  <c r="P768" i="1"/>
  <c r="J768" i="1" s="1"/>
  <c r="P769" i="1"/>
  <c r="J769" i="1" s="1"/>
  <c r="P770" i="1"/>
  <c r="J770" i="1" s="1"/>
  <c r="P771" i="1"/>
  <c r="J771" i="1" s="1"/>
  <c r="P772" i="1"/>
  <c r="J772" i="1" s="1"/>
  <c r="P773" i="1"/>
  <c r="J773" i="1" s="1"/>
  <c r="P774" i="1"/>
  <c r="J774" i="1" s="1"/>
  <c r="P775" i="1"/>
  <c r="J775" i="1" s="1"/>
  <c r="P776" i="1"/>
  <c r="J776" i="1" s="1"/>
  <c r="P777" i="1"/>
  <c r="J777" i="1" s="1"/>
  <c r="P778" i="1"/>
  <c r="J778" i="1" s="1"/>
  <c r="P779" i="1"/>
  <c r="J779" i="1" s="1"/>
  <c r="P780" i="1"/>
  <c r="J780" i="1" s="1"/>
  <c r="P781" i="1"/>
  <c r="J781" i="1" s="1"/>
  <c r="P782" i="1"/>
  <c r="J782" i="1" s="1"/>
  <c r="P783" i="1"/>
  <c r="J783" i="1" s="1"/>
  <c r="P784" i="1"/>
  <c r="J784" i="1" s="1"/>
  <c r="P785" i="1"/>
  <c r="J785" i="1" s="1"/>
  <c r="P786" i="1"/>
  <c r="J786" i="1" s="1"/>
  <c r="P787" i="1"/>
  <c r="J787" i="1" s="1"/>
  <c r="P788" i="1"/>
  <c r="J788" i="1" s="1"/>
  <c r="P789" i="1"/>
  <c r="J789" i="1" s="1"/>
  <c r="P790" i="1"/>
  <c r="J790" i="1" s="1"/>
  <c r="P791" i="1"/>
  <c r="J791" i="1" s="1"/>
  <c r="P792" i="1"/>
  <c r="J792" i="1" s="1"/>
  <c r="P793" i="1"/>
  <c r="P794" i="1"/>
  <c r="J794" i="1" s="1"/>
  <c r="P795" i="1"/>
  <c r="J795" i="1" s="1"/>
  <c r="P796" i="1"/>
  <c r="J796" i="1" s="1"/>
  <c r="P797" i="1"/>
  <c r="J797" i="1" s="1"/>
  <c r="P798" i="1"/>
  <c r="J798" i="1" s="1"/>
  <c r="P799" i="1"/>
  <c r="J799" i="1" s="1"/>
  <c r="P800" i="1"/>
  <c r="P801" i="1"/>
  <c r="J801" i="1" s="1"/>
  <c r="P802" i="1"/>
  <c r="J802" i="1" s="1"/>
  <c r="P803" i="1"/>
  <c r="J803" i="1" s="1"/>
  <c r="P804" i="1"/>
  <c r="J804" i="1" s="1"/>
  <c r="P805" i="1"/>
  <c r="J805" i="1" s="1"/>
  <c r="P806" i="1"/>
  <c r="J806" i="1" s="1"/>
  <c r="P807" i="1"/>
  <c r="J807" i="1" s="1"/>
  <c r="P808" i="1"/>
  <c r="J808" i="1" s="1"/>
  <c r="P809" i="1"/>
  <c r="J809" i="1" s="1"/>
  <c r="P810" i="1"/>
  <c r="J810" i="1" s="1"/>
  <c r="P811" i="1"/>
  <c r="J811" i="1" s="1"/>
  <c r="P812" i="1"/>
  <c r="J812" i="1" s="1"/>
  <c r="P813" i="1"/>
  <c r="J813" i="1" s="1"/>
  <c r="P814" i="1"/>
  <c r="J814" i="1" s="1"/>
  <c r="P815" i="1"/>
  <c r="J815" i="1" s="1"/>
  <c r="P816" i="1"/>
  <c r="J816" i="1" s="1"/>
  <c r="P817" i="1"/>
  <c r="J817" i="1" s="1"/>
  <c r="P818" i="1"/>
  <c r="J818" i="1" s="1"/>
  <c r="P819" i="1"/>
  <c r="J819" i="1" s="1"/>
  <c r="P820" i="1"/>
  <c r="J820" i="1" s="1"/>
  <c r="P821" i="1"/>
  <c r="J821" i="1" s="1"/>
  <c r="P822" i="1"/>
  <c r="J822" i="1" s="1"/>
  <c r="P823" i="1"/>
  <c r="J823" i="1" s="1"/>
  <c r="P824" i="1"/>
  <c r="J824" i="1" s="1"/>
  <c r="P825" i="1"/>
  <c r="J825" i="1" s="1"/>
  <c r="P826" i="1"/>
  <c r="J826" i="1" s="1"/>
  <c r="P827" i="1"/>
  <c r="J827" i="1" s="1"/>
  <c r="P828" i="1"/>
  <c r="J828" i="1" s="1"/>
  <c r="P829" i="1"/>
  <c r="J829" i="1" s="1"/>
  <c r="P830" i="1"/>
  <c r="J830" i="1" s="1"/>
  <c r="P831" i="1"/>
  <c r="J831" i="1" s="1"/>
  <c r="P832" i="1"/>
  <c r="J832" i="1" s="1"/>
  <c r="P833" i="1"/>
  <c r="J833" i="1" s="1"/>
  <c r="P834" i="1"/>
  <c r="J834" i="1" s="1"/>
  <c r="P835" i="1"/>
  <c r="J835" i="1" s="1"/>
  <c r="P836" i="1"/>
  <c r="J836" i="1" s="1"/>
  <c r="P837" i="1"/>
  <c r="J837" i="1" s="1"/>
  <c r="P838" i="1"/>
  <c r="J838" i="1" s="1"/>
  <c r="P839" i="1"/>
  <c r="J839" i="1" s="1"/>
  <c r="P840" i="1"/>
  <c r="J840" i="1" s="1"/>
  <c r="P841" i="1"/>
  <c r="J841" i="1" s="1"/>
  <c r="P842" i="1"/>
  <c r="P843" i="1"/>
  <c r="J843" i="1" s="1"/>
  <c r="P844" i="1"/>
  <c r="J844" i="1" s="1"/>
  <c r="P845" i="1"/>
  <c r="J845" i="1" s="1"/>
  <c r="P846" i="1"/>
  <c r="J846" i="1" s="1"/>
  <c r="P847" i="1"/>
  <c r="P848" i="1"/>
  <c r="J848" i="1" s="1"/>
  <c r="P849" i="1"/>
  <c r="J849" i="1" s="1"/>
  <c r="P850" i="1"/>
  <c r="J850" i="1" s="1"/>
  <c r="P851" i="1"/>
  <c r="J851" i="1" s="1"/>
  <c r="P852" i="1"/>
  <c r="J852" i="1" s="1"/>
  <c r="P853" i="1"/>
  <c r="J853" i="1" s="1"/>
  <c r="P854" i="1"/>
  <c r="J854" i="1" s="1"/>
  <c r="P855" i="1"/>
  <c r="J855" i="1" s="1"/>
  <c r="P856" i="1"/>
  <c r="J856" i="1" s="1"/>
  <c r="P857" i="1"/>
  <c r="J857" i="1" s="1"/>
  <c r="P858" i="1"/>
  <c r="J858" i="1" s="1"/>
  <c r="P859" i="1"/>
  <c r="J859" i="1" s="1"/>
  <c r="P860" i="1"/>
  <c r="J860" i="1" s="1"/>
  <c r="P861" i="1"/>
  <c r="J861" i="1" s="1"/>
  <c r="P862" i="1"/>
  <c r="J862" i="1" s="1"/>
  <c r="P863" i="1"/>
  <c r="J863" i="1" s="1"/>
  <c r="P864" i="1"/>
  <c r="J864" i="1" s="1"/>
  <c r="P865" i="1"/>
  <c r="J865" i="1" s="1"/>
  <c r="P866" i="1"/>
  <c r="J866" i="1" s="1"/>
  <c r="P867" i="1"/>
  <c r="J867" i="1" s="1"/>
  <c r="P868" i="1"/>
  <c r="J868" i="1" s="1"/>
  <c r="P869" i="1"/>
  <c r="J869" i="1" s="1"/>
  <c r="P870" i="1"/>
  <c r="J870" i="1" s="1"/>
  <c r="P871" i="1"/>
  <c r="J871" i="1" s="1"/>
  <c r="P872" i="1"/>
  <c r="J872" i="1" s="1"/>
  <c r="P873" i="1"/>
  <c r="J873" i="1" s="1"/>
  <c r="P874" i="1"/>
  <c r="J874" i="1" s="1"/>
  <c r="P875" i="1"/>
  <c r="J875" i="1" s="1"/>
  <c r="P876" i="1"/>
  <c r="J876" i="1" s="1"/>
  <c r="P877" i="1"/>
  <c r="J877" i="1" s="1"/>
  <c r="P878" i="1"/>
  <c r="J878" i="1" s="1"/>
  <c r="P879" i="1"/>
  <c r="P880" i="1"/>
  <c r="J880" i="1" s="1"/>
  <c r="P881" i="1"/>
  <c r="J881" i="1" s="1"/>
  <c r="P882" i="1"/>
  <c r="J882" i="1" s="1"/>
  <c r="P883" i="1"/>
  <c r="J883" i="1" s="1"/>
  <c r="P884" i="1"/>
  <c r="P885" i="1"/>
  <c r="J885" i="1" s="1"/>
  <c r="P886" i="1"/>
  <c r="J886" i="1" s="1"/>
  <c r="P887" i="1"/>
  <c r="J887" i="1" s="1"/>
  <c r="P888" i="1"/>
  <c r="J888" i="1" s="1"/>
  <c r="P889" i="1"/>
  <c r="J889" i="1" s="1"/>
  <c r="P890" i="1"/>
  <c r="J890" i="1" s="1"/>
  <c r="P891" i="1"/>
  <c r="J891" i="1" s="1"/>
  <c r="P892" i="1"/>
  <c r="J892" i="1" s="1"/>
  <c r="P893" i="1"/>
  <c r="J893" i="1" s="1"/>
  <c r="P894" i="1"/>
  <c r="J894" i="1" s="1"/>
  <c r="P895" i="1"/>
  <c r="J895" i="1" s="1"/>
  <c r="P896" i="1"/>
  <c r="J896" i="1" s="1"/>
  <c r="P897" i="1"/>
  <c r="J897" i="1" s="1"/>
  <c r="P898" i="1"/>
  <c r="J898" i="1" s="1"/>
  <c r="P899" i="1"/>
  <c r="J899" i="1" s="1"/>
  <c r="P900" i="1"/>
  <c r="J900" i="1" s="1"/>
  <c r="P901" i="1"/>
  <c r="J901" i="1" s="1"/>
  <c r="P902" i="1"/>
  <c r="J902" i="1" s="1"/>
  <c r="P903" i="1"/>
  <c r="J903" i="1" s="1"/>
  <c r="P904" i="1"/>
  <c r="J904" i="1" s="1"/>
  <c r="P905" i="1"/>
  <c r="J905" i="1" s="1"/>
  <c r="P906" i="1"/>
  <c r="J906" i="1" s="1"/>
  <c r="P907" i="1"/>
  <c r="J907" i="1" s="1"/>
  <c r="P908" i="1"/>
  <c r="J908" i="1" s="1"/>
  <c r="P909" i="1"/>
  <c r="J909" i="1" s="1"/>
  <c r="P910" i="1"/>
  <c r="J910" i="1" s="1"/>
  <c r="P911" i="1"/>
  <c r="J911" i="1" s="1"/>
  <c r="P912" i="1"/>
  <c r="J912" i="1" s="1"/>
  <c r="P913" i="1"/>
  <c r="J913" i="1" s="1"/>
  <c r="P914" i="1"/>
  <c r="J914" i="1" s="1"/>
  <c r="P915" i="1"/>
  <c r="J915" i="1" s="1"/>
  <c r="P916" i="1"/>
  <c r="J916" i="1" s="1"/>
  <c r="P917" i="1"/>
  <c r="J917" i="1" s="1"/>
  <c r="P918" i="1"/>
  <c r="J918" i="1" s="1"/>
  <c r="P919" i="1"/>
  <c r="P920" i="1"/>
  <c r="J920" i="1" s="1"/>
  <c r="P921" i="1"/>
  <c r="J921" i="1" s="1"/>
  <c r="P922" i="1"/>
  <c r="J922" i="1" s="1"/>
  <c r="P923" i="1"/>
  <c r="J923" i="1" s="1"/>
  <c r="P924" i="1"/>
  <c r="J924" i="1" s="1"/>
  <c r="P925" i="1"/>
  <c r="J925" i="1" s="1"/>
  <c r="P926" i="1"/>
  <c r="J926" i="1" s="1"/>
  <c r="P927" i="1"/>
  <c r="J927" i="1" s="1"/>
  <c r="P928" i="1"/>
  <c r="J928" i="1" s="1"/>
  <c r="P929" i="1"/>
  <c r="J929" i="1" s="1"/>
  <c r="P930" i="1"/>
  <c r="P931" i="1"/>
  <c r="J931" i="1" s="1"/>
  <c r="P932" i="1"/>
  <c r="J932" i="1" s="1"/>
  <c r="P933" i="1"/>
  <c r="J933" i="1" s="1"/>
  <c r="P934" i="1"/>
  <c r="J934" i="1" s="1"/>
  <c r="P935" i="1"/>
  <c r="J935" i="1" s="1"/>
  <c r="P936" i="1"/>
  <c r="J936" i="1" s="1"/>
  <c r="P937" i="1"/>
  <c r="J937" i="1" s="1"/>
  <c r="P938" i="1"/>
  <c r="J938" i="1" s="1"/>
  <c r="P939" i="1"/>
  <c r="J939" i="1" s="1"/>
  <c r="P940" i="1"/>
  <c r="J940" i="1" s="1"/>
  <c r="P941" i="1"/>
  <c r="J941" i="1" s="1"/>
  <c r="P942" i="1"/>
  <c r="J942" i="1" s="1"/>
  <c r="P943" i="1"/>
  <c r="J943" i="1" s="1"/>
  <c r="P944" i="1"/>
  <c r="J944" i="1" s="1"/>
  <c r="P945" i="1"/>
  <c r="J945" i="1" s="1"/>
  <c r="P946" i="1"/>
  <c r="J946" i="1" s="1"/>
  <c r="P947" i="1"/>
  <c r="J947" i="1" s="1"/>
  <c r="P948" i="1"/>
  <c r="J948" i="1" s="1"/>
  <c r="P949" i="1"/>
  <c r="J949" i="1" s="1"/>
  <c r="P950" i="1"/>
  <c r="J950" i="1" s="1"/>
  <c r="P951" i="1"/>
  <c r="J951" i="1" s="1"/>
  <c r="P952" i="1"/>
  <c r="J952" i="1" s="1"/>
  <c r="P953" i="1"/>
  <c r="J953" i="1" s="1"/>
  <c r="P954" i="1"/>
  <c r="J954" i="1" s="1"/>
  <c r="P955" i="1"/>
  <c r="J955" i="1" s="1"/>
  <c r="P956" i="1"/>
  <c r="J956" i="1" s="1"/>
  <c r="P957" i="1"/>
  <c r="J957" i="1" s="1"/>
  <c r="P958" i="1"/>
  <c r="J958" i="1" s="1"/>
  <c r="P959" i="1"/>
  <c r="J959" i="1" s="1"/>
  <c r="P960" i="1"/>
  <c r="J960" i="1" s="1"/>
  <c r="P961" i="1"/>
  <c r="J961" i="1" s="1"/>
  <c r="P962" i="1"/>
  <c r="J962" i="1" s="1"/>
  <c r="P963" i="1"/>
  <c r="J963" i="1" s="1"/>
  <c r="P964" i="1"/>
  <c r="J964" i="1" s="1"/>
  <c r="P965" i="1"/>
  <c r="J965" i="1" s="1"/>
  <c r="P966" i="1"/>
  <c r="J966" i="1" s="1"/>
  <c r="P967" i="1"/>
  <c r="J967" i="1" s="1"/>
  <c r="P968" i="1"/>
  <c r="J968" i="1" s="1"/>
  <c r="P969" i="1"/>
  <c r="J969" i="1" s="1"/>
  <c r="P970" i="1"/>
  <c r="J970" i="1" s="1"/>
  <c r="P971" i="1"/>
  <c r="J971" i="1" s="1"/>
  <c r="P972" i="1"/>
  <c r="J972" i="1" s="1"/>
  <c r="P973" i="1"/>
  <c r="J973" i="1" s="1"/>
  <c r="P974" i="1"/>
  <c r="J974" i="1" s="1"/>
  <c r="P975" i="1"/>
  <c r="J975" i="1" s="1"/>
  <c r="P976" i="1"/>
  <c r="J976" i="1" s="1"/>
  <c r="P977" i="1"/>
  <c r="J977" i="1" s="1"/>
  <c r="P978" i="1"/>
  <c r="J978" i="1" s="1"/>
  <c r="P979" i="1"/>
  <c r="J979" i="1" s="1"/>
  <c r="P980" i="1"/>
  <c r="J980" i="1" s="1"/>
  <c r="P981" i="1"/>
  <c r="J981" i="1" s="1"/>
  <c r="P982" i="1"/>
  <c r="J982" i="1" s="1"/>
  <c r="P983" i="1"/>
  <c r="J983" i="1" s="1"/>
  <c r="P984" i="1"/>
  <c r="J984" i="1" s="1"/>
  <c r="P985" i="1"/>
  <c r="J985" i="1" s="1"/>
  <c r="P986" i="1"/>
  <c r="J986" i="1" s="1"/>
  <c r="P987" i="1"/>
  <c r="J987" i="1" s="1"/>
  <c r="P988" i="1"/>
  <c r="J988" i="1" s="1"/>
  <c r="P989" i="1"/>
  <c r="P990" i="1"/>
  <c r="J990" i="1" s="1"/>
  <c r="P991" i="1"/>
  <c r="J991" i="1" s="1"/>
  <c r="P992" i="1"/>
  <c r="J992" i="1" s="1"/>
  <c r="P993" i="1"/>
  <c r="J993" i="1" s="1"/>
  <c r="P994" i="1"/>
  <c r="J994" i="1" s="1"/>
  <c r="P995" i="1"/>
  <c r="J995" i="1" s="1"/>
  <c r="P996" i="1"/>
  <c r="J996" i="1" s="1"/>
  <c r="P997" i="1"/>
  <c r="J997" i="1" s="1"/>
  <c r="P998" i="1"/>
  <c r="P999" i="1"/>
  <c r="J999" i="1" s="1"/>
  <c r="P1000" i="1"/>
  <c r="J1000" i="1" s="1"/>
  <c r="P1001" i="1"/>
  <c r="J1001" i="1" s="1"/>
  <c r="P1002" i="1"/>
  <c r="J1002" i="1" s="1"/>
  <c r="P1003" i="1"/>
  <c r="J1003" i="1" s="1"/>
  <c r="P1004" i="1"/>
  <c r="J1004" i="1" s="1"/>
  <c r="P1005" i="1"/>
  <c r="J1005" i="1" s="1"/>
  <c r="P1006" i="1"/>
  <c r="J1006" i="1" s="1"/>
  <c r="P1007" i="1"/>
  <c r="J1007" i="1" s="1"/>
  <c r="P1008" i="1"/>
  <c r="J1008" i="1" s="1"/>
  <c r="P1009" i="1"/>
  <c r="J1009" i="1" s="1"/>
  <c r="P1010" i="1"/>
  <c r="J1010" i="1" s="1"/>
  <c r="P1011" i="1"/>
  <c r="J1011" i="1" s="1"/>
  <c r="P1012" i="1"/>
  <c r="J1012" i="1" s="1"/>
  <c r="P1013" i="1"/>
  <c r="J1013" i="1" s="1"/>
  <c r="P1014" i="1"/>
  <c r="J1014" i="1" s="1"/>
  <c r="P1015" i="1"/>
  <c r="J1015" i="1" s="1"/>
  <c r="P1016" i="1"/>
  <c r="J1016" i="1" s="1"/>
  <c r="P1017" i="1"/>
  <c r="J1017" i="1" s="1"/>
  <c r="P1018" i="1"/>
  <c r="J1018" i="1" s="1"/>
  <c r="P1019" i="1"/>
  <c r="J1019" i="1" s="1"/>
  <c r="P1020" i="1"/>
  <c r="J1020" i="1" s="1"/>
  <c r="P1021" i="1"/>
  <c r="J1021" i="1" s="1"/>
  <c r="P1022" i="1"/>
  <c r="J1022" i="1" s="1"/>
  <c r="P1023" i="1"/>
  <c r="J1023" i="1" s="1"/>
  <c r="P1024" i="1"/>
  <c r="J1024" i="1" s="1"/>
  <c r="P1025" i="1"/>
  <c r="J1025" i="1" s="1"/>
  <c r="P1026" i="1"/>
  <c r="J1026" i="1" s="1"/>
  <c r="P1027" i="1"/>
  <c r="J1027" i="1" s="1"/>
  <c r="P1028" i="1"/>
  <c r="J1028" i="1" s="1"/>
  <c r="P1029" i="1"/>
  <c r="J1029" i="1" s="1"/>
  <c r="P1030" i="1"/>
  <c r="J1030" i="1" s="1"/>
  <c r="P1031" i="1"/>
  <c r="J1031" i="1" s="1"/>
  <c r="P1032" i="1"/>
  <c r="J1032" i="1" s="1"/>
  <c r="P1033" i="1"/>
  <c r="J1033" i="1" s="1"/>
  <c r="P1034" i="1"/>
  <c r="P1035" i="1"/>
  <c r="J1035" i="1" s="1"/>
  <c r="P1036" i="1"/>
  <c r="J1036" i="1" s="1"/>
  <c r="P1037" i="1"/>
  <c r="P1038" i="1"/>
  <c r="J1038" i="1" s="1"/>
  <c r="P1039" i="1"/>
  <c r="J1039" i="1" s="1"/>
  <c r="P1040" i="1"/>
  <c r="J1040" i="1" s="1"/>
  <c r="P1041" i="1"/>
  <c r="J1041" i="1" s="1"/>
  <c r="P1042" i="1"/>
  <c r="J1042" i="1" s="1"/>
  <c r="P1043" i="1"/>
  <c r="J1043" i="1" s="1"/>
  <c r="P1044" i="1"/>
  <c r="J1044" i="1" s="1"/>
  <c r="P1045" i="1"/>
  <c r="J1045" i="1" s="1"/>
  <c r="P1046" i="1"/>
  <c r="J1046" i="1" s="1"/>
  <c r="P1047" i="1"/>
  <c r="J1047" i="1" s="1"/>
  <c r="P1048" i="1"/>
  <c r="J1048" i="1" s="1"/>
  <c r="P1049" i="1"/>
  <c r="J1049" i="1" s="1"/>
  <c r="P1050" i="1"/>
  <c r="J1050" i="1" s="1"/>
  <c r="P1051" i="1"/>
  <c r="J1051" i="1" s="1"/>
  <c r="P1052" i="1"/>
  <c r="J1052" i="1" s="1"/>
  <c r="P1053" i="1"/>
  <c r="J1053" i="1" s="1"/>
  <c r="P1054" i="1"/>
  <c r="J1054" i="1" s="1"/>
  <c r="P1055" i="1"/>
  <c r="J1055" i="1" s="1"/>
  <c r="P1056" i="1"/>
  <c r="J1056" i="1" s="1"/>
  <c r="P1057" i="1"/>
  <c r="P1058" i="1"/>
  <c r="J1058" i="1" s="1"/>
  <c r="P1059" i="1"/>
  <c r="J1059" i="1" s="1"/>
  <c r="P1060" i="1"/>
  <c r="J1060" i="1" s="1"/>
  <c r="P1061" i="1"/>
  <c r="J1061" i="1" s="1"/>
  <c r="P1062" i="1"/>
  <c r="J1062" i="1" s="1"/>
  <c r="P1063" i="1"/>
  <c r="J1063" i="1" s="1"/>
  <c r="P1064" i="1"/>
  <c r="J1064" i="1" s="1"/>
  <c r="P1065" i="1"/>
  <c r="J1065" i="1" s="1"/>
  <c r="P1066" i="1"/>
  <c r="J1066" i="1" s="1"/>
  <c r="P1067" i="1"/>
  <c r="J1067" i="1" s="1"/>
  <c r="P1068" i="1"/>
  <c r="J1068" i="1" s="1"/>
  <c r="P1069" i="1"/>
  <c r="J1069" i="1" s="1"/>
  <c r="P1070" i="1"/>
  <c r="J1070" i="1" s="1"/>
  <c r="P1071" i="1"/>
  <c r="J1071" i="1" s="1"/>
  <c r="P1072" i="1"/>
  <c r="J1072" i="1" s="1"/>
  <c r="P1073" i="1"/>
  <c r="J1073" i="1" s="1"/>
  <c r="P1074" i="1"/>
  <c r="J1074" i="1" s="1"/>
  <c r="P1075" i="1"/>
  <c r="J1075" i="1" s="1"/>
  <c r="P1076" i="1"/>
  <c r="J1076" i="1" s="1"/>
  <c r="P1077" i="1"/>
  <c r="J1077" i="1" s="1"/>
  <c r="P1078" i="1"/>
  <c r="J1078" i="1" s="1"/>
  <c r="P1079" i="1"/>
  <c r="J1079" i="1" s="1"/>
  <c r="P1080" i="1"/>
  <c r="J1080" i="1" s="1"/>
  <c r="P1081" i="1"/>
  <c r="J1081" i="1" s="1"/>
  <c r="P1082" i="1"/>
  <c r="J1082" i="1" s="1"/>
  <c r="P1083" i="1"/>
  <c r="J1083" i="1" s="1"/>
  <c r="P1084" i="1"/>
  <c r="J1084" i="1" s="1"/>
  <c r="P1085" i="1"/>
  <c r="J1085" i="1" s="1"/>
  <c r="P1086" i="1"/>
  <c r="J1086" i="1" s="1"/>
  <c r="P1087" i="1"/>
  <c r="J1087" i="1" s="1"/>
  <c r="P1088" i="1"/>
  <c r="J1088" i="1" s="1"/>
  <c r="P1089" i="1"/>
  <c r="J1089" i="1" s="1"/>
  <c r="P1090" i="1"/>
  <c r="J1090" i="1" s="1"/>
  <c r="P1091" i="1"/>
  <c r="J1091" i="1" s="1"/>
  <c r="P1092" i="1"/>
  <c r="J1092" i="1" s="1"/>
  <c r="P1093" i="1"/>
  <c r="J1093" i="1" s="1"/>
  <c r="P1094" i="1"/>
  <c r="J1094" i="1" s="1"/>
  <c r="P1095" i="1"/>
  <c r="J1095" i="1" s="1"/>
  <c r="P1096" i="1"/>
  <c r="J1096" i="1" s="1"/>
  <c r="P1097" i="1"/>
  <c r="J1097" i="1" s="1"/>
  <c r="P1098" i="1"/>
  <c r="J1098" i="1" s="1"/>
  <c r="P1099" i="1"/>
  <c r="P1100" i="1"/>
  <c r="J1100" i="1" s="1"/>
  <c r="P1101" i="1"/>
  <c r="J1101" i="1" s="1"/>
  <c r="P1102" i="1"/>
  <c r="J1102" i="1" s="1"/>
  <c r="P1103" i="1"/>
  <c r="J1103" i="1" s="1"/>
  <c r="P1104" i="1"/>
  <c r="J1104" i="1" s="1"/>
  <c r="P1105" i="1"/>
  <c r="J1105" i="1" s="1"/>
  <c r="P1106" i="1"/>
  <c r="J1106" i="1" s="1"/>
  <c r="P1107" i="1"/>
  <c r="J1107" i="1" s="1"/>
  <c r="P1108" i="1"/>
  <c r="J1108" i="1" s="1"/>
  <c r="P1109" i="1"/>
  <c r="J1109" i="1" s="1"/>
  <c r="P1110" i="1"/>
  <c r="J1110" i="1" s="1"/>
  <c r="P1111" i="1"/>
  <c r="J1111" i="1" s="1"/>
  <c r="P1112" i="1"/>
  <c r="P1113" i="1"/>
  <c r="J1113" i="1" s="1"/>
  <c r="P1114" i="1"/>
  <c r="J1114" i="1" s="1"/>
  <c r="P1115" i="1"/>
  <c r="J1115" i="1" s="1"/>
  <c r="P1116" i="1"/>
  <c r="J1116" i="1" s="1"/>
  <c r="P1117" i="1"/>
  <c r="J1117" i="1" s="1"/>
  <c r="P1118" i="1"/>
  <c r="J1118" i="1" s="1"/>
  <c r="P1119" i="1"/>
  <c r="J1119" i="1" s="1"/>
  <c r="P1120" i="1"/>
  <c r="J1120" i="1" s="1"/>
  <c r="P1121" i="1"/>
  <c r="J1121" i="1" s="1"/>
  <c r="P1122" i="1"/>
  <c r="J1122" i="1" s="1"/>
  <c r="P1123" i="1"/>
  <c r="J1123" i="1" s="1"/>
  <c r="P1124" i="1"/>
  <c r="J1124" i="1" s="1"/>
  <c r="P1125" i="1"/>
  <c r="J1125" i="1" s="1"/>
  <c r="P1126" i="1"/>
  <c r="J1126" i="1" s="1"/>
  <c r="P1127" i="1"/>
  <c r="J1127" i="1" s="1"/>
  <c r="P1128" i="1"/>
  <c r="J1128" i="1" s="1"/>
  <c r="P1129" i="1"/>
  <c r="J1129" i="1" s="1"/>
  <c r="P1130" i="1"/>
  <c r="J1130" i="1" s="1"/>
  <c r="P1131" i="1"/>
  <c r="J1131" i="1" s="1"/>
  <c r="P1132" i="1"/>
  <c r="J1132" i="1" s="1"/>
  <c r="P1133" i="1"/>
  <c r="P1134" i="1"/>
  <c r="J1134" i="1" s="1"/>
  <c r="P1135" i="1"/>
  <c r="J1135" i="1" s="1"/>
  <c r="P1136" i="1"/>
  <c r="J1136" i="1" s="1"/>
  <c r="P1137" i="1"/>
  <c r="J1137" i="1" s="1"/>
  <c r="P1138" i="1"/>
  <c r="J1138" i="1" s="1"/>
  <c r="P1139" i="1"/>
  <c r="J1139" i="1" s="1"/>
  <c r="P1140" i="1"/>
  <c r="J1140" i="1" s="1"/>
  <c r="P1141" i="1"/>
  <c r="P1142" i="1"/>
  <c r="P1143" i="1"/>
  <c r="J1143" i="1" s="1"/>
  <c r="P1144" i="1"/>
  <c r="J1144" i="1" s="1"/>
  <c r="P1145" i="1"/>
  <c r="J1145" i="1" s="1"/>
  <c r="P1146" i="1"/>
  <c r="P1147" i="1"/>
  <c r="J1147" i="1" s="1"/>
  <c r="P1148" i="1"/>
  <c r="J1148" i="1" s="1"/>
  <c r="P1149" i="1"/>
  <c r="J1149" i="1" s="1"/>
  <c r="P1150" i="1"/>
  <c r="J1150" i="1" s="1"/>
  <c r="P1151" i="1"/>
  <c r="J1151" i="1" s="1"/>
  <c r="P1152" i="1"/>
  <c r="J1152" i="1" s="1"/>
  <c r="P1153" i="1"/>
  <c r="J1153" i="1" s="1"/>
  <c r="P1154" i="1"/>
  <c r="J1154" i="1" s="1"/>
  <c r="P1155" i="1"/>
  <c r="J1155" i="1" s="1"/>
  <c r="P1156" i="1"/>
  <c r="J1156" i="1" s="1"/>
  <c r="P1157" i="1"/>
  <c r="J1157" i="1" s="1"/>
  <c r="P1158" i="1"/>
  <c r="J1158" i="1" s="1"/>
  <c r="P1159" i="1"/>
  <c r="J1159" i="1" s="1"/>
  <c r="P1160" i="1"/>
  <c r="J1160" i="1" s="1"/>
  <c r="P1161" i="1"/>
  <c r="J1161" i="1" s="1"/>
  <c r="P1162" i="1"/>
  <c r="J1162" i="1" s="1"/>
  <c r="P1163" i="1"/>
  <c r="J1163" i="1" s="1"/>
  <c r="P1164" i="1"/>
  <c r="J1164" i="1" s="1"/>
  <c r="P1165" i="1"/>
  <c r="J1165" i="1" s="1"/>
  <c r="P1166" i="1"/>
  <c r="J1166" i="1" s="1"/>
  <c r="P1167" i="1"/>
  <c r="J1167" i="1" s="1"/>
  <c r="P1168" i="1"/>
  <c r="J1168" i="1" s="1"/>
  <c r="P1169" i="1"/>
  <c r="P1170" i="1"/>
  <c r="J1170" i="1" s="1"/>
  <c r="P1171" i="1"/>
  <c r="P1172" i="1"/>
  <c r="P1173" i="1"/>
  <c r="J1173" i="1" s="1"/>
  <c r="P1174" i="1"/>
  <c r="J1174" i="1" s="1"/>
  <c r="P1175" i="1"/>
  <c r="J1175" i="1" s="1"/>
  <c r="P1176" i="1"/>
  <c r="J1176" i="1" s="1"/>
  <c r="P1177" i="1"/>
  <c r="J1177" i="1" s="1"/>
  <c r="P1178" i="1"/>
  <c r="J1178" i="1" s="1"/>
  <c r="P1179" i="1"/>
  <c r="J1179" i="1" s="1"/>
  <c r="P1180" i="1"/>
  <c r="J1180" i="1" s="1"/>
  <c r="P1181" i="1"/>
  <c r="P1182" i="1"/>
  <c r="J1182" i="1" s="1"/>
  <c r="P1183" i="1"/>
  <c r="J1183" i="1" s="1"/>
  <c r="P1184" i="1"/>
  <c r="J1184" i="1" s="1"/>
  <c r="P1185" i="1"/>
  <c r="J1185" i="1" s="1"/>
  <c r="P1186" i="1"/>
  <c r="J1186" i="1" s="1"/>
  <c r="P1187" i="1"/>
  <c r="J1187" i="1" s="1"/>
  <c r="P1188" i="1"/>
  <c r="J1188" i="1" s="1"/>
  <c r="P1189" i="1"/>
  <c r="J1189" i="1" s="1"/>
  <c r="P1190" i="1"/>
  <c r="J1190" i="1" s="1"/>
  <c r="P1191" i="1"/>
  <c r="J1191" i="1" s="1"/>
  <c r="P1192" i="1"/>
  <c r="J1192" i="1" s="1"/>
  <c r="P1193" i="1"/>
  <c r="J1193" i="1" s="1"/>
  <c r="P1194" i="1"/>
  <c r="J1194" i="1" s="1"/>
  <c r="P1195" i="1"/>
  <c r="J1195" i="1" s="1"/>
  <c r="P1196" i="1"/>
  <c r="P1197" i="1"/>
  <c r="J1197" i="1" s="1"/>
  <c r="P1198" i="1"/>
  <c r="J1198" i="1" s="1"/>
  <c r="P1199" i="1"/>
  <c r="J1199" i="1" s="1"/>
  <c r="P1200" i="1"/>
  <c r="J1200" i="1" s="1"/>
  <c r="P1201" i="1"/>
  <c r="J1201" i="1" s="1"/>
  <c r="P1202" i="1"/>
  <c r="P1203" i="1"/>
  <c r="J1203" i="1" s="1"/>
  <c r="P1204" i="1"/>
  <c r="J1204" i="1" s="1"/>
  <c r="P1205" i="1"/>
  <c r="J1205" i="1" s="1"/>
  <c r="P1206" i="1"/>
  <c r="J1206" i="1" s="1"/>
  <c r="P1207" i="1"/>
  <c r="J1207" i="1" s="1"/>
  <c r="P1208" i="1"/>
  <c r="J1208" i="1" s="1"/>
  <c r="P1209" i="1"/>
  <c r="J1209" i="1" s="1"/>
  <c r="P1210" i="1"/>
  <c r="J1210" i="1" s="1"/>
  <c r="P1211" i="1"/>
  <c r="J1211" i="1" s="1"/>
  <c r="P1212" i="1"/>
  <c r="J1212" i="1" s="1"/>
  <c r="P1213" i="1"/>
  <c r="J1213" i="1" s="1"/>
  <c r="P1214" i="1"/>
  <c r="J1214" i="1" s="1"/>
  <c r="P1215" i="1"/>
  <c r="J1215" i="1" s="1"/>
  <c r="P1216" i="1"/>
  <c r="J1216" i="1" s="1"/>
  <c r="P1217" i="1"/>
  <c r="J1217" i="1" s="1"/>
  <c r="P1218" i="1"/>
  <c r="J1218" i="1" s="1"/>
  <c r="P1219" i="1"/>
  <c r="J1219" i="1" s="1"/>
  <c r="P1220" i="1"/>
  <c r="J1220" i="1" s="1"/>
  <c r="P1221" i="1"/>
  <c r="J1221" i="1" s="1"/>
  <c r="P1222" i="1"/>
  <c r="J1222" i="1" s="1"/>
  <c r="P1223" i="1"/>
  <c r="J1223" i="1" s="1"/>
  <c r="P1224" i="1"/>
  <c r="J1224" i="1" s="1"/>
  <c r="P1225" i="1"/>
  <c r="J1225" i="1" s="1"/>
  <c r="P1226" i="1"/>
  <c r="J1226" i="1" s="1"/>
  <c r="P1227" i="1"/>
  <c r="J1227" i="1" s="1"/>
  <c r="P1228" i="1"/>
  <c r="J1228" i="1" s="1"/>
  <c r="P1229" i="1"/>
  <c r="J1229" i="1" s="1"/>
  <c r="P1230" i="1"/>
  <c r="J1230" i="1" s="1"/>
  <c r="P1231" i="1"/>
  <c r="J1231" i="1" s="1"/>
  <c r="P1232" i="1"/>
  <c r="J1232" i="1" s="1"/>
  <c r="P1233" i="1"/>
  <c r="J1233" i="1" s="1"/>
  <c r="P1234" i="1"/>
  <c r="J1234" i="1" s="1"/>
  <c r="P1235" i="1"/>
  <c r="J1235" i="1" s="1"/>
  <c r="P1236" i="1"/>
  <c r="J1236" i="1" s="1"/>
  <c r="P1237" i="1"/>
  <c r="J1237" i="1" s="1"/>
  <c r="P1238" i="1"/>
  <c r="J1238" i="1" s="1"/>
  <c r="P1239" i="1"/>
  <c r="J1239" i="1" s="1"/>
  <c r="P1240" i="1"/>
  <c r="J1240" i="1" s="1"/>
  <c r="P1241" i="1"/>
  <c r="J1241" i="1" s="1"/>
  <c r="P1242" i="1"/>
  <c r="J1242" i="1" s="1"/>
  <c r="P1243" i="1"/>
  <c r="J1243" i="1" s="1"/>
  <c r="P1244" i="1"/>
  <c r="J1244" i="1" s="1"/>
  <c r="P1245" i="1"/>
  <c r="P1246" i="1"/>
  <c r="J1246" i="1" s="1"/>
  <c r="P1247" i="1"/>
  <c r="J1247" i="1" s="1"/>
  <c r="P1248" i="1"/>
  <c r="J1248" i="1" s="1"/>
  <c r="P1249" i="1"/>
  <c r="J1249" i="1" s="1"/>
  <c r="P1250" i="1"/>
  <c r="J1250" i="1" s="1"/>
  <c r="P1251" i="1"/>
  <c r="J1251" i="1" s="1"/>
  <c r="P1252" i="1"/>
  <c r="J1252" i="1" s="1"/>
  <c r="P1253" i="1"/>
  <c r="J1253" i="1" s="1"/>
  <c r="P1254" i="1"/>
  <c r="J1254" i="1" s="1"/>
  <c r="P1255" i="1"/>
  <c r="J1255" i="1" s="1"/>
  <c r="P1256" i="1"/>
  <c r="J1256" i="1" s="1"/>
  <c r="P1257" i="1"/>
  <c r="J1257" i="1" s="1"/>
  <c r="P1258" i="1"/>
  <c r="J1258" i="1" s="1"/>
  <c r="P1259" i="1"/>
  <c r="J1259" i="1" s="1"/>
  <c r="P1260" i="1"/>
  <c r="J1260" i="1" s="1"/>
  <c r="P1261" i="1"/>
  <c r="J1261" i="1" s="1"/>
  <c r="P1262" i="1"/>
  <c r="J1262" i="1" s="1"/>
  <c r="P1263" i="1"/>
  <c r="J1263" i="1" s="1"/>
  <c r="P1264" i="1"/>
  <c r="J1264" i="1" s="1"/>
  <c r="P1265" i="1"/>
  <c r="J1265" i="1" s="1"/>
  <c r="P1266" i="1"/>
  <c r="J1266" i="1" s="1"/>
  <c r="P1267" i="1"/>
  <c r="J1267" i="1" s="1"/>
  <c r="P1268" i="1"/>
  <c r="J1268" i="1" s="1"/>
  <c r="P1269" i="1"/>
  <c r="J1269" i="1" s="1"/>
  <c r="P1270" i="1"/>
  <c r="J1270" i="1" s="1"/>
  <c r="P1271" i="1"/>
  <c r="J1271" i="1" s="1"/>
  <c r="P1272" i="1"/>
  <c r="J1272" i="1" s="1"/>
  <c r="P1273" i="1"/>
  <c r="J1273" i="1" s="1"/>
  <c r="P1274" i="1"/>
  <c r="J1274" i="1" s="1"/>
  <c r="P1275" i="1"/>
  <c r="J1275" i="1" s="1"/>
  <c r="P1276" i="1"/>
  <c r="J1276" i="1" s="1"/>
  <c r="P1277" i="1"/>
  <c r="P1278" i="1"/>
  <c r="J1278" i="1" s="1"/>
  <c r="P1279" i="1"/>
  <c r="J1279" i="1" s="1"/>
  <c r="P1280" i="1"/>
  <c r="J1280" i="1" s="1"/>
  <c r="P1281" i="1"/>
  <c r="J1281" i="1" s="1"/>
  <c r="P1282" i="1"/>
  <c r="J1282" i="1" s="1"/>
  <c r="P1283" i="1"/>
  <c r="J1283" i="1" s="1"/>
  <c r="P1284" i="1"/>
  <c r="J1284" i="1" s="1"/>
  <c r="P1285" i="1"/>
  <c r="J1285" i="1" s="1"/>
  <c r="P1286" i="1"/>
  <c r="J1286" i="1" s="1"/>
  <c r="P1287" i="1"/>
  <c r="J1287" i="1" s="1"/>
  <c r="P1288" i="1"/>
  <c r="J1288" i="1" s="1"/>
  <c r="P1289" i="1"/>
  <c r="J1289" i="1" s="1"/>
  <c r="P1290" i="1"/>
  <c r="P1291" i="1"/>
  <c r="J1291" i="1" s="1"/>
  <c r="P1292" i="1"/>
  <c r="J1292" i="1" s="1"/>
  <c r="P1293" i="1"/>
  <c r="J1293" i="1" s="1"/>
  <c r="P1294" i="1"/>
  <c r="J1294" i="1" s="1"/>
  <c r="P1295" i="1"/>
  <c r="J1295" i="1" s="1"/>
  <c r="P1296" i="1"/>
  <c r="J1296" i="1" s="1"/>
  <c r="P1297" i="1"/>
  <c r="J1297" i="1" s="1"/>
  <c r="P1298" i="1"/>
  <c r="J1298" i="1" s="1"/>
  <c r="P1299" i="1"/>
  <c r="J1299" i="1" s="1"/>
  <c r="P1300" i="1"/>
  <c r="P1301" i="1"/>
  <c r="J1301" i="1" s="1"/>
  <c r="P1302" i="1"/>
  <c r="J1302" i="1" s="1"/>
  <c r="P1303" i="1"/>
  <c r="J1303" i="1" s="1"/>
  <c r="P1304" i="1"/>
  <c r="J1304" i="1" s="1"/>
  <c r="P1305" i="1"/>
  <c r="P1306" i="1"/>
  <c r="J1306" i="1" s="1"/>
  <c r="P1307" i="1"/>
  <c r="J1307" i="1" s="1"/>
  <c r="P1308" i="1"/>
  <c r="J1308" i="1" s="1"/>
  <c r="P1309" i="1"/>
  <c r="J1309" i="1" s="1"/>
  <c r="P1310" i="1"/>
  <c r="J1310" i="1" s="1"/>
  <c r="P1311" i="1"/>
  <c r="J1311" i="1" s="1"/>
  <c r="P1312" i="1"/>
  <c r="J1312" i="1" s="1"/>
  <c r="P1313" i="1"/>
  <c r="J1313" i="1" s="1"/>
  <c r="P1314" i="1"/>
  <c r="J1314" i="1" s="1"/>
  <c r="P1315" i="1"/>
  <c r="J1315" i="1" s="1"/>
  <c r="P1316" i="1"/>
  <c r="J1316" i="1" s="1"/>
  <c r="P1317" i="1"/>
  <c r="J1317" i="1" s="1"/>
  <c r="P1318" i="1"/>
  <c r="J1318" i="1" s="1"/>
  <c r="P1319" i="1"/>
  <c r="J1319" i="1" s="1"/>
  <c r="P1320" i="1"/>
  <c r="J1320" i="1" s="1"/>
  <c r="P1321" i="1"/>
  <c r="J1321" i="1" s="1"/>
  <c r="P1322" i="1"/>
  <c r="J1322" i="1" s="1"/>
  <c r="P1323" i="1"/>
  <c r="J1323" i="1" s="1"/>
  <c r="P1324" i="1"/>
  <c r="J1324" i="1" s="1"/>
  <c r="P1325" i="1"/>
  <c r="J1325" i="1" s="1"/>
  <c r="P1326" i="1"/>
  <c r="J1326" i="1" s="1"/>
  <c r="P1327" i="1"/>
  <c r="J1327" i="1" s="1"/>
  <c r="P1328" i="1"/>
  <c r="J1328" i="1" s="1"/>
  <c r="P1329" i="1"/>
  <c r="J1329" i="1" s="1"/>
  <c r="P1330" i="1"/>
  <c r="J1330" i="1" s="1"/>
  <c r="P1331" i="1"/>
  <c r="J1331" i="1" s="1"/>
  <c r="P1332" i="1"/>
  <c r="J1332" i="1" s="1"/>
  <c r="P1333" i="1"/>
  <c r="J1333" i="1" s="1"/>
  <c r="P1334" i="1"/>
  <c r="J1334" i="1" s="1"/>
  <c r="P1335" i="1"/>
  <c r="J1335" i="1" s="1"/>
  <c r="P1336" i="1"/>
  <c r="J1336" i="1" s="1"/>
  <c r="P1337" i="1"/>
  <c r="J1337" i="1" s="1"/>
  <c r="P1338" i="1"/>
  <c r="J1338" i="1" s="1"/>
  <c r="P1339" i="1"/>
  <c r="J1339" i="1" s="1"/>
  <c r="P1340" i="1"/>
  <c r="J1340" i="1" s="1"/>
  <c r="P1341" i="1"/>
  <c r="J1341" i="1" s="1"/>
  <c r="P1342" i="1"/>
  <c r="J1342" i="1" s="1"/>
  <c r="P1343" i="1"/>
  <c r="J1343" i="1" s="1"/>
  <c r="P1344" i="1"/>
  <c r="J1344" i="1" s="1"/>
  <c r="P1345" i="1"/>
  <c r="J1345" i="1" s="1"/>
  <c r="P1346" i="1"/>
  <c r="P1347" i="1"/>
  <c r="P1348" i="1"/>
  <c r="J1348" i="1" s="1"/>
  <c r="P1349" i="1"/>
  <c r="P1350" i="1"/>
  <c r="J1350" i="1" s="1"/>
  <c r="P1351" i="1"/>
  <c r="J1351" i="1" s="1"/>
  <c r="P1352" i="1"/>
  <c r="J1352" i="1" s="1"/>
  <c r="P1353" i="1"/>
  <c r="J1353" i="1" s="1"/>
  <c r="P1354" i="1"/>
  <c r="J1354" i="1" s="1"/>
  <c r="P1355" i="1"/>
  <c r="J1355" i="1" s="1"/>
  <c r="P1356" i="1"/>
  <c r="J1356" i="1" s="1"/>
  <c r="P1357" i="1"/>
  <c r="J1357" i="1" s="1"/>
  <c r="P1358" i="1"/>
  <c r="J1358" i="1" s="1"/>
  <c r="P1359" i="1"/>
  <c r="J1359" i="1" s="1"/>
  <c r="P1360" i="1"/>
  <c r="J1360" i="1" s="1"/>
  <c r="P1361" i="1"/>
  <c r="J1361" i="1" s="1"/>
  <c r="P1362" i="1"/>
  <c r="J1362" i="1" s="1"/>
  <c r="P1363" i="1"/>
  <c r="J1363" i="1" s="1"/>
  <c r="P1364" i="1"/>
  <c r="J1364" i="1" s="1"/>
  <c r="P1365" i="1"/>
  <c r="P1366" i="1"/>
  <c r="J1366" i="1" s="1"/>
  <c r="P1367" i="1"/>
  <c r="J1367" i="1" s="1"/>
  <c r="P1368" i="1"/>
  <c r="J1368" i="1" s="1"/>
  <c r="P1369" i="1"/>
  <c r="J1369" i="1" s="1"/>
  <c r="P1370" i="1"/>
  <c r="J1370" i="1" s="1"/>
  <c r="P1371" i="1"/>
  <c r="J1371" i="1" s="1"/>
  <c r="P1372" i="1"/>
  <c r="J1372" i="1" s="1"/>
  <c r="P1373" i="1"/>
  <c r="J1373" i="1" s="1"/>
  <c r="P1374" i="1"/>
  <c r="J1374" i="1" s="1"/>
  <c r="P1375" i="1"/>
  <c r="J1375" i="1" s="1"/>
  <c r="P1376" i="1"/>
  <c r="J1376" i="1" s="1"/>
  <c r="P1377" i="1"/>
  <c r="J1377" i="1" s="1"/>
  <c r="P1378" i="1"/>
  <c r="J1378" i="1" s="1"/>
  <c r="P1379" i="1"/>
  <c r="J1379" i="1" s="1"/>
  <c r="P1380" i="1"/>
  <c r="J1380" i="1" s="1"/>
  <c r="P1381" i="1"/>
  <c r="J1381" i="1" s="1"/>
  <c r="P1382" i="1"/>
  <c r="J1382" i="1" s="1"/>
  <c r="P1383" i="1"/>
  <c r="J1383" i="1" s="1"/>
  <c r="P1384" i="1"/>
  <c r="J1384" i="1" s="1"/>
  <c r="P1385" i="1"/>
  <c r="J1385" i="1" s="1"/>
  <c r="P1386" i="1"/>
  <c r="J1386" i="1" s="1"/>
  <c r="P1387" i="1"/>
  <c r="J1387" i="1" s="1"/>
  <c r="P1388" i="1"/>
  <c r="J1388" i="1" s="1"/>
  <c r="P1389" i="1"/>
  <c r="J1389" i="1" s="1"/>
  <c r="P1390" i="1"/>
  <c r="J1390" i="1" s="1"/>
  <c r="P1391" i="1"/>
  <c r="J1391" i="1" s="1"/>
  <c r="P1392" i="1"/>
  <c r="J1392" i="1" s="1"/>
  <c r="P1393" i="1"/>
  <c r="J1393" i="1" s="1"/>
  <c r="P1394" i="1"/>
  <c r="J1394" i="1" s="1"/>
  <c r="P1395" i="1"/>
  <c r="J1395" i="1" s="1"/>
  <c r="P1396" i="1"/>
  <c r="J1396" i="1" s="1"/>
  <c r="P1397" i="1"/>
  <c r="J1397" i="1" s="1"/>
  <c r="P1398" i="1"/>
  <c r="J1398" i="1" s="1"/>
  <c r="P1399" i="1"/>
  <c r="J1399" i="1" s="1"/>
  <c r="P1400" i="1"/>
  <c r="J1400" i="1" s="1"/>
  <c r="P1401" i="1"/>
  <c r="P1402" i="1"/>
  <c r="J1402" i="1" s="1"/>
  <c r="P1403" i="1"/>
  <c r="J1403" i="1" s="1"/>
  <c r="P1404" i="1"/>
  <c r="J1404" i="1" s="1"/>
  <c r="P1405" i="1"/>
  <c r="J1405" i="1" s="1"/>
  <c r="P1406" i="1"/>
  <c r="J1406" i="1" s="1"/>
  <c r="P1407" i="1"/>
  <c r="P1408" i="1"/>
  <c r="J1408" i="1" s="1"/>
  <c r="P1409" i="1"/>
  <c r="J1409" i="1" s="1"/>
  <c r="P1410" i="1"/>
  <c r="P1411" i="1"/>
  <c r="J1411" i="1" s="1"/>
  <c r="P1412" i="1"/>
  <c r="J1412" i="1" s="1"/>
  <c r="P1413" i="1"/>
  <c r="J1413" i="1" s="1"/>
  <c r="P1414" i="1"/>
  <c r="J1414" i="1" s="1"/>
  <c r="P1415" i="1"/>
  <c r="J1415" i="1" s="1"/>
  <c r="P1416" i="1"/>
  <c r="J1416" i="1" s="1"/>
  <c r="P1417" i="1"/>
  <c r="J1417" i="1" s="1"/>
  <c r="P1418" i="1"/>
  <c r="P1419" i="1"/>
  <c r="J1419" i="1" s="1"/>
  <c r="P1420" i="1"/>
  <c r="J1420" i="1" s="1"/>
  <c r="P1421" i="1"/>
  <c r="J1421" i="1" s="1"/>
  <c r="P1422" i="1"/>
  <c r="J1422" i="1" s="1"/>
  <c r="P1423" i="1"/>
  <c r="J1423" i="1" s="1"/>
  <c r="P1424" i="1"/>
  <c r="J1424" i="1" s="1"/>
  <c r="P1425" i="1"/>
  <c r="J1425" i="1" s="1"/>
  <c r="P1426" i="1"/>
  <c r="J1426" i="1" s="1"/>
  <c r="P1427" i="1"/>
  <c r="J1427" i="1" s="1"/>
  <c r="P1428" i="1"/>
  <c r="J1428" i="1" s="1"/>
  <c r="P1429" i="1"/>
  <c r="J1429" i="1" s="1"/>
  <c r="P1430" i="1"/>
  <c r="J1430" i="1" s="1"/>
  <c r="P1431" i="1"/>
  <c r="J1431" i="1" s="1"/>
  <c r="P1432" i="1"/>
  <c r="J1432" i="1" s="1"/>
  <c r="P1433" i="1"/>
  <c r="P1434" i="1"/>
  <c r="J1434" i="1" s="1"/>
  <c r="P1435" i="1"/>
  <c r="J1435" i="1" s="1"/>
  <c r="P1436" i="1"/>
  <c r="J1436" i="1" s="1"/>
  <c r="P1437" i="1"/>
  <c r="J1437" i="1" s="1"/>
  <c r="P1438" i="1"/>
  <c r="J1438" i="1" s="1"/>
  <c r="P1439" i="1"/>
  <c r="J1439" i="1" s="1"/>
  <c r="P1440" i="1"/>
  <c r="J1440" i="1" s="1"/>
  <c r="P1441" i="1"/>
  <c r="J1441" i="1" s="1"/>
  <c r="P1442" i="1"/>
  <c r="P1443" i="1"/>
  <c r="J1443" i="1" s="1"/>
  <c r="P1444" i="1"/>
  <c r="J1444" i="1" s="1"/>
  <c r="P1445" i="1"/>
  <c r="J1445" i="1" s="1"/>
  <c r="P1446" i="1"/>
  <c r="J1446" i="1" s="1"/>
  <c r="P1447" i="1"/>
  <c r="J1447" i="1" s="1"/>
  <c r="P1448" i="1"/>
  <c r="J1448" i="1" s="1"/>
  <c r="P1449" i="1"/>
  <c r="J1449" i="1" s="1"/>
  <c r="P1450" i="1"/>
  <c r="J1450" i="1" s="1"/>
  <c r="P1451" i="1"/>
  <c r="J1451" i="1" s="1"/>
  <c r="P1452" i="1"/>
  <c r="J1452" i="1" s="1"/>
  <c r="P1453" i="1"/>
  <c r="J1453" i="1" s="1"/>
  <c r="P1454" i="1"/>
  <c r="J1454" i="1" s="1"/>
  <c r="P1455" i="1"/>
  <c r="J1455" i="1" s="1"/>
  <c r="P1456" i="1"/>
  <c r="J1456" i="1" s="1"/>
  <c r="P1457" i="1"/>
  <c r="J1457" i="1" s="1"/>
  <c r="P1458" i="1"/>
  <c r="J1458" i="1" s="1"/>
  <c r="P1459" i="1"/>
  <c r="J1459" i="1" s="1"/>
  <c r="P1460" i="1"/>
  <c r="J1460" i="1" s="1"/>
  <c r="P1461" i="1"/>
  <c r="J1461" i="1" s="1"/>
  <c r="P1462" i="1"/>
  <c r="J1462" i="1" s="1"/>
  <c r="P1463" i="1"/>
  <c r="J1463" i="1" s="1"/>
  <c r="P1464" i="1"/>
  <c r="J1464" i="1" s="1"/>
  <c r="P1465" i="1"/>
  <c r="J1465" i="1" s="1"/>
  <c r="P1466" i="1"/>
  <c r="J1466" i="1" s="1"/>
  <c r="P1467" i="1"/>
  <c r="J1467" i="1" s="1"/>
  <c r="P1468" i="1"/>
  <c r="J1468" i="1" s="1"/>
  <c r="P1469" i="1"/>
  <c r="P1470" i="1"/>
  <c r="J1470" i="1" s="1"/>
  <c r="P1471" i="1"/>
  <c r="J1471" i="1" s="1"/>
  <c r="P1472" i="1"/>
  <c r="J1472" i="1" s="1"/>
  <c r="P1473" i="1"/>
  <c r="J1473" i="1" s="1"/>
  <c r="P1474" i="1"/>
  <c r="P1475" i="1"/>
  <c r="J1475" i="1" s="1"/>
  <c r="P1476" i="1"/>
  <c r="J1476" i="1" s="1"/>
  <c r="P1477" i="1"/>
  <c r="J1477" i="1" s="1"/>
  <c r="P1478" i="1"/>
  <c r="P1479" i="1"/>
  <c r="J1479" i="1" s="1"/>
  <c r="P1480" i="1"/>
  <c r="J1480" i="1" s="1"/>
  <c r="P1481" i="1"/>
  <c r="J1481" i="1" s="1"/>
  <c r="P1482" i="1"/>
  <c r="J1482" i="1" s="1"/>
  <c r="P1483" i="1"/>
  <c r="J1483" i="1" s="1"/>
  <c r="P1484" i="1"/>
  <c r="J1484" i="1" s="1"/>
  <c r="P1485" i="1"/>
  <c r="J1485" i="1" s="1"/>
  <c r="P1486" i="1"/>
  <c r="J1486" i="1" s="1"/>
  <c r="P1487" i="1"/>
  <c r="J1487" i="1" s="1"/>
  <c r="P1488" i="1"/>
  <c r="J1488" i="1" s="1"/>
  <c r="P1489" i="1"/>
  <c r="J1489" i="1" s="1"/>
  <c r="P1490" i="1"/>
  <c r="J1490" i="1" s="1"/>
  <c r="P1491" i="1"/>
  <c r="J1491" i="1" s="1"/>
  <c r="P1492" i="1"/>
  <c r="J1492" i="1" s="1"/>
  <c r="P1493" i="1"/>
  <c r="J1493" i="1" s="1"/>
  <c r="P1494" i="1"/>
  <c r="J1494" i="1" s="1"/>
  <c r="P1495" i="1"/>
  <c r="J1495" i="1" s="1"/>
  <c r="P1496" i="1"/>
  <c r="J1496" i="1" s="1"/>
  <c r="P1497" i="1"/>
  <c r="J1497" i="1" s="1"/>
  <c r="P1498" i="1"/>
  <c r="J1498" i="1" s="1"/>
  <c r="P1499" i="1"/>
  <c r="J1499" i="1" s="1"/>
  <c r="P1500" i="1"/>
  <c r="J1500" i="1" s="1"/>
  <c r="P1501" i="1"/>
  <c r="P1502" i="1"/>
  <c r="P1503" i="1"/>
  <c r="J1503" i="1" s="1"/>
  <c r="P1504" i="1"/>
  <c r="J1504" i="1" s="1"/>
  <c r="P1505" i="1"/>
  <c r="J1505" i="1" s="1"/>
  <c r="P1506" i="1"/>
  <c r="J1506" i="1" s="1"/>
  <c r="P1507" i="1"/>
  <c r="J1507" i="1" s="1"/>
  <c r="P1508" i="1"/>
  <c r="J1508" i="1" s="1"/>
  <c r="P1509" i="1"/>
  <c r="J1509" i="1" s="1"/>
  <c r="P1510" i="1"/>
  <c r="J1510" i="1" s="1"/>
  <c r="P1511" i="1"/>
  <c r="J1511" i="1" s="1"/>
  <c r="P1512" i="1"/>
  <c r="J1512" i="1" s="1"/>
  <c r="P1513" i="1"/>
  <c r="J1513" i="1" s="1"/>
  <c r="P1514" i="1"/>
  <c r="J1514" i="1" s="1"/>
  <c r="P1515" i="1"/>
  <c r="J1515" i="1" s="1"/>
  <c r="P1516" i="1"/>
  <c r="J1516" i="1" s="1"/>
  <c r="P1517" i="1"/>
  <c r="J1517" i="1" s="1"/>
  <c r="P1518" i="1"/>
  <c r="J1518" i="1" s="1"/>
  <c r="P1519" i="1"/>
  <c r="J1519" i="1" s="1"/>
  <c r="P1520" i="1"/>
  <c r="J1520" i="1" s="1"/>
  <c r="P1521" i="1"/>
  <c r="J1521" i="1" s="1"/>
  <c r="P1522" i="1"/>
  <c r="J1522" i="1" s="1"/>
  <c r="P1523" i="1"/>
  <c r="J1523" i="1" s="1"/>
  <c r="P1524" i="1"/>
  <c r="J1524" i="1" s="1"/>
  <c r="P1525" i="1"/>
  <c r="P1526" i="1"/>
  <c r="P1527" i="1"/>
  <c r="J1527" i="1" s="1"/>
  <c r="P1528" i="1"/>
  <c r="J1528" i="1" s="1"/>
  <c r="P1529" i="1"/>
  <c r="P1530" i="1"/>
  <c r="J1530" i="1" s="1"/>
  <c r="P1531" i="1"/>
  <c r="J1531" i="1" s="1"/>
  <c r="P1532" i="1"/>
  <c r="J1532" i="1" s="1"/>
  <c r="P1533" i="1"/>
  <c r="J1533" i="1" s="1"/>
  <c r="P1534" i="1"/>
  <c r="J1534" i="1" s="1"/>
  <c r="P1535" i="1"/>
  <c r="J1535" i="1" s="1"/>
  <c r="P1536" i="1"/>
  <c r="J1536" i="1" s="1"/>
  <c r="P1537" i="1"/>
  <c r="J1537" i="1" s="1"/>
  <c r="P1538" i="1"/>
  <c r="J1538" i="1" s="1"/>
  <c r="P1539" i="1"/>
  <c r="J1539" i="1" s="1"/>
  <c r="P1540" i="1"/>
  <c r="J1540" i="1" s="1"/>
  <c r="P1541" i="1"/>
  <c r="J1541" i="1" s="1"/>
  <c r="P1542" i="1"/>
  <c r="J1542" i="1" s="1"/>
  <c r="P1543" i="1"/>
  <c r="J1543" i="1" s="1"/>
  <c r="P1544" i="1"/>
  <c r="J1544" i="1" s="1"/>
  <c r="P1545" i="1"/>
  <c r="J1545" i="1" s="1"/>
  <c r="P1546" i="1"/>
  <c r="J1546" i="1" s="1"/>
  <c r="P1547" i="1"/>
  <c r="J1547" i="1" s="1"/>
  <c r="P1548" i="1"/>
  <c r="J1548" i="1" s="1"/>
  <c r="P1549" i="1"/>
  <c r="J1549" i="1" s="1"/>
  <c r="P1550" i="1"/>
  <c r="J1550" i="1" s="1"/>
  <c r="P1551" i="1"/>
  <c r="P1552" i="1"/>
  <c r="J1552" i="1" s="1"/>
  <c r="P1553" i="1"/>
  <c r="J1553" i="1" s="1"/>
  <c r="P1554" i="1"/>
  <c r="J1554" i="1" s="1"/>
  <c r="P1555" i="1"/>
  <c r="J1555" i="1" s="1"/>
  <c r="P1556" i="1"/>
  <c r="J1556" i="1" s="1"/>
  <c r="P1557" i="1"/>
  <c r="J1557" i="1" s="1"/>
  <c r="P1558" i="1"/>
  <c r="J1558" i="1" s="1"/>
  <c r="P1559" i="1"/>
  <c r="J1559" i="1" s="1"/>
  <c r="P1560" i="1"/>
  <c r="J1560" i="1" s="1"/>
  <c r="P1561" i="1"/>
  <c r="J1561" i="1" s="1"/>
  <c r="P1562" i="1"/>
  <c r="J1562" i="1" s="1"/>
  <c r="P1563" i="1"/>
  <c r="J1563" i="1" s="1"/>
  <c r="P1564" i="1"/>
  <c r="J1564" i="1" s="1"/>
  <c r="P1565" i="1"/>
  <c r="J1565" i="1" s="1"/>
  <c r="P1566" i="1"/>
  <c r="J1566" i="1" s="1"/>
  <c r="P1567" i="1"/>
  <c r="J1567" i="1" s="1"/>
  <c r="P1568" i="1"/>
  <c r="J1568" i="1" s="1"/>
  <c r="P1569" i="1"/>
  <c r="J1569" i="1" s="1"/>
  <c r="P1570" i="1"/>
  <c r="J1570" i="1" s="1"/>
  <c r="P1571" i="1"/>
  <c r="J1571" i="1" s="1"/>
  <c r="P1572" i="1"/>
  <c r="J1572" i="1" s="1"/>
  <c r="P1573" i="1"/>
  <c r="J1573" i="1" s="1"/>
  <c r="P1574" i="1"/>
  <c r="J1574" i="1" s="1"/>
  <c r="P1575" i="1"/>
  <c r="J1575" i="1" s="1"/>
  <c r="P1576" i="1"/>
  <c r="J1576" i="1" s="1"/>
  <c r="P1577" i="1"/>
  <c r="J1577" i="1" s="1"/>
  <c r="P1578" i="1"/>
  <c r="J1578" i="1" s="1"/>
  <c r="P1579" i="1"/>
  <c r="J1579" i="1" s="1"/>
  <c r="P1580" i="1"/>
  <c r="J1580" i="1" s="1"/>
  <c r="P1581" i="1"/>
  <c r="J1581" i="1" s="1"/>
  <c r="P1582" i="1"/>
  <c r="J1582" i="1" s="1"/>
  <c r="P1583" i="1"/>
  <c r="J1583" i="1" s="1"/>
  <c r="P1584" i="1"/>
  <c r="J1584" i="1" s="1"/>
  <c r="P1585" i="1"/>
  <c r="J1585" i="1" s="1"/>
  <c r="P1586" i="1"/>
  <c r="J1586" i="1" s="1"/>
  <c r="P1587" i="1"/>
  <c r="J1587" i="1" s="1"/>
  <c r="P1588" i="1"/>
  <c r="J1588" i="1" s="1"/>
  <c r="P1589" i="1"/>
  <c r="P1590" i="1"/>
  <c r="J1590" i="1" s="1"/>
  <c r="P1591" i="1"/>
  <c r="J1591" i="1" s="1"/>
  <c r="P1592" i="1"/>
  <c r="J1592" i="1" s="1"/>
  <c r="P1593" i="1"/>
  <c r="J1593" i="1" s="1"/>
  <c r="P1594" i="1"/>
  <c r="J1594" i="1" s="1"/>
  <c r="P1595" i="1"/>
  <c r="J1595" i="1" s="1"/>
  <c r="P1596" i="1"/>
  <c r="J1596" i="1" s="1"/>
  <c r="P1597" i="1"/>
  <c r="P1598" i="1"/>
  <c r="J1598" i="1" s="1"/>
  <c r="P1599" i="1"/>
  <c r="J1599" i="1" s="1"/>
  <c r="P1600" i="1"/>
  <c r="P1601" i="1"/>
  <c r="J1601" i="1" s="1"/>
  <c r="P1602" i="1"/>
  <c r="J1602" i="1" s="1"/>
  <c r="P1603" i="1"/>
  <c r="J1603" i="1" s="1"/>
  <c r="P1604" i="1"/>
  <c r="J1604" i="1" s="1"/>
  <c r="P1605" i="1"/>
  <c r="J1605" i="1" s="1"/>
  <c r="P1606" i="1"/>
  <c r="J1606" i="1" s="1"/>
  <c r="P1607" i="1"/>
  <c r="J1607" i="1" s="1"/>
  <c r="P1608" i="1"/>
  <c r="J1608" i="1" s="1"/>
  <c r="P1609" i="1"/>
  <c r="J1609" i="1" s="1"/>
  <c r="P1610" i="1"/>
  <c r="J1610" i="1" s="1"/>
  <c r="P1611" i="1"/>
  <c r="J1611" i="1" s="1"/>
  <c r="P1612" i="1"/>
  <c r="J1612" i="1" s="1"/>
  <c r="P1613" i="1"/>
  <c r="J1613" i="1" s="1"/>
  <c r="P1614" i="1"/>
  <c r="J1614" i="1" s="1"/>
  <c r="P1615" i="1"/>
  <c r="J1615" i="1" s="1"/>
  <c r="P1616" i="1"/>
  <c r="J1616" i="1" s="1"/>
  <c r="P1617" i="1"/>
  <c r="J1617" i="1" s="1"/>
  <c r="P1618" i="1"/>
  <c r="J1618" i="1" s="1"/>
  <c r="P1619" i="1"/>
  <c r="J1619" i="1" s="1"/>
  <c r="P1620" i="1"/>
  <c r="J1620" i="1" s="1"/>
  <c r="P1621" i="1"/>
  <c r="J1621" i="1" s="1"/>
  <c r="P1622" i="1"/>
  <c r="J1622" i="1" s="1"/>
  <c r="P1623" i="1"/>
  <c r="J1623" i="1" s="1"/>
  <c r="P1624" i="1"/>
  <c r="J1624" i="1" s="1"/>
  <c r="P1625" i="1"/>
  <c r="J1625" i="1" s="1"/>
  <c r="P1626" i="1"/>
  <c r="J1626" i="1" s="1"/>
  <c r="P1627" i="1"/>
  <c r="J1627" i="1" s="1"/>
  <c r="P1628" i="1"/>
  <c r="J1628" i="1" s="1"/>
  <c r="P1629" i="1"/>
  <c r="P1630" i="1"/>
  <c r="J1630" i="1" s="1"/>
  <c r="P1631" i="1"/>
  <c r="J1631" i="1" s="1"/>
  <c r="P1632" i="1"/>
  <c r="J1632" i="1" s="1"/>
  <c r="P1633" i="1"/>
  <c r="J1633" i="1" s="1"/>
  <c r="P1634" i="1"/>
  <c r="J1634" i="1" s="1"/>
  <c r="P1635" i="1"/>
  <c r="J1635" i="1" s="1"/>
  <c r="P1636" i="1"/>
  <c r="J1636" i="1" s="1"/>
  <c r="P1637" i="1"/>
  <c r="J1637" i="1" s="1"/>
  <c r="P1638" i="1"/>
  <c r="J1638" i="1" s="1"/>
  <c r="P1639" i="1"/>
  <c r="J1639" i="1" s="1"/>
  <c r="P1640" i="1"/>
  <c r="J1640" i="1" s="1"/>
  <c r="P1641" i="1"/>
  <c r="J1641" i="1" s="1"/>
  <c r="P1642" i="1"/>
  <c r="J1642" i="1" s="1"/>
  <c r="P1643" i="1"/>
  <c r="J1643" i="1" s="1"/>
  <c r="P1644" i="1"/>
  <c r="J1644" i="1" s="1"/>
  <c r="P1645" i="1"/>
  <c r="P1646" i="1"/>
  <c r="P1647" i="1"/>
  <c r="J1647" i="1" s="1"/>
  <c r="P1648" i="1"/>
  <c r="J1648" i="1" s="1"/>
  <c r="P1649" i="1"/>
  <c r="J1649" i="1" s="1"/>
  <c r="P1650" i="1"/>
  <c r="P1651" i="1"/>
  <c r="J1651" i="1" s="1"/>
  <c r="P1652" i="1"/>
  <c r="J1652" i="1" s="1"/>
  <c r="P1653" i="1"/>
  <c r="J1653" i="1" s="1"/>
  <c r="P1654" i="1"/>
  <c r="J1654" i="1" s="1"/>
  <c r="P1655" i="1"/>
  <c r="J1655" i="1" s="1"/>
  <c r="P1656" i="1"/>
  <c r="J1656" i="1" s="1"/>
  <c r="P1657" i="1"/>
  <c r="J1657" i="1" s="1"/>
  <c r="P1658" i="1"/>
  <c r="J1658" i="1" s="1"/>
  <c r="P1659" i="1"/>
  <c r="J1659" i="1" s="1"/>
  <c r="P1660" i="1"/>
  <c r="J1660" i="1" s="1"/>
  <c r="P1661" i="1"/>
  <c r="P1662" i="1"/>
  <c r="J1662" i="1" s="1"/>
  <c r="P1663" i="1"/>
  <c r="J1663" i="1" s="1"/>
  <c r="P1664" i="1"/>
  <c r="J1664" i="1" s="1"/>
  <c r="P1665" i="1"/>
  <c r="J1665" i="1" s="1"/>
  <c r="P1666" i="1"/>
  <c r="J1666" i="1" s="1"/>
  <c r="P1667" i="1"/>
  <c r="J1667" i="1" s="1"/>
  <c r="P1668" i="1"/>
  <c r="J1668" i="1" s="1"/>
  <c r="P1669" i="1"/>
  <c r="J1669" i="1" s="1"/>
  <c r="P1670" i="1"/>
  <c r="J1670" i="1" s="1"/>
  <c r="P1671" i="1"/>
  <c r="J1671" i="1" s="1"/>
  <c r="P1672" i="1"/>
  <c r="J1672" i="1" s="1"/>
  <c r="P1673" i="1"/>
  <c r="J1673" i="1" s="1"/>
  <c r="P1674" i="1"/>
  <c r="J1674" i="1" s="1"/>
  <c r="P1675" i="1"/>
  <c r="J1675" i="1" s="1"/>
  <c r="P1676" i="1"/>
  <c r="J1676" i="1" s="1"/>
  <c r="P1677" i="1"/>
  <c r="J1677" i="1" s="1"/>
  <c r="P1678" i="1"/>
  <c r="J1678" i="1" s="1"/>
  <c r="P1679" i="1"/>
  <c r="J1679" i="1" s="1"/>
  <c r="P1680" i="1"/>
  <c r="J1680" i="1" s="1"/>
  <c r="P1681" i="1"/>
  <c r="J1681" i="1" s="1"/>
  <c r="P1682" i="1"/>
  <c r="J1682" i="1" s="1"/>
  <c r="P1683" i="1"/>
  <c r="J1683" i="1" s="1"/>
  <c r="P1684" i="1"/>
  <c r="J1684" i="1" s="1"/>
  <c r="P1685" i="1"/>
  <c r="J1685" i="1" s="1"/>
  <c r="P1686" i="1"/>
  <c r="J1686" i="1" s="1"/>
  <c r="P1687" i="1"/>
  <c r="J1687" i="1" s="1"/>
  <c r="P1688" i="1"/>
  <c r="J1688" i="1" s="1"/>
  <c r="P1689" i="1"/>
  <c r="J1689" i="1" s="1"/>
  <c r="P1690" i="1"/>
  <c r="J1690" i="1" s="1"/>
  <c r="P1691" i="1"/>
  <c r="J1691" i="1" s="1"/>
  <c r="P1692" i="1"/>
  <c r="J1692" i="1" s="1"/>
  <c r="P1693" i="1"/>
  <c r="J1693" i="1" s="1"/>
  <c r="P1694" i="1"/>
  <c r="J1694" i="1" s="1"/>
  <c r="P1695" i="1"/>
  <c r="J1695" i="1" s="1"/>
  <c r="P1696" i="1"/>
  <c r="J1696" i="1" s="1"/>
  <c r="P1697" i="1"/>
  <c r="J1697" i="1" s="1"/>
  <c r="P1698" i="1"/>
  <c r="J1698" i="1" s="1"/>
  <c r="P1699" i="1"/>
  <c r="J1699" i="1" s="1"/>
  <c r="P1700" i="1"/>
  <c r="J1700" i="1" s="1"/>
  <c r="P1701" i="1"/>
  <c r="J1701" i="1" s="1"/>
  <c r="P1702" i="1"/>
  <c r="J1702" i="1" s="1"/>
  <c r="P1703" i="1"/>
  <c r="J1703" i="1" s="1"/>
  <c r="P1704" i="1"/>
  <c r="J1704" i="1" s="1"/>
  <c r="P1705" i="1"/>
  <c r="J1705" i="1" s="1"/>
  <c r="P1706" i="1"/>
  <c r="J1706" i="1" s="1"/>
  <c r="P1707" i="1"/>
  <c r="J1707" i="1" s="1"/>
  <c r="P1708" i="1"/>
  <c r="J1708" i="1" s="1"/>
  <c r="P1709" i="1"/>
  <c r="J1709" i="1" s="1"/>
  <c r="P1710" i="1"/>
  <c r="J1710" i="1" s="1"/>
  <c r="P1711" i="1"/>
  <c r="J1711" i="1" s="1"/>
  <c r="P1712" i="1"/>
  <c r="J1712" i="1" s="1"/>
  <c r="P1713" i="1"/>
  <c r="J1713" i="1" s="1"/>
  <c r="P1714" i="1"/>
  <c r="J1714" i="1" s="1"/>
  <c r="P1715" i="1"/>
  <c r="J1715" i="1" s="1"/>
  <c r="P1716" i="1"/>
  <c r="J1716" i="1" s="1"/>
  <c r="P1717" i="1"/>
  <c r="J1717" i="1" s="1"/>
  <c r="P1718" i="1"/>
  <c r="J1718" i="1" s="1"/>
  <c r="P1719" i="1"/>
  <c r="J1719" i="1" s="1"/>
  <c r="P1720" i="1"/>
  <c r="J1720" i="1" s="1"/>
  <c r="P1721" i="1"/>
  <c r="J1721" i="1" s="1"/>
  <c r="P1722" i="1"/>
  <c r="J1722" i="1" s="1"/>
  <c r="P1723" i="1"/>
  <c r="J1723" i="1" s="1"/>
  <c r="P1724" i="1"/>
  <c r="P1725" i="1"/>
  <c r="J1725" i="1" s="1"/>
  <c r="P1726" i="1"/>
  <c r="J1726" i="1" s="1"/>
  <c r="P1727" i="1"/>
  <c r="J1727" i="1" s="1"/>
  <c r="P1728" i="1"/>
  <c r="J1728" i="1" s="1"/>
  <c r="P1729" i="1"/>
  <c r="J1729" i="1" s="1"/>
  <c r="P1730" i="1"/>
  <c r="J1730" i="1" s="1"/>
  <c r="P1731" i="1"/>
  <c r="J1731" i="1" s="1"/>
  <c r="P1732" i="1"/>
  <c r="J1732" i="1" s="1"/>
  <c r="P1733" i="1"/>
  <c r="J1733" i="1" s="1"/>
  <c r="P1734" i="1"/>
  <c r="J1734" i="1" s="1"/>
  <c r="P1735" i="1"/>
  <c r="J1735" i="1" s="1"/>
  <c r="P1736" i="1"/>
  <c r="J1736" i="1" s="1"/>
  <c r="P1737" i="1"/>
  <c r="J1737" i="1" s="1"/>
  <c r="P1738" i="1"/>
  <c r="J1738" i="1" s="1"/>
  <c r="P1739" i="1"/>
  <c r="J1739" i="1" s="1"/>
  <c r="P1740" i="1"/>
  <c r="J1740" i="1" s="1"/>
  <c r="P1741" i="1"/>
  <c r="J1741" i="1" s="1"/>
  <c r="P1742" i="1"/>
  <c r="J1742" i="1" s="1"/>
  <c r="P1743" i="1"/>
  <c r="J1743" i="1" s="1"/>
  <c r="P1744" i="1"/>
  <c r="J1744" i="1" s="1"/>
  <c r="P1745" i="1"/>
  <c r="J1745" i="1" s="1"/>
  <c r="P1746" i="1"/>
  <c r="J1746" i="1" s="1"/>
  <c r="P1747" i="1"/>
  <c r="J1747" i="1" s="1"/>
  <c r="P1748" i="1"/>
  <c r="J1748" i="1" s="1"/>
  <c r="P1749" i="1"/>
  <c r="J1749" i="1" s="1"/>
  <c r="P1750" i="1"/>
  <c r="J1750" i="1" s="1"/>
  <c r="P1751" i="1"/>
  <c r="J1751" i="1" s="1"/>
  <c r="P1752" i="1"/>
  <c r="J1752" i="1" s="1"/>
  <c r="P1753" i="1"/>
  <c r="J1753" i="1" s="1"/>
  <c r="P1754" i="1"/>
  <c r="J1754" i="1" s="1"/>
  <c r="P1755" i="1"/>
  <c r="J1755" i="1" s="1"/>
  <c r="P1756" i="1"/>
  <c r="J1756" i="1" s="1"/>
  <c r="P1757" i="1"/>
  <c r="J1757" i="1" s="1"/>
  <c r="P1758" i="1"/>
  <c r="J1758" i="1" s="1"/>
  <c r="P1759" i="1"/>
  <c r="J1759" i="1" s="1"/>
  <c r="P1760" i="1"/>
  <c r="J1760" i="1" s="1"/>
  <c r="P1761" i="1"/>
  <c r="J1761" i="1" s="1"/>
  <c r="P1762" i="1"/>
  <c r="J1762" i="1" s="1"/>
  <c r="P1763" i="1"/>
  <c r="J1763" i="1" s="1"/>
  <c r="P1764" i="1"/>
  <c r="J1764" i="1" s="1"/>
  <c r="P1765" i="1"/>
  <c r="J1765" i="1" s="1"/>
  <c r="P1766" i="1"/>
  <c r="J1766" i="1" s="1"/>
  <c r="P1767" i="1"/>
  <c r="J1767" i="1" s="1"/>
  <c r="P1768" i="1"/>
  <c r="J1768" i="1" s="1"/>
  <c r="P1769" i="1"/>
  <c r="J1769" i="1" s="1"/>
  <c r="P1770" i="1"/>
  <c r="J1770" i="1" s="1"/>
  <c r="P1771" i="1"/>
  <c r="J1771" i="1" s="1"/>
  <c r="P1772" i="1"/>
  <c r="J1772" i="1" s="1"/>
  <c r="P1773" i="1"/>
  <c r="J1773" i="1" s="1"/>
  <c r="P1774" i="1"/>
  <c r="J1774" i="1" s="1"/>
  <c r="P1775" i="1"/>
  <c r="J1775" i="1" s="1"/>
  <c r="P1776" i="1"/>
  <c r="J1776" i="1" s="1"/>
  <c r="P1777" i="1"/>
  <c r="J1777" i="1" s="1"/>
  <c r="P1778" i="1"/>
  <c r="J1778" i="1" s="1"/>
  <c r="P1779" i="1"/>
  <c r="J1779" i="1" s="1"/>
  <c r="P1780" i="1"/>
  <c r="J1780" i="1" s="1"/>
  <c r="P1781" i="1"/>
  <c r="J1781" i="1" s="1"/>
  <c r="P1782" i="1"/>
  <c r="P1783" i="1"/>
  <c r="J1783" i="1" s="1"/>
  <c r="P1784" i="1"/>
  <c r="J1784" i="1" s="1"/>
  <c r="P1785" i="1"/>
  <c r="J1785" i="1" s="1"/>
  <c r="P1786" i="1"/>
  <c r="J1786" i="1" s="1"/>
  <c r="P1787" i="1"/>
  <c r="J1787" i="1" s="1"/>
  <c r="P1788" i="1"/>
  <c r="J1788" i="1" s="1"/>
  <c r="P1789" i="1"/>
  <c r="J1789" i="1" s="1"/>
  <c r="P1790" i="1"/>
  <c r="J1790" i="1" s="1"/>
  <c r="P1791" i="1"/>
  <c r="J1791" i="1" s="1"/>
  <c r="P1792" i="1"/>
  <c r="J1792" i="1" s="1"/>
  <c r="P1793" i="1"/>
  <c r="J1793" i="1" s="1"/>
  <c r="P1794" i="1"/>
  <c r="J1794" i="1" s="1"/>
  <c r="P1795" i="1"/>
  <c r="J1795" i="1" s="1"/>
  <c r="P1796" i="1"/>
  <c r="J1796" i="1" s="1"/>
  <c r="P1797" i="1"/>
  <c r="J1797" i="1" s="1"/>
  <c r="P1798" i="1"/>
  <c r="J1798" i="1" s="1"/>
  <c r="P1799" i="1"/>
  <c r="J1799" i="1" s="1"/>
  <c r="P1800" i="1"/>
  <c r="J1800" i="1" s="1"/>
  <c r="P1801" i="1"/>
  <c r="J1801" i="1" s="1"/>
  <c r="P1802" i="1"/>
  <c r="J1802" i="1" s="1"/>
  <c r="P1803" i="1"/>
  <c r="J1803" i="1" s="1"/>
  <c r="P1804" i="1"/>
  <c r="J1804" i="1" s="1"/>
  <c r="P1805" i="1"/>
  <c r="J1805" i="1" s="1"/>
  <c r="P1806" i="1"/>
  <c r="J1806" i="1" s="1"/>
  <c r="P1807" i="1"/>
  <c r="P1808" i="1"/>
  <c r="J1808" i="1" s="1"/>
  <c r="P1809" i="1"/>
  <c r="P1810" i="1"/>
  <c r="J1810" i="1" s="1"/>
  <c r="P1811" i="1"/>
  <c r="J1811" i="1" s="1"/>
  <c r="P1812" i="1"/>
  <c r="J1812" i="1" s="1"/>
  <c r="P1813" i="1"/>
  <c r="J1813" i="1" s="1"/>
  <c r="P1814" i="1"/>
  <c r="J1814" i="1" s="1"/>
  <c r="P1815" i="1"/>
  <c r="J1815" i="1" s="1"/>
  <c r="P1816" i="1"/>
  <c r="J1816" i="1" s="1"/>
  <c r="P1817" i="1"/>
  <c r="J1817" i="1" s="1"/>
  <c r="P1818" i="1"/>
  <c r="J1818" i="1" s="1"/>
  <c r="P1819" i="1"/>
  <c r="J1819" i="1" s="1"/>
  <c r="P1820" i="1"/>
  <c r="J1820" i="1" s="1"/>
  <c r="P1821" i="1"/>
  <c r="J1821" i="1" s="1"/>
  <c r="P1822" i="1"/>
  <c r="J1822" i="1" s="1"/>
  <c r="P1823" i="1"/>
  <c r="J1823" i="1" s="1"/>
  <c r="P1824" i="1"/>
  <c r="J1824" i="1" s="1"/>
  <c r="P1825" i="1"/>
  <c r="J1825" i="1" s="1"/>
  <c r="P1826" i="1"/>
  <c r="J1826" i="1" s="1"/>
  <c r="P1827" i="1"/>
  <c r="J1827" i="1" s="1"/>
  <c r="P1828" i="1"/>
  <c r="J1828" i="1" s="1"/>
  <c r="P1829" i="1"/>
  <c r="J1829" i="1" s="1"/>
  <c r="P1830" i="1"/>
  <c r="J1830" i="1" s="1"/>
  <c r="P1831" i="1"/>
  <c r="J1831" i="1" s="1"/>
  <c r="P1832" i="1"/>
  <c r="J1832" i="1" s="1"/>
  <c r="P1833" i="1"/>
  <c r="J1833" i="1" s="1"/>
  <c r="P1834" i="1"/>
  <c r="J1834" i="1" s="1"/>
  <c r="P1835" i="1"/>
  <c r="J1835" i="1" s="1"/>
  <c r="P1836" i="1"/>
  <c r="J1836" i="1" s="1"/>
  <c r="P1837" i="1"/>
  <c r="J1837" i="1" s="1"/>
  <c r="P1838" i="1"/>
  <c r="J1838" i="1" s="1"/>
  <c r="P1839" i="1"/>
  <c r="J1839" i="1" s="1"/>
  <c r="P1840" i="1"/>
  <c r="J1840" i="1" s="1"/>
  <c r="P1841" i="1"/>
  <c r="J1841" i="1" s="1"/>
  <c r="P1842" i="1"/>
  <c r="J1842" i="1" s="1"/>
  <c r="P1843" i="1"/>
  <c r="J1843" i="1" s="1"/>
  <c r="P1844" i="1"/>
  <c r="J1844" i="1" s="1"/>
  <c r="P1845" i="1"/>
  <c r="J1845" i="1" s="1"/>
  <c r="P1846" i="1"/>
  <c r="J1846" i="1" s="1"/>
  <c r="P1847" i="1"/>
  <c r="J1847" i="1" s="1"/>
  <c r="P1848" i="1"/>
  <c r="J1848" i="1" s="1"/>
  <c r="P1849" i="1"/>
  <c r="J1849" i="1" s="1"/>
  <c r="P1850" i="1"/>
  <c r="J1850" i="1" s="1"/>
  <c r="P1851" i="1"/>
  <c r="J1851" i="1" s="1"/>
  <c r="P1852" i="1"/>
  <c r="J1852" i="1" s="1"/>
  <c r="P1853" i="1"/>
  <c r="J1853" i="1" s="1"/>
  <c r="P1854" i="1"/>
  <c r="J1854" i="1" s="1"/>
  <c r="P1855" i="1"/>
  <c r="J1855" i="1" s="1"/>
  <c r="P1856" i="1"/>
  <c r="J1856" i="1" s="1"/>
  <c r="P1857" i="1"/>
  <c r="J1857" i="1" s="1"/>
  <c r="P1858" i="1"/>
  <c r="J1858" i="1" s="1"/>
  <c r="P1859" i="1"/>
  <c r="J1859" i="1" s="1"/>
  <c r="P1860" i="1"/>
  <c r="J1860" i="1" s="1"/>
  <c r="P1861" i="1"/>
  <c r="J1861" i="1" s="1"/>
  <c r="P1862" i="1"/>
  <c r="J1862" i="1" s="1"/>
  <c r="P1863" i="1"/>
  <c r="J1863" i="1" s="1"/>
  <c r="P1864" i="1"/>
  <c r="J1864" i="1" s="1"/>
  <c r="P1865" i="1"/>
  <c r="P1866" i="1"/>
  <c r="J1866" i="1" s="1"/>
  <c r="P1867" i="1"/>
  <c r="J1867" i="1" s="1"/>
  <c r="P1868" i="1"/>
  <c r="J1868" i="1" s="1"/>
  <c r="P1869" i="1"/>
  <c r="J1869" i="1" s="1"/>
  <c r="P1870" i="1"/>
  <c r="J1870" i="1" s="1"/>
  <c r="P1871" i="1"/>
  <c r="J1871" i="1" s="1"/>
  <c r="P1872" i="1"/>
  <c r="J1872" i="1" s="1"/>
  <c r="P1873" i="1"/>
  <c r="J1873" i="1" s="1"/>
  <c r="P1874" i="1"/>
  <c r="P1875" i="1"/>
  <c r="J1875" i="1" s="1"/>
  <c r="P1876" i="1"/>
  <c r="J1876" i="1" s="1"/>
  <c r="P1877" i="1"/>
  <c r="J1877" i="1" s="1"/>
  <c r="P1878" i="1"/>
  <c r="J1878" i="1" s="1"/>
  <c r="P1879" i="1"/>
  <c r="J1879" i="1" s="1"/>
  <c r="P1880" i="1"/>
  <c r="J1880" i="1" s="1"/>
  <c r="P1881" i="1"/>
  <c r="J1881" i="1" s="1"/>
  <c r="P1882" i="1"/>
  <c r="J1882" i="1" s="1"/>
  <c r="P1883" i="1"/>
  <c r="J1883" i="1" s="1"/>
  <c r="P1884" i="1"/>
  <c r="J1884" i="1" s="1"/>
  <c r="P1885" i="1"/>
  <c r="J1885" i="1" s="1"/>
  <c r="P1886" i="1"/>
  <c r="J1886" i="1" s="1"/>
  <c r="P1887" i="1"/>
  <c r="J1887" i="1" s="1"/>
  <c r="P1888" i="1"/>
  <c r="J1888" i="1" s="1"/>
  <c r="P1889" i="1"/>
  <c r="J1889" i="1" s="1"/>
  <c r="P1890" i="1"/>
  <c r="J1890" i="1" s="1"/>
  <c r="P1891" i="1"/>
  <c r="J1891" i="1" s="1"/>
  <c r="P1892" i="1"/>
  <c r="J1892" i="1" s="1"/>
  <c r="P1893" i="1"/>
  <c r="J1893" i="1" s="1"/>
  <c r="P1894" i="1"/>
  <c r="J1894" i="1" s="1"/>
  <c r="P1895" i="1"/>
  <c r="J1895" i="1" s="1"/>
  <c r="P1896" i="1"/>
  <c r="J1896" i="1" s="1"/>
  <c r="P1897" i="1"/>
  <c r="J1897" i="1" s="1"/>
  <c r="P1898" i="1"/>
  <c r="J1898" i="1" s="1"/>
  <c r="P1899" i="1"/>
  <c r="J1899" i="1" s="1"/>
  <c r="P1900" i="1"/>
  <c r="J1900" i="1" s="1"/>
  <c r="P1901" i="1"/>
  <c r="J1901" i="1" s="1"/>
  <c r="P1902" i="1"/>
  <c r="J1902" i="1" s="1"/>
  <c r="P1903" i="1"/>
  <c r="J1903" i="1" s="1"/>
  <c r="P1904" i="1"/>
  <c r="J1904" i="1" s="1"/>
  <c r="P1905" i="1"/>
  <c r="J1905" i="1" s="1"/>
  <c r="P1906" i="1"/>
  <c r="J1906" i="1" s="1"/>
  <c r="P1907" i="1"/>
  <c r="J1907" i="1" s="1"/>
  <c r="P1908" i="1"/>
  <c r="J1908" i="1" s="1"/>
  <c r="P1909" i="1"/>
  <c r="J1909" i="1" s="1"/>
  <c r="P1910" i="1"/>
  <c r="J1910" i="1" s="1"/>
  <c r="P1911" i="1"/>
  <c r="J1911" i="1" s="1"/>
  <c r="P1912" i="1"/>
  <c r="J1912" i="1" s="1"/>
  <c r="P1913" i="1"/>
  <c r="J1913" i="1" s="1"/>
  <c r="P1914" i="1"/>
  <c r="J1914" i="1" s="1"/>
  <c r="P1915" i="1"/>
  <c r="J1915" i="1" s="1"/>
  <c r="P1916" i="1"/>
  <c r="J1916" i="1" s="1"/>
  <c r="P1917" i="1"/>
  <c r="J1917" i="1" s="1"/>
  <c r="P1918" i="1"/>
  <c r="J1918" i="1" s="1"/>
  <c r="P1919" i="1"/>
  <c r="J1919" i="1" s="1"/>
  <c r="P1920" i="1"/>
  <c r="J1920" i="1" s="1"/>
  <c r="P1921" i="1"/>
  <c r="P1922" i="1"/>
  <c r="J1922" i="1" s="1"/>
  <c r="P1923" i="1"/>
  <c r="J1923" i="1" s="1"/>
  <c r="P1924" i="1"/>
  <c r="J1924" i="1" s="1"/>
  <c r="P1925" i="1"/>
  <c r="J1925" i="1" s="1"/>
  <c r="P1926" i="1"/>
  <c r="J1926" i="1" s="1"/>
  <c r="P1927" i="1"/>
  <c r="J1927" i="1" s="1"/>
  <c r="P1928" i="1"/>
  <c r="J1928" i="1" s="1"/>
  <c r="P1929" i="1"/>
  <c r="J1929" i="1" s="1"/>
  <c r="P1930" i="1"/>
  <c r="J1930" i="1" s="1"/>
  <c r="P1931" i="1"/>
  <c r="J1931" i="1" s="1"/>
  <c r="P1932" i="1"/>
  <c r="J1932" i="1" s="1"/>
  <c r="P1933" i="1"/>
  <c r="J1933" i="1" s="1"/>
  <c r="P1934" i="1"/>
  <c r="J1934" i="1" s="1"/>
  <c r="P1935" i="1"/>
  <c r="J1935" i="1" s="1"/>
  <c r="P1936" i="1"/>
  <c r="J1936" i="1" s="1"/>
  <c r="P1937" i="1"/>
  <c r="J1937" i="1" s="1"/>
  <c r="P1938" i="1"/>
  <c r="J1938" i="1" s="1"/>
  <c r="P1939" i="1"/>
  <c r="J1939" i="1" s="1"/>
  <c r="P1940" i="1"/>
  <c r="J1940" i="1" s="1"/>
  <c r="P1941" i="1"/>
  <c r="J1941" i="1" s="1"/>
  <c r="P1942" i="1"/>
  <c r="J1942" i="1" s="1"/>
  <c r="P1943" i="1"/>
  <c r="J1943" i="1" s="1"/>
  <c r="P1944" i="1"/>
  <c r="J1944" i="1" s="1"/>
  <c r="P1945" i="1"/>
  <c r="J1945" i="1" s="1"/>
  <c r="P1946" i="1"/>
  <c r="J1946" i="1" s="1"/>
  <c r="P1947" i="1"/>
  <c r="J1947" i="1" s="1"/>
  <c r="P1948" i="1"/>
  <c r="J1948" i="1" s="1"/>
  <c r="P1949" i="1"/>
  <c r="J1949" i="1" s="1"/>
  <c r="P1950" i="1"/>
  <c r="J1950" i="1" s="1"/>
  <c r="P1951" i="1"/>
  <c r="J1951" i="1" s="1"/>
  <c r="P1952" i="1"/>
  <c r="J1952" i="1" s="1"/>
  <c r="P1953" i="1"/>
  <c r="J1953" i="1" s="1"/>
  <c r="P1954" i="1"/>
  <c r="J1954" i="1" s="1"/>
  <c r="P1955" i="1"/>
  <c r="J1955" i="1" s="1"/>
  <c r="P1956" i="1"/>
  <c r="J1956" i="1" s="1"/>
  <c r="P1957" i="1"/>
  <c r="J1957" i="1" s="1"/>
  <c r="P1958" i="1"/>
  <c r="J1958" i="1" s="1"/>
  <c r="P1959" i="1"/>
  <c r="J1959" i="1" s="1"/>
  <c r="P1960" i="1"/>
  <c r="J1960" i="1" s="1"/>
  <c r="P1961" i="1"/>
  <c r="J1961" i="1" s="1"/>
  <c r="P1962" i="1"/>
  <c r="J1962" i="1" s="1"/>
  <c r="P1963" i="1"/>
  <c r="J1963" i="1" s="1"/>
  <c r="P1964" i="1"/>
  <c r="J1964" i="1" s="1"/>
  <c r="P1965" i="1"/>
  <c r="J1965" i="1" s="1"/>
  <c r="P1966" i="1"/>
  <c r="J1966" i="1" s="1"/>
  <c r="P1967" i="1"/>
  <c r="P1968" i="1"/>
  <c r="J1968" i="1" s="1"/>
  <c r="P1969" i="1"/>
  <c r="J1969" i="1" s="1"/>
  <c r="P1970" i="1"/>
  <c r="J1970" i="1" s="1"/>
  <c r="P1971" i="1"/>
  <c r="J1971" i="1" s="1"/>
  <c r="P1972" i="1"/>
  <c r="J1972" i="1" s="1"/>
  <c r="P1973" i="1"/>
  <c r="J1973" i="1" s="1"/>
  <c r="P1974" i="1"/>
  <c r="J1974" i="1" s="1"/>
  <c r="P1975" i="1"/>
  <c r="J1975" i="1" s="1"/>
  <c r="P1976" i="1"/>
  <c r="J1976" i="1" s="1"/>
  <c r="P1977" i="1"/>
  <c r="J1977" i="1" s="1"/>
  <c r="P1978" i="1"/>
  <c r="J1978" i="1" s="1"/>
  <c r="P1979" i="1"/>
  <c r="J1979" i="1" s="1"/>
  <c r="P1980" i="1"/>
  <c r="J1980" i="1" s="1"/>
  <c r="P1981" i="1"/>
  <c r="J1981" i="1" s="1"/>
  <c r="P1982" i="1"/>
  <c r="J1982" i="1" s="1"/>
  <c r="P1983" i="1"/>
  <c r="J1983" i="1" s="1"/>
  <c r="P1984" i="1"/>
  <c r="J1984" i="1" s="1"/>
  <c r="P1985" i="1"/>
  <c r="J1985" i="1" s="1"/>
  <c r="P1986" i="1"/>
  <c r="J1986" i="1" s="1"/>
  <c r="P1987" i="1"/>
  <c r="J1987" i="1" s="1"/>
  <c r="P1988" i="1"/>
  <c r="J1988" i="1" s="1"/>
  <c r="P1989" i="1"/>
  <c r="J1989" i="1" s="1"/>
  <c r="P1990" i="1"/>
  <c r="J1990" i="1" s="1"/>
  <c r="P1991" i="1"/>
  <c r="J1991" i="1" s="1"/>
  <c r="P1992" i="1"/>
  <c r="J1992" i="1" s="1"/>
  <c r="P1993" i="1"/>
  <c r="J1993" i="1" s="1"/>
  <c r="P1994" i="1"/>
  <c r="J1994" i="1" s="1"/>
  <c r="P1995" i="1"/>
  <c r="P1996" i="1"/>
  <c r="J1996" i="1" s="1"/>
  <c r="P1997" i="1"/>
  <c r="J1997" i="1" s="1"/>
  <c r="P1998" i="1"/>
  <c r="J1998" i="1" s="1"/>
  <c r="P1999" i="1"/>
  <c r="J1999" i="1" s="1"/>
  <c r="P2000" i="1"/>
  <c r="P2001" i="1"/>
  <c r="J2001" i="1" s="1"/>
  <c r="P2002" i="1"/>
  <c r="J2002" i="1" s="1"/>
  <c r="P2003" i="1"/>
  <c r="J2003" i="1" s="1"/>
  <c r="P2004" i="1"/>
  <c r="J2004" i="1" s="1"/>
  <c r="P2005" i="1"/>
  <c r="J2005" i="1" s="1"/>
  <c r="P2006" i="1"/>
  <c r="J2006" i="1" s="1"/>
  <c r="P2007" i="1"/>
  <c r="J2007" i="1" s="1"/>
  <c r="P2008" i="1"/>
  <c r="J2008" i="1" s="1"/>
  <c r="P2009" i="1"/>
  <c r="J2009" i="1" s="1"/>
  <c r="P2010" i="1"/>
  <c r="J2010" i="1" s="1"/>
  <c r="P2011" i="1"/>
  <c r="J2011" i="1" s="1"/>
  <c r="P2012" i="1"/>
  <c r="J2012" i="1" s="1"/>
  <c r="P2013" i="1"/>
  <c r="J2013" i="1" s="1"/>
  <c r="P2014" i="1"/>
  <c r="J2014" i="1" s="1"/>
  <c r="P2015" i="1"/>
  <c r="J2015" i="1" s="1"/>
  <c r="P2016" i="1"/>
  <c r="J2016" i="1" s="1"/>
  <c r="P2017" i="1"/>
  <c r="J2017" i="1" s="1"/>
  <c r="P2018" i="1"/>
  <c r="J2018" i="1" s="1"/>
  <c r="P2019" i="1"/>
  <c r="J2019" i="1" s="1"/>
  <c r="P2020" i="1"/>
  <c r="J2020" i="1" s="1"/>
  <c r="P2021" i="1"/>
  <c r="P2022" i="1"/>
  <c r="J2022" i="1" s="1"/>
  <c r="P2023" i="1"/>
  <c r="J2023" i="1" s="1"/>
  <c r="P2024" i="1"/>
  <c r="J2024" i="1" s="1"/>
  <c r="P2025" i="1"/>
  <c r="J2025" i="1" s="1"/>
  <c r="P2026" i="1"/>
  <c r="J2026" i="1" s="1"/>
  <c r="P2027" i="1"/>
  <c r="J2027" i="1" s="1"/>
  <c r="P2028" i="1"/>
  <c r="J2028" i="1" s="1"/>
  <c r="P2029" i="1"/>
  <c r="J2029" i="1" s="1"/>
  <c r="P2030" i="1"/>
  <c r="J2030" i="1" s="1"/>
  <c r="P2031" i="1"/>
  <c r="J2031" i="1" s="1"/>
  <c r="P2032" i="1"/>
  <c r="J2032" i="1" s="1"/>
  <c r="P2033" i="1"/>
  <c r="J2033" i="1" s="1"/>
  <c r="P2034" i="1"/>
  <c r="J2034" i="1" s="1"/>
  <c r="P2035" i="1"/>
  <c r="J2035" i="1" s="1"/>
  <c r="P2036" i="1"/>
  <c r="J2036" i="1" s="1"/>
  <c r="P2037" i="1"/>
  <c r="J2037" i="1" s="1"/>
  <c r="P2038" i="1"/>
  <c r="J2038" i="1" s="1"/>
  <c r="P2039" i="1"/>
  <c r="J2039" i="1" s="1"/>
  <c r="P2040" i="1"/>
  <c r="J2040" i="1" s="1"/>
  <c r="P2041" i="1"/>
  <c r="J2041" i="1" s="1"/>
  <c r="P2042" i="1"/>
  <c r="J2042" i="1" s="1"/>
  <c r="P2043" i="1"/>
  <c r="J2043" i="1" s="1"/>
  <c r="P2044" i="1"/>
  <c r="P2045" i="1"/>
  <c r="J2045" i="1" s="1"/>
  <c r="P2046" i="1"/>
  <c r="J2046" i="1" s="1"/>
  <c r="P2047" i="1"/>
  <c r="J2047" i="1" s="1"/>
  <c r="P2048" i="1"/>
  <c r="J2048" i="1" s="1"/>
  <c r="P2049" i="1"/>
  <c r="J2049" i="1" s="1"/>
  <c r="P2050" i="1"/>
  <c r="J2050" i="1" s="1"/>
  <c r="P2051" i="1"/>
  <c r="J2051" i="1" s="1"/>
  <c r="P2052" i="1"/>
  <c r="J2052" i="1" s="1"/>
  <c r="P2053" i="1"/>
  <c r="J2053" i="1" s="1"/>
  <c r="P2054" i="1"/>
  <c r="J2054" i="1" s="1"/>
  <c r="P2055" i="1"/>
  <c r="J2055" i="1" s="1"/>
  <c r="P2056" i="1"/>
  <c r="J2056" i="1" s="1"/>
  <c r="P2057" i="1"/>
  <c r="J2057" i="1" s="1"/>
  <c r="P2058" i="1"/>
  <c r="P2059" i="1"/>
  <c r="J2059" i="1" s="1"/>
  <c r="P2060" i="1"/>
  <c r="J2060" i="1" s="1"/>
  <c r="P2061" i="1"/>
  <c r="J2061" i="1" s="1"/>
  <c r="P2062" i="1"/>
  <c r="J2062" i="1" s="1"/>
  <c r="P2063" i="1"/>
  <c r="J2063" i="1" s="1"/>
  <c r="P2064" i="1"/>
  <c r="J2064" i="1" s="1"/>
  <c r="P2065" i="1"/>
  <c r="J2065" i="1" s="1"/>
  <c r="P2066" i="1"/>
  <c r="P2067" i="1"/>
  <c r="J2067" i="1" s="1"/>
  <c r="P2068" i="1"/>
  <c r="J2068" i="1" s="1"/>
  <c r="P2069" i="1"/>
  <c r="J2069" i="1" s="1"/>
  <c r="P2070" i="1"/>
  <c r="J2070" i="1" s="1"/>
  <c r="P2071" i="1"/>
  <c r="J2071" i="1" s="1"/>
  <c r="P2072" i="1"/>
  <c r="J2072" i="1" s="1"/>
  <c r="P2073" i="1"/>
  <c r="J2073" i="1" s="1"/>
  <c r="P2074" i="1"/>
  <c r="J2074" i="1" s="1"/>
  <c r="P2075" i="1"/>
  <c r="J2075" i="1" s="1"/>
  <c r="P2076" i="1"/>
  <c r="J2076" i="1" s="1"/>
  <c r="P2077" i="1"/>
  <c r="P2078" i="1"/>
  <c r="J2078" i="1" s="1"/>
  <c r="P2079" i="1"/>
  <c r="J2079" i="1" s="1"/>
  <c r="P2080" i="1"/>
  <c r="J2080" i="1" s="1"/>
  <c r="P2081" i="1"/>
  <c r="P2082" i="1"/>
  <c r="J2082" i="1" s="1"/>
  <c r="P2083" i="1"/>
  <c r="J2083" i="1" s="1"/>
  <c r="P2084" i="1"/>
  <c r="J2084" i="1" s="1"/>
  <c r="P2085" i="1"/>
  <c r="J2085" i="1" s="1"/>
  <c r="P2086" i="1"/>
  <c r="J2086" i="1" s="1"/>
  <c r="P2087" i="1"/>
  <c r="J2087" i="1" s="1"/>
  <c r="P2088" i="1"/>
  <c r="J2088" i="1" s="1"/>
  <c r="P2089" i="1"/>
  <c r="J2089" i="1" s="1"/>
  <c r="P2090" i="1"/>
  <c r="J2090" i="1" s="1"/>
  <c r="P2091" i="1"/>
  <c r="J2091" i="1" s="1"/>
  <c r="P2092" i="1"/>
  <c r="J2092" i="1" s="1"/>
  <c r="P2093" i="1"/>
  <c r="J2093" i="1" s="1"/>
  <c r="P2094" i="1"/>
  <c r="J2094" i="1" s="1"/>
  <c r="P2095" i="1"/>
  <c r="J2095" i="1" s="1"/>
  <c r="P2096" i="1"/>
  <c r="J2096" i="1" s="1"/>
  <c r="P2097" i="1"/>
  <c r="J2097" i="1" s="1"/>
  <c r="P2098" i="1"/>
  <c r="J2098" i="1" s="1"/>
  <c r="P2099" i="1"/>
  <c r="J2099" i="1" s="1"/>
  <c r="P2100" i="1"/>
  <c r="J2100" i="1" s="1"/>
  <c r="P2101" i="1"/>
  <c r="J2101" i="1" s="1"/>
  <c r="P2102" i="1"/>
  <c r="J2102" i="1" s="1"/>
  <c r="P2103" i="1"/>
  <c r="J2103" i="1" s="1"/>
  <c r="P2104" i="1"/>
  <c r="J2104" i="1" s="1"/>
  <c r="P2105" i="1"/>
  <c r="J2105" i="1" s="1"/>
  <c r="P2106" i="1"/>
  <c r="J2106" i="1" s="1"/>
  <c r="P2107" i="1"/>
  <c r="J2107" i="1" s="1"/>
  <c r="P2108" i="1"/>
  <c r="J2108" i="1" s="1"/>
  <c r="P2109" i="1"/>
  <c r="J2109" i="1" s="1"/>
  <c r="P2110" i="1"/>
  <c r="J2110" i="1" s="1"/>
  <c r="P2111" i="1"/>
  <c r="J2111" i="1" s="1"/>
  <c r="P2112" i="1"/>
  <c r="J2112" i="1" s="1"/>
  <c r="P2113" i="1"/>
  <c r="J2113" i="1" s="1"/>
  <c r="P2114" i="1"/>
  <c r="J2114" i="1" s="1"/>
  <c r="P2115" i="1"/>
  <c r="J2115" i="1" s="1"/>
  <c r="P2116" i="1"/>
  <c r="J2116" i="1" s="1"/>
  <c r="P2117" i="1"/>
  <c r="J2117" i="1" s="1"/>
  <c r="P2118" i="1"/>
  <c r="J2118" i="1" s="1"/>
  <c r="P2119" i="1"/>
  <c r="J2119" i="1" s="1"/>
  <c r="P2120" i="1"/>
  <c r="J2120" i="1" s="1"/>
  <c r="P2121" i="1"/>
  <c r="J2121" i="1" s="1"/>
  <c r="P2122" i="1"/>
  <c r="J2122" i="1" s="1"/>
  <c r="P2123" i="1"/>
  <c r="J2123" i="1" s="1"/>
  <c r="P2124" i="1"/>
  <c r="J2124" i="1" s="1"/>
  <c r="P2125" i="1"/>
  <c r="P2126" i="1"/>
  <c r="J2126" i="1" s="1"/>
  <c r="P2127" i="1"/>
  <c r="J2127" i="1" s="1"/>
  <c r="P2128" i="1"/>
  <c r="J2128" i="1" s="1"/>
  <c r="P2129" i="1"/>
  <c r="J2129" i="1" s="1"/>
  <c r="P2130" i="1"/>
  <c r="J2130" i="1" s="1"/>
  <c r="P2131" i="1"/>
  <c r="P2132" i="1"/>
  <c r="J2132" i="1" s="1"/>
  <c r="P2133" i="1"/>
  <c r="J2133" i="1" s="1"/>
  <c r="P2134" i="1"/>
  <c r="J2134" i="1" s="1"/>
  <c r="P2135" i="1"/>
  <c r="J2135" i="1" s="1"/>
  <c r="P2136" i="1"/>
  <c r="J2136" i="1" s="1"/>
  <c r="P2137" i="1"/>
  <c r="J2137" i="1" s="1"/>
  <c r="P2138" i="1"/>
  <c r="J2138" i="1" s="1"/>
  <c r="P2139" i="1"/>
  <c r="J2139" i="1" s="1"/>
  <c r="P2140" i="1"/>
  <c r="J2140" i="1" s="1"/>
  <c r="P2141" i="1"/>
  <c r="J2141" i="1" s="1"/>
  <c r="P2142" i="1"/>
  <c r="J2142" i="1" s="1"/>
  <c r="P2143" i="1"/>
  <c r="J2143" i="1" s="1"/>
  <c r="P2144" i="1"/>
  <c r="J2144" i="1" s="1"/>
  <c r="P2145" i="1"/>
  <c r="J2145" i="1" s="1"/>
  <c r="P2146" i="1"/>
  <c r="J2146" i="1" s="1"/>
  <c r="P2147" i="1"/>
  <c r="J2147" i="1" s="1"/>
  <c r="P2148" i="1"/>
  <c r="J2148" i="1" s="1"/>
  <c r="P2149" i="1"/>
  <c r="P2150" i="1"/>
  <c r="J2150" i="1" s="1"/>
  <c r="P2151" i="1"/>
  <c r="J2151" i="1" s="1"/>
  <c r="P2152" i="1"/>
  <c r="J2152" i="1" s="1"/>
  <c r="P2153" i="1"/>
  <c r="J2153" i="1" s="1"/>
  <c r="P2154" i="1"/>
  <c r="J2154" i="1" s="1"/>
  <c r="P2155" i="1"/>
  <c r="J2155" i="1" s="1"/>
  <c r="P2156" i="1"/>
  <c r="J2156" i="1" s="1"/>
  <c r="P2157" i="1"/>
  <c r="J2157" i="1" s="1"/>
  <c r="P2158" i="1"/>
  <c r="J2158" i="1" s="1"/>
  <c r="P2159" i="1"/>
  <c r="J2159" i="1" s="1"/>
  <c r="P2160" i="1"/>
  <c r="J2160" i="1" s="1"/>
  <c r="P2161" i="1"/>
  <c r="J2161" i="1" s="1"/>
  <c r="P2162" i="1"/>
  <c r="J2162" i="1" s="1"/>
  <c r="P2163" i="1"/>
  <c r="J2163" i="1" s="1"/>
  <c r="P2164" i="1"/>
  <c r="J2164" i="1" s="1"/>
  <c r="P2165" i="1"/>
  <c r="J2165" i="1" s="1"/>
  <c r="P2166" i="1"/>
  <c r="J2166" i="1" s="1"/>
  <c r="P2167" i="1"/>
  <c r="J2167" i="1" s="1"/>
  <c r="P2168" i="1"/>
  <c r="J2168" i="1" s="1"/>
  <c r="P2169" i="1"/>
  <c r="J2169" i="1" s="1"/>
  <c r="P2170" i="1"/>
  <c r="J2170" i="1" s="1"/>
  <c r="P2171" i="1"/>
  <c r="J2171" i="1" s="1"/>
  <c r="P2172" i="1"/>
  <c r="J2172" i="1" s="1"/>
  <c r="P2173" i="1"/>
  <c r="J2173" i="1" s="1"/>
  <c r="P2174" i="1"/>
  <c r="J2174" i="1" s="1"/>
  <c r="P2175" i="1"/>
  <c r="J2175" i="1" s="1"/>
  <c r="P2176" i="1"/>
  <c r="J2176" i="1" s="1"/>
  <c r="P2177" i="1"/>
  <c r="J2177" i="1" s="1"/>
  <c r="P2178" i="1"/>
  <c r="J2178" i="1" s="1"/>
  <c r="P2179" i="1"/>
  <c r="J2179" i="1" s="1"/>
  <c r="P2180" i="1"/>
  <c r="J2180" i="1" s="1"/>
  <c r="P2181" i="1"/>
  <c r="J2181" i="1" s="1"/>
  <c r="P2182" i="1"/>
  <c r="J2182" i="1" s="1"/>
  <c r="P2183" i="1"/>
  <c r="J2183" i="1" s="1"/>
  <c r="P2184" i="1"/>
  <c r="J2184" i="1" s="1"/>
  <c r="P2185" i="1"/>
  <c r="J2185" i="1" s="1"/>
  <c r="P2186" i="1"/>
  <c r="J2186" i="1" s="1"/>
  <c r="P2187" i="1"/>
  <c r="J2187" i="1" s="1"/>
  <c r="P2188" i="1"/>
  <c r="J2188" i="1" s="1"/>
  <c r="P2189" i="1"/>
  <c r="J2189" i="1" s="1"/>
  <c r="P2190" i="1"/>
  <c r="J2190" i="1" s="1"/>
  <c r="P2191" i="1"/>
  <c r="J2191" i="1" s="1"/>
  <c r="P2192" i="1"/>
  <c r="J2192" i="1" s="1"/>
  <c r="P2193" i="1"/>
  <c r="J2193" i="1" s="1"/>
  <c r="P2194" i="1"/>
  <c r="J2194" i="1" s="1"/>
  <c r="P2195" i="1"/>
  <c r="J2195" i="1" s="1"/>
  <c r="P2196" i="1"/>
  <c r="J2196" i="1" s="1"/>
  <c r="P2197" i="1"/>
  <c r="J2197" i="1" s="1"/>
  <c r="P2198" i="1"/>
  <c r="J2198" i="1" s="1"/>
  <c r="P2199" i="1"/>
  <c r="J2199" i="1" s="1"/>
  <c r="P2200" i="1"/>
  <c r="J2200" i="1" s="1"/>
  <c r="P2201" i="1"/>
  <c r="J2201" i="1" s="1"/>
  <c r="P2202" i="1"/>
  <c r="J2202" i="1" s="1"/>
  <c r="P2203" i="1"/>
  <c r="J2203" i="1" s="1"/>
  <c r="P2204" i="1"/>
  <c r="J2204" i="1" s="1"/>
  <c r="P2205" i="1"/>
  <c r="J2205" i="1" s="1"/>
  <c r="P2206" i="1"/>
  <c r="J2206" i="1" s="1"/>
  <c r="P2207" i="1"/>
  <c r="J2207" i="1" s="1"/>
  <c r="P2208" i="1"/>
  <c r="J2208" i="1" s="1"/>
  <c r="P2209" i="1"/>
  <c r="J2209" i="1" s="1"/>
  <c r="P2210" i="1"/>
  <c r="J2210" i="1" s="1"/>
  <c r="P2211" i="1"/>
  <c r="J2211" i="1" s="1"/>
  <c r="P2212" i="1"/>
  <c r="J2212" i="1" s="1"/>
  <c r="P2213" i="1"/>
  <c r="J2213" i="1" s="1"/>
  <c r="P2214" i="1"/>
  <c r="J2214" i="1" s="1"/>
  <c r="P2215" i="1"/>
  <c r="J2215" i="1" s="1"/>
  <c r="P2216" i="1"/>
  <c r="J2216" i="1" s="1"/>
  <c r="P2217" i="1"/>
  <c r="J2217" i="1" s="1"/>
  <c r="P2218" i="1"/>
  <c r="P2219" i="1"/>
  <c r="J2219" i="1" s="1"/>
  <c r="P2220" i="1"/>
  <c r="J2220" i="1" s="1"/>
  <c r="P2221" i="1"/>
  <c r="J2221" i="1" s="1"/>
  <c r="P2222" i="1"/>
  <c r="J2222" i="1" s="1"/>
  <c r="P2223" i="1"/>
  <c r="J2223" i="1" s="1"/>
  <c r="P2224" i="1"/>
  <c r="J2224" i="1" s="1"/>
  <c r="P2225" i="1"/>
  <c r="J2225" i="1" s="1"/>
  <c r="P2226" i="1"/>
  <c r="J2226" i="1" s="1"/>
  <c r="P2227" i="1"/>
  <c r="J2227" i="1" s="1"/>
  <c r="P2228" i="1"/>
  <c r="P2229" i="1"/>
  <c r="J2229" i="1" s="1"/>
  <c r="P2230" i="1"/>
  <c r="J2230" i="1" s="1"/>
  <c r="P2231" i="1"/>
  <c r="J2231" i="1" s="1"/>
  <c r="P2232" i="1"/>
  <c r="J2232" i="1" s="1"/>
  <c r="P2233" i="1"/>
  <c r="J2233" i="1" s="1"/>
  <c r="P2234" i="1"/>
  <c r="J2234" i="1" s="1"/>
  <c r="P2235" i="1"/>
  <c r="J2235" i="1" s="1"/>
  <c r="P2236" i="1"/>
  <c r="J2236" i="1" s="1"/>
  <c r="P2237" i="1"/>
  <c r="J2237" i="1" s="1"/>
  <c r="P2238" i="1"/>
  <c r="J2238" i="1" s="1"/>
  <c r="P2239" i="1"/>
  <c r="J2239" i="1" s="1"/>
  <c r="P2240" i="1"/>
  <c r="J2240" i="1" s="1"/>
  <c r="P2241" i="1"/>
  <c r="J2241" i="1" s="1"/>
  <c r="P2242" i="1"/>
  <c r="J2242" i="1" s="1"/>
  <c r="P2243" i="1"/>
  <c r="J2243" i="1" s="1"/>
  <c r="P2244" i="1"/>
  <c r="J2244" i="1" s="1"/>
  <c r="P2245" i="1"/>
  <c r="J2245" i="1" s="1"/>
  <c r="P2246" i="1"/>
  <c r="J2246" i="1" s="1"/>
  <c r="P2247" i="1"/>
  <c r="J2247" i="1" s="1"/>
  <c r="P2248" i="1"/>
  <c r="J2248" i="1" s="1"/>
  <c r="P2249" i="1"/>
  <c r="J2249" i="1" s="1"/>
  <c r="P2250" i="1"/>
  <c r="J2250" i="1" s="1"/>
  <c r="P2251" i="1"/>
  <c r="J2251" i="1" s="1"/>
  <c r="P2252" i="1"/>
  <c r="J2252" i="1" s="1"/>
  <c r="P2253" i="1"/>
  <c r="J2253" i="1" s="1"/>
  <c r="P2254" i="1"/>
  <c r="J2254" i="1" s="1"/>
  <c r="P2255" i="1"/>
  <c r="J2255" i="1" s="1"/>
  <c r="P2256" i="1"/>
  <c r="J2256" i="1" s="1"/>
  <c r="P2257" i="1"/>
  <c r="J2257" i="1" s="1"/>
  <c r="P2258" i="1"/>
  <c r="J2258" i="1" s="1"/>
  <c r="P2259" i="1"/>
  <c r="J2259" i="1" s="1"/>
  <c r="P2260" i="1"/>
  <c r="J2260" i="1" s="1"/>
  <c r="P2261" i="1"/>
  <c r="J2261" i="1" s="1"/>
  <c r="P2262" i="1"/>
  <c r="J2262" i="1" s="1"/>
  <c r="P2263" i="1"/>
  <c r="J2263" i="1" s="1"/>
  <c r="P2264" i="1"/>
  <c r="J2264" i="1" s="1"/>
  <c r="P2265" i="1"/>
  <c r="J2265" i="1" s="1"/>
  <c r="P2266" i="1"/>
  <c r="J2266" i="1" s="1"/>
  <c r="P2267" i="1"/>
  <c r="J2267" i="1" s="1"/>
  <c r="P2268" i="1"/>
  <c r="J2268" i="1" s="1"/>
  <c r="P2269" i="1"/>
  <c r="J2269" i="1" s="1"/>
  <c r="P2270" i="1"/>
  <c r="J2270" i="1" s="1"/>
  <c r="P2271" i="1"/>
  <c r="J2271" i="1" s="1"/>
  <c r="P2272" i="1"/>
  <c r="J2272" i="1" s="1"/>
  <c r="P2273" i="1"/>
  <c r="J2273" i="1" s="1"/>
  <c r="P2274" i="1"/>
  <c r="J2274" i="1" s="1"/>
  <c r="P2275" i="1"/>
  <c r="J2275" i="1" s="1"/>
  <c r="P2276" i="1"/>
  <c r="J2276" i="1" s="1"/>
  <c r="P2277" i="1"/>
  <c r="J2277" i="1" s="1"/>
  <c r="P2278" i="1"/>
  <c r="J2278" i="1" s="1"/>
  <c r="P2279" i="1"/>
  <c r="J2279" i="1" s="1"/>
  <c r="P2280" i="1"/>
  <c r="J2280" i="1" s="1"/>
  <c r="P2281" i="1"/>
  <c r="J2281" i="1" s="1"/>
  <c r="P2282" i="1"/>
  <c r="J2282" i="1" s="1"/>
  <c r="P2283" i="1"/>
  <c r="J2283" i="1" s="1"/>
  <c r="P2284" i="1"/>
  <c r="J2284" i="1" s="1"/>
  <c r="P2285" i="1"/>
  <c r="J2285" i="1" s="1"/>
  <c r="P2286" i="1"/>
  <c r="J2286" i="1" s="1"/>
  <c r="P2287" i="1"/>
  <c r="J2287" i="1" s="1"/>
  <c r="P2288" i="1"/>
  <c r="P2289" i="1"/>
  <c r="J2289" i="1" s="1"/>
  <c r="P2290" i="1"/>
  <c r="J2290" i="1" s="1"/>
  <c r="P2291" i="1"/>
  <c r="J2291" i="1" s="1"/>
  <c r="P2292" i="1"/>
  <c r="J2292" i="1" s="1"/>
  <c r="P2293" i="1"/>
  <c r="J2293" i="1" s="1"/>
  <c r="P2294" i="1"/>
  <c r="P2295" i="1"/>
  <c r="J2295" i="1" s="1"/>
  <c r="P2296" i="1"/>
  <c r="P2297" i="1"/>
  <c r="J2297" i="1" s="1"/>
  <c r="P2298" i="1"/>
  <c r="J2298" i="1" s="1"/>
  <c r="P2299" i="1"/>
  <c r="P2300" i="1"/>
  <c r="J2300" i="1" s="1"/>
  <c r="P2301" i="1"/>
  <c r="J2301" i="1" s="1"/>
  <c r="P2302" i="1"/>
  <c r="J2302" i="1" s="1"/>
  <c r="P2303" i="1"/>
  <c r="J2303" i="1" s="1"/>
  <c r="P2304" i="1"/>
  <c r="J2304" i="1" s="1"/>
  <c r="P2305" i="1"/>
  <c r="J2305" i="1" s="1"/>
  <c r="P2306" i="1"/>
  <c r="J2306" i="1" s="1"/>
  <c r="P2307" i="1"/>
  <c r="J2307" i="1" s="1"/>
  <c r="P2308" i="1"/>
  <c r="J2308" i="1" s="1"/>
  <c r="P2309" i="1"/>
  <c r="J2309" i="1" s="1"/>
  <c r="P2310" i="1"/>
  <c r="J2310" i="1" s="1"/>
  <c r="P2311" i="1"/>
  <c r="J2311" i="1" s="1"/>
  <c r="P2312" i="1"/>
  <c r="J2312" i="1" s="1"/>
  <c r="P2313" i="1"/>
  <c r="J2313" i="1" s="1"/>
  <c r="P2314" i="1"/>
  <c r="J2314" i="1" s="1"/>
  <c r="P2315" i="1"/>
  <c r="J2315" i="1" s="1"/>
  <c r="P2316" i="1"/>
  <c r="J2316" i="1" s="1"/>
  <c r="P2317" i="1"/>
  <c r="J2317" i="1" s="1"/>
  <c r="P2318" i="1"/>
  <c r="J2318" i="1" s="1"/>
  <c r="P2319" i="1"/>
  <c r="J2319" i="1" s="1"/>
  <c r="P2320" i="1"/>
  <c r="J2320" i="1" s="1"/>
  <c r="P2321" i="1"/>
  <c r="J2321" i="1" s="1"/>
  <c r="P2322" i="1"/>
  <c r="J2322" i="1" s="1"/>
  <c r="P2323" i="1"/>
  <c r="J2323" i="1" s="1"/>
  <c r="P2324" i="1"/>
  <c r="P2325" i="1"/>
  <c r="J2325" i="1" s="1"/>
  <c r="P2326" i="1"/>
  <c r="J2326" i="1" s="1"/>
  <c r="P2327" i="1"/>
  <c r="J2327" i="1" s="1"/>
  <c r="P2328" i="1"/>
  <c r="J2328" i="1" s="1"/>
  <c r="P2329" i="1"/>
  <c r="J2329" i="1" s="1"/>
  <c r="P2330" i="1"/>
  <c r="J2330" i="1" s="1"/>
  <c r="P2331" i="1"/>
  <c r="J2331" i="1" s="1"/>
  <c r="P2332" i="1"/>
  <c r="J2332" i="1" s="1"/>
  <c r="P2333" i="1"/>
  <c r="J2333" i="1" s="1"/>
  <c r="P2334" i="1"/>
  <c r="J2334" i="1" s="1"/>
  <c r="P2335" i="1"/>
  <c r="J2335" i="1" s="1"/>
  <c r="P2336" i="1"/>
  <c r="J2336" i="1" s="1"/>
  <c r="P2337" i="1"/>
  <c r="P2338" i="1"/>
  <c r="J2338" i="1" s="1"/>
  <c r="P2339" i="1"/>
  <c r="J2339" i="1" s="1"/>
  <c r="P2340" i="1"/>
  <c r="J2340" i="1" s="1"/>
  <c r="P2341" i="1"/>
  <c r="J2341" i="1" s="1"/>
  <c r="P2342" i="1"/>
  <c r="J2342" i="1" s="1"/>
  <c r="P2343" i="1"/>
  <c r="J2343" i="1" s="1"/>
  <c r="P2344" i="1"/>
  <c r="J2344" i="1" s="1"/>
  <c r="P2345" i="1"/>
  <c r="J2345" i="1" s="1"/>
  <c r="P2346" i="1"/>
  <c r="J2346" i="1" s="1"/>
  <c r="P2347" i="1"/>
  <c r="J2347" i="1" s="1"/>
  <c r="P2348" i="1"/>
  <c r="J2348" i="1" s="1"/>
  <c r="P2349" i="1"/>
  <c r="J2349" i="1" s="1"/>
  <c r="P2350" i="1"/>
  <c r="J2350" i="1" s="1"/>
  <c r="P2351" i="1"/>
  <c r="J2351" i="1" s="1"/>
  <c r="P2352" i="1"/>
  <c r="J2352" i="1" s="1"/>
  <c r="P2353" i="1"/>
  <c r="J2353" i="1" s="1"/>
  <c r="P2354" i="1"/>
  <c r="J2354" i="1" s="1"/>
  <c r="P2355" i="1"/>
  <c r="J2355" i="1" s="1"/>
  <c r="P2356" i="1"/>
  <c r="J2356" i="1" s="1"/>
  <c r="P2357" i="1"/>
  <c r="J2357" i="1" s="1"/>
  <c r="P2358" i="1"/>
  <c r="J2358" i="1" s="1"/>
  <c r="P2359" i="1"/>
  <c r="J2359" i="1" s="1"/>
  <c r="P2360" i="1"/>
  <c r="J2360" i="1" s="1"/>
  <c r="P2361" i="1"/>
  <c r="J2361" i="1" s="1"/>
  <c r="P2362" i="1"/>
  <c r="J2362" i="1" s="1"/>
  <c r="P2363" i="1"/>
  <c r="J2363" i="1" s="1"/>
  <c r="P2364" i="1"/>
  <c r="J2364" i="1" s="1"/>
  <c r="P2365" i="1"/>
  <c r="J2365" i="1" s="1"/>
  <c r="P2366" i="1"/>
  <c r="J2366" i="1" s="1"/>
  <c r="P2367" i="1"/>
  <c r="J2367" i="1" s="1"/>
  <c r="P2368" i="1"/>
  <c r="J2368" i="1" s="1"/>
  <c r="P2369" i="1"/>
  <c r="J2369" i="1" s="1"/>
  <c r="P2370" i="1"/>
  <c r="J2370" i="1" s="1"/>
  <c r="P2371" i="1"/>
  <c r="J2371" i="1" s="1"/>
  <c r="P2372" i="1"/>
  <c r="J2372" i="1" s="1"/>
  <c r="P2373" i="1"/>
  <c r="J2373" i="1" s="1"/>
  <c r="P2374" i="1"/>
  <c r="J2374" i="1" s="1"/>
  <c r="P2375" i="1"/>
  <c r="J2375" i="1" s="1"/>
  <c r="P2376" i="1"/>
  <c r="J2376" i="1" s="1"/>
  <c r="P2377" i="1"/>
  <c r="J2377" i="1" s="1"/>
  <c r="P2378" i="1"/>
  <c r="J2378" i="1" s="1"/>
  <c r="P2379" i="1"/>
  <c r="J2379" i="1" s="1"/>
  <c r="P2380" i="1"/>
  <c r="J2380" i="1" s="1"/>
  <c r="P2381" i="1"/>
  <c r="J2381" i="1" s="1"/>
  <c r="P2382" i="1"/>
  <c r="J2382" i="1" s="1"/>
  <c r="P2383" i="1"/>
  <c r="J2383" i="1" s="1"/>
  <c r="P2384" i="1"/>
  <c r="J2384" i="1" s="1"/>
  <c r="P2385" i="1"/>
  <c r="J2385" i="1" s="1"/>
  <c r="P2386" i="1"/>
  <c r="J2386" i="1" s="1"/>
  <c r="P2387" i="1"/>
  <c r="J2387" i="1" s="1"/>
  <c r="P2388" i="1"/>
  <c r="J2388" i="1" s="1"/>
  <c r="P2389" i="1"/>
  <c r="J2389" i="1" s="1"/>
  <c r="P2390" i="1"/>
  <c r="J2390" i="1" s="1"/>
  <c r="P2391" i="1"/>
  <c r="J2391" i="1" s="1"/>
  <c r="P2392" i="1"/>
  <c r="J2392" i="1" s="1"/>
  <c r="P2393" i="1"/>
  <c r="J2393" i="1" s="1"/>
  <c r="P2394" i="1"/>
  <c r="J2394" i="1" s="1"/>
  <c r="P2395" i="1"/>
  <c r="J2395" i="1" s="1"/>
  <c r="P2396" i="1"/>
  <c r="J2396" i="1" s="1"/>
  <c r="P2397" i="1"/>
  <c r="J2397" i="1" s="1"/>
  <c r="P2398" i="1"/>
  <c r="J2398" i="1" s="1"/>
  <c r="P2399" i="1"/>
  <c r="J2399" i="1" s="1"/>
  <c r="P2400" i="1"/>
  <c r="J2400" i="1" s="1"/>
  <c r="P2401" i="1"/>
  <c r="J2401" i="1" s="1"/>
  <c r="P2402" i="1"/>
  <c r="J2402" i="1" s="1"/>
  <c r="P2403" i="1"/>
  <c r="J2403" i="1" s="1"/>
  <c r="P2404" i="1"/>
  <c r="J2404" i="1" s="1"/>
  <c r="P2405" i="1"/>
  <c r="J2405" i="1" s="1"/>
  <c r="P2406" i="1"/>
  <c r="J2406" i="1" s="1"/>
  <c r="P2407" i="1"/>
  <c r="J2407" i="1" s="1"/>
  <c r="P2408" i="1"/>
  <c r="J2408" i="1" s="1"/>
  <c r="P2409" i="1"/>
  <c r="J2409" i="1" s="1"/>
  <c r="P2410" i="1"/>
  <c r="J2410" i="1" s="1"/>
  <c r="P2411" i="1"/>
  <c r="J2411" i="1" s="1"/>
  <c r="P2412" i="1"/>
  <c r="J2412" i="1" s="1"/>
  <c r="P2413" i="1"/>
  <c r="J2413" i="1" s="1"/>
  <c r="P2414" i="1"/>
  <c r="J2414" i="1" s="1"/>
  <c r="P2415" i="1"/>
  <c r="J2415" i="1" s="1"/>
  <c r="P2416" i="1"/>
  <c r="J2416" i="1" s="1"/>
  <c r="P2417" i="1"/>
  <c r="J2417" i="1" s="1"/>
  <c r="P2418" i="1"/>
  <c r="J2418" i="1" s="1"/>
  <c r="P2419" i="1"/>
  <c r="J2419" i="1" s="1"/>
  <c r="P2420" i="1"/>
  <c r="J2420" i="1" s="1"/>
  <c r="P2421" i="1"/>
  <c r="J2421" i="1" s="1"/>
  <c r="P2422" i="1"/>
  <c r="J2422" i="1" s="1"/>
  <c r="P2423" i="1"/>
  <c r="J2423" i="1" s="1"/>
  <c r="P2424" i="1"/>
  <c r="J2424" i="1" s="1"/>
  <c r="P2425" i="1"/>
  <c r="J2425" i="1" s="1"/>
  <c r="P2426" i="1"/>
  <c r="J2426" i="1" s="1"/>
  <c r="P2427" i="1"/>
  <c r="J2427" i="1" s="1"/>
  <c r="P2428" i="1"/>
  <c r="J2428" i="1" s="1"/>
  <c r="P2429" i="1"/>
  <c r="J2429" i="1" s="1"/>
  <c r="P2430" i="1"/>
  <c r="J2430" i="1" s="1"/>
  <c r="P2431" i="1"/>
  <c r="J2431" i="1" s="1"/>
  <c r="P2432" i="1"/>
  <c r="J2432" i="1" s="1"/>
  <c r="P2433" i="1"/>
  <c r="J2433" i="1" s="1"/>
  <c r="P2434" i="1"/>
  <c r="J2434" i="1" s="1"/>
  <c r="P2435" i="1"/>
  <c r="J2435" i="1" s="1"/>
  <c r="P2436" i="1"/>
  <c r="J2436" i="1" s="1"/>
  <c r="P2437" i="1"/>
  <c r="J2437" i="1" s="1"/>
  <c r="P2438" i="1"/>
  <c r="J2438" i="1" s="1"/>
  <c r="P2439" i="1"/>
  <c r="P2440" i="1"/>
  <c r="J2440" i="1" s="1"/>
  <c r="P2441" i="1"/>
  <c r="J2441" i="1" s="1"/>
  <c r="P2442" i="1"/>
  <c r="J2442" i="1" s="1"/>
  <c r="P2443" i="1"/>
  <c r="J2443" i="1" s="1"/>
  <c r="P2444" i="1"/>
  <c r="J2444" i="1" s="1"/>
  <c r="P2445" i="1"/>
  <c r="J2445" i="1" s="1"/>
  <c r="P2446" i="1"/>
  <c r="J2446" i="1" s="1"/>
  <c r="P2447" i="1"/>
  <c r="J2447" i="1" s="1"/>
  <c r="P2448" i="1"/>
  <c r="J2448" i="1" s="1"/>
  <c r="P2449" i="1"/>
  <c r="J2449" i="1" s="1"/>
  <c r="P2450" i="1"/>
  <c r="J2450" i="1" s="1"/>
  <c r="P2451" i="1"/>
  <c r="J2451" i="1" s="1"/>
  <c r="P2452" i="1"/>
  <c r="J2452" i="1" s="1"/>
  <c r="P2453" i="1"/>
  <c r="J2453" i="1" s="1"/>
  <c r="P2454" i="1"/>
  <c r="J2454" i="1" s="1"/>
  <c r="P2455" i="1"/>
  <c r="J2455" i="1" s="1"/>
  <c r="P2456" i="1"/>
  <c r="P2457" i="1"/>
  <c r="J2457" i="1" s="1"/>
  <c r="P2458" i="1"/>
  <c r="J2458" i="1" s="1"/>
  <c r="P2459" i="1"/>
  <c r="J2459" i="1" s="1"/>
  <c r="P2460" i="1"/>
  <c r="J2460" i="1" s="1"/>
  <c r="P2461" i="1"/>
  <c r="J2461" i="1" s="1"/>
  <c r="P2462" i="1"/>
  <c r="J2462" i="1" s="1"/>
  <c r="P2463" i="1"/>
  <c r="J2463" i="1" s="1"/>
  <c r="P2464" i="1"/>
  <c r="J2464" i="1" s="1"/>
  <c r="P2465" i="1"/>
  <c r="J2465" i="1" s="1"/>
  <c r="P2466" i="1"/>
  <c r="J2466" i="1" s="1"/>
  <c r="P2467" i="1"/>
  <c r="J2467" i="1" s="1"/>
  <c r="P2468" i="1"/>
  <c r="J2468" i="1" s="1"/>
  <c r="P2469" i="1"/>
  <c r="J2469" i="1" s="1"/>
  <c r="P2470" i="1"/>
  <c r="J2470" i="1" s="1"/>
  <c r="P2471" i="1"/>
  <c r="J2471" i="1" s="1"/>
  <c r="P2472" i="1"/>
  <c r="J2472" i="1" s="1"/>
  <c r="P2473" i="1"/>
  <c r="J2473" i="1" s="1"/>
  <c r="P2474" i="1"/>
  <c r="J2474" i="1" s="1"/>
  <c r="P2475" i="1"/>
  <c r="J2475" i="1" s="1"/>
  <c r="P2476" i="1"/>
  <c r="J2476" i="1" s="1"/>
  <c r="P2477" i="1"/>
  <c r="J2477" i="1" s="1"/>
  <c r="P2478" i="1"/>
  <c r="J2478" i="1" s="1"/>
  <c r="P2479" i="1"/>
  <c r="J2479" i="1" s="1"/>
  <c r="P2480" i="1"/>
  <c r="J2480" i="1" s="1"/>
  <c r="P2481" i="1"/>
  <c r="J2481" i="1" s="1"/>
  <c r="P2482" i="1"/>
  <c r="J2482" i="1" s="1"/>
  <c r="P2483" i="1"/>
  <c r="J2483" i="1" s="1"/>
  <c r="P2484" i="1"/>
  <c r="J2484" i="1" s="1"/>
  <c r="P2485" i="1"/>
  <c r="J2485" i="1" s="1"/>
  <c r="P2486" i="1"/>
  <c r="J2486" i="1" s="1"/>
  <c r="P2487" i="1"/>
  <c r="J2487" i="1" s="1"/>
  <c r="P2488" i="1"/>
  <c r="J2488" i="1" s="1"/>
  <c r="P2489" i="1"/>
  <c r="J2489" i="1" s="1"/>
  <c r="P2490" i="1"/>
  <c r="J2490" i="1" s="1"/>
  <c r="P2491" i="1"/>
  <c r="J2491" i="1" s="1"/>
  <c r="P2492" i="1"/>
  <c r="J2492" i="1" s="1"/>
  <c r="P2493" i="1"/>
  <c r="J2493" i="1" s="1"/>
  <c r="P2494" i="1"/>
  <c r="J2494" i="1" s="1"/>
  <c r="P2495" i="1"/>
  <c r="J2495" i="1" s="1"/>
  <c r="P2496" i="1"/>
  <c r="J2496" i="1" s="1"/>
  <c r="P2497" i="1"/>
  <c r="J2497" i="1" s="1"/>
  <c r="P2498" i="1"/>
  <c r="J2498" i="1" s="1"/>
  <c r="P2499" i="1"/>
  <c r="J2499" i="1" s="1"/>
  <c r="P2500" i="1"/>
  <c r="J2500" i="1" s="1"/>
  <c r="P2501" i="1"/>
  <c r="J2501" i="1" s="1"/>
  <c r="P2502" i="1"/>
  <c r="J2502" i="1" s="1"/>
  <c r="P2503" i="1"/>
  <c r="P2504" i="1"/>
  <c r="J2504" i="1" s="1"/>
  <c r="P2505" i="1"/>
  <c r="J2505" i="1" s="1"/>
  <c r="P2506" i="1"/>
  <c r="J2506" i="1" s="1"/>
  <c r="P2507" i="1"/>
  <c r="J2507" i="1" s="1"/>
  <c r="P2508" i="1"/>
  <c r="J2508" i="1" s="1"/>
  <c r="P2509" i="1"/>
  <c r="J2509" i="1" s="1"/>
  <c r="P2510" i="1"/>
  <c r="J2510" i="1" s="1"/>
  <c r="P2511" i="1"/>
  <c r="J2511" i="1" s="1"/>
  <c r="P2512" i="1"/>
  <c r="J2512" i="1" s="1"/>
  <c r="P2513" i="1"/>
  <c r="J2513" i="1" s="1"/>
  <c r="P2514" i="1"/>
  <c r="J2514" i="1" s="1"/>
  <c r="P2515" i="1"/>
  <c r="J2515" i="1" s="1"/>
  <c r="P2516" i="1"/>
  <c r="J2516" i="1" s="1"/>
  <c r="P2517" i="1"/>
  <c r="J2517" i="1" s="1"/>
  <c r="P2518" i="1"/>
  <c r="J2518" i="1" s="1"/>
  <c r="P2519" i="1"/>
  <c r="J2519" i="1" s="1"/>
  <c r="P2520" i="1"/>
  <c r="J2520" i="1" s="1"/>
  <c r="P2521" i="1"/>
  <c r="J2521" i="1" s="1"/>
  <c r="P2522" i="1"/>
  <c r="J2522" i="1" s="1"/>
  <c r="P2523" i="1"/>
  <c r="J2523" i="1" s="1"/>
  <c r="P2524" i="1"/>
  <c r="J2524" i="1" s="1"/>
  <c r="P2525" i="1"/>
  <c r="J2525" i="1" s="1"/>
  <c r="P2526" i="1"/>
  <c r="P2527" i="1"/>
  <c r="J2527" i="1" s="1"/>
  <c r="P2528" i="1"/>
  <c r="J2528" i="1" s="1"/>
  <c r="P2529" i="1"/>
  <c r="J2529" i="1" s="1"/>
  <c r="P2530" i="1"/>
  <c r="J2530" i="1" s="1"/>
  <c r="P2531" i="1"/>
  <c r="J2531" i="1" s="1"/>
  <c r="P2532" i="1"/>
  <c r="J2532" i="1" s="1"/>
  <c r="P2533" i="1"/>
  <c r="J2533" i="1" s="1"/>
  <c r="P2534" i="1"/>
  <c r="J2534" i="1" s="1"/>
  <c r="P2535" i="1"/>
  <c r="J2535" i="1" s="1"/>
  <c r="P2536" i="1"/>
  <c r="J2536" i="1" s="1"/>
  <c r="P2537" i="1"/>
  <c r="J2537" i="1" s="1"/>
  <c r="P2538" i="1"/>
  <c r="J2538" i="1" s="1"/>
  <c r="P2539" i="1"/>
  <c r="J2539" i="1" s="1"/>
  <c r="P2540" i="1"/>
  <c r="J2540" i="1" s="1"/>
  <c r="P2541" i="1"/>
  <c r="J2541" i="1" s="1"/>
  <c r="P2542" i="1"/>
  <c r="J2542" i="1" s="1"/>
  <c r="P2543" i="1"/>
  <c r="J2543" i="1" s="1"/>
  <c r="P2544" i="1"/>
  <c r="J2544" i="1" s="1"/>
  <c r="P2545" i="1"/>
  <c r="J2545" i="1" s="1"/>
  <c r="P2546" i="1"/>
  <c r="J2546" i="1" s="1"/>
  <c r="P2547" i="1"/>
  <c r="J2547" i="1" s="1"/>
  <c r="P2548" i="1"/>
  <c r="J2548" i="1" s="1"/>
  <c r="P2549" i="1"/>
  <c r="J2549" i="1" s="1"/>
  <c r="P2550" i="1"/>
  <c r="P2551" i="1"/>
  <c r="J2551" i="1" s="1"/>
  <c r="P2552" i="1"/>
  <c r="J2552" i="1" s="1"/>
  <c r="P2553" i="1"/>
  <c r="J2553" i="1" s="1"/>
  <c r="P2554" i="1"/>
  <c r="J2554" i="1" s="1"/>
  <c r="P2555" i="1"/>
  <c r="J2555" i="1" s="1"/>
  <c r="P2556" i="1"/>
  <c r="J2556" i="1" s="1"/>
  <c r="P2557" i="1"/>
  <c r="J2557" i="1" s="1"/>
  <c r="P2558" i="1"/>
  <c r="J2558" i="1" s="1"/>
  <c r="P2559" i="1"/>
  <c r="J2559" i="1" s="1"/>
  <c r="P2560" i="1"/>
  <c r="J2560" i="1" s="1"/>
  <c r="P2561" i="1"/>
  <c r="J2561" i="1" s="1"/>
  <c r="P2562" i="1"/>
  <c r="J2562" i="1" s="1"/>
  <c r="P2563" i="1"/>
  <c r="J2563" i="1" s="1"/>
  <c r="P2564" i="1"/>
  <c r="J2564" i="1" s="1"/>
  <c r="P2565" i="1"/>
  <c r="J2565" i="1" s="1"/>
  <c r="P2566" i="1"/>
  <c r="J2566" i="1" s="1"/>
  <c r="P2567" i="1"/>
  <c r="J2567" i="1" s="1"/>
  <c r="P2568" i="1"/>
  <c r="J2568" i="1" s="1"/>
  <c r="P2569" i="1"/>
  <c r="J2569" i="1" s="1"/>
  <c r="P2570" i="1"/>
  <c r="P2571" i="1"/>
  <c r="J2571" i="1" s="1"/>
  <c r="P2572" i="1"/>
  <c r="J2572" i="1" s="1"/>
  <c r="P2573" i="1"/>
  <c r="J2573" i="1" s="1"/>
  <c r="P2574" i="1"/>
  <c r="J2574" i="1" s="1"/>
  <c r="P2575" i="1"/>
  <c r="J2575" i="1" s="1"/>
  <c r="P2576" i="1"/>
  <c r="J2576" i="1" s="1"/>
  <c r="P2577" i="1"/>
  <c r="J2577" i="1" s="1"/>
  <c r="P2578" i="1"/>
  <c r="J2578" i="1" s="1"/>
  <c r="P2579" i="1"/>
  <c r="J2579" i="1" s="1"/>
  <c r="P2580" i="1"/>
  <c r="J2580" i="1" s="1"/>
  <c r="P2581" i="1"/>
  <c r="J2581" i="1" s="1"/>
  <c r="P2582" i="1"/>
  <c r="J2582" i="1" s="1"/>
  <c r="P2583" i="1"/>
  <c r="J2583" i="1" s="1"/>
  <c r="P2584" i="1"/>
  <c r="J2584" i="1" s="1"/>
  <c r="P2585" i="1"/>
  <c r="J2585" i="1" s="1"/>
  <c r="P2586" i="1"/>
  <c r="J2586" i="1" s="1"/>
  <c r="P2587" i="1"/>
  <c r="J2587" i="1" s="1"/>
  <c r="P2588" i="1"/>
  <c r="P2589" i="1"/>
  <c r="J2589" i="1" s="1"/>
  <c r="P2590" i="1"/>
  <c r="J2590" i="1" s="1"/>
  <c r="P2591" i="1"/>
  <c r="J2591" i="1" s="1"/>
  <c r="P2592" i="1"/>
  <c r="J2592" i="1" s="1"/>
  <c r="P2593" i="1"/>
  <c r="J2593" i="1" s="1"/>
  <c r="P2594" i="1"/>
  <c r="J2594" i="1" s="1"/>
  <c r="P2595" i="1"/>
  <c r="J2595" i="1" s="1"/>
  <c r="P2596" i="1"/>
  <c r="J2596" i="1" s="1"/>
  <c r="P2597" i="1"/>
  <c r="J2597" i="1" s="1"/>
  <c r="P2598" i="1"/>
  <c r="J2598" i="1" s="1"/>
  <c r="P2599" i="1"/>
  <c r="J2599" i="1" s="1"/>
  <c r="P2600" i="1"/>
  <c r="J2600" i="1" s="1"/>
  <c r="P2601" i="1"/>
  <c r="J2601" i="1" s="1"/>
  <c r="P2602" i="1"/>
  <c r="J2602" i="1" s="1"/>
  <c r="P2603" i="1"/>
  <c r="J2603" i="1" s="1"/>
  <c r="P2604" i="1"/>
  <c r="J2604" i="1" s="1"/>
  <c r="P2605" i="1"/>
  <c r="J2605" i="1" s="1"/>
  <c r="P2606" i="1"/>
  <c r="J2606" i="1" s="1"/>
  <c r="P2607" i="1"/>
  <c r="J2607" i="1" s="1"/>
  <c r="P2608" i="1"/>
  <c r="J2608" i="1" s="1"/>
  <c r="P2609" i="1"/>
  <c r="J2609" i="1" s="1"/>
  <c r="P2610" i="1"/>
  <c r="J2610" i="1" s="1"/>
  <c r="P2611" i="1"/>
  <c r="J2611" i="1" s="1"/>
  <c r="P2612" i="1"/>
  <c r="J2612" i="1" s="1"/>
  <c r="P2613" i="1"/>
  <c r="J2613" i="1" s="1"/>
  <c r="P2614" i="1"/>
  <c r="J2614" i="1" s="1"/>
  <c r="P2615" i="1"/>
  <c r="J2615" i="1" s="1"/>
  <c r="P2616" i="1"/>
  <c r="J2616" i="1" s="1"/>
  <c r="P2617" i="1"/>
  <c r="J2617" i="1" s="1"/>
  <c r="P2618" i="1"/>
  <c r="J2618" i="1" s="1"/>
  <c r="P2619" i="1"/>
  <c r="J2619" i="1" s="1"/>
  <c r="P2620" i="1"/>
  <c r="J2620" i="1" s="1"/>
  <c r="P2621" i="1"/>
  <c r="J2621" i="1" s="1"/>
  <c r="P2622" i="1"/>
  <c r="J2622" i="1" s="1"/>
  <c r="P2623" i="1"/>
  <c r="J2623" i="1" s="1"/>
  <c r="P2624" i="1"/>
  <c r="J2624" i="1" s="1"/>
  <c r="P2625" i="1"/>
  <c r="J2625" i="1" s="1"/>
  <c r="P2626" i="1"/>
  <c r="J2626" i="1" s="1"/>
  <c r="P2627" i="1"/>
  <c r="J2627" i="1" s="1"/>
  <c r="P2628" i="1"/>
  <c r="J2628" i="1" s="1"/>
  <c r="P2629" i="1"/>
  <c r="J2629" i="1" s="1"/>
  <c r="P2630" i="1"/>
  <c r="J2630" i="1" s="1"/>
  <c r="P2631" i="1"/>
  <c r="J2631" i="1" s="1"/>
  <c r="P2632" i="1"/>
  <c r="J2632" i="1" s="1"/>
  <c r="P2633" i="1"/>
  <c r="P2634" i="1"/>
  <c r="J2634" i="1" s="1"/>
  <c r="P2635" i="1"/>
  <c r="J2635" i="1" s="1"/>
  <c r="P2636" i="1"/>
  <c r="J2636" i="1" s="1"/>
  <c r="P2637" i="1"/>
  <c r="J2637" i="1" s="1"/>
  <c r="P2638" i="1"/>
  <c r="J2638" i="1" s="1"/>
  <c r="P2639" i="1"/>
  <c r="J2639" i="1" s="1"/>
  <c r="P2640" i="1"/>
  <c r="J2640" i="1" s="1"/>
  <c r="P2641" i="1"/>
  <c r="J2641" i="1" s="1"/>
  <c r="P2642" i="1"/>
  <c r="J2642" i="1" s="1"/>
  <c r="P2643" i="1"/>
  <c r="J2643" i="1" s="1"/>
  <c r="P2644" i="1"/>
  <c r="J2644" i="1" s="1"/>
  <c r="P2645" i="1"/>
  <c r="J2645" i="1" s="1"/>
  <c r="P2646" i="1"/>
  <c r="J2646" i="1" s="1"/>
  <c r="P2647" i="1"/>
  <c r="J2647" i="1" s="1"/>
  <c r="P2648" i="1"/>
  <c r="J2648" i="1" s="1"/>
  <c r="P2649" i="1"/>
  <c r="J2649" i="1" s="1"/>
  <c r="P2650" i="1"/>
  <c r="P2651" i="1"/>
  <c r="P2652" i="1"/>
  <c r="J2652" i="1" s="1"/>
  <c r="P2653" i="1"/>
  <c r="J2653" i="1" s="1"/>
  <c r="P2654" i="1"/>
  <c r="J2654" i="1" s="1"/>
  <c r="P2655" i="1"/>
  <c r="J2655" i="1" s="1"/>
  <c r="P2656" i="1"/>
  <c r="J2656" i="1" s="1"/>
  <c r="P2657" i="1"/>
  <c r="J2657" i="1" s="1"/>
  <c r="P2658" i="1"/>
  <c r="J2658" i="1" s="1"/>
  <c r="P2659" i="1"/>
  <c r="J2659" i="1" s="1"/>
  <c r="P2660" i="1"/>
  <c r="J2660" i="1" s="1"/>
  <c r="P2661" i="1"/>
  <c r="J2661" i="1" s="1"/>
  <c r="P2662" i="1"/>
  <c r="J2662" i="1" s="1"/>
  <c r="P2663" i="1"/>
  <c r="J2663" i="1" s="1"/>
  <c r="P2664" i="1"/>
  <c r="J2664" i="1" s="1"/>
  <c r="P2665" i="1"/>
  <c r="P2666" i="1"/>
  <c r="J2666" i="1" s="1"/>
  <c r="P2667" i="1"/>
  <c r="J2667" i="1" s="1"/>
  <c r="P2668" i="1"/>
  <c r="J2668" i="1" s="1"/>
  <c r="P2669" i="1"/>
  <c r="J2669" i="1" s="1"/>
  <c r="P2670" i="1"/>
  <c r="J2670" i="1" s="1"/>
  <c r="P2671" i="1"/>
  <c r="J2671" i="1" s="1"/>
  <c r="P2672" i="1"/>
  <c r="P2673" i="1"/>
  <c r="J2673" i="1" s="1"/>
  <c r="P2674" i="1"/>
  <c r="J2674" i="1" s="1"/>
  <c r="P2675" i="1"/>
  <c r="J2675" i="1" s="1"/>
  <c r="P2676" i="1"/>
  <c r="J2676" i="1" s="1"/>
  <c r="P2677" i="1"/>
  <c r="P2678" i="1"/>
  <c r="J2678" i="1" s="1"/>
  <c r="P2679" i="1"/>
  <c r="J2679" i="1" s="1"/>
  <c r="P2680" i="1"/>
  <c r="P2681" i="1"/>
  <c r="J2681" i="1" s="1"/>
  <c r="P2682" i="1"/>
  <c r="J2682" i="1" s="1"/>
  <c r="P2683" i="1"/>
  <c r="J2683" i="1" s="1"/>
  <c r="P2684" i="1"/>
  <c r="J2684" i="1" s="1"/>
  <c r="P2685" i="1"/>
  <c r="J2685" i="1" s="1"/>
  <c r="P2686" i="1"/>
  <c r="J2686" i="1" s="1"/>
  <c r="P2687" i="1"/>
  <c r="J2687" i="1" s="1"/>
  <c r="P2688" i="1"/>
  <c r="J2688" i="1" s="1"/>
  <c r="P2689" i="1"/>
  <c r="J2689" i="1" s="1"/>
  <c r="P2690" i="1"/>
  <c r="J2690" i="1" s="1"/>
  <c r="P2691" i="1"/>
  <c r="J2691" i="1" s="1"/>
  <c r="P2692" i="1"/>
  <c r="J2692" i="1" s="1"/>
  <c r="P2693" i="1"/>
  <c r="J2693" i="1" s="1"/>
  <c r="P2694" i="1"/>
  <c r="J2694" i="1" s="1"/>
  <c r="P2695" i="1"/>
  <c r="J2695" i="1" s="1"/>
  <c r="P2696" i="1"/>
  <c r="J2696" i="1" s="1"/>
  <c r="P2697" i="1"/>
  <c r="J2697" i="1" s="1"/>
  <c r="P2698" i="1"/>
  <c r="J2698" i="1" s="1"/>
  <c r="P2699" i="1"/>
  <c r="J2699" i="1" s="1"/>
  <c r="P2700" i="1"/>
  <c r="J2700" i="1" s="1"/>
  <c r="P2701" i="1"/>
  <c r="J2701" i="1" s="1"/>
  <c r="P2702" i="1"/>
  <c r="J2702" i="1" s="1"/>
  <c r="P2703" i="1"/>
  <c r="J2703" i="1" s="1"/>
  <c r="P2704" i="1"/>
  <c r="J2704" i="1" s="1"/>
  <c r="P2705" i="1"/>
  <c r="J2705" i="1" s="1"/>
  <c r="P2706" i="1"/>
  <c r="J2706" i="1" s="1"/>
  <c r="P2707" i="1"/>
  <c r="J2707" i="1" s="1"/>
  <c r="P2708" i="1"/>
  <c r="J2708" i="1" s="1"/>
  <c r="P2709" i="1"/>
  <c r="J2709" i="1" s="1"/>
  <c r="P2710" i="1"/>
  <c r="J2710" i="1" s="1"/>
  <c r="P2711" i="1"/>
  <c r="J2711" i="1" s="1"/>
  <c r="P2712" i="1"/>
  <c r="J2712" i="1" s="1"/>
  <c r="P2713" i="1"/>
  <c r="J2713" i="1" s="1"/>
  <c r="P2714" i="1"/>
  <c r="J2714" i="1" s="1"/>
  <c r="P2715" i="1"/>
  <c r="P2716" i="1"/>
  <c r="J2716" i="1" s="1"/>
  <c r="P2717" i="1"/>
  <c r="J2717" i="1" s="1"/>
  <c r="P2718" i="1"/>
  <c r="J2718" i="1" s="1"/>
  <c r="P2719" i="1"/>
  <c r="J2719" i="1" s="1"/>
  <c r="P2720" i="1"/>
  <c r="J2720" i="1" s="1"/>
  <c r="P2721" i="1"/>
  <c r="J2721" i="1" s="1"/>
  <c r="P2722" i="1"/>
  <c r="J2722" i="1" s="1"/>
  <c r="P2723" i="1"/>
  <c r="J2723" i="1" s="1"/>
  <c r="P2724" i="1"/>
  <c r="J2724" i="1" s="1"/>
  <c r="P2725" i="1"/>
  <c r="J2725" i="1" s="1"/>
  <c r="P2726" i="1"/>
  <c r="J2726" i="1" s="1"/>
  <c r="P2727" i="1"/>
  <c r="J2727" i="1" s="1"/>
  <c r="P2728" i="1"/>
  <c r="J2728" i="1" s="1"/>
  <c r="P2729" i="1"/>
  <c r="J2729" i="1" s="1"/>
  <c r="P2730" i="1"/>
  <c r="J2730" i="1" s="1"/>
  <c r="P2731" i="1"/>
  <c r="J2731" i="1" s="1"/>
  <c r="P2732" i="1"/>
  <c r="P2733" i="1"/>
  <c r="J2733" i="1" s="1"/>
  <c r="P2734" i="1"/>
  <c r="J2734" i="1" s="1"/>
  <c r="P2735" i="1"/>
  <c r="J2735" i="1" s="1"/>
  <c r="P2736" i="1"/>
  <c r="J2736" i="1" s="1"/>
  <c r="P2737" i="1"/>
  <c r="J2737" i="1" s="1"/>
  <c r="P2738" i="1"/>
  <c r="J2738" i="1" s="1"/>
  <c r="P2739" i="1"/>
  <c r="P2740" i="1"/>
  <c r="J2740" i="1" s="1"/>
  <c r="P2741" i="1"/>
  <c r="J2741" i="1" s="1"/>
  <c r="P2742" i="1"/>
  <c r="J2742" i="1" s="1"/>
  <c r="P2743" i="1"/>
  <c r="J2743" i="1" s="1"/>
  <c r="P2744" i="1"/>
  <c r="J2744" i="1" s="1"/>
  <c r="P2745" i="1"/>
  <c r="J2745" i="1" s="1"/>
  <c r="P2746" i="1"/>
  <c r="J2746" i="1" s="1"/>
  <c r="P2747" i="1"/>
  <c r="J2747" i="1" s="1"/>
  <c r="P2748" i="1"/>
  <c r="J2748" i="1" s="1"/>
  <c r="P2749" i="1"/>
  <c r="J2749" i="1" s="1"/>
  <c r="P2750" i="1"/>
  <c r="J2750" i="1" s="1"/>
  <c r="P2751" i="1"/>
  <c r="J2751" i="1" s="1"/>
  <c r="P2752" i="1"/>
  <c r="J2752" i="1" s="1"/>
  <c r="P2753" i="1"/>
  <c r="J2753" i="1" s="1"/>
  <c r="P2754" i="1"/>
  <c r="J2754" i="1" s="1"/>
  <c r="P2755" i="1"/>
  <c r="J2755" i="1" s="1"/>
  <c r="P2756" i="1"/>
  <c r="J2756" i="1" s="1"/>
  <c r="P2757" i="1"/>
  <c r="J2757" i="1" s="1"/>
  <c r="P2758" i="1"/>
  <c r="J2758" i="1" s="1"/>
  <c r="P2759" i="1"/>
  <c r="J2759" i="1" s="1"/>
  <c r="P2760" i="1"/>
  <c r="J2760" i="1" s="1"/>
  <c r="P2761" i="1"/>
  <c r="J2761" i="1" s="1"/>
  <c r="P2762" i="1"/>
  <c r="J2762" i="1" s="1"/>
  <c r="P2763" i="1"/>
  <c r="J2763" i="1" s="1"/>
  <c r="P2764" i="1"/>
  <c r="J2764" i="1" s="1"/>
  <c r="P2765" i="1"/>
  <c r="J2765" i="1" s="1"/>
  <c r="P2766" i="1"/>
  <c r="J2766" i="1" s="1"/>
  <c r="P2767" i="1"/>
  <c r="J2767" i="1" s="1"/>
  <c r="P2768" i="1"/>
  <c r="J2768" i="1" s="1"/>
  <c r="P2769" i="1"/>
  <c r="J2769" i="1" s="1"/>
  <c r="P2770" i="1"/>
  <c r="J2770" i="1" s="1"/>
  <c r="P2771" i="1"/>
  <c r="J2771" i="1" s="1"/>
  <c r="P2772" i="1"/>
  <c r="J2772" i="1" s="1"/>
  <c r="P2773" i="1"/>
  <c r="J2773" i="1" s="1"/>
  <c r="P2774" i="1"/>
  <c r="J2774" i="1" s="1"/>
  <c r="P2775" i="1"/>
  <c r="J2775" i="1" s="1"/>
  <c r="P2776" i="1"/>
  <c r="J2776" i="1" s="1"/>
  <c r="P2777" i="1"/>
  <c r="J2777" i="1" s="1"/>
  <c r="P2778" i="1"/>
  <c r="J2778" i="1" s="1"/>
  <c r="P2779" i="1"/>
  <c r="J2779" i="1" s="1"/>
  <c r="P2780" i="1"/>
  <c r="J2780" i="1" s="1"/>
  <c r="P2781" i="1"/>
  <c r="P2782" i="1"/>
  <c r="J2782" i="1" s="1"/>
  <c r="P2783" i="1"/>
  <c r="J2783" i="1" s="1"/>
  <c r="P2784" i="1"/>
  <c r="J2784" i="1" s="1"/>
  <c r="P2785" i="1"/>
  <c r="J2785" i="1" s="1"/>
  <c r="P2786" i="1"/>
  <c r="J2786" i="1" s="1"/>
  <c r="P2787" i="1"/>
  <c r="J2787" i="1" s="1"/>
  <c r="P2788" i="1"/>
  <c r="J2788" i="1" s="1"/>
  <c r="P2789" i="1"/>
  <c r="J2789" i="1" s="1"/>
  <c r="P2790" i="1"/>
  <c r="J2790" i="1" s="1"/>
  <c r="P2791" i="1"/>
  <c r="J2791" i="1" s="1"/>
  <c r="P2792" i="1"/>
  <c r="J2792" i="1" s="1"/>
  <c r="P2793" i="1"/>
  <c r="J2793" i="1" s="1"/>
  <c r="P2794" i="1"/>
  <c r="J2794" i="1" s="1"/>
  <c r="P2795" i="1"/>
  <c r="J2795" i="1" s="1"/>
  <c r="P2796" i="1"/>
  <c r="J2796" i="1" s="1"/>
  <c r="P2797" i="1"/>
  <c r="J2797" i="1" s="1"/>
  <c r="P2798" i="1"/>
  <c r="J2798" i="1" s="1"/>
  <c r="P2799" i="1"/>
  <c r="J2799" i="1" s="1"/>
  <c r="P2800" i="1"/>
  <c r="J2800" i="1" s="1"/>
  <c r="P2801" i="1"/>
  <c r="J2801" i="1" s="1"/>
  <c r="P2802" i="1"/>
  <c r="J2802" i="1" s="1"/>
  <c r="P2803" i="1"/>
  <c r="J2803" i="1" s="1"/>
  <c r="P2804" i="1"/>
  <c r="J2804" i="1" s="1"/>
  <c r="P2805" i="1"/>
  <c r="J2805" i="1" s="1"/>
  <c r="P2806" i="1"/>
  <c r="J2806" i="1" s="1"/>
  <c r="P2807" i="1"/>
  <c r="J2807" i="1" s="1"/>
  <c r="P2808" i="1"/>
  <c r="J2808" i="1" s="1"/>
  <c r="P2809" i="1"/>
  <c r="J2809" i="1" s="1"/>
  <c r="P2810" i="1"/>
  <c r="J2810" i="1" s="1"/>
  <c r="P2811" i="1"/>
  <c r="J2811" i="1" s="1"/>
  <c r="P2812" i="1"/>
  <c r="J2812" i="1" s="1"/>
  <c r="P2813" i="1"/>
  <c r="J2813" i="1" s="1"/>
  <c r="P2814" i="1"/>
  <c r="J2814" i="1" s="1"/>
  <c r="P2815" i="1"/>
  <c r="J2815" i="1" s="1"/>
  <c r="P2816" i="1"/>
  <c r="J2816" i="1" s="1"/>
  <c r="P2817" i="1"/>
  <c r="J2817" i="1" s="1"/>
  <c r="P2818" i="1"/>
  <c r="J2818" i="1" s="1"/>
  <c r="P2819" i="1"/>
  <c r="J2819" i="1" s="1"/>
  <c r="P2820" i="1"/>
  <c r="J2820" i="1" s="1"/>
  <c r="P2821" i="1"/>
  <c r="J2821" i="1" s="1"/>
  <c r="P2822" i="1"/>
  <c r="J2822" i="1" s="1"/>
  <c r="P2823" i="1"/>
  <c r="J2823" i="1" s="1"/>
  <c r="P2824" i="1"/>
  <c r="J2824" i="1" s="1"/>
  <c r="P2825" i="1"/>
  <c r="J2825" i="1" s="1"/>
  <c r="P2826" i="1"/>
  <c r="J2826" i="1" s="1"/>
  <c r="P2827" i="1"/>
  <c r="J2827" i="1" s="1"/>
  <c r="P2828" i="1"/>
  <c r="J2828" i="1" s="1"/>
  <c r="P2829" i="1"/>
  <c r="J2829" i="1" s="1"/>
  <c r="P2830" i="1"/>
  <c r="J2830" i="1" s="1"/>
  <c r="P2831" i="1"/>
  <c r="J2831" i="1" s="1"/>
  <c r="P2832" i="1"/>
  <c r="J2832" i="1" s="1"/>
  <c r="P2833" i="1"/>
  <c r="J2833" i="1" s="1"/>
  <c r="P2834" i="1"/>
  <c r="J2834" i="1" s="1"/>
  <c r="P2835" i="1"/>
  <c r="J2835" i="1" s="1"/>
  <c r="P2836" i="1"/>
  <c r="J2836" i="1" s="1"/>
  <c r="P2837" i="1"/>
  <c r="J2837" i="1" s="1"/>
  <c r="P2838" i="1"/>
  <c r="J2838" i="1" s="1"/>
  <c r="P2839" i="1"/>
  <c r="J2839" i="1" s="1"/>
  <c r="P2840" i="1"/>
  <c r="P2841" i="1"/>
  <c r="J2841" i="1" s="1"/>
  <c r="P2842" i="1"/>
  <c r="J2842" i="1" s="1"/>
  <c r="P2843" i="1"/>
  <c r="J2843" i="1" s="1"/>
  <c r="P2844" i="1"/>
  <c r="J2844" i="1" s="1"/>
  <c r="P2845" i="1"/>
  <c r="J2845" i="1" s="1"/>
  <c r="P2846" i="1"/>
  <c r="J2846" i="1" s="1"/>
  <c r="P2847" i="1"/>
  <c r="P2848" i="1"/>
  <c r="J2848" i="1" s="1"/>
  <c r="P2849" i="1"/>
  <c r="J2849" i="1" s="1"/>
  <c r="P2850" i="1"/>
  <c r="J2850" i="1" s="1"/>
  <c r="P2851" i="1"/>
  <c r="J2851" i="1" s="1"/>
  <c r="P2852" i="1"/>
  <c r="P2853" i="1"/>
  <c r="J2853" i="1" s="1"/>
  <c r="P2854" i="1"/>
  <c r="J2854" i="1" s="1"/>
  <c r="P2855" i="1"/>
  <c r="P2856" i="1"/>
  <c r="J2856" i="1" s="1"/>
  <c r="P2857" i="1"/>
  <c r="J2857" i="1" s="1"/>
  <c r="P2858" i="1"/>
  <c r="J2858" i="1" s="1"/>
  <c r="P2859" i="1"/>
  <c r="J2859" i="1" s="1"/>
  <c r="P2860" i="1"/>
  <c r="J2860" i="1" s="1"/>
  <c r="P2861" i="1"/>
  <c r="J2861" i="1" s="1"/>
  <c r="P2862" i="1"/>
  <c r="J2862" i="1" s="1"/>
  <c r="P2863" i="1"/>
  <c r="J2863" i="1" s="1"/>
  <c r="P2864" i="1"/>
  <c r="J2864" i="1" s="1"/>
  <c r="P2865" i="1"/>
  <c r="J2865" i="1" s="1"/>
  <c r="P2866" i="1"/>
  <c r="P2867" i="1"/>
  <c r="J2867" i="1" s="1"/>
  <c r="P2868" i="1"/>
  <c r="J2868" i="1" s="1"/>
  <c r="P2869" i="1"/>
  <c r="J2869" i="1" s="1"/>
  <c r="P2870" i="1"/>
  <c r="J2870" i="1" s="1"/>
  <c r="P2871" i="1"/>
  <c r="J2871" i="1" s="1"/>
  <c r="P2872" i="1"/>
  <c r="J2872" i="1" s="1"/>
  <c r="P2873" i="1"/>
  <c r="J2873" i="1" s="1"/>
  <c r="P2874" i="1"/>
  <c r="P2875" i="1"/>
  <c r="J2875" i="1" s="1"/>
  <c r="P2876" i="1"/>
  <c r="J2876" i="1" s="1"/>
  <c r="P2877" i="1"/>
  <c r="J2877" i="1" s="1"/>
  <c r="P2878" i="1"/>
  <c r="J2878" i="1" s="1"/>
  <c r="P2879" i="1"/>
  <c r="J2879" i="1" s="1"/>
  <c r="P2880" i="1"/>
  <c r="J2880" i="1" s="1"/>
  <c r="P2881" i="1"/>
  <c r="J2881" i="1" s="1"/>
  <c r="P2882" i="1"/>
  <c r="J2882" i="1" s="1"/>
  <c r="P2883" i="1"/>
  <c r="J2883" i="1" s="1"/>
  <c r="P2884" i="1"/>
  <c r="J2884" i="1" s="1"/>
  <c r="P2885" i="1"/>
  <c r="J2885" i="1" s="1"/>
  <c r="P2886" i="1"/>
  <c r="J2886" i="1" s="1"/>
  <c r="P2887" i="1"/>
  <c r="J2887" i="1" s="1"/>
  <c r="P2888" i="1"/>
  <c r="J2888" i="1" s="1"/>
  <c r="P2889" i="1"/>
  <c r="J2889" i="1" s="1"/>
  <c r="P2890" i="1"/>
  <c r="J2890" i="1" s="1"/>
  <c r="P2891" i="1"/>
  <c r="J2891" i="1" s="1"/>
  <c r="P2892" i="1"/>
  <c r="J2892" i="1" s="1"/>
  <c r="P2893" i="1"/>
  <c r="J2893" i="1" s="1"/>
  <c r="P2894" i="1"/>
  <c r="J2894" i="1" s="1"/>
  <c r="P2895" i="1"/>
  <c r="J2895" i="1" s="1"/>
  <c r="P2896" i="1"/>
  <c r="J2896" i="1" s="1"/>
  <c r="P2897" i="1"/>
  <c r="J2897" i="1" s="1"/>
  <c r="P2898" i="1"/>
  <c r="J2898" i="1" s="1"/>
  <c r="P2899" i="1"/>
  <c r="J2899" i="1" s="1"/>
  <c r="P2900" i="1"/>
  <c r="J2900" i="1" s="1"/>
  <c r="P2901" i="1"/>
  <c r="J2901" i="1" s="1"/>
  <c r="P2902" i="1"/>
  <c r="J2902" i="1" s="1"/>
  <c r="P2903" i="1"/>
  <c r="J2903" i="1" s="1"/>
  <c r="P2904" i="1"/>
  <c r="J2904" i="1" s="1"/>
  <c r="P2905" i="1"/>
  <c r="J2905" i="1" s="1"/>
  <c r="P2906" i="1"/>
  <c r="J2906" i="1" s="1"/>
  <c r="P2907" i="1"/>
  <c r="J2907" i="1" s="1"/>
  <c r="P2908" i="1"/>
  <c r="J2908" i="1" s="1"/>
  <c r="P2909" i="1"/>
  <c r="J2909" i="1" s="1"/>
  <c r="P2910" i="1"/>
  <c r="J2910" i="1" s="1"/>
  <c r="P2911" i="1"/>
  <c r="J2911" i="1" s="1"/>
  <c r="P2912" i="1"/>
  <c r="J2912" i="1" s="1"/>
  <c r="P2913" i="1"/>
  <c r="J2913" i="1" s="1"/>
  <c r="P2914" i="1"/>
  <c r="J2914" i="1" s="1"/>
  <c r="P2915" i="1"/>
  <c r="J2915" i="1" s="1"/>
  <c r="P2916" i="1"/>
  <c r="J2916" i="1" s="1"/>
  <c r="P2917" i="1"/>
  <c r="J2917" i="1" s="1"/>
  <c r="P2918" i="1"/>
  <c r="J2918" i="1" s="1"/>
  <c r="P2919" i="1"/>
  <c r="J2919" i="1" s="1"/>
  <c r="P2920" i="1"/>
  <c r="J2920" i="1" s="1"/>
  <c r="P2921" i="1"/>
  <c r="J2921" i="1" s="1"/>
  <c r="P2922" i="1"/>
  <c r="J2922" i="1" s="1"/>
  <c r="P2923" i="1"/>
  <c r="J2923" i="1" s="1"/>
  <c r="P2924" i="1"/>
  <c r="J2924" i="1" s="1"/>
  <c r="P2925" i="1"/>
  <c r="J2925" i="1" s="1"/>
  <c r="P2926" i="1"/>
  <c r="J2926" i="1" s="1"/>
  <c r="P2927" i="1"/>
  <c r="J2927" i="1" s="1"/>
  <c r="P2928" i="1"/>
  <c r="J2928" i="1" s="1"/>
  <c r="P2929" i="1"/>
  <c r="P2930" i="1"/>
  <c r="J2930" i="1" s="1"/>
  <c r="P2931" i="1"/>
  <c r="J2931" i="1" s="1"/>
  <c r="P2932" i="1"/>
  <c r="J2932" i="1" s="1"/>
  <c r="P2933" i="1"/>
  <c r="P2934" i="1"/>
  <c r="J2934" i="1" s="1"/>
  <c r="P2935" i="1"/>
  <c r="J2935" i="1" s="1"/>
  <c r="P2936" i="1"/>
  <c r="P2937" i="1"/>
  <c r="J2937" i="1" s="1"/>
  <c r="P2938" i="1"/>
  <c r="J2938" i="1" s="1"/>
  <c r="P2939" i="1"/>
  <c r="J2939" i="1" s="1"/>
  <c r="P2940" i="1"/>
  <c r="J2940" i="1" s="1"/>
  <c r="P2941" i="1"/>
  <c r="J2941" i="1" s="1"/>
  <c r="P2942" i="1"/>
  <c r="J2942" i="1" s="1"/>
  <c r="P2943" i="1"/>
  <c r="J2943" i="1" s="1"/>
  <c r="P2944" i="1"/>
  <c r="J2944" i="1" s="1"/>
  <c r="P2945" i="1"/>
  <c r="J2945" i="1" s="1"/>
  <c r="P2946" i="1"/>
  <c r="J2946" i="1" s="1"/>
  <c r="P2947" i="1"/>
  <c r="J2947" i="1" s="1"/>
  <c r="P2948" i="1"/>
  <c r="J2948" i="1" s="1"/>
  <c r="P2949" i="1"/>
  <c r="J2949" i="1" s="1"/>
  <c r="P2950" i="1"/>
  <c r="J2950" i="1" s="1"/>
  <c r="P2951" i="1"/>
  <c r="J2951" i="1" s="1"/>
  <c r="P2952" i="1"/>
  <c r="J2952" i="1" s="1"/>
  <c r="P2953" i="1"/>
  <c r="J2953" i="1" s="1"/>
  <c r="P2954" i="1"/>
  <c r="J2954" i="1" s="1"/>
  <c r="P2955" i="1"/>
  <c r="J2955" i="1" s="1"/>
  <c r="P2956" i="1"/>
  <c r="J2956" i="1" s="1"/>
  <c r="P2957" i="1"/>
  <c r="J2957" i="1" s="1"/>
  <c r="P2958" i="1"/>
  <c r="J2958" i="1" s="1"/>
  <c r="P2959" i="1"/>
  <c r="J2959" i="1" s="1"/>
  <c r="P2960" i="1"/>
  <c r="J2960" i="1" s="1"/>
  <c r="P2961" i="1"/>
  <c r="J2961" i="1" s="1"/>
  <c r="P2962" i="1"/>
  <c r="P2963" i="1"/>
  <c r="J2963" i="1" s="1"/>
  <c r="P2964" i="1"/>
  <c r="J2964" i="1" s="1"/>
  <c r="P2965" i="1"/>
  <c r="J2965" i="1" s="1"/>
  <c r="P2966" i="1"/>
  <c r="J2966" i="1" s="1"/>
  <c r="P2967" i="1"/>
  <c r="J2967" i="1" s="1"/>
  <c r="P2968" i="1"/>
  <c r="J2968" i="1" s="1"/>
  <c r="P2969" i="1"/>
  <c r="J2969" i="1" s="1"/>
  <c r="P2970" i="1"/>
  <c r="J2970" i="1" s="1"/>
  <c r="P2971" i="1"/>
  <c r="J2971" i="1" s="1"/>
  <c r="P2972" i="1"/>
  <c r="J2972" i="1" s="1"/>
  <c r="P2973" i="1"/>
  <c r="J2973" i="1" s="1"/>
  <c r="P2974" i="1"/>
  <c r="J2974" i="1" s="1"/>
  <c r="P2975" i="1"/>
  <c r="J2975" i="1" s="1"/>
  <c r="P2976" i="1"/>
  <c r="J2976" i="1" s="1"/>
  <c r="P2977" i="1"/>
  <c r="J2977" i="1" s="1"/>
  <c r="P2978" i="1"/>
  <c r="J2978" i="1" s="1"/>
  <c r="P2979" i="1"/>
  <c r="J2979" i="1" s="1"/>
  <c r="P2980" i="1"/>
  <c r="J2980" i="1" s="1"/>
  <c r="P2981" i="1"/>
  <c r="J2981" i="1" s="1"/>
  <c r="P2982" i="1"/>
  <c r="J2982" i="1" s="1"/>
  <c r="P2983" i="1"/>
  <c r="J2983" i="1" s="1"/>
  <c r="P2984" i="1"/>
  <c r="J2984" i="1" s="1"/>
  <c r="P2985" i="1"/>
  <c r="J2985" i="1" s="1"/>
  <c r="P2986" i="1"/>
  <c r="J2986" i="1" s="1"/>
  <c r="P2987" i="1"/>
  <c r="J2987" i="1" s="1"/>
  <c r="P2988" i="1"/>
  <c r="J2988" i="1" s="1"/>
  <c r="P2989" i="1"/>
  <c r="J2989" i="1" s="1"/>
  <c r="P2990" i="1"/>
  <c r="J2990" i="1" s="1"/>
  <c r="P2991" i="1"/>
  <c r="P2992" i="1"/>
  <c r="J2992" i="1" s="1"/>
  <c r="P2993" i="1"/>
  <c r="J2993" i="1" s="1"/>
  <c r="P2994" i="1"/>
  <c r="J2994" i="1" s="1"/>
  <c r="P2995" i="1"/>
  <c r="J2995" i="1" s="1"/>
  <c r="P2996" i="1"/>
  <c r="J2996" i="1" s="1"/>
  <c r="P2997" i="1"/>
  <c r="J2997" i="1" s="1"/>
  <c r="P2998" i="1"/>
  <c r="J2998" i="1" s="1"/>
  <c r="P2999" i="1"/>
  <c r="J2999" i="1" s="1"/>
  <c r="P3000" i="1"/>
  <c r="J3000" i="1" s="1"/>
  <c r="P3001" i="1"/>
  <c r="J3001" i="1" s="1"/>
  <c r="P2" i="1"/>
  <c r="J2" i="1" s="1"/>
  <c r="O2" i="1"/>
  <c r="J2732" i="1" l="1"/>
  <c r="J2962" i="1"/>
  <c r="J2866" i="1"/>
  <c r="J2650" i="1"/>
  <c r="J430" i="1"/>
  <c r="J667" i="1"/>
  <c r="J151" i="1"/>
  <c r="J2933" i="1"/>
  <c r="J1661" i="1"/>
  <c r="J1277" i="1"/>
  <c r="J1037" i="1"/>
  <c r="J376" i="1"/>
  <c r="J1347" i="1"/>
  <c r="J675" i="1"/>
  <c r="J390" i="1"/>
  <c r="J1146" i="1"/>
  <c r="J919" i="1"/>
  <c r="J2588" i="1"/>
  <c r="J2781" i="1"/>
  <c r="J2840" i="1"/>
  <c r="J2672" i="1"/>
  <c r="J800" i="1"/>
  <c r="J1410" i="1"/>
  <c r="J186" i="1"/>
  <c r="J2021" i="1"/>
  <c r="J1433" i="1"/>
  <c r="J1181" i="1"/>
  <c r="J2680" i="1"/>
  <c r="J1112" i="1"/>
  <c r="J2570" i="1"/>
  <c r="J1646" i="1"/>
  <c r="J1526" i="1"/>
  <c r="J1502" i="1"/>
  <c r="J1478" i="1"/>
  <c r="J1202" i="1"/>
  <c r="J434" i="1"/>
  <c r="J302" i="1"/>
  <c r="J2218" i="1"/>
  <c r="J2337" i="1"/>
  <c r="J2852" i="1"/>
  <c r="J2000" i="1"/>
  <c r="J1172" i="1"/>
  <c r="J572" i="1"/>
  <c r="J235" i="1"/>
  <c r="J2874" i="1"/>
  <c r="J1650" i="1"/>
  <c r="J642" i="1"/>
  <c r="J989" i="1"/>
  <c r="J435" i="1"/>
  <c r="J2929" i="1"/>
  <c r="J2665" i="1"/>
  <c r="J2149" i="1"/>
  <c r="J2125" i="1"/>
  <c r="J2077" i="1"/>
  <c r="J1921" i="1"/>
  <c r="J1645" i="1"/>
  <c r="J1597" i="1"/>
  <c r="J1525" i="1"/>
  <c r="J1501" i="1"/>
  <c r="J1141" i="1"/>
  <c r="J1057" i="1"/>
  <c r="J433" i="1"/>
  <c r="J265" i="1"/>
  <c r="J2044" i="1"/>
  <c r="J1300" i="1"/>
  <c r="J2991" i="1"/>
  <c r="J2439" i="1"/>
  <c r="J1551" i="1"/>
  <c r="J793" i="1"/>
  <c r="J2855" i="1"/>
  <c r="J2651" i="1"/>
  <c r="J1967" i="1"/>
  <c r="J515" i="1"/>
  <c r="J176" i="1"/>
  <c r="J2288" i="1"/>
  <c r="J1809" i="1"/>
  <c r="J1529" i="1"/>
  <c r="J695" i="1"/>
  <c r="J1196" i="1"/>
  <c r="J371" i="1"/>
  <c r="J1401" i="1"/>
  <c r="J45" i="1"/>
  <c r="J254" i="1"/>
  <c r="J703" i="1"/>
  <c r="J475" i="1"/>
  <c r="J2131" i="1"/>
  <c r="J1807" i="1"/>
  <c r="J2550" i="1"/>
  <c r="J78" i="1"/>
  <c r="J2228" i="1"/>
  <c r="J584" i="1"/>
  <c r="J1171" i="1"/>
  <c r="J2633" i="1"/>
  <c r="J2081" i="1"/>
  <c r="J1865" i="1"/>
  <c r="J1469" i="1"/>
  <c r="J1133" i="1"/>
  <c r="J655" i="1"/>
  <c r="J596" i="1"/>
  <c r="J414" i="1"/>
  <c r="J617" i="1"/>
  <c r="J257" i="1"/>
  <c r="J653" i="1"/>
  <c r="J2847" i="1"/>
  <c r="J2739" i="1"/>
  <c r="J2715" i="1"/>
  <c r="J1995" i="1"/>
  <c r="J1407" i="1"/>
  <c r="J2296" i="1"/>
  <c r="J2294" i="1"/>
  <c r="J1874" i="1"/>
  <c r="J1442" i="1"/>
  <c r="J1418" i="1"/>
  <c r="J1142" i="1"/>
  <c r="J1034" i="1"/>
  <c r="J842" i="1"/>
  <c r="J338" i="1"/>
  <c r="J2066" i="1"/>
  <c r="J2677" i="1"/>
  <c r="J252" i="1"/>
  <c r="J1349" i="1"/>
  <c r="J527" i="1"/>
  <c r="J227" i="1"/>
  <c r="J1589" i="1"/>
  <c r="J1474" i="1"/>
  <c r="J562" i="1"/>
  <c r="J202" i="1"/>
  <c r="J1629" i="1"/>
  <c r="J1365" i="1"/>
  <c r="J1305" i="1"/>
  <c r="J1245" i="1"/>
  <c r="J549" i="1"/>
  <c r="J1346" i="1"/>
  <c r="J2936" i="1"/>
  <c r="J2456" i="1"/>
  <c r="J2324" i="1"/>
  <c r="J1724" i="1"/>
  <c r="J884" i="1"/>
  <c r="J320" i="1"/>
  <c r="J1099" i="1"/>
  <c r="J847" i="1"/>
  <c r="J998" i="1"/>
  <c r="J2503" i="1"/>
  <c r="J2299" i="1"/>
  <c r="J2526" i="1"/>
  <c r="J2058" i="1"/>
  <c r="J1782" i="1"/>
  <c r="J1290" i="1"/>
  <c r="J930" i="1"/>
  <c r="J582" i="1"/>
  <c r="J222" i="1"/>
</calcChain>
</file>

<file path=xl/sharedStrings.xml><?xml version="1.0" encoding="utf-8"?>
<sst xmlns="http://schemas.openxmlformats.org/spreadsheetml/2006/main" count="56541" uniqueCount="4651">
  <si>
    <t>order_id</t>
  </si>
  <si>
    <t>order_date</t>
  </si>
  <si>
    <t>customer_email</t>
  </si>
  <si>
    <t>country</t>
  </si>
  <si>
    <t>channel</t>
  </si>
  <si>
    <t>product_sku</t>
  </si>
  <si>
    <t>product_name</t>
  </si>
  <si>
    <t>quantity</t>
  </si>
  <si>
    <t>unit_price</t>
  </si>
  <si>
    <t>order_total</t>
  </si>
  <si>
    <t>weight</t>
  </si>
  <si>
    <t>currency</t>
  </si>
  <si>
    <t>status</t>
  </si>
  <si>
    <t>ORD-101805</t>
  </si>
  <si>
    <t>customer0457@example.com</t>
  </si>
  <si>
    <t>France</t>
  </si>
  <si>
    <t>direct</t>
  </si>
  <si>
    <t>FR-9902</t>
  </si>
  <si>
    <t>Trekking Poles</t>
  </si>
  <si>
    <t>45.00</t>
  </si>
  <si>
    <t>36.00</t>
  </si>
  <si>
    <t>EUR</t>
  </si>
  <si>
    <t>completed</t>
  </si>
  <si>
    <t>ORD-102690</t>
  </si>
  <si>
    <t>customer0814@example.com</t>
  </si>
  <si>
    <t>social</t>
  </si>
  <si>
    <t>FR-2210</t>
  </si>
  <si>
    <t>Trail Softshell</t>
  </si>
  <si>
    <t>71.10</t>
  </si>
  <si>
    <t>0.520</t>
  </si>
  <si>
    <t>GBP</t>
  </si>
  <si>
    <t>ORD-101454</t>
  </si>
  <si>
    <t>customer0858@example.com</t>
  </si>
  <si>
    <t>UK</t>
  </si>
  <si>
    <t>email</t>
  </si>
  <si>
    <t>FR-1120</t>
  </si>
  <si>
    <t>Fell Runner Cap</t>
  </si>
  <si>
    <t>0.085</t>
  </si>
  <si>
    <t>ORD-100450</t>
  </si>
  <si>
    <t>customer0116@example.com</t>
  </si>
  <si>
    <t xml:space="preserve"> UK</t>
  </si>
  <si>
    <t>organic</t>
  </si>
  <si>
    <t>FR-5567</t>
  </si>
  <si>
    <t>Merino Base Layer</t>
  </si>
  <si>
    <t>ORD-101501</t>
  </si>
  <si>
    <t>customer1397@example.com</t>
  </si>
  <si>
    <t>Ireland</t>
  </si>
  <si>
    <t>FR-8890</t>
  </si>
  <si>
    <t>Summit Down Gilet</t>
  </si>
  <si>
    <t>21.60</t>
  </si>
  <si>
    <t>0.380</t>
  </si>
  <si>
    <t>ORD-101788</t>
  </si>
  <si>
    <t>customer0775@example.com</t>
  </si>
  <si>
    <t>GB</t>
  </si>
  <si>
    <t>ORD-102657</t>
  </si>
  <si>
    <t>customer1328@example.com</t>
  </si>
  <si>
    <t>85.50</t>
  </si>
  <si>
    <t>256.50</t>
  </si>
  <si>
    <t>refunded</t>
  </si>
  <si>
    <t>ORD-102047</t>
  </si>
  <si>
    <t>customer0760@example.com</t>
  </si>
  <si>
    <t>ireland</t>
  </si>
  <si>
    <t>134.10</t>
  </si>
  <si>
    <t>268.20</t>
  </si>
  <si>
    <t>ORD-102650</t>
  </si>
  <si>
    <t>customer0013@example.com</t>
  </si>
  <si>
    <t>gb</t>
  </si>
  <si>
    <t>paid_search</t>
  </si>
  <si>
    <t>24.00</t>
  </si>
  <si>
    <t>ORD-102734</t>
  </si>
  <si>
    <t>customer0805@example.com</t>
  </si>
  <si>
    <t>95.00</t>
  </si>
  <si>
    <t>ORD-102012</t>
  </si>
  <si>
    <t>customer0123@example.com</t>
  </si>
  <si>
    <t>FR-7781</t>
  </si>
  <si>
    <t>Storm Overtrousers</t>
  </si>
  <si>
    <t>0.410</t>
  </si>
  <si>
    <t>ORD-102152</t>
  </si>
  <si>
    <t>customer0956@example.com</t>
  </si>
  <si>
    <t>129.00</t>
  </si>
  <si>
    <t>ORD-102773</t>
  </si>
  <si>
    <t>02/27/2026</t>
  </si>
  <si>
    <t>customer1363@example.com</t>
  </si>
  <si>
    <t>FR-3345</t>
  </si>
  <si>
    <t>CafÃƒÂ© Latte Mug</t>
  </si>
  <si>
    <t>116.10</t>
  </si>
  <si>
    <t>348.30</t>
  </si>
  <si>
    <t>ORD-102215</t>
  </si>
  <si>
    <t>customer1206@example.com</t>
  </si>
  <si>
    <t>FR-4471</t>
  </si>
  <si>
    <t>Alpine Jacket</t>
  </si>
  <si>
    <t>387.00</t>
  </si>
  <si>
    <t>ORD-100612</t>
  </si>
  <si>
    <t>customer0555@example.com</t>
  </si>
  <si>
    <t xml:space="preserve">uk </t>
  </si>
  <si>
    <t>ORD-102771</t>
  </si>
  <si>
    <t>customer1312@example.com</t>
  </si>
  <si>
    <t>ORD-101929</t>
  </si>
  <si>
    <t>customer0084@example.com</t>
  </si>
  <si>
    <t>United Kingdom</t>
  </si>
  <si>
    <t>ORD-101855</t>
  </si>
  <si>
    <t>customer0527@example.com</t>
  </si>
  <si>
    <t>89.00</t>
  </si>
  <si>
    <t>0.340</t>
  </si>
  <si>
    <t>ORD-101033</t>
  </si>
  <si>
    <t>customer0970@example.com</t>
  </si>
  <si>
    <t>149.00</t>
  </si>
  <si>
    <t>298.00</t>
  </si>
  <si>
    <t>0.640</t>
  </si>
  <si>
    <t>ORD-100485</t>
  </si>
  <si>
    <t>customer1056@example.com</t>
  </si>
  <si>
    <t>0.190</t>
  </si>
  <si>
    <t>ORD-101121</t>
  </si>
  <si>
    <t>customer0910@example.com</t>
  </si>
  <si>
    <t>ORD-101302</t>
  </si>
  <si>
    <t>customer1155@example.com</t>
  </si>
  <si>
    <t>Germany</t>
  </si>
  <si>
    <t>ORD-100778</t>
  </si>
  <si>
    <t>customer1044@example.com</t>
  </si>
  <si>
    <t>ORD-100968</t>
  </si>
  <si>
    <t>03/21/2026</t>
  </si>
  <si>
    <t>customer0047@example.com</t>
  </si>
  <si>
    <t>ORD-101676</t>
  </si>
  <si>
    <t>customer0180@example.com</t>
  </si>
  <si>
    <t>-129.00</t>
  </si>
  <si>
    <t>ORD-102809</t>
  </si>
  <si>
    <t>customer0212@example.com</t>
  </si>
  <si>
    <t>267.00</t>
  </si>
  <si>
    <t>ORD-102890</t>
  </si>
  <si>
    <t>customer0605@example.com</t>
  </si>
  <si>
    <t>ORD-100039</t>
  </si>
  <si>
    <t>customer0449@example.com</t>
  </si>
  <si>
    <t>79.00</t>
  </si>
  <si>
    <t>158.00</t>
  </si>
  <si>
    <t>ORD-102776</t>
  </si>
  <si>
    <t>customer0321@example.com</t>
  </si>
  <si>
    <t>11.25</t>
  </si>
  <si>
    <t>33.75</t>
  </si>
  <si>
    <t>ORD-100053</t>
  </si>
  <si>
    <t>customer1166@example.com</t>
  </si>
  <si>
    <t>GBP45.00</t>
  </si>
  <si>
    <t>ORD-101914</t>
  </si>
  <si>
    <t>customer0347@example.com</t>
  </si>
  <si>
    <t>258.00</t>
  </si>
  <si>
    <t>ORD-100303</t>
  </si>
  <si>
    <t>customer1186@example.com</t>
  </si>
  <si>
    <t>ORD-102075</t>
  </si>
  <si>
    <t>customer1029@example.com</t>
  </si>
  <si>
    <t>-90.00</t>
  </si>
  <si>
    <t>ORD-101025</t>
  </si>
  <si>
    <t>customer1144@example.com</t>
  </si>
  <si>
    <t>Â£80.10</t>
  </si>
  <si>
    <t>160.20</t>
  </si>
  <si>
    <t>ORD-101946</t>
  </si>
  <si>
    <t>customer1248@example.com</t>
  </si>
  <si>
    <t>GBP12.50</t>
  </si>
  <si>
    <t>25.00</t>
  </si>
  <si>
    <t>ORD-101075</t>
  </si>
  <si>
    <t>03/19/2026</t>
  </si>
  <si>
    <t>customer0388@example.com</t>
  </si>
  <si>
    <t>447.00</t>
  </si>
  <si>
    <t>ORD-101807</t>
  </si>
  <si>
    <t>04/24/2026</t>
  </si>
  <si>
    <t>customer1225@example.com</t>
  </si>
  <si>
    <t>22.50</t>
  </si>
  <si>
    <t>ORD-102879</t>
  </si>
  <si>
    <t>customer1087@example.com</t>
  </si>
  <si>
    <t>ORD-100229</t>
  </si>
  <si>
    <t>02/14/2026</t>
  </si>
  <si>
    <t>customer0706@example.com</t>
  </si>
  <si>
    <t>80.10</t>
  </si>
  <si>
    <t>ORD-101507</t>
  </si>
  <si>
    <t>06/20/2026</t>
  </si>
  <si>
    <t>customer0951@example.com</t>
  </si>
  <si>
    <t>ORD-100281</t>
  </si>
  <si>
    <t>customer1318@example.com</t>
  </si>
  <si>
    <t>ORD-100155</t>
  </si>
  <si>
    <t>customer0109@example.com</t>
  </si>
  <si>
    <t>43.20</t>
  </si>
  <si>
    <t>ORD-102793</t>
  </si>
  <si>
    <t>customer0701@example.com</t>
  </si>
  <si>
    <t>178.00</t>
  </si>
  <si>
    <t>ORD-102266</t>
  </si>
  <si>
    <t>customer0725@example.com</t>
  </si>
  <si>
    <t>GBP80.10</t>
  </si>
  <si>
    <t>ORD-102177</t>
  </si>
  <si>
    <t>06/24/2026</t>
  </si>
  <si>
    <t>customer0599@example.com</t>
  </si>
  <si>
    <t>ORD-102794</t>
  </si>
  <si>
    <t>customer0480@example.com</t>
  </si>
  <si>
    <t>ORD-102860</t>
  </si>
  <si>
    <t>customer1378@example.com</t>
  </si>
  <si>
    <t>Â£85.50</t>
  </si>
  <si>
    <t>171.00</t>
  </si>
  <si>
    <t>ORD-102717</t>
  </si>
  <si>
    <t>customer0415@example.com</t>
  </si>
  <si>
    <t>ORD-100226</t>
  </si>
  <si>
    <t>customer0210@example.com</t>
  </si>
  <si>
    <t>ORD-101221</t>
  </si>
  <si>
    <t>customer1184@example.com</t>
  </si>
  <si>
    <t>ORD-102055</t>
  </si>
  <si>
    <t>customer0735@example.com</t>
  </si>
  <si>
    <t>-149.00</t>
  </si>
  <si>
    <t>ORD-102118</t>
  </si>
  <si>
    <t>customer1072@example.com</t>
  </si>
  <si>
    <t>72.00</t>
  </si>
  <si>
    <t>ORD-101531</t>
  </si>
  <si>
    <t>ORD-101429</t>
  </si>
  <si>
    <t>customer0368@example.com</t>
  </si>
  <si>
    <t>ORD-101372</t>
  </si>
  <si>
    <t>customer0658@example.com</t>
  </si>
  <si>
    <t>ORD-101570</t>
  </si>
  <si>
    <t>customer0843@example.com</t>
  </si>
  <si>
    <t>ORD-101237</t>
  </si>
  <si>
    <t>customer1101@example.com</t>
  </si>
  <si>
    <t>ORD-102733</t>
  </si>
  <si>
    <t>customer1291@example.com</t>
  </si>
  <si>
    <t>Â£116.10</t>
  </si>
  <si>
    <t>ORD-100314</t>
  </si>
  <si>
    <t>customer0820@example.com</t>
  </si>
  <si>
    <t>40.50</t>
  </si>
  <si>
    <t>81.00</t>
  </si>
  <si>
    <t>ORD-102277</t>
  </si>
  <si>
    <t>customer0975@example.com</t>
  </si>
  <si>
    <t>ORD-102431</t>
  </si>
  <si>
    <t>customer0946@example.com</t>
  </si>
  <si>
    <t>ORD-101431</t>
  </si>
  <si>
    <t>customer0844@example.com</t>
  </si>
  <si>
    <t>ORD-102072</t>
  </si>
  <si>
    <t>customer0732@example.com</t>
  </si>
  <si>
    <t>ORD-102983</t>
  </si>
  <si>
    <t>customer1264@example.com</t>
  </si>
  <si>
    <t>237.00</t>
  </si>
  <si>
    <t>ORD-101945</t>
  </si>
  <si>
    <t>customer0119@example.com</t>
  </si>
  <si>
    <t>ORD-101850</t>
  </si>
  <si>
    <t>03/14/2026</t>
  </si>
  <si>
    <t>customer0063@example.com</t>
  </si>
  <si>
    <t>90.00</t>
  </si>
  <si>
    <t>ORD-101650</t>
  </si>
  <si>
    <t>customer0184@example.com</t>
  </si>
  <si>
    <t>ORD-102725</t>
  </si>
  <si>
    <t>05/17/2026</t>
  </si>
  <si>
    <t>customer1123@example.com</t>
  </si>
  <si>
    <t>ORD-102852</t>
  </si>
  <si>
    <t>customer0394@example.com</t>
  </si>
  <si>
    <t>ORD-101069</t>
  </si>
  <si>
    <t>customer0006@example.com</t>
  </si>
  <si>
    <t>48.00</t>
  </si>
  <si>
    <t>ORD-102523</t>
  </si>
  <si>
    <t>customer0921@example.com</t>
  </si>
  <si>
    <t>103.20</t>
  </si>
  <si>
    <t>ORD-101173</t>
  </si>
  <si>
    <t>customer0245@example.com</t>
  </si>
  <si>
    <t>12.50</t>
  </si>
  <si>
    <t>ORD-100798</t>
  </si>
  <si>
    <t>customer0918@example.com</t>
  </si>
  <si>
    <t>64.80</t>
  </si>
  <si>
    <t>ORD-100370</t>
  </si>
  <si>
    <t>05/20/2026</t>
  </si>
  <si>
    <t>customer1151@example.com</t>
  </si>
  <si>
    <t>ORD-100464</t>
  </si>
  <si>
    <t>ORD-100662</t>
  </si>
  <si>
    <t>customer1198@example.com</t>
  </si>
  <si>
    <t>ORD-102005</t>
  </si>
  <si>
    <t>customer0369@example.com</t>
  </si>
  <si>
    <t>GBP116.10</t>
  </si>
  <si>
    <t>232.20</t>
  </si>
  <si>
    <t>ORD-102592</t>
  </si>
  <si>
    <t>customer0842@example.com</t>
  </si>
  <si>
    <t>ORD-100862</t>
  </si>
  <si>
    <t>customer0427@example.com</t>
  </si>
  <si>
    <t>ORD-101693</t>
  </si>
  <si>
    <t>customer0461@example.com</t>
  </si>
  <si>
    <t>ORD-102839</t>
  </si>
  <si>
    <t>customer0251@example.com</t>
  </si>
  <si>
    <t>ORD-102331</t>
  </si>
  <si>
    <t>customer0592@example.com</t>
  </si>
  <si>
    <t>ORD-102439</t>
  </si>
  <si>
    <t>06/30/2026</t>
  </si>
  <si>
    <t>customer1164@example.com</t>
  </si>
  <si>
    <t>-258.00</t>
  </si>
  <si>
    <t>ORD-101437</t>
  </si>
  <si>
    <t>customer0990@example.com</t>
  </si>
  <si>
    <t>ORD-101980</t>
  </si>
  <si>
    <t>customer0809@example.com</t>
  </si>
  <si>
    <t>190.00</t>
  </si>
  <si>
    <t>ORD-100372</t>
  </si>
  <si>
    <t>customer0638@example.com</t>
  </si>
  <si>
    <t>ORD-102170</t>
  </si>
  <si>
    <t>03/15/2026</t>
  </si>
  <si>
    <t>customer1232@example.com</t>
  </si>
  <si>
    <t>ORD-100509</t>
  </si>
  <si>
    <t>customer0905@example.com</t>
  </si>
  <si>
    <t>ORD-102217</t>
  </si>
  <si>
    <t>customer1220@example.com</t>
  </si>
  <si>
    <t>ORD-101947</t>
  </si>
  <si>
    <t>customer0751@example.com</t>
  </si>
  <si>
    <t>ORD-102481</t>
  </si>
  <si>
    <t>customer0381@example.com</t>
  </si>
  <si>
    <t>-12.50</t>
  </si>
  <si>
    <t>ORD-101426</t>
  </si>
  <si>
    <t>customer0673@example.com</t>
  </si>
  <si>
    <t>-80.10</t>
  </si>
  <si>
    <t>ORD-100203</t>
  </si>
  <si>
    <t>customer1140@example.com</t>
  </si>
  <si>
    <t>ORD-100364</t>
  </si>
  <si>
    <t>customer0044@example.com</t>
  </si>
  <si>
    <t>ORD-102488</t>
  </si>
  <si>
    <t>customer0412@example.com</t>
  </si>
  <si>
    <t>ORD-100121</t>
  </si>
  <si>
    <t>customer0761@example.com</t>
  </si>
  <si>
    <t>ORD-100228</t>
  </si>
  <si>
    <t>customer0542@example.com</t>
  </si>
  <si>
    <t>ORD-101841</t>
  </si>
  <si>
    <t>customer0579@example.com</t>
  </si>
  <si>
    <t>142.20</t>
  </si>
  <si>
    <t>ORD-101427</t>
  </si>
  <si>
    <t>customer0672@example.com</t>
  </si>
  <si>
    <t>ORD-102234</t>
  </si>
  <si>
    <t>customer0891@example.com</t>
  </si>
  <si>
    <t>ORD-101483</t>
  </si>
  <si>
    <t>03/29/2026</t>
  </si>
  <si>
    <t>customer0068@example.com</t>
  </si>
  <si>
    <t>ORD-100885</t>
  </si>
  <si>
    <t>customer0929@example.com</t>
  </si>
  <si>
    <t>135.00</t>
  </si>
  <si>
    <t>ORD-102200</t>
  </si>
  <si>
    <t>customer0061@example.com</t>
  </si>
  <si>
    <t>ORD-102695</t>
  </si>
  <si>
    <t>customer0183@example.com</t>
  </si>
  <si>
    <t>ORD-102535</t>
  </si>
  <si>
    <t>customer0541@example.com</t>
  </si>
  <si>
    <t>ORD-100620</t>
  </si>
  <si>
    <t>customer0327@example.com</t>
  </si>
  <si>
    <t>ORD-101520</t>
  </si>
  <si>
    <t>01/13/2026</t>
  </si>
  <si>
    <t>customer0273@example.com</t>
  </si>
  <si>
    <t>ORD-102713</t>
  </si>
  <si>
    <t>04/13/2026</t>
  </si>
  <si>
    <t>customer0524@example.com</t>
  </si>
  <si>
    <t>ORD-102552</t>
  </si>
  <si>
    <t>customer1305@example.com</t>
  </si>
  <si>
    <t>ORD-100392</t>
  </si>
  <si>
    <t>customer1001@example.com</t>
  </si>
  <si>
    <t>ORD-100027</t>
  </si>
  <si>
    <t>customer0058@example.com</t>
  </si>
  <si>
    <t>ORD-102163</t>
  </si>
  <si>
    <t>customer0981@example.com</t>
  </si>
  <si>
    <t>ORD-101576</t>
  </si>
  <si>
    <t>customer0114@example.com</t>
  </si>
  <si>
    <t>ORD-101972</t>
  </si>
  <si>
    <t>customer0626@example.com</t>
  </si>
  <si>
    <t>ORD-102653</t>
  </si>
  <si>
    <t>customer0512@example.com</t>
  </si>
  <si>
    <t>ORD-102768</t>
  </si>
  <si>
    <t>customer0942@example.com</t>
  </si>
  <si>
    <t>ORD-100431</t>
  </si>
  <si>
    <t>customer0095@example.com</t>
  </si>
  <si>
    <t>20.40</t>
  </si>
  <si>
    <t>ORD-101311</t>
  </si>
  <si>
    <t>customer0104@example.com</t>
  </si>
  <si>
    <t>Â£24.00</t>
  </si>
  <si>
    <t>ORD-101762</t>
  </si>
  <si>
    <t>customer0563@example.com</t>
  </si>
  <si>
    <t>ORD-102302</t>
  </si>
  <si>
    <t>customer0693@example.com</t>
  </si>
  <si>
    <t>ORD-102616</t>
  </si>
  <si>
    <t>customer0195@example.com</t>
  </si>
  <si>
    <t>ORD-101512</t>
  </si>
  <si>
    <t>customer0782@example.com</t>
  </si>
  <si>
    <t>ORD-100853</t>
  </si>
  <si>
    <t>customer1357@example.com</t>
  </si>
  <si>
    <t>ORD-102810</t>
  </si>
  <si>
    <t>customer0132@example.com</t>
  </si>
  <si>
    <t>ORD-102908</t>
  </si>
  <si>
    <t>customer0950@example.com</t>
  </si>
  <si>
    <t>ORD-101658</t>
  </si>
  <si>
    <t>customer0226@example.com</t>
  </si>
  <si>
    <t>285.00</t>
  </si>
  <si>
    <t>ORD-101562</t>
  </si>
  <si>
    <t>02/19/2026</t>
  </si>
  <si>
    <t>ORD-100423</t>
  </si>
  <si>
    <t>customer0410@example.com</t>
  </si>
  <si>
    <t>ORD-100967</t>
  </si>
  <si>
    <t>customer0661@example.com</t>
  </si>
  <si>
    <t>ORD-101234</t>
  </si>
  <si>
    <t>customer1089@example.com</t>
  </si>
  <si>
    <t>ORD-102973</t>
  </si>
  <si>
    <t>customer0025@example.com</t>
  </si>
  <si>
    <t>37.50</t>
  </si>
  <si>
    <t>ORD-100500</t>
  </si>
  <si>
    <t>ORD-102830</t>
  </si>
  <si>
    <t>-45.00</t>
  </si>
  <si>
    <t>ORD-100683</t>
  </si>
  <si>
    <t>customer0238@example.com</t>
  </si>
  <si>
    <t>ORD-102620</t>
  </si>
  <si>
    <t>customer0501@example.com</t>
  </si>
  <si>
    <t>ORD-100358</t>
  </si>
  <si>
    <t>customer1277@example.com</t>
  </si>
  <si>
    <t>ORD-102472</t>
  </si>
  <si>
    <t>customer0682@example.com</t>
  </si>
  <si>
    <t>ORD-101235</t>
  </si>
  <si>
    <t>customer0642@example.com</t>
  </si>
  <si>
    <t>ORD-100511</t>
  </si>
  <si>
    <t>customer1371@example.com</t>
  </si>
  <si>
    <t>ORD-102106</t>
  </si>
  <si>
    <t>ORD-102016</t>
  </si>
  <si>
    <t>ORD-100276</t>
  </si>
  <si>
    <t>customer0703@example.com</t>
  </si>
  <si>
    <t>ORD-100869</t>
  </si>
  <si>
    <t>ORD-100849</t>
  </si>
  <si>
    <t>customer0695@example.com</t>
  </si>
  <si>
    <t>ORD-100754</t>
  </si>
  <si>
    <t>customer1129@example.com</t>
  </si>
  <si>
    <t>ORD-102483</t>
  </si>
  <si>
    <t>customer0034@example.com</t>
  </si>
  <si>
    <t>ORD-100476</t>
  </si>
  <si>
    <t>customer0186@example.com</t>
  </si>
  <si>
    <t>ORD-102598</t>
  </si>
  <si>
    <t>customer0077@example.com</t>
  </si>
  <si>
    <t>ORD-100292</t>
  </si>
  <si>
    <t>customer0734@example.com</t>
  </si>
  <si>
    <t>ORD-101114</t>
  </si>
  <si>
    <t>03/28/2026</t>
  </si>
  <si>
    <t>customer0274@example.com</t>
  </si>
  <si>
    <t>Â£71.10</t>
  </si>
  <si>
    <t>ORD-101024</t>
  </si>
  <si>
    <t>customer0850@example.com</t>
  </si>
  <si>
    <t>ORD-100037</t>
  </si>
  <si>
    <t>customer1301@example.com</t>
  </si>
  <si>
    <t>ORD-101065</t>
  </si>
  <si>
    <t>ORD-101448</t>
  </si>
  <si>
    <t>customer1174@example.com</t>
  </si>
  <si>
    <t>ORD-101379</t>
  </si>
  <si>
    <t>customer1265@example.com</t>
  </si>
  <si>
    <t>GBP129.00</t>
  </si>
  <si>
    <t>328.95</t>
  </si>
  <si>
    <t>ORD-100505</t>
  </si>
  <si>
    <t>customer1278@example.com</t>
  </si>
  <si>
    <t>ORD-101168</t>
  </si>
  <si>
    <t>customer0489@example.com</t>
  </si>
  <si>
    <t>ORD-100214</t>
  </si>
  <si>
    <t>customer0357@example.com</t>
  </si>
  <si>
    <t>ORD-100487</t>
  </si>
  <si>
    <t>customer1323@example.com</t>
  </si>
  <si>
    <t>ORD-102787</t>
  </si>
  <si>
    <t>customer0080@example.com</t>
  </si>
  <si>
    <t>20.25</t>
  </si>
  <si>
    <t>ORD-101204</t>
  </si>
  <si>
    <t>ORD-101924</t>
  </si>
  <si>
    <t>customer0851@example.com</t>
  </si>
  <si>
    <t>ORD-100356</t>
  </si>
  <si>
    <t>customer0214@example.com</t>
  </si>
  <si>
    <t>ORD-101343</t>
  </si>
  <si>
    <t>customer1025@example.com</t>
  </si>
  <si>
    <t>ORD-101077</t>
  </si>
  <si>
    <t>customer0479@example.com</t>
  </si>
  <si>
    <t>ORD-101010</t>
  </si>
  <si>
    <t>customer0240@example.com</t>
  </si>
  <si>
    <t>76.00</t>
  </si>
  <si>
    <t>ORD-101742</t>
  </si>
  <si>
    <t>customer0390@example.com</t>
  </si>
  <si>
    <t>ORD-100163</t>
  </si>
  <si>
    <t>customer1197@example.com</t>
  </si>
  <si>
    <t>ORD-101585</t>
  </si>
  <si>
    <t>customer0748@example.com</t>
  </si>
  <si>
    <t>ORD-102316</t>
  </si>
  <si>
    <t>customer0473@example.com</t>
  </si>
  <si>
    <t>ORD-101662</t>
  </si>
  <si>
    <t>03/25/2026</t>
  </si>
  <si>
    <t>customer0991@example.com</t>
  </si>
  <si>
    <t>ORD-100225</t>
  </si>
  <si>
    <t>customer0835@example.com</t>
  </si>
  <si>
    <t>ORD-101449</t>
  </si>
  <si>
    <t>customer0753@example.com</t>
  </si>
  <si>
    <t>ORD-101452</t>
  </si>
  <si>
    <t>customer1243@example.com</t>
  </si>
  <si>
    <t>ORD-100711</t>
  </si>
  <si>
    <t>GBP95.00</t>
  </si>
  <si>
    <t>ORD-102402</t>
  </si>
  <si>
    <t>customer1192@example.com</t>
  </si>
  <si>
    <t>ORD-100740</t>
  </si>
  <si>
    <t>customer0029@example.com</t>
  </si>
  <si>
    <t>ORD-101017</t>
  </si>
  <si>
    <t>customer0373@example.com</t>
  </si>
  <si>
    <t>ORD-102941</t>
  </si>
  <si>
    <t>customer0010@example.com</t>
  </si>
  <si>
    <t>402.30</t>
  </si>
  <si>
    <t>ORD-101600</t>
  </si>
  <si>
    <t>customer0258@example.com</t>
  </si>
  <si>
    <t>ORD-100745</t>
  </si>
  <si>
    <t>customer0581@example.com</t>
  </si>
  <si>
    <t>ORD-102482</t>
  </si>
  <si>
    <t>121.50</t>
  </si>
  <si>
    <t>ORD-102054</t>
  </si>
  <si>
    <t>customer0904@example.com</t>
  </si>
  <si>
    <t>ORD-100948</t>
  </si>
  <si>
    <t>customer0840@example.com</t>
  </si>
  <si>
    <t>ORD-100047</t>
  </si>
  <si>
    <t>Â£40.50</t>
  </si>
  <si>
    <t>ORD-100809</t>
  </si>
  <si>
    <t>customer0833@example.com</t>
  </si>
  <si>
    <t>ORD-100817</t>
  </si>
  <si>
    <t>customer0959@example.com</t>
  </si>
  <si>
    <t>ORD-101665</t>
  </si>
  <si>
    <t>customer0462@example.com</t>
  </si>
  <si>
    <t>ORD-101637</t>
  </si>
  <si>
    <t>ORD-100896</t>
  </si>
  <si>
    <t>customer0416@example.com</t>
  </si>
  <si>
    <t>ORD-100347</t>
  </si>
  <si>
    <t>customer1012@example.com</t>
  </si>
  <si>
    <t>ORD-100712</t>
  </si>
  <si>
    <t>customer1341@example.com</t>
  </si>
  <si>
    <t>ORD-102414</t>
  </si>
  <si>
    <t>customer0888@example.com</t>
  </si>
  <si>
    <t>ORD-101775</t>
  </si>
  <si>
    <t>customer1380@example.com</t>
  </si>
  <si>
    <t>ORD-100886</t>
  </si>
  <si>
    <t>customer0387@example.com</t>
  </si>
  <si>
    <t>ORD-102758</t>
  </si>
  <si>
    <t>customer0845@example.com</t>
  </si>
  <si>
    <t>ORD-101484</t>
  </si>
  <si>
    <t>customer0646@example.com</t>
  </si>
  <si>
    <t>ORD-100275</t>
  </si>
  <si>
    <t>customer1325@example.com</t>
  </si>
  <si>
    <t>ORD-100538</t>
  </si>
  <si>
    <t>customer0691@example.com</t>
  </si>
  <si>
    <t>ORD-101471</t>
  </si>
  <si>
    <t>customer1269@example.com</t>
  </si>
  <si>
    <t>ORD-100871</t>
  </si>
  <si>
    <t>customer1145@example.com</t>
  </si>
  <si>
    <t>ORD-100752</t>
  </si>
  <si>
    <t>customer0110@example.com</t>
  </si>
  <si>
    <t>ORD-100584</t>
  </si>
  <si>
    <t>customer0594@example.com</t>
  </si>
  <si>
    <t>ORD-101718</t>
  </si>
  <si>
    <t>customer0437@example.com</t>
  </si>
  <si>
    <t>ORD-101422</t>
  </si>
  <si>
    <t>customer0384@example.com</t>
  </si>
  <si>
    <t>ORD-101987</t>
  </si>
  <si>
    <t>customer1179@example.com</t>
  </si>
  <si>
    <t>ORD-101643</t>
  </si>
  <si>
    <t>customer1260@example.com</t>
  </si>
  <si>
    <t>ORD-102042</t>
  </si>
  <si>
    <t>customer0424@example.com</t>
  </si>
  <si>
    <t>ORD-101991</t>
  </si>
  <si>
    <t>customer0806@example.com</t>
  </si>
  <si>
    <t>ORD-102628</t>
  </si>
  <si>
    <t>customer0829@example.com</t>
  </si>
  <si>
    <t>98.68</t>
  </si>
  <si>
    <t>ORD-102662</t>
  </si>
  <si>
    <t>01/29/2026</t>
  </si>
  <si>
    <t>customer0040@example.com</t>
  </si>
  <si>
    <t>ORD-101806</t>
  </si>
  <si>
    <t>customer0328@example.com</t>
  </si>
  <si>
    <t>ORD-101433</t>
  </si>
  <si>
    <t>customer1317@example.com</t>
  </si>
  <si>
    <t>ORD-100274</t>
  </si>
  <si>
    <t>customer0032@example.com</t>
  </si>
  <si>
    <t>ORD-102921</t>
  </si>
  <si>
    <t>03/18/2026</t>
  </si>
  <si>
    <t>customer0797@example.com</t>
  </si>
  <si>
    <t>ORD-101053</t>
  </si>
  <si>
    <t>customer1374@example.com</t>
  </si>
  <si>
    <t>ORD-100874</t>
  </si>
  <si>
    <t>01/25/2026</t>
  </si>
  <si>
    <t>customer0174@example.com</t>
  </si>
  <si>
    <t>213.30</t>
  </si>
  <si>
    <t>ORD-101403</t>
  </si>
  <si>
    <t>customer0925@example.com</t>
  </si>
  <si>
    <t>ORD-101491</t>
  </si>
  <si>
    <t>customer0900@example.com</t>
  </si>
  <si>
    <t>ORD-100823</t>
  </si>
  <si>
    <t>customer1280@example.com</t>
  </si>
  <si>
    <t>ORD-102172</t>
  </si>
  <si>
    <t>customer0953@example.com</t>
  </si>
  <si>
    <t>ORD-101999</t>
  </si>
  <si>
    <t>customer1107@example.com</t>
  </si>
  <si>
    <t>ORD-102004</t>
  </si>
  <si>
    <t>customer0964@example.com</t>
  </si>
  <si>
    <t>ORD-101840</t>
  </si>
  <si>
    <t>05/28/2026</t>
  </si>
  <si>
    <t>customer0192@example.com</t>
  </si>
  <si>
    <t>ORD-102308</t>
  </si>
  <si>
    <t>customer0617@example.com</t>
  </si>
  <si>
    <t>ORD-101623</t>
  </si>
  <si>
    <t>customer1376@example.com</t>
  </si>
  <si>
    <t>GBP134.10</t>
  </si>
  <si>
    <t>ORD-102218</t>
  </si>
  <si>
    <t>01/22/2026</t>
  </si>
  <si>
    <t>customer1170@example.com</t>
  </si>
  <si>
    <t>Â£11.25</t>
  </si>
  <si>
    <t>ORD-100897</t>
  </si>
  <si>
    <t>customer0800@example.com</t>
  </si>
  <si>
    <t>ORD-101566</t>
  </si>
  <si>
    <t>03/31/2026</t>
  </si>
  <si>
    <t>customer1203@example.com</t>
  </si>
  <si>
    <t>ORD-101416</t>
  </si>
  <si>
    <t>customer0059@example.com</t>
  </si>
  <si>
    <t>ORD-102022</t>
  </si>
  <si>
    <t>ORD-101515</t>
  </si>
  <si>
    <t>customer0159@example.com</t>
  </si>
  <si>
    <t>ORD-101988</t>
  </si>
  <si>
    <t>customer0664@example.com</t>
  </si>
  <si>
    <t>-190.00</t>
  </si>
  <si>
    <t>ORD-100455</t>
  </si>
  <si>
    <t>customer1256@example.com</t>
  </si>
  <si>
    <t>Â£79.00</t>
  </si>
  <si>
    <t>ORD-102262</t>
  </si>
  <si>
    <t>04/27/2026</t>
  </si>
  <si>
    <t>customer1188@example.com</t>
  </si>
  <si>
    <t>ORD-102150</t>
  </si>
  <si>
    <t>customer1121@example.com</t>
  </si>
  <si>
    <t>ORD-101439</t>
  </si>
  <si>
    <t>customer0440@example.com</t>
  </si>
  <si>
    <t>-135.00</t>
  </si>
  <si>
    <t>ORD-101592</t>
  </si>
  <si>
    <t>customer1310@example.com</t>
  </si>
  <si>
    <t>ORD-102836</t>
  </si>
  <si>
    <t>customer1308@example.com</t>
  </si>
  <si>
    <t>ORD-101782</t>
  </si>
  <si>
    <t>customer0697@example.com</t>
  </si>
  <si>
    <t>ORD-101129</t>
  </si>
  <si>
    <t>customer1370@example.com</t>
  </si>
  <si>
    <t>21.25</t>
  </si>
  <si>
    <t>ORD-102584</t>
  </si>
  <si>
    <t>ORD-102088</t>
  </si>
  <si>
    <t>ORD-101052</t>
  </si>
  <si>
    <t>04/14/2026</t>
  </si>
  <si>
    <t>ORD-101780</t>
  </si>
  <si>
    <t>customer0935@example.com</t>
  </si>
  <si>
    <t>ORD-101430</t>
  </si>
  <si>
    <t>customer0264@example.com</t>
  </si>
  <si>
    <t>ORD-100440</t>
  </si>
  <si>
    <t>customer0609@example.com</t>
  </si>
  <si>
    <t>ORD-100221</t>
  </si>
  <si>
    <t>customer0118@example.com</t>
  </si>
  <si>
    <t>ORD-101883</t>
  </si>
  <si>
    <t>customer0298@example.com</t>
  </si>
  <si>
    <t>ORD-100297</t>
  </si>
  <si>
    <t>customer1064@example.com</t>
  </si>
  <si>
    <t>191.97</t>
  </si>
  <si>
    <t>ORD-100508</t>
  </si>
  <si>
    <t>customer0050@example.com</t>
  </si>
  <si>
    <t>GBP89.00</t>
  </si>
  <si>
    <t>ORD-101368</t>
  </si>
  <si>
    <t>ORD-100078</t>
  </si>
  <si>
    <t>customer1172@example.com</t>
  </si>
  <si>
    <t>GBP24.00</t>
  </si>
  <si>
    <t>ORD-101657</t>
  </si>
  <si>
    <t>customer0134@example.com</t>
  </si>
  <si>
    <t>ORD-100098</t>
  </si>
  <si>
    <t>customer0867@example.com</t>
  </si>
  <si>
    <t>ORD-102536</t>
  </si>
  <si>
    <t>customer0654@example.com</t>
  </si>
  <si>
    <t>GBP71.10</t>
  </si>
  <si>
    <t>ORD-102493</t>
  </si>
  <si>
    <t>01/15/2026</t>
  </si>
  <si>
    <t>customer0793@example.com</t>
  </si>
  <si>
    <t>ORD-102238</t>
  </si>
  <si>
    <t>customer0454@example.com</t>
  </si>
  <si>
    <t>ORD-100617</t>
  </si>
  <si>
    <t>customer0297@example.com</t>
  </si>
  <si>
    <t>ORD-101760</t>
  </si>
  <si>
    <t>customer0470@example.com</t>
  </si>
  <si>
    <t>ORD-102723</t>
  </si>
  <si>
    <t>ORD-101923</t>
  </si>
  <si>
    <t>customer0865@example.com</t>
  </si>
  <si>
    <t>ORD-101003</t>
  </si>
  <si>
    <t>customer1294@example.com</t>
  </si>
  <si>
    <t>ORD-100634</t>
  </si>
  <si>
    <t>customer0295@example.com</t>
  </si>
  <si>
    <t>Â£134.10</t>
  </si>
  <si>
    <t>107.28</t>
  </si>
  <si>
    <t>ORD-100478</t>
  </si>
  <si>
    <t>ORD-101518</t>
  </si>
  <si>
    <t>customer0721@example.com</t>
  </si>
  <si>
    <t>ORD-102997</t>
  </si>
  <si>
    <t>customer0608@example.com</t>
  </si>
  <si>
    <t>ORD-101244</t>
  </si>
  <si>
    <t>ORD-102913</t>
  </si>
  <si>
    <t>customer1080@example.com</t>
  </si>
  <si>
    <t>ORD-102120</t>
  </si>
  <si>
    <t>ORD-100016</t>
  </si>
  <si>
    <t>customer0260@example.com</t>
  </si>
  <si>
    <t>ORD-102162</t>
  </si>
  <si>
    <t>03/13/2026</t>
  </si>
  <si>
    <t>customer0120@example.com</t>
  </si>
  <si>
    <t>ORD-100340</t>
  </si>
  <si>
    <t>customer1077@example.com</t>
  </si>
  <si>
    <t>ORD-100834</t>
  </si>
  <si>
    <t>customer0048@example.com</t>
  </si>
  <si>
    <t>ORD-100861</t>
  </si>
  <si>
    <t>customer0312@example.com</t>
  </si>
  <si>
    <t>ORD-102409</t>
  </si>
  <si>
    <t>customer0971@example.com</t>
  </si>
  <si>
    <t>145.35</t>
  </si>
  <si>
    <t>ORD-101406</t>
  </si>
  <si>
    <t>ORD-102702</t>
  </si>
  <si>
    <t>customer0346@example.com</t>
  </si>
  <si>
    <t>71.20</t>
  </si>
  <si>
    <t>ORD-100212</t>
  </si>
  <si>
    <t>customer1093@example.com</t>
  </si>
  <si>
    <t>ORD-102691</t>
  </si>
  <si>
    <t>ORD-101984</t>
  </si>
  <si>
    <t>ORD-102919</t>
  </si>
  <si>
    <t>ORD-100627</t>
  </si>
  <si>
    <t>ORD-102098</t>
  </si>
  <si>
    <t>customer0641@example.com</t>
  </si>
  <si>
    <t>ORD-101185</t>
  </si>
  <si>
    <t>ORD-100615</t>
  </si>
  <si>
    <t>customer0881@example.com</t>
  </si>
  <si>
    <t>ORD-102813</t>
  </si>
  <si>
    <t>customer0855@example.com</t>
  </si>
  <si>
    <t>ORD-101695</t>
  </si>
  <si>
    <t>customer0155@example.com</t>
  </si>
  <si>
    <t>ORD-100217</t>
  </si>
  <si>
    <t>customer1115@example.com</t>
  </si>
  <si>
    <t>ORD-100452</t>
  </si>
  <si>
    <t>customer0823@example.com</t>
  </si>
  <si>
    <t>38.40</t>
  </si>
  <si>
    <t>ORD-100830</t>
  </si>
  <si>
    <t>ORD-100982</t>
  </si>
  <si>
    <t>customer1167@example.com</t>
  </si>
  <si>
    <t>ORD-102006</t>
  </si>
  <si>
    <t>customer0739@example.com</t>
  </si>
  <si>
    <t>ORD-101446</t>
  </si>
  <si>
    <t>customer0980@example.com</t>
  </si>
  <si>
    <t>ORD-100289</t>
  </si>
  <si>
    <t>customer0707@example.com</t>
  </si>
  <si>
    <t>ORD-102317</t>
  </si>
  <si>
    <t>customer0271@example.com</t>
  </si>
  <si>
    <t>ORD-100934</t>
  </si>
  <si>
    <t>customer0947@example.com</t>
  </si>
  <si>
    <t>ORD-100878</t>
  </si>
  <si>
    <t>customer1247@example.com</t>
  </si>
  <si>
    <t>Â£89.00</t>
  </si>
  <si>
    <t>ORD-102381</t>
  </si>
  <si>
    <t>customer0934@example.com</t>
  </si>
  <si>
    <t>ORD-101911</t>
  </si>
  <si>
    <t>customer0508@example.com</t>
  </si>
  <si>
    <t>ORD-100949</t>
  </si>
  <si>
    <t>customer0762@example.com</t>
  </si>
  <si>
    <t>Â£149.00</t>
  </si>
  <si>
    <t>ORD-101101</t>
  </si>
  <si>
    <t>customer0547@example.com</t>
  </si>
  <si>
    <t>ORD-101950</t>
  </si>
  <si>
    <t>customer0505@example.com</t>
  </si>
  <si>
    <t>ORD-101487</t>
  </si>
  <si>
    <t>customer1148@example.com</t>
  </si>
  <si>
    <t>ORD-101638</t>
  </si>
  <si>
    <t>customer0972@example.com</t>
  </si>
  <si>
    <t>ORD-100434</t>
  </si>
  <si>
    <t>02/17/2026</t>
  </si>
  <si>
    <t>customer0099@example.com</t>
  </si>
  <si>
    <t>ORD-100407</t>
  </si>
  <si>
    <t>customer1389@example.com</t>
  </si>
  <si>
    <t>Â£21.60</t>
  </si>
  <si>
    <t>ORD-100227</t>
  </si>
  <si>
    <t>customer1147@example.com</t>
  </si>
  <si>
    <t>ORD-101296</t>
  </si>
  <si>
    <t>ORD-100060</t>
  </si>
  <si>
    <t>customer0038@example.com</t>
  </si>
  <si>
    <t>ORD-102878</t>
  </si>
  <si>
    <t>02/23/2026</t>
  </si>
  <si>
    <t>customer0242@example.com</t>
  </si>
  <si>
    <t>-25.00</t>
  </si>
  <si>
    <t>ORD-100270</t>
  </si>
  <si>
    <t>customer1261@example.com</t>
  </si>
  <si>
    <t>ORD-102099</t>
  </si>
  <si>
    <t>customer0031@example.com</t>
  </si>
  <si>
    <t>ORD-102314</t>
  </si>
  <si>
    <t>customer0852@example.com</t>
  </si>
  <si>
    <t>ORD-101309</t>
  </si>
  <si>
    <t>02/20/2026</t>
  </si>
  <si>
    <t>customer0963@example.com</t>
  </si>
  <si>
    <t>ORD-101464</t>
  </si>
  <si>
    <t>06/19/2026</t>
  </si>
  <si>
    <t>ORD-101636</t>
  </si>
  <si>
    <t>customer0130@example.com</t>
  </si>
  <si>
    <t>-22.50</t>
  </si>
  <si>
    <t>ORD-102245</t>
  </si>
  <si>
    <t>customer0868@example.com</t>
  </si>
  <si>
    <t>ORD-100306</t>
  </si>
  <si>
    <t>customer1204@example.com</t>
  </si>
  <si>
    <t>185.76</t>
  </si>
  <si>
    <t>ORD-102895</t>
  </si>
  <si>
    <t>customer0349@example.com</t>
  </si>
  <si>
    <t>ORD-100352</t>
  </si>
  <si>
    <t>customer1150@example.com</t>
  </si>
  <si>
    <t>ORD-100273</t>
  </si>
  <si>
    <t>customer0014@example.com</t>
  </si>
  <si>
    <t>ORD-101451</t>
  </si>
  <si>
    <t>customer1014@example.com</t>
  </si>
  <si>
    <t>ORD-101215</t>
  </si>
  <si>
    <t>01/28/2026</t>
  </si>
  <si>
    <t>ORD-101331</t>
  </si>
  <si>
    <t>ORD-102153</t>
  </si>
  <si>
    <t>ORD-102576</t>
  </si>
  <si>
    <t>customer0567@example.com</t>
  </si>
  <si>
    <t>ORD-102368</t>
  </si>
  <si>
    <t>ORD-100639</t>
  </si>
  <si>
    <t>ORD-101233</t>
  </si>
  <si>
    <t>customer1213@example.com</t>
  </si>
  <si>
    <t>ORD-100057</t>
  </si>
  <si>
    <t>ORD-102337</t>
  </si>
  <si>
    <t>customer1097@example.com</t>
  </si>
  <si>
    <t>ORD-102524</t>
  </si>
  <si>
    <t>customer0705@example.com</t>
  </si>
  <si>
    <t>ORD-100992</t>
  </si>
  <si>
    <t>ORD-100730</t>
  </si>
  <si>
    <t>04/28/2026</t>
  </si>
  <si>
    <t>customer1309@example.com</t>
  </si>
  <si>
    <t>ORD-102985</t>
  </si>
  <si>
    <t>customer0491@example.com</t>
  </si>
  <si>
    <t>ORD-102805</t>
  </si>
  <si>
    <t>customer1246@example.com</t>
  </si>
  <si>
    <t>ORD-102490</t>
  </si>
  <si>
    <t>ORD-100799</t>
  </si>
  <si>
    <t>customer0317@example.com</t>
  </si>
  <si>
    <t>ORD-102678</t>
  </si>
  <si>
    <t>customer0299@example.com</t>
  </si>
  <si>
    <t>ORD-100846</t>
  </si>
  <si>
    <t>ORD-101043</t>
  </si>
  <si>
    <t>customer0663@example.com</t>
  </si>
  <si>
    <t>214.56</t>
  </si>
  <si>
    <t>ORD-102604</t>
  </si>
  <si>
    <t>customer0689@example.com</t>
  </si>
  <si>
    <t>ORD-100472</t>
  </si>
  <si>
    <t>customer1041@example.com</t>
  </si>
  <si>
    <t>ORD-100355</t>
  </si>
  <si>
    <t>customer0856@example.com</t>
  </si>
  <si>
    <t>ORD-102415</t>
  </si>
  <si>
    <t>customer0518@example.com</t>
  </si>
  <si>
    <t>ORD-100904</t>
  </si>
  <si>
    <t>customer0957@example.com</t>
  </si>
  <si>
    <t>ORD-101183</t>
  </si>
  <si>
    <t>customer0730@example.com</t>
  </si>
  <si>
    <t>ORD-100161</t>
  </si>
  <si>
    <t>customer0677@example.com</t>
  </si>
  <si>
    <t>ORD-102897</t>
  </si>
  <si>
    <t>customer0112@example.com</t>
  </si>
  <si>
    <t>ORD-102867</t>
  </si>
  <si>
    <t>customer0743@example.com</t>
  </si>
  <si>
    <t>ORD-102714</t>
  </si>
  <si>
    <t>ORD-101502</t>
  </si>
  <si>
    <t>customer1237@example.com</t>
  </si>
  <si>
    <t>-158.00</t>
  </si>
  <si>
    <t>ORD-102087</t>
  </si>
  <si>
    <t>customer0053@example.com</t>
  </si>
  <si>
    <t>ORD-100234</t>
  </si>
  <si>
    <t>customer0988@example.com</t>
  </si>
  <si>
    <t>ORD-101815</t>
  </si>
  <si>
    <t>customer0413@example.com</t>
  </si>
  <si>
    <t>ORD-100429</t>
  </si>
  <si>
    <t>240.30</t>
  </si>
  <si>
    <t>ORD-102276</t>
  </si>
  <si>
    <t>customer0125@example.com</t>
  </si>
  <si>
    <t>ORD-102061</t>
  </si>
  <si>
    <t>customer0244@example.com</t>
  </si>
  <si>
    <t>ORD-102505</t>
  </si>
  <si>
    <t>customer0726@example.com</t>
  </si>
  <si>
    <t>ORD-101287</t>
  </si>
  <si>
    <t>customer0107@example.com</t>
  </si>
  <si>
    <t>ORD-101728</t>
  </si>
  <si>
    <t>customer1095@example.com</t>
  </si>
  <si>
    <t>ORD-101852</t>
  </si>
  <si>
    <t>customer0071@example.com</t>
  </si>
  <si>
    <t>ORD-100746</t>
  </si>
  <si>
    <t>customer0944@example.com</t>
  </si>
  <si>
    <t>362.07</t>
  </si>
  <si>
    <t>ORD-101899</t>
  </si>
  <si>
    <t>customer0091@example.com</t>
  </si>
  <si>
    <t>ORD-102352</t>
  </si>
  <si>
    <t>customer0262@example.com</t>
  </si>
  <si>
    <t>ORD-100416</t>
  </si>
  <si>
    <t>customer0309@example.com</t>
  </si>
  <si>
    <t>ORD-102444</t>
  </si>
  <si>
    <t>ORD-101534</t>
  </si>
  <si>
    <t>03/16/2026</t>
  </si>
  <si>
    <t>customer0487@example.com</t>
  </si>
  <si>
    <t>ORD-101150</t>
  </si>
  <si>
    <t>customer1241@example.com</t>
  </si>
  <si>
    <t>ORD-100493</t>
  </si>
  <si>
    <t>customer1218@example.com</t>
  </si>
  <si>
    <t>208.98</t>
  </si>
  <si>
    <t>ORD-102582</t>
  </si>
  <si>
    <t>03/26/2026</t>
  </si>
  <si>
    <t>ORD-100369</t>
  </si>
  <si>
    <t>customer0079@example.com</t>
  </si>
  <si>
    <t>ORD-101597</t>
  </si>
  <si>
    <t>customer0367@example.com</t>
  </si>
  <si>
    <t>ORD-101155</t>
  </si>
  <si>
    <t>customer0239@example.com</t>
  </si>
  <si>
    <t>ORD-100262</t>
  </si>
  <si>
    <t>ORD-102034</t>
  </si>
  <si>
    <t>ORD-100375</t>
  </si>
  <si>
    <t>05/31/2026</t>
  </si>
  <si>
    <t>customer0393@example.com</t>
  </si>
  <si>
    <t>ORD-100596</t>
  </si>
  <si>
    <t>customer0885@example.com</t>
  </si>
  <si>
    <t>ORD-100780</t>
  </si>
  <si>
    <t>customer1375@example.com</t>
  </si>
  <si>
    <t>ORD-101787</t>
  </si>
  <si>
    <t>customer1239@example.com</t>
  </si>
  <si>
    <t>-227.97</t>
  </si>
  <si>
    <t>ORD-101051</t>
  </si>
  <si>
    <t>ORD-102445</t>
  </si>
  <si>
    <t>customer0685@example.com</t>
  </si>
  <si>
    <t>ORD-101789</t>
  </si>
  <si>
    <t>customer0529@example.com</t>
  </si>
  <si>
    <t>ORD-101696</t>
  </si>
  <si>
    <t>ORD-100855</t>
  </si>
  <si>
    <t>04/20/2026</t>
  </si>
  <si>
    <t>customer1119@example.com</t>
  </si>
  <si>
    <t>ORD-101135</t>
  </si>
  <si>
    <t>ORD-101781</t>
  </si>
  <si>
    <t>ORD-102692</t>
  </si>
  <si>
    <t>customer0490@example.com</t>
  </si>
  <si>
    <t>ORD-100729</t>
  </si>
  <si>
    <t>customer0556@example.com</t>
  </si>
  <si>
    <t>ORD-101666</t>
  </si>
  <si>
    <t>customer0528@example.com</t>
  </si>
  <si>
    <t>ORD-102816</t>
  </si>
  <si>
    <t>ORD-101616</t>
  </si>
  <si>
    <t>ORD-100648</t>
  </si>
  <si>
    <t>customer1096@example.com</t>
  </si>
  <si>
    <t>ORD-100287</t>
  </si>
  <si>
    <t>customer0679@example.com</t>
  </si>
  <si>
    <t>ORD-101231</t>
  </si>
  <si>
    <t>ORD-100899</t>
  </si>
  <si>
    <t>ORD-102744</t>
  </si>
  <si>
    <t>customer1238@example.com</t>
  </si>
  <si>
    <t>ORD-100499</t>
  </si>
  <si>
    <t>01/21/2026</t>
  </si>
  <si>
    <t>ORD-101778</t>
  </si>
  <si>
    <t>06/16/2026</t>
  </si>
  <si>
    <t>customer0054@example.com</t>
  </si>
  <si>
    <t>ORD-100459</t>
  </si>
  <si>
    <t>customer1372@example.com</t>
  </si>
  <si>
    <t>ORD-100108</t>
  </si>
  <si>
    <t>customer1314@example.com</t>
  </si>
  <si>
    <t>ORD-102351</t>
  </si>
  <si>
    <t>customer0593@example.com</t>
  </si>
  <si>
    <t>153.90</t>
  </si>
  <si>
    <t>ORD-102107</t>
  </si>
  <si>
    <t>customer0559@example.com</t>
  </si>
  <si>
    <t>ORD-101733</t>
  </si>
  <si>
    <t>05/14/2026</t>
  </si>
  <si>
    <t>customer0999@example.com</t>
  </si>
  <si>
    <t>ORD-100636</t>
  </si>
  <si>
    <t>customer1297@example.com</t>
  </si>
  <si>
    <t>ORD-100513</t>
  </si>
  <si>
    <t>ORD-101081</t>
  </si>
  <si>
    <t>ORD-102342</t>
  </si>
  <si>
    <t>customer0175@example.com</t>
  </si>
  <si>
    <t>ORD-101194</t>
  </si>
  <si>
    <t>ORD-100074</t>
  </si>
  <si>
    <t>customer1162@example.com</t>
  </si>
  <si>
    <t>ORD-102495</t>
  </si>
  <si>
    <t>customer0997@example.com</t>
  </si>
  <si>
    <t>ORD-100316</t>
  </si>
  <si>
    <t>ORD-101614</t>
  </si>
  <si>
    <t>customer0340@example.com</t>
  </si>
  <si>
    <t>ORD-100232</t>
  </si>
  <si>
    <t>customer0252@example.com</t>
  </si>
  <si>
    <t>ORD-102922</t>
  </si>
  <si>
    <t>customer0179@example.com</t>
  </si>
  <si>
    <t>ORD-100933</t>
  </si>
  <si>
    <t>ORD-100213</t>
  </si>
  <si>
    <t>customer0333@example.com</t>
  </si>
  <si>
    <t>ORD-102610</t>
  </si>
  <si>
    <t>ORD-101254</t>
  </si>
  <si>
    <t>ORD-101080</t>
  </si>
  <si>
    <t>customer0538@example.com</t>
  </si>
  <si>
    <t>ORD-102165</t>
  </si>
  <si>
    <t>customer0051@example.com</t>
  </si>
  <si>
    <t>ORD-100840</t>
  </si>
  <si>
    <t>customer1275@example.com</t>
  </si>
  <si>
    <t>ORD-101858</t>
  </si>
  <si>
    <t>customer1396@example.com</t>
  </si>
  <si>
    <t>ORD-101210</t>
  </si>
  <si>
    <t>customer0811@example.com</t>
  </si>
  <si>
    <t>ORD-102224</t>
  </si>
  <si>
    <t>customer0783@example.com</t>
  </si>
  <si>
    <t>ORD-100266</t>
  </si>
  <si>
    <t>customer1050@example.com</t>
  </si>
  <si>
    <t>ORD-101621</t>
  </si>
  <si>
    <t>06/21/2026</t>
  </si>
  <si>
    <t>customer0949@example.com</t>
  </si>
  <si>
    <t>ORD-102104</t>
  </si>
  <si>
    <t>customer1321@example.com</t>
  </si>
  <si>
    <t>Â£12.50</t>
  </si>
  <si>
    <t>ORD-101472</t>
  </si>
  <si>
    <t>ORD-100190</t>
  </si>
  <si>
    <t>customer0818@example.com</t>
  </si>
  <si>
    <t>ORD-100975</t>
  </si>
  <si>
    <t>03/23/2026</t>
  </si>
  <si>
    <t>ORD-102961</t>
  </si>
  <si>
    <t>customer1116@example.com</t>
  </si>
  <si>
    <t>ORD-100807</t>
  </si>
  <si>
    <t>Â£129.00</t>
  </si>
  <si>
    <t>ORD-101453</t>
  </si>
  <si>
    <t>customer0731@example.com</t>
  </si>
  <si>
    <t>ORD-101195</t>
  </si>
  <si>
    <t>customer1333@example.com</t>
  </si>
  <si>
    <t>ORD-102204</t>
  </si>
  <si>
    <t>customer0322@example.com</t>
  </si>
  <si>
    <t>ORD-102884</t>
  </si>
  <si>
    <t>customer0141@example.com</t>
  </si>
  <si>
    <t>ORD-100417</t>
  </si>
  <si>
    <t>ORD-101045</t>
  </si>
  <si>
    <t>customer0780@example.com</t>
  </si>
  <si>
    <t>ORD-100055</t>
  </si>
  <si>
    <t>ORD-102738</t>
  </si>
  <si>
    <t>customer0967@example.com</t>
  </si>
  <si>
    <t>ORD-102947</t>
  </si>
  <si>
    <t>ORD-100176</t>
  </si>
  <si>
    <t>customer0066@example.com</t>
  </si>
  <si>
    <t>ORD-100002</t>
  </si>
  <si>
    <t>customer0534@example.com</t>
  </si>
  <si>
    <t>ORD-102157</t>
  </si>
  <si>
    <t>customer1082@example.com</t>
  </si>
  <si>
    <t>ORD-101601</t>
  </si>
  <si>
    <t>04/25/2026</t>
  </si>
  <si>
    <t>ORD-101074</t>
  </si>
  <si>
    <t>ORD-100942</t>
  </si>
  <si>
    <t>customer0241@example.com</t>
  </si>
  <si>
    <t>ORD-100366</t>
  </si>
  <si>
    <t>ORD-102877</t>
  </si>
  <si>
    <t>ORD-101983</t>
  </si>
  <si>
    <t>customer0319@example.com</t>
  </si>
  <si>
    <t>197.37</t>
  </si>
  <si>
    <t>ORD-101503</t>
  </si>
  <si>
    <t>ORD-102601</t>
  </si>
  <si>
    <t>customer0445@example.com</t>
  </si>
  <si>
    <t>ORD-102788</t>
  </si>
  <si>
    <t>ORD-101798</t>
  </si>
  <si>
    <t>customer1340@example.com</t>
  </si>
  <si>
    <t>ORD-101894</t>
  </si>
  <si>
    <t>ORD-100813</t>
  </si>
  <si>
    <t>customer0276@example.com</t>
  </si>
  <si>
    <t>ORD-101145</t>
  </si>
  <si>
    <t>customer0656@example.com</t>
  </si>
  <si>
    <t>ORD-101765</t>
  </si>
  <si>
    <t>customer1083@example.com</t>
  </si>
  <si>
    <t>ORD-100197</t>
  </si>
  <si>
    <t>customer1281@example.com</t>
  </si>
  <si>
    <t>119.20</t>
  </si>
  <si>
    <t>ORD-101323</t>
  </si>
  <si>
    <t>ORD-101147</t>
  </si>
  <si>
    <t>customer1348@example.com</t>
  </si>
  <si>
    <t>ORD-102804</t>
  </si>
  <si>
    <t>customer1286@example.com</t>
  </si>
  <si>
    <t>ORD-101409</t>
  </si>
  <si>
    <t>ORD-101769</t>
  </si>
  <si>
    <t>customer0399@example.com</t>
  </si>
  <si>
    <t>ORD-101169</t>
  </si>
  <si>
    <t>customer0680@example.com</t>
  </si>
  <si>
    <t>ORD-100632</t>
  </si>
  <si>
    <t>customer0837@example.com</t>
  </si>
  <si>
    <t>ORD-102853</t>
  </si>
  <si>
    <t>02/21/2026</t>
  </si>
  <si>
    <t>customer1168@example.com</t>
  </si>
  <si>
    <t>ORD-100258</t>
  </si>
  <si>
    <t>customer0193@example.com</t>
  </si>
  <si>
    <t>ORD-100029</t>
  </si>
  <si>
    <t>customer0474@example.com</t>
  </si>
  <si>
    <t>ORD-100658</t>
  </si>
  <si>
    <t>customer0978@example.com</t>
  </si>
  <si>
    <t>ORD-102380</t>
  </si>
  <si>
    <t>customer1207@example.com</t>
  </si>
  <si>
    <t>ORD-100671</t>
  </si>
  <si>
    <t>customer0986@example.com</t>
  </si>
  <si>
    <t>ORD-102147</t>
  </si>
  <si>
    <t>customer0914@example.com</t>
  </si>
  <si>
    <t>ORD-102861</t>
  </si>
  <si>
    <t>customer0248@example.com</t>
  </si>
  <si>
    <t>ORD-102790</t>
  </si>
  <si>
    <t>05/16/2026</t>
  </si>
  <si>
    <t>customer1202@example.com</t>
  </si>
  <si>
    <t>ORD-100578</t>
  </si>
  <si>
    <t>customer0669@example.com</t>
  </si>
  <si>
    <t>-48.00</t>
  </si>
  <si>
    <t>ORD-100714</t>
  </si>
  <si>
    <t>ORD-102666</t>
  </si>
  <si>
    <t>customer0668@example.com</t>
  </si>
  <si>
    <t>ORD-100766</t>
  </si>
  <si>
    <t>customer0643@example.com</t>
  </si>
  <si>
    <t>ORD-100066</t>
  </si>
  <si>
    <t>customer0604@example.com</t>
  </si>
  <si>
    <t>ORD-100821</t>
  </si>
  <si>
    <t>customer0404@example.com</t>
  </si>
  <si>
    <t>ORD-101537</t>
  </si>
  <si>
    <t>04/16/2026</t>
  </si>
  <si>
    <t>ORD-102254</t>
  </si>
  <si>
    <t>customer1320@example.com</t>
  </si>
  <si>
    <t>ORD-101407</t>
  </si>
  <si>
    <t>ORD-102858</t>
  </si>
  <si>
    <t>ORD-101198</t>
  </si>
  <si>
    <t>customer0571@example.com</t>
  </si>
  <si>
    <t>ORD-100633</t>
  </si>
  <si>
    <t>customer0026@example.com</t>
  </si>
  <si>
    <t>ORD-102070</t>
  </si>
  <si>
    <t>customer0224@example.com</t>
  </si>
  <si>
    <t>ORD-101312</t>
  </si>
  <si>
    <t>customer1266@example.com</t>
  </si>
  <si>
    <t>ORD-101228</t>
  </si>
  <si>
    <t>customer1296@example.com</t>
  </si>
  <si>
    <t>ORD-101831</t>
  </si>
  <si>
    <t>customer0335@example.com</t>
  </si>
  <si>
    <t>ORD-102537</t>
  </si>
  <si>
    <t>customer0350@example.com</t>
  </si>
  <si>
    <t>ORD-102327</t>
  </si>
  <si>
    <t>customer0692@example.com</t>
  </si>
  <si>
    <t>ORD-102350</t>
  </si>
  <si>
    <t>customer0446@example.com</t>
  </si>
  <si>
    <t>ORD-101258</t>
  </si>
  <si>
    <t>customer0162@example.com</t>
  </si>
  <si>
    <t>ORD-100872</t>
  </si>
  <si>
    <t>ORD-101953</t>
  </si>
  <si>
    <t>customer0892@example.com</t>
  </si>
  <si>
    <t>ORD-102854</t>
  </si>
  <si>
    <t>customer0223@example.com</t>
  </si>
  <si>
    <t>ORD-101941</t>
  </si>
  <si>
    <t>customer0378@example.com</t>
  </si>
  <si>
    <t>ORD-100174</t>
  </si>
  <si>
    <t>customer0277@example.com</t>
  </si>
  <si>
    <t>ORD-102253</t>
  </si>
  <si>
    <t>customer1099@example.com</t>
  </si>
  <si>
    <t>ORD-101803</t>
  </si>
  <si>
    <t>ORD-101942</t>
  </si>
  <si>
    <t>customer0088@example.com</t>
  </si>
  <si>
    <t>ORD-101847</t>
  </si>
  <si>
    <t>customer0482@example.com</t>
  </si>
  <si>
    <t>-89.00</t>
  </si>
  <si>
    <t>ORD-100106</t>
  </si>
  <si>
    <t>customer0081@example.com</t>
  </si>
  <si>
    <t>ORD-102538</t>
  </si>
  <si>
    <t>customer0759@example.com</t>
  </si>
  <si>
    <t>ORD-100231</t>
  </si>
  <si>
    <t>customer0742@example.com</t>
  </si>
  <si>
    <t>ORD-100378</t>
  </si>
  <si>
    <t>customer0128@example.com</t>
  </si>
  <si>
    <t>ORD-101361</t>
  </si>
  <si>
    <t>customer1352@example.com</t>
  </si>
  <si>
    <t>ORD-102114</t>
  </si>
  <si>
    <t>ORD-101105</t>
  </si>
  <si>
    <t>ORD-102138</t>
  </si>
  <si>
    <t>customer0464@example.com</t>
  </si>
  <si>
    <t>ORD-100180</t>
  </si>
  <si>
    <t>customer0631@example.com</t>
  </si>
  <si>
    <t>ORD-102142</t>
  </si>
  <si>
    <t>ORD-102627</t>
  </si>
  <si>
    <t>customer0129@example.com</t>
  </si>
  <si>
    <t>ORD-101753</t>
  </si>
  <si>
    <t>customer1103@example.com</t>
  </si>
  <si>
    <t>ORD-100113</t>
  </si>
  <si>
    <t>customer0442@example.com</t>
  </si>
  <si>
    <t>ORD-101252</t>
  </si>
  <si>
    <t>customer0406@example.com</t>
  </si>
  <si>
    <t>ORD-100895</t>
  </si>
  <si>
    <t>customer1315@example.com</t>
  </si>
  <si>
    <t>ORD-100567</t>
  </si>
  <si>
    <t>customer0497@example.com</t>
  </si>
  <si>
    <t>ORD-100088</t>
  </si>
  <si>
    <t>ORD-101986</t>
  </si>
  <si>
    <t>customer0901@example.com</t>
  </si>
  <si>
    <t>ORD-102108</t>
  </si>
  <si>
    <t>customer1043@example.com</t>
  </si>
  <si>
    <t>109.65</t>
  </si>
  <si>
    <t>ORD-101809</t>
  </si>
  <si>
    <t>customer1344@example.com</t>
  </si>
  <si>
    <t>ORD-101473</t>
  </si>
  <si>
    <t>customer1138@example.com</t>
  </si>
  <si>
    <t>ORD-102094</t>
  </si>
  <si>
    <t>customer0630@example.com</t>
  </si>
  <si>
    <t>ORD-100793</t>
  </si>
  <si>
    <t>customer1136@example.com</t>
  </si>
  <si>
    <t>ORD-102703</t>
  </si>
  <si>
    <t>customer0261@example.com</t>
  </si>
  <si>
    <t>ORD-102898</t>
  </si>
  <si>
    <t>customer1027@example.com</t>
  </si>
  <si>
    <t>ORD-100576</t>
  </si>
  <si>
    <t>customer0422@example.com</t>
  </si>
  <si>
    <t>ORD-100421</t>
  </si>
  <si>
    <t>242.25</t>
  </si>
  <si>
    <t>ORD-101978</t>
  </si>
  <si>
    <t>customer1208@example.com</t>
  </si>
  <si>
    <t>ORD-100687</t>
  </si>
  <si>
    <t>customer0296@example.com</t>
  </si>
  <si>
    <t>ORD-101644</t>
  </si>
  <si>
    <t>ORD-101680</t>
  </si>
  <si>
    <t>customer0804@example.com</t>
  </si>
  <si>
    <t>ORD-101970</t>
  </si>
  <si>
    <t>customer0884@example.com</t>
  </si>
  <si>
    <t>ORD-101100</t>
  </si>
  <si>
    <t>ORD-100360</t>
  </si>
  <si>
    <t>customer1233@example.com</t>
  </si>
  <si>
    <t>ORD-101063</t>
  </si>
  <si>
    <t>ORD-101098</t>
  </si>
  <si>
    <t>customer1071@example.com</t>
  </si>
  <si>
    <t>ORD-102250</t>
  </si>
  <si>
    <t>customer1229@example.com</t>
  </si>
  <si>
    <t>ORD-102265</t>
  </si>
  <si>
    <t>ORD-101110</t>
  </si>
  <si>
    <t>customer1387@example.com</t>
  </si>
  <si>
    <t>ORD-101084</t>
  </si>
  <si>
    <t>ORD-102036</t>
  </si>
  <si>
    <t>customer0021@example.com</t>
  </si>
  <si>
    <t>ORD-100466</t>
  </si>
  <si>
    <t>customer0506@example.com</t>
  </si>
  <si>
    <t>GBP149.00</t>
  </si>
  <si>
    <t>ORD-102770</t>
  </si>
  <si>
    <t>customer0511@example.com</t>
  </si>
  <si>
    <t>ORD-101486</t>
  </si>
  <si>
    <t>customer0423@example.com</t>
  </si>
  <si>
    <t>ORD-101939</t>
  </si>
  <si>
    <t>customer0939@example.com</t>
  </si>
  <si>
    <t>ORD-102477</t>
  </si>
  <si>
    <t>customer0955@example.com</t>
  </si>
  <si>
    <t>ORD-100737</t>
  </si>
  <si>
    <t>customer0784@example.com</t>
  </si>
  <si>
    <t>ORD-101229</t>
  </si>
  <si>
    <t>228.00</t>
  </si>
  <si>
    <t>ORD-101709</t>
  </si>
  <si>
    <t>customer0616@example.com</t>
  </si>
  <si>
    <t>ORD-100410</t>
  </si>
  <si>
    <t>customer1189@example.com</t>
  </si>
  <si>
    <t>ORD-101802</t>
  </si>
  <si>
    <t>customer1005@example.com</t>
  </si>
  <si>
    <t>ORD-102668</t>
  </si>
  <si>
    <t>customer0781@example.com</t>
  </si>
  <si>
    <t>ORD-100751</t>
  </si>
  <si>
    <t>customer0093@example.com</t>
  </si>
  <si>
    <t>ORD-101390</t>
  </si>
  <si>
    <t>customer0723@example.com</t>
  </si>
  <si>
    <t>ORD-101278</t>
  </si>
  <si>
    <t>customer0345@example.com</t>
  </si>
  <si>
    <t>ORD-100919</t>
  </si>
  <si>
    <t>customer0133@example.com</t>
  </si>
  <si>
    <t>ORD-101131</t>
  </si>
  <si>
    <t>customer0741@example.com</t>
  </si>
  <si>
    <t>38.25</t>
  </si>
  <si>
    <t>ORD-100601</t>
  </si>
  <si>
    <t>customer0270@example.com</t>
  </si>
  <si>
    <t>ORD-100123</t>
  </si>
  <si>
    <t>customer0173@example.com</t>
  </si>
  <si>
    <t>ORD-100626</t>
  </si>
  <si>
    <t>customer0966@example.com</t>
  </si>
  <si>
    <t>ORD-102356</t>
  </si>
  <si>
    <t>customer1007@example.com</t>
  </si>
  <si>
    <t>ORD-102154</t>
  </si>
  <si>
    <t>customer0694@example.com</t>
  </si>
  <si>
    <t>ORD-102834</t>
  </si>
  <si>
    <t>customer0883@example.com</t>
  </si>
  <si>
    <t>ORD-101892</t>
  </si>
  <si>
    <t>customer1293@example.com</t>
  </si>
  <si>
    <t>ORD-100075</t>
  </si>
  <si>
    <t>customer0055@example.com</t>
  </si>
  <si>
    <t>ORD-101029</t>
  </si>
  <si>
    <t>18.36</t>
  </si>
  <si>
    <t>ORD-101385</t>
  </si>
  <si>
    <t>customer0869@example.com</t>
  </si>
  <si>
    <t>ORD-100488</t>
  </si>
  <si>
    <t>customer0841@example.com</t>
  </si>
  <si>
    <t>ORD-100403</t>
  </si>
  <si>
    <t>01/30/2026</t>
  </si>
  <si>
    <t>customer1319@example.com</t>
  </si>
  <si>
    <t>126.65</t>
  </si>
  <si>
    <t>ORD-100204</t>
  </si>
  <si>
    <t>customer0272@example.com</t>
  </si>
  <si>
    <t>ORD-102073</t>
  </si>
  <si>
    <t>06/29/2026</t>
  </si>
  <si>
    <t>customer1143@example.com</t>
  </si>
  <si>
    <t>ORD-101611</t>
  </si>
  <si>
    <t>customer0543@example.com</t>
  </si>
  <si>
    <t>ORD-102384</t>
  </si>
  <si>
    <t>ORD-100873</t>
  </si>
  <si>
    <t>customer0561@example.com</t>
  </si>
  <si>
    <t>ORD-101019</t>
  </si>
  <si>
    <t>GBP21.60</t>
  </si>
  <si>
    <t>ORD-101365</t>
  </si>
  <si>
    <t>ORD-100725</t>
  </si>
  <si>
    <t>customer1358@example.com</t>
  </si>
  <si>
    <t>ORD-100339</t>
  </si>
  <si>
    <t>customer0360@example.com</t>
  </si>
  <si>
    <t>ORD-101159</t>
  </si>
  <si>
    <t>customer0620@example.com</t>
  </si>
  <si>
    <t>ORD-101399</t>
  </si>
  <si>
    <t>05/19/2026</t>
  </si>
  <si>
    <t>customer0082@example.com</t>
  </si>
  <si>
    <t>ORD-102321</t>
  </si>
  <si>
    <t>06/26/2026</t>
  </si>
  <si>
    <t>ORD-101223</t>
  </si>
  <si>
    <t>customer1034@example.com</t>
  </si>
  <si>
    <t>ORD-102528</t>
  </si>
  <si>
    <t>customer0227@example.com</t>
  </si>
  <si>
    <t>ORD-100427</t>
  </si>
  <si>
    <t>customer0004@example.com</t>
  </si>
  <si>
    <t>ORD-100998</t>
  </si>
  <si>
    <t>customer0596@example.com</t>
  </si>
  <si>
    <t>ORD-102261</t>
  </si>
  <si>
    <t>ORD-102231</t>
  </si>
  <si>
    <t>customer1276@example.com</t>
  </si>
  <si>
    <t>ORD-102827</t>
  </si>
  <si>
    <t>ORD-101575</t>
  </si>
  <si>
    <t>ORD-102434</t>
  </si>
  <si>
    <t>ORD-100850</t>
  </si>
  <si>
    <t>customer1053@example.com</t>
  </si>
  <si>
    <t>ORD-101044</t>
  </si>
  <si>
    <t>customer1173@example.com</t>
  </si>
  <si>
    <t>ORD-101860</t>
  </si>
  <si>
    <t>customer0752@example.com</t>
  </si>
  <si>
    <t>ORD-100045</t>
  </si>
  <si>
    <t>ORD-102216</t>
  </si>
  <si>
    <t>customer0420@example.com</t>
  </si>
  <si>
    <t>ORD-101535</t>
  </si>
  <si>
    <t>customer0042@example.com</t>
  </si>
  <si>
    <t>ORD-100453</t>
  </si>
  <si>
    <t>customer1211@example.com</t>
  </si>
  <si>
    <t>-11.25</t>
  </si>
  <si>
    <t>ORD-102062</t>
  </si>
  <si>
    <t>customer0284@example.com</t>
  </si>
  <si>
    <t>ORD-100854</t>
  </si>
  <si>
    <t>ORD-100953</t>
  </si>
  <si>
    <t>ORD-101177</t>
  </si>
  <si>
    <t>ORD-101560</t>
  </si>
  <si>
    <t>customer1058@example.com</t>
  </si>
  <si>
    <t>ORD-101909</t>
  </si>
  <si>
    <t>ORD-102720</t>
  </si>
  <si>
    <t>customer0379@example.com</t>
  </si>
  <si>
    <t>ORD-101476</t>
  </si>
  <si>
    <t>ORD-100848</t>
  </si>
  <si>
    <t>customer1075@example.com</t>
  </si>
  <si>
    <t>113.98</t>
  </si>
  <si>
    <t>ORD-102842</t>
  </si>
  <si>
    <t>customer1048@example.com</t>
  </si>
  <si>
    <t>ORD-102719</t>
  </si>
  <si>
    <t>customer0160@example.com</t>
  </si>
  <si>
    <t>ORD-101674</t>
  </si>
  <si>
    <t>customer0466@example.com</t>
  </si>
  <si>
    <t>ORD-100302</t>
  </si>
  <si>
    <t>GBP11.25</t>
  </si>
  <si>
    <t>ORD-102954</t>
  </si>
  <si>
    <t>customer0796@example.com</t>
  </si>
  <si>
    <t>226.95</t>
  </si>
  <si>
    <t>ORD-101091</t>
  </si>
  <si>
    <t>customer0294@example.com</t>
  </si>
  <si>
    <t>ORD-101595</t>
  </si>
  <si>
    <t>customer0893@example.com</t>
  </si>
  <si>
    <t>27.00</t>
  </si>
  <si>
    <t>ORD-101563</t>
  </si>
  <si>
    <t>customer1062@example.com</t>
  </si>
  <si>
    <t>ORD-101777</t>
  </si>
  <si>
    <t>customer1045@example.com</t>
  </si>
  <si>
    <t>ORD-102722</t>
  </si>
  <si>
    <t>customer0870@example.com</t>
  </si>
  <si>
    <t>ORD-101631</t>
  </si>
  <si>
    <t>customer0471@example.com</t>
  </si>
  <si>
    <t>ORD-100831</t>
  </si>
  <si>
    <t>customer1354@example.com</t>
  </si>
  <si>
    <t>ORD-101082</t>
  </si>
  <si>
    <t>customer1176@example.com</t>
  </si>
  <si>
    <t>ORD-102812</t>
  </si>
  <si>
    <t>ORD-102095</t>
  </si>
  <si>
    <t>customer1272@example.com</t>
  </si>
  <si>
    <t>ORD-100503</t>
  </si>
  <si>
    <t>customer0306@example.com</t>
  </si>
  <si>
    <t>ORD-102700</t>
  </si>
  <si>
    <t>ORD-100616</t>
  </si>
  <si>
    <t>customer0086@example.com</t>
  </si>
  <si>
    <t>ORD-101085</t>
  </si>
  <si>
    <t>06/22/2026</t>
  </si>
  <si>
    <t>customer0948@example.com</t>
  </si>
  <si>
    <t>ORD-100151</t>
  </si>
  <si>
    <t>customer1090@example.com</t>
  </si>
  <si>
    <t>ORD-100800</t>
  </si>
  <si>
    <t>customer1085@example.com</t>
  </si>
  <si>
    <t>253.30</t>
  </si>
  <si>
    <t>ORD-102131</t>
  </si>
  <si>
    <t>customer0027@example.com</t>
  </si>
  <si>
    <t>ORD-100445</t>
  </si>
  <si>
    <t>ORD-100415</t>
  </si>
  <si>
    <t>customer1122@example.com</t>
  </si>
  <si>
    <t>ORD-101903</t>
  </si>
  <si>
    <t>customer1195@example.com</t>
  </si>
  <si>
    <t>ORD-100630</t>
  </si>
  <si>
    <t>ORD-102228</t>
  </si>
  <si>
    <t>customer1252@example.com</t>
  </si>
  <si>
    <t>ORD-100590</t>
  </si>
  <si>
    <t>customer0717@example.com</t>
  </si>
  <si>
    <t>ORD-101391</t>
  </si>
  <si>
    <t>customer0139@example.com</t>
  </si>
  <si>
    <t>ORD-102697</t>
  </si>
  <si>
    <t>ORD-100619</t>
  </si>
  <si>
    <t>ORD-102906</t>
  </si>
  <si>
    <t>03/22/2026</t>
  </si>
  <si>
    <t>customer1253@example.com</t>
  </si>
  <si>
    <t>ORD-101766</t>
  </si>
  <si>
    <t>customer0801@example.com</t>
  </si>
  <si>
    <t>ORD-101090</t>
  </si>
  <si>
    <t>customer0613@example.com</t>
  </si>
  <si>
    <t>-95.00</t>
  </si>
  <si>
    <t>ORD-100086</t>
  </si>
  <si>
    <t>ORD-101645</t>
  </si>
  <si>
    <t>customer1036@example.com</t>
  </si>
  <si>
    <t>ORD-102509</t>
  </si>
  <si>
    <t>customer0191@example.com</t>
  </si>
  <si>
    <t>ORD-102687</t>
  </si>
  <si>
    <t>customer0255@example.com</t>
  </si>
  <si>
    <t>ORD-101990</t>
  </si>
  <si>
    <t>ORD-100881</t>
  </si>
  <si>
    <t>06/28/2026</t>
  </si>
  <si>
    <t>customer0221@example.com</t>
  </si>
  <si>
    <t>ORD-100693</t>
  </si>
  <si>
    <t>customer0923@example.com</t>
  </si>
  <si>
    <t>ORD-102820</t>
  </si>
  <si>
    <t>GBP79.00</t>
  </si>
  <si>
    <t>ORD-102815</t>
  </si>
  <si>
    <t>ORD-102017</t>
  </si>
  <si>
    <t>customer0089@example.com</t>
  </si>
  <si>
    <t>ORD-101824</t>
  </si>
  <si>
    <t>customer1182@example.com</t>
  </si>
  <si>
    <t>32.40</t>
  </si>
  <si>
    <t>ORD-102396</t>
  </si>
  <si>
    <t>ORD-101116</t>
  </si>
  <si>
    <t>customer0606@example.com</t>
  </si>
  <si>
    <t>ORD-102721</t>
  </si>
  <si>
    <t>06/18/2026</t>
  </si>
  <si>
    <t>customer0397@example.com</t>
  </si>
  <si>
    <t>ORD-101736</t>
  </si>
  <si>
    <t>customer0982@example.com</t>
  </si>
  <si>
    <t>ORD-100256</t>
  </si>
  <si>
    <t>customer0326@example.com</t>
  </si>
  <si>
    <t>ORD-100279</t>
  </si>
  <si>
    <t>customer1230@example.com</t>
  </si>
  <si>
    <t>ORD-100536</t>
  </si>
  <si>
    <t>01/14/2026</t>
  </si>
  <si>
    <t>customer0198@example.com</t>
  </si>
  <si>
    <t>ORD-100463</t>
  </si>
  <si>
    <t>customer0108@example.com</t>
  </si>
  <si>
    <t>ORD-102425</t>
  </si>
  <si>
    <t>ORD-100117</t>
  </si>
  <si>
    <t>75.65</t>
  </si>
  <si>
    <t>ORD-100398</t>
  </si>
  <si>
    <t>customer1073@example.com</t>
  </si>
  <si>
    <t>ORD-100999</t>
  </si>
  <si>
    <t>customer0351@example.com</t>
  </si>
  <si>
    <t>ORD-100167</t>
  </si>
  <si>
    <t>customer0269@example.com</t>
  </si>
  <si>
    <t>ORD-101628</t>
  </si>
  <si>
    <t>ORD-100309</t>
  </si>
  <si>
    <t>customer0233@example.com</t>
  </si>
  <si>
    <t>ORD-101414</t>
  </si>
  <si>
    <t>ORD-102112</t>
  </si>
  <si>
    <t>customer0907@example.com</t>
  </si>
  <si>
    <t>ORD-102971</t>
  </si>
  <si>
    <t>customer1215@example.com</t>
  </si>
  <si>
    <t>ORD-102534</t>
  </si>
  <si>
    <t>customer0607@example.com</t>
  </si>
  <si>
    <t>ORD-100022</t>
  </si>
  <si>
    <t>customer0815@example.com</t>
  </si>
  <si>
    <t>ORD-100918</t>
  </si>
  <si>
    <t>customer1117@example.com</t>
  </si>
  <si>
    <t>ORD-100233</t>
  </si>
  <si>
    <t>customer0704@example.com</t>
  </si>
  <si>
    <t>ORD-102800</t>
  </si>
  <si>
    <t>ORD-101786</t>
  </si>
  <si>
    <t>ORD-100996</t>
  </si>
  <si>
    <t>customer0432@example.com</t>
  </si>
  <si>
    <t>ORD-101281</t>
  </si>
  <si>
    <t>customer0408@example.com</t>
  </si>
  <si>
    <t>ORD-101865</t>
  </si>
  <si>
    <t>ORD-100385</t>
  </si>
  <si>
    <t>customer0052@example.com</t>
  </si>
  <si>
    <t>ORD-101266</t>
  </si>
  <si>
    <t>customer0033@example.com</t>
  </si>
  <si>
    <t>ORD-102207</t>
  </si>
  <si>
    <t>customer1011@example.com</t>
  </si>
  <si>
    <t>ORD-101099</t>
  </si>
  <si>
    <t>customer1042@example.com</t>
  </si>
  <si>
    <t>ORD-100781</t>
  </si>
  <si>
    <t>customer0400@example.com</t>
  </si>
  <si>
    <t>ORD-100748</t>
  </si>
  <si>
    <t>customer0648@example.com</t>
  </si>
  <si>
    <t>ORD-101393</t>
  </si>
  <si>
    <t>customer0795@example.com</t>
  </si>
  <si>
    <t>ORD-100386</t>
  </si>
  <si>
    <t>ORD-100164</t>
  </si>
  <si>
    <t>customer0819@example.com</t>
  </si>
  <si>
    <t>ORD-101032</t>
  </si>
  <si>
    <t>ORD-102522</t>
  </si>
  <si>
    <t>customer0859@example.com</t>
  </si>
  <si>
    <t>ORD-102403</t>
  </si>
  <si>
    <t>customer1180@example.com</t>
  </si>
  <si>
    <t>17.28</t>
  </si>
  <si>
    <t>ORD-102325</t>
  </si>
  <si>
    <t>ORD-102999</t>
  </si>
  <si>
    <t>customer0467@example.com</t>
  </si>
  <si>
    <t>ORD-100696</t>
  </si>
  <si>
    <t>customer0339@example.com</t>
  </si>
  <si>
    <t>ORD-102749</t>
  </si>
  <si>
    <t>customer1383@example.com</t>
  </si>
  <si>
    <t>ORD-100598</t>
  </si>
  <si>
    <t>customer0927@example.com</t>
  </si>
  <si>
    <t>ORD-101770</t>
  </si>
  <si>
    <t>GBP40.50</t>
  </si>
  <si>
    <t>ORD-101478</t>
  </si>
  <si>
    <t>ORD-100497</t>
  </si>
  <si>
    <t>ORD-101374</t>
  </si>
  <si>
    <t>customer0074@example.com</t>
  </si>
  <si>
    <t>ORD-102777</t>
  </si>
  <si>
    <t>customer0451@example.com</t>
  </si>
  <si>
    <t>ORD-102556</t>
  </si>
  <si>
    <t>ORD-102945</t>
  </si>
  <si>
    <t>customer1273@example.com</t>
  </si>
  <si>
    <t>ORD-101594</t>
  </si>
  <si>
    <t>customer0824@example.com</t>
  </si>
  <si>
    <t>ORD-100319</t>
  </si>
  <si>
    <t>customer1016@example.com</t>
  </si>
  <si>
    <t>ORD-101799</t>
  </si>
  <si>
    <t>customer0419@example.com</t>
  </si>
  <si>
    <t>ORD-102021</t>
  </si>
  <si>
    <t>ORD-100669</t>
  </si>
  <si>
    <t>customer1059@example.com</t>
  </si>
  <si>
    <t>ORD-101457</t>
  </si>
  <si>
    <t>customer0530@example.com</t>
  </si>
  <si>
    <t>ORD-101529</t>
  </si>
  <si>
    <t>04/17/2026</t>
  </si>
  <si>
    <t>ORD-102818</t>
  </si>
  <si>
    <t>customer1133@example.com</t>
  </si>
  <si>
    <t>357.60</t>
  </si>
  <si>
    <t>ORD-100480</t>
  </si>
  <si>
    <t>ORD-101493</t>
  </si>
  <si>
    <t>customer1047@example.com</t>
  </si>
  <si>
    <t>ORD-100338</t>
  </si>
  <si>
    <t>customer0411@example.com</t>
  </si>
  <si>
    <t>ORD-101209</t>
  </si>
  <si>
    <t>customer0083@example.com</t>
  </si>
  <si>
    <t>ORD-100947</t>
  </si>
  <si>
    <t>ORD-101146</t>
  </si>
  <si>
    <t>customer0645@example.com</t>
  </si>
  <si>
    <t>ORD-102673</t>
  </si>
  <si>
    <t>ORD-100131</t>
  </si>
  <si>
    <t>customer0232@example.com</t>
  </si>
  <si>
    <t>ORD-102950</t>
  </si>
  <si>
    <t>02/18/2026</t>
  </si>
  <si>
    <t>customer0334@example.com</t>
  </si>
  <si>
    <t>ORD-100654</t>
  </si>
  <si>
    <t>ORD-101461</t>
  </si>
  <si>
    <t>ORD-101754</t>
  </si>
  <si>
    <t>customer0115@example.com</t>
  </si>
  <si>
    <t>ORD-100128</t>
  </si>
  <si>
    <t>customer1223@example.com</t>
  </si>
  <si>
    <t>ORD-102206</t>
  </si>
  <si>
    <t>customer1302@example.com</t>
  </si>
  <si>
    <t>ORD-100608</t>
  </si>
  <si>
    <t>ORD-102269</t>
  </si>
  <si>
    <t>ORD-100079</t>
  </si>
  <si>
    <t>ORD-102579</t>
  </si>
  <si>
    <t>customer0794@example.com</t>
  </si>
  <si>
    <t>ORD-101505</t>
  </si>
  <si>
    <t>customer1245@example.com</t>
  </si>
  <si>
    <t>142.40</t>
  </si>
  <si>
    <t>ORD-101134</t>
  </si>
  <si>
    <t>ORD-101843</t>
  </si>
  <si>
    <t>customer0860@example.com</t>
  </si>
  <si>
    <t>ORD-101482</t>
  </si>
  <si>
    <t>customer0994@example.com</t>
  </si>
  <si>
    <t>ORD-101694</t>
  </si>
  <si>
    <t>ORD-102313</t>
  </si>
  <si>
    <t>144.18</t>
  </si>
  <si>
    <t>ORD-100152</t>
  </si>
  <si>
    <t>customer0984@example.com</t>
  </si>
  <si>
    <t>ORD-100906</t>
  </si>
  <si>
    <t>customer1066@example.com</t>
  </si>
  <si>
    <t>ORD-101698</t>
  </si>
  <si>
    <t>customer1346@example.com</t>
  </si>
  <si>
    <t>ORD-100762</t>
  </si>
  <si>
    <t>customer0265@example.com</t>
  </si>
  <si>
    <t>ORD-102561</t>
  </si>
  <si>
    <t>customer1288@example.com</t>
  </si>
  <si>
    <t>ORD-102312</t>
  </si>
  <si>
    <t>customer1299@example.com</t>
  </si>
  <si>
    <t>ORD-102585</t>
  </si>
  <si>
    <t>customer1381@example.com</t>
  </si>
  <si>
    <t>ORD-100424</t>
  </si>
  <si>
    <t>customer0278@example.com</t>
  </si>
  <si>
    <t>ORD-101867</t>
  </si>
  <si>
    <t>ORD-101801</t>
  </si>
  <si>
    <t>customer0965@example.com</t>
  </si>
  <si>
    <t>ORD-101893</t>
  </si>
  <si>
    <t>ORD-102441</t>
  </si>
  <si>
    <t>customer0545@example.com</t>
  </si>
  <si>
    <t>ORD-101869</t>
  </si>
  <si>
    <t>customer0001@example.com</t>
  </si>
  <si>
    <t>ORD-102355</t>
  </si>
  <si>
    <t>customer0017@example.com</t>
  </si>
  <si>
    <t>ORD-102615</t>
  </si>
  <si>
    <t>customer0203@example.com</t>
  </si>
  <si>
    <t>ORD-100246</t>
  </si>
  <si>
    <t>ORD-100889</t>
  </si>
  <si>
    <t>ORD-102731</t>
  </si>
  <si>
    <t>ORD-102074</t>
  </si>
  <si>
    <t>ORD-102527</t>
  </si>
  <si>
    <t>ORD-100178</t>
  </si>
  <si>
    <t>customer1008@example.com</t>
  </si>
  <si>
    <t>ORD-100391</t>
  </si>
  <si>
    <t>04/21/2026</t>
  </si>
  <si>
    <t>ORD-100860</t>
  </si>
  <si>
    <t>customer0147@example.com</t>
  </si>
  <si>
    <t>ORD-100667</t>
  </si>
  <si>
    <t>ORD-100785</t>
  </si>
  <si>
    <t>ORD-100025</t>
  </si>
  <si>
    <t>ORD-100238</t>
  </si>
  <si>
    <t>-232.20</t>
  </si>
  <si>
    <t>ORD-101933</t>
  </si>
  <si>
    <t>customer0940@example.com</t>
  </si>
  <si>
    <t>ORD-102880</t>
  </si>
  <si>
    <t>ORD-100461</t>
  </si>
  <si>
    <t>ORD-102038</t>
  </si>
  <si>
    <t>customer0143@example.com</t>
  </si>
  <si>
    <t>-71.10</t>
  </si>
  <si>
    <t>ORD-101321</t>
  </si>
  <si>
    <t>customer0072@example.com</t>
  </si>
  <si>
    <t>ORD-101261</t>
  </si>
  <si>
    <t>customer0236@example.com</t>
  </si>
  <si>
    <t>ORD-100140</t>
  </si>
  <si>
    <t>customer0171@example.com</t>
  </si>
  <si>
    <t>ORD-100784</t>
  </si>
  <si>
    <t>ORD-101202</t>
  </si>
  <si>
    <t>customer0937@example.com</t>
  </si>
  <si>
    <t>ORD-102741</t>
  </si>
  <si>
    <t>ORD-102026</t>
  </si>
  <si>
    <t>customer1006@example.com</t>
  </si>
  <si>
    <t>ORD-102451</t>
  </si>
  <si>
    <t>customer0928@example.com</t>
  </si>
  <si>
    <t>ORD-101111</t>
  </si>
  <si>
    <t>customer0282@example.com</t>
  </si>
  <si>
    <t>ORD-100295</t>
  </si>
  <si>
    <t>customer0912@example.com</t>
  </si>
  <si>
    <t>ORD-101425</t>
  </si>
  <si>
    <t>customer0499@example.com</t>
  </si>
  <si>
    <t>ORD-102435</t>
  </si>
  <si>
    <t>ORD-102181</t>
  </si>
  <si>
    <t>customer1316@example.com</t>
  </si>
  <si>
    <t>ORD-100963</t>
  </si>
  <si>
    <t>customer1392@example.com</t>
  </si>
  <si>
    <t>ORD-101371</t>
  </si>
  <si>
    <t>customer0628@example.com</t>
  </si>
  <si>
    <t>ORD-102230</t>
  </si>
  <si>
    <t>customer0177@example.com</t>
  </si>
  <si>
    <t>ORD-102684</t>
  </si>
  <si>
    <t>customer0481@example.com</t>
  </si>
  <si>
    <t>ORD-102125</t>
  </si>
  <si>
    <t>ORD-100833</t>
  </si>
  <si>
    <t>ORD-102195</t>
  </si>
  <si>
    <t>customer0771@example.com</t>
  </si>
  <si>
    <t>ORD-100822</t>
  </si>
  <si>
    <t>ORD-101934</t>
  </si>
  <si>
    <t>customer0311@example.com</t>
  </si>
  <si>
    <t>80.75</t>
  </si>
  <si>
    <t>ORD-102802</t>
  </si>
  <si>
    <t>ORD-100444</t>
  </si>
  <si>
    <t>05/30/2026</t>
  </si>
  <si>
    <t>customer1134@example.com</t>
  </si>
  <si>
    <t>ORD-100936</t>
  </si>
  <si>
    <t>customer0468@example.com</t>
  </si>
  <si>
    <t>ORD-101514</t>
  </si>
  <si>
    <t>ORD-102459</t>
  </si>
  <si>
    <t>customer1032@example.com</t>
  </si>
  <si>
    <t>ORD-102222</t>
  </si>
  <si>
    <t>customer0894@example.com</t>
  </si>
  <si>
    <t>ORD-102588</t>
  </si>
  <si>
    <t>ORD-101757</t>
  </si>
  <si>
    <t>ORD-101719</t>
  </si>
  <si>
    <t>customer1070@example.com</t>
  </si>
  <si>
    <t>ORD-101720</t>
  </si>
  <si>
    <t>ORD-102619</t>
  </si>
  <si>
    <t>ORD-100380</t>
  </si>
  <si>
    <t>customer0636@example.com</t>
  </si>
  <si>
    <t>ORD-101668</t>
  </si>
  <si>
    <t>customer0548@example.com</t>
  </si>
  <si>
    <t>ORD-101301</t>
  </si>
  <si>
    <t>customer0763@example.com</t>
  </si>
  <si>
    <t>ORD-101565</t>
  </si>
  <si>
    <t>customer0385@example.com</t>
  </si>
  <si>
    <t>ORD-100770</t>
  </si>
  <si>
    <t>ORD-100491</t>
  </si>
  <si>
    <t>customer0478@example.com</t>
  </si>
  <si>
    <t>ORD-100950</t>
  </si>
  <si>
    <t>ORD-102149</t>
  </si>
  <si>
    <t>ORD-100927</t>
  </si>
  <si>
    <t>-33.75</t>
  </si>
  <si>
    <t>ORD-101117</t>
  </si>
  <si>
    <t>ORD-100065</t>
  </si>
  <si>
    <t>ORD-100397</t>
  </si>
  <si>
    <t>ORD-102532</t>
  </si>
  <si>
    <t>ORD-102786</t>
  </si>
  <si>
    <t>ORD-102766</t>
  </si>
  <si>
    <t>customer0153@example.com</t>
  </si>
  <si>
    <t>ORD-101387</t>
  </si>
  <si>
    <t>64.08</t>
  </si>
  <si>
    <t>ORD-102003</t>
  </si>
  <si>
    <t>customer0338@example.com</t>
  </si>
  <si>
    <t>ORD-101222</t>
  </si>
  <si>
    <t>customer0267@example.com</t>
  </si>
  <si>
    <t>ORD-102464</t>
  </si>
  <si>
    <t>ORD-100519</t>
  </si>
  <si>
    <t>customer0938@example.com</t>
  </si>
  <si>
    <t>ORD-100115</t>
  </si>
  <si>
    <t>customer0552@example.com</t>
  </si>
  <si>
    <t>ORD-100361</t>
  </si>
  <si>
    <t>customer1181@example.com</t>
  </si>
  <si>
    <t>ORD-102843</t>
  </si>
  <si>
    <t>01/17/2026</t>
  </si>
  <si>
    <t>ORD-100333</t>
  </si>
  <si>
    <t>customer0366@example.com</t>
  </si>
  <si>
    <t>ORD-100139</t>
  </si>
  <si>
    <t>customer0122@example.com</t>
  </si>
  <si>
    <t>ORD-101959</t>
  </si>
  <si>
    <t>customer0087@example.com</t>
  </si>
  <si>
    <t>ORD-101232</t>
  </si>
  <si>
    <t>customer1373@example.com</t>
  </si>
  <si>
    <t>-24.00</t>
  </si>
  <si>
    <t>ORD-101467</t>
  </si>
  <si>
    <t>ORD-100383</t>
  </si>
  <si>
    <t>68.08</t>
  </si>
  <si>
    <t>ORD-100820</t>
  </si>
  <si>
    <t>customer0124@example.com</t>
  </si>
  <si>
    <t>ORD-100649</t>
  </si>
  <si>
    <t>customer0872@example.com</t>
  </si>
  <si>
    <t>ORD-102636</t>
  </si>
  <si>
    <t>customer0863@example.com</t>
  </si>
  <si>
    <t>ORD-101189</t>
  </si>
  <si>
    <t>customer1124@example.com</t>
  </si>
  <si>
    <t>-85.50</t>
  </si>
  <si>
    <t>ORD-101647</t>
  </si>
  <si>
    <t>customer0100@example.com</t>
  </si>
  <si>
    <t>206.40</t>
  </si>
  <si>
    <t>ORD-102517</t>
  </si>
  <si>
    <t>customer0906@example.com</t>
  </si>
  <si>
    <t>ORD-100668</t>
  </si>
  <si>
    <t>customer0709@example.com</t>
  </si>
  <si>
    <t>ORD-102806</t>
  </si>
  <si>
    <t>ORD-101619</t>
  </si>
  <si>
    <t>06/25/2026</t>
  </si>
  <si>
    <t>ORD-102841</t>
  </si>
  <si>
    <t>ORD-102027</t>
  </si>
  <si>
    <t>customer0315@example.com</t>
  </si>
  <si>
    <t>ORD-102742</t>
  </si>
  <si>
    <t>01/24/2026</t>
  </si>
  <si>
    <t>ORD-102946</t>
  </si>
  <si>
    <t>customer0660@example.com</t>
  </si>
  <si>
    <t>ORD-101031</t>
  </si>
  <si>
    <t>06/27/2026</t>
  </si>
  <si>
    <t>customer0977@example.com</t>
  </si>
  <si>
    <t>ORD-100379</t>
  </si>
  <si>
    <t>customer0874@example.com</t>
  </si>
  <si>
    <t>ORD-100520</t>
  </si>
  <si>
    <t>customer1142@example.com</t>
  </si>
  <si>
    <t>ORD-101249</t>
  </si>
  <si>
    <t>customer1030@example.com</t>
  </si>
  <si>
    <t>ORD-100208</t>
  </si>
  <si>
    <t>customer0008@example.com</t>
  </si>
  <si>
    <t>56.88</t>
  </si>
  <si>
    <t>ORD-102903</t>
  </si>
  <si>
    <t>customer1196@example.com</t>
  </si>
  <si>
    <t>ORD-100365</t>
  </si>
  <si>
    <t>ORD-101466</t>
  </si>
  <si>
    <t>ORD-101900</t>
  </si>
  <si>
    <t>customer0046@example.com</t>
  </si>
  <si>
    <t>ORD-100103</t>
  </si>
  <si>
    <t>-31.88</t>
  </si>
  <si>
    <t>ORD-100236</t>
  </si>
  <si>
    <t>customer0637@example.com</t>
  </si>
  <si>
    <t>ORD-102391</t>
  </si>
  <si>
    <t>ORD-100409</t>
  </si>
  <si>
    <t>customer0023@example.com</t>
  </si>
  <si>
    <t>ORD-102875</t>
  </si>
  <si>
    <t>customer0696@example.com</t>
  </si>
  <si>
    <t>ORD-102607</t>
  </si>
  <si>
    <t>customer1161@example.com</t>
  </si>
  <si>
    <t>ORD-102186</t>
  </si>
  <si>
    <t>customer1270@example.com</t>
  </si>
  <si>
    <t>ORD-101079</t>
  </si>
  <si>
    <t>ORD-100428</t>
  </si>
  <si>
    <t>customer1259@example.com</t>
  </si>
  <si>
    <t>ORD-101126</t>
  </si>
  <si>
    <t>ORD-102680</t>
  </si>
  <si>
    <t>customer0425@example.com</t>
  </si>
  <si>
    <t>ORD-101338</t>
  </si>
  <si>
    <t>ORD-100818</t>
  </si>
  <si>
    <t>ORD-101023</t>
  </si>
  <si>
    <t>customer1114@example.com</t>
  </si>
  <si>
    <t>ORD-101963</t>
  </si>
  <si>
    <t>customer0560@example.com</t>
  </si>
  <si>
    <t>ORD-101608</t>
  </si>
  <si>
    <t>customer1228@example.com</t>
  </si>
  <si>
    <t>ORD-101958</t>
  </si>
  <si>
    <t>customer0983@example.com</t>
  </si>
  <si>
    <t>ORD-101692</t>
  </si>
  <si>
    <t>ORD-100335</t>
  </si>
  <si>
    <t>ORD-102904</t>
  </si>
  <si>
    <t>ORD-100851</t>
  </si>
  <si>
    <t>05/21/2026</t>
  </si>
  <si>
    <t>customer1020@example.com</t>
  </si>
  <si>
    <t>ORD-102155</t>
  </si>
  <si>
    <t>ORD-101463</t>
  </si>
  <si>
    <t>customer0458@example.com</t>
  </si>
  <si>
    <t>ORD-102111</t>
  </si>
  <si>
    <t>customer1214@example.com</t>
  </si>
  <si>
    <t>ORD-100937</t>
  </si>
  <si>
    <t>customer0266@example.com</t>
  </si>
  <si>
    <t>ORD-102737</t>
  </si>
  <si>
    <t>customer0165@example.com</t>
  </si>
  <si>
    <t>ORD-102330</t>
  </si>
  <si>
    <t>ORD-100732</t>
  </si>
  <si>
    <t>02/26/2026</t>
  </si>
  <si>
    <t>ORD-100211</t>
  </si>
  <si>
    <t>ORD-102353</t>
  </si>
  <si>
    <t>ORD-100278</t>
  </si>
  <si>
    <t>customer0402@example.com</t>
  </si>
  <si>
    <t>ORD-102587</t>
  </si>
  <si>
    <t>customer1023@example.com</t>
  </si>
  <si>
    <t>ORD-102972</t>
  </si>
  <si>
    <t>customer0101@example.com</t>
  </si>
  <si>
    <t>ORD-101550</t>
  </si>
  <si>
    <t>ORD-102716</t>
  </si>
  <si>
    <t>customer1057@example.com</t>
  </si>
  <si>
    <t>ORD-100250</t>
  </si>
  <si>
    <t>customer0215@example.com</t>
  </si>
  <si>
    <t>ORD-100441</t>
  </si>
  <si>
    <t>customer0217@example.com</t>
  </si>
  <si>
    <t>ORD-102520</t>
  </si>
  <si>
    <t>ORD-101598</t>
  </si>
  <si>
    <t>ORD-100679</t>
  </si>
  <si>
    <t>customer0897@example.com</t>
  </si>
  <si>
    <t>ORD-101358</t>
  </si>
  <si>
    <t>customer1336@example.com</t>
  </si>
  <si>
    <t>ORD-101731</t>
  </si>
  <si>
    <t>customer0712@example.com</t>
  </si>
  <si>
    <t>ORD-101401</t>
  </si>
  <si>
    <t>ORD-100126</t>
  </si>
  <si>
    <t>ORD-100230</t>
  </si>
  <si>
    <t>ORD-101062</t>
  </si>
  <si>
    <t>customer0803@example.com</t>
  </si>
  <si>
    <t>ORD-102955</t>
  </si>
  <si>
    <t>customer0876@example.com</t>
  </si>
  <si>
    <t>ORD-102597</t>
  </si>
  <si>
    <t>customer0802@example.com</t>
  </si>
  <si>
    <t>ORD-100551</t>
  </si>
  <si>
    <t>customer1079@example.com</t>
  </si>
  <si>
    <t>ORD-102311</t>
  </si>
  <si>
    <t>06/17/2026</t>
  </si>
  <si>
    <t>ORD-102599</t>
  </si>
  <si>
    <t>ORD-102201</t>
  </si>
  <si>
    <t>customer0398@example.com</t>
  </si>
  <si>
    <t>ORD-102823</t>
  </si>
  <si>
    <t>customer0313@example.com</t>
  </si>
  <si>
    <t>ORD-100173</t>
  </si>
  <si>
    <t>ORD-102079</t>
  </si>
  <si>
    <t>ORD-101412</t>
  </si>
  <si>
    <t>ORD-100932</t>
  </si>
  <si>
    <t>customer1010@example.com</t>
  </si>
  <si>
    <t>ORD-100589</t>
  </si>
  <si>
    <t>customer0523@example.com</t>
  </si>
  <si>
    <t>ORD-101314</t>
  </si>
  <si>
    <t>customer1221@example.com</t>
  </si>
  <si>
    <t>ORD-102726</t>
  </si>
  <si>
    <t>customer0930@example.com</t>
  </si>
  <si>
    <t>-79.00</t>
  </si>
  <si>
    <t>ORD-100610</t>
  </si>
  <si>
    <t>ORD-101378</t>
  </si>
  <si>
    <t>customer0138@example.com</t>
  </si>
  <si>
    <t>ORD-102214</t>
  </si>
  <si>
    <t>customer0687@example.com</t>
  </si>
  <si>
    <t>ORD-102279</t>
  </si>
  <si>
    <t>ORD-102310</t>
  </si>
  <si>
    <t>ORD-100924</t>
  </si>
  <si>
    <t>ORD-101214</t>
  </si>
  <si>
    <t>customer1399@example.com</t>
  </si>
  <si>
    <t>ORD-100387</t>
  </si>
  <si>
    <t>customer1102@example.com</t>
  </si>
  <si>
    <t>ORD-102258</t>
  </si>
  <si>
    <t>ORD-100893</t>
  </si>
  <si>
    <t>customer0431@example.com</t>
  </si>
  <si>
    <t>ORD-102369</t>
  </si>
  <si>
    <t>customer1052@example.com</t>
  </si>
  <si>
    <t>ORD-102658</t>
  </si>
  <si>
    <t>ORD-101413</t>
  </si>
  <si>
    <t>ORD-100969</t>
  </si>
  <si>
    <t>ORD-101225</t>
  </si>
  <si>
    <t>ORD-100708</t>
  </si>
  <si>
    <t>customer0614@example.com</t>
  </si>
  <si>
    <t>ORD-101829</t>
  </si>
  <si>
    <t>customer0974@example.com</t>
  </si>
  <si>
    <t>ORD-101887</t>
  </si>
  <si>
    <t>04/30/2026</t>
  </si>
  <si>
    <t>ORD-102567</t>
  </si>
  <si>
    <t>-267.00</t>
  </si>
  <si>
    <t>ORD-101259</t>
  </si>
  <si>
    <t>ORD-102511</t>
  </si>
  <si>
    <t>-237.00</t>
  </si>
  <si>
    <t>ORD-100195</t>
  </si>
  <si>
    <t>02/16/2026</t>
  </si>
  <si>
    <t>customer0610@example.com</t>
  </si>
  <si>
    <t>ORD-101711</t>
  </si>
  <si>
    <t>customer1158@example.com</t>
  </si>
  <si>
    <t>ORD-101508</t>
  </si>
  <si>
    <t>customer1022@example.com</t>
  </si>
  <si>
    <t>ORD-100637</t>
  </si>
  <si>
    <t>customer1379@example.com</t>
  </si>
  <si>
    <t>ORD-102918</t>
  </si>
  <si>
    <t>ORD-101811</t>
  </si>
  <si>
    <t>ORD-102685</t>
  </si>
  <si>
    <t>customer1359@example.com</t>
  </si>
  <si>
    <t>ORD-101727</t>
  </si>
  <si>
    <t>customer1108@example.com</t>
  </si>
  <si>
    <t>ORD-102589</t>
  </si>
  <si>
    <t>ORD-100707</t>
  </si>
  <si>
    <t>ORD-101037</t>
  </si>
  <si>
    <t>customer0157@example.com</t>
  </si>
  <si>
    <t>ORD-102202</t>
  </si>
  <si>
    <t>05/26/2026</t>
  </si>
  <si>
    <t>ORD-100368</t>
  </si>
  <si>
    <t>ORD-101759</t>
  </si>
  <si>
    <t>customer0098@example.com</t>
  </si>
  <si>
    <t>ORD-101792</t>
  </si>
  <si>
    <t>customer1224@example.com</t>
  </si>
  <si>
    <t>ORD-102876</t>
  </si>
  <si>
    <t>ORD-100727</t>
  </si>
  <si>
    <t>customer1201@example.com</t>
  </si>
  <si>
    <t>ORD-102990</t>
  </si>
  <si>
    <t>ORD-100875</t>
  </si>
  <si>
    <t>ORD-101830</t>
  </si>
  <si>
    <t>customer0698@example.com</t>
  </si>
  <si>
    <t>ORD-100804</t>
  </si>
  <si>
    <t>customer0919@example.com</t>
  </si>
  <si>
    <t>ORD-101773</t>
  </si>
  <si>
    <t>customer1353@example.com</t>
  </si>
  <si>
    <t>ORD-100838</t>
  </si>
  <si>
    <t>customer1249@example.com</t>
  </si>
  <si>
    <t>ORD-102421</t>
  </si>
  <si>
    <t>customer0954@example.com</t>
  </si>
  <si>
    <t>ORD-102896</t>
  </si>
  <si>
    <t>01/27/2026</t>
  </si>
  <si>
    <t>ORD-101629</t>
  </si>
  <si>
    <t>ORD-100847</t>
  </si>
  <si>
    <t>customer0392@example.com</t>
  </si>
  <si>
    <t>ORD-101516</t>
  </si>
  <si>
    <t>customer0909@example.com</t>
  </si>
  <si>
    <t>ORD-102422</t>
  </si>
  <si>
    <t>ORD-102494</t>
  </si>
  <si>
    <t>ORD-100293</t>
  </si>
  <si>
    <t>customer0920@example.com</t>
  </si>
  <si>
    <t>ORD-101118</t>
  </si>
  <si>
    <t>ORD-102612</t>
  </si>
  <si>
    <t>customer0772@example.com</t>
  </si>
  <si>
    <t>ORD-102139</t>
  </si>
  <si>
    <t>ORD-102392</t>
  </si>
  <si>
    <t>ORD-101982</t>
  </si>
  <si>
    <t>ORD-101154</t>
  </si>
  <si>
    <t>ORD-101822</t>
  </si>
  <si>
    <t>ORD-101218</t>
  </si>
  <si>
    <t>ORD-102305</t>
  </si>
  <si>
    <t>ORD-102705</t>
  </si>
  <si>
    <t>customer1393@example.com</t>
  </si>
  <si>
    <t>ORD-100255</t>
  </si>
  <si>
    <t>ORD-100318</t>
  </si>
  <si>
    <t>ORD-102621</t>
  </si>
  <si>
    <t>ORD-100744</t>
  </si>
  <si>
    <t>ORD-101521</t>
  </si>
  <si>
    <t>ORD-101949</t>
  </si>
  <si>
    <t>customer0279@example.com</t>
  </si>
  <si>
    <t>ORD-100570</t>
  </si>
  <si>
    <t>customer0249@example.com</t>
  </si>
  <si>
    <t>ORD-102848</t>
  </si>
  <si>
    <t>ORD-102632</t>
  </si>
  <si>
    <t>ORD-101689</t>
  </si>
  <si>
    <t>customer0465@example.com</t>
  </si>
  <si>
    <t>ORD-100299</t>
  </si>
  <si>
    <t>customer0866@example.com</t>
  </si>
  <si>
    <t>ORD-100703</t>
  </si>
  <si>
    <t>customer0263@example.com</t>
  </si>
  <si>
    <t>ORD-100186</t>
  </si>
  <si>
    <t>customer0566@example.com</t>
  </si>
  <si>
    <t>ORD-101163</t>
  </si>
  <si>
    <t>customer0172@example.com</t>
  </si>
  <si>
    <t>ORD-100393</t>
  </si>
  <si>
    <t>ORD-102049</t>
  </si>
  <si>
    <t>customer0257@example.com</t>
  </si>
  <si>
    <t>ORD-101109</t>
  </si>
  <si>
    <t>ORD-102740</t>
  </si>
  <si>
    <t>ORD-101436</t>
  </si>
  <si>
    <t>customer0330@example.com</t>
  </si>
  <si>
    <t>ORD-100099</t>
  </si>
  <si>
    <t>customer0727@example.com</t>
  </si>
  <si>
    <t>ORD-101583</t>
  </si>
  <si>
    <t>ORD-101257</t>
  </si>
  <si>
    <t>ORD-102873</t>
  </si>
  <si>
    <t>customer1185@example.com</t>
  </si>
  <si>
    <t>ORD-100337</t>
  </si>
  <si>
    <t>customer1257@example.com</t>
  </si>
  <si>
    <t>ORD-102652</t>
  </si>
  <si>
    <t>customer1190@example.com</t>
  </si>
  <si>
    <t>ORD-100852</t>
  </si>
  <si>
    <t>ORD-100395</t>
  </si>
  <si>
    <t>ORD-102158</t>
  </si>
  <si>
    <t>customer1092@example.com</t>
  </si>
  <si>
    <t>ORD-102831</t>
  </si>
  <si>
    <t>ORD-102550</t>
  </si>
  <si>
    <t>customer1306@example.com</t>
  </si>
  <si>
    <t>ORD-102194</t>
  </si>
  <si>
    <t>customer0380@example.com</t>
  </si>
  <si>
    <t>ORD-102235</t>
  </si>
  <si>
    <t>02/13/2026</t>
  </si>
  <si>
    <t>ORD-102052</t>
  </si>
  <si>
    <t>customer0495@example.com</t>
  </si>
  <si>
    <t>ORD-100554</t>
  </si>
  <si>
    <t>customer0259@example.com</t>
  </si>
  <si>
    <t>ORD-101532</t>
  </si>
  <si>
    <t>customer0708@example.com</t>
  </si>
  <si>
    <t>ORD-100100</t>
  </si>
  <si>
    <t>238.40</t>
  </si>
  <si>
    <t>ORD-100592</t>
  </si>
  <si>
    <t>customer0629@example.com</t>
  </si>
  <si>
    <t>ORD-100965</t>
  </si>
  <si>
    <t>ORD-100713</t>
  </si>
  <si>
    <t>customer0674@example.com</t>
  </si>
  <si>
    <t>ORD-102899</t>
  </si>
  <si>
    <t>ORD-102011</t>
  </si>
  <si>
    <t>ORD-101544</t>
  </si>
  <si>
    <t>customer0736@example.com</t>
  </si>
  <si>
    <t>ORD-102457</t>
  </si>
  <si>
    <t>ORD-101295</t>
  </si>
  <si>
    <t>ORD-102220</t>
  </si>
  <si>
    <t>customer1349@example.com</t>
  </si>
  <si>
    <t>ORD-100218</t>
  </si>
  <si>
    <t>ORD-101853</t>
  </si>
  <si>
    <t>customer0895@example.com</t>
  </si>
  <si>
    <t>ORD-101055</t>
  </si>
  <si>
    <t>customer0830@example.com</t>
  </si>
  <si>
    <t>ORD-102835</t>
  </si>
  <si>
    <t>ORD-101196</t>
  </si>
  <si>
    <t>ORD-102847</t>
  </si>
  <si>
    <t>customer0096@example.com</t>
  </si>
  <si>
    <t>ORD-100517</t>
  </si>
  <si>
    <t>customer0163@example.com</t>
  </si>
  <si>
    <t>ORD-100040</t>
  </si>
  <si>
    <t>customer1157@example.com</t>
  </si>
  <si>
    <t>ORD-100036</t>
  </si>
  <si>
    <t>customer0711@example.com</t>
  </si>
  <si>
    <t>ORD-102930</t>
  </si>
  <si>
    <t>customer0407@example.com</t>
  </si>
  <si>
    <t>296.06</t>
  </si>
  <si>
    <t>ORD-102082</t>
  </si>
  <si>
    <t>ORD-101890</t>
  </si>
  <si>
    <t>customer1037@example.com</t>
  </si>
  <si>
    <t>161.50</t>
  </si>
  <si>
    <t>ORD-101969</t>
  </si>
  <si>
    <t>customer1000@example.com</t>
  </si>
  <si>
    <t>ORD-100130</t>
  </si>
  <si>
    <t>customer0459@example.com</t>
  </si>
  <si>
    <t>ORD-101902</t>
  </si>
  <si>
    <t>06/15/2026</t>
  </si>
  <si>
    <t>ORD-100094</t>
  </si>
  <si>
    <t>ORD-101813</t>
  </si>
  <si>
    <t>customer0507@example.com</t>
  </si>
  <si>
    <t>ORD-101854</t>
  </si>
  <si>
    <t>customer0825@example.com</t>
  </si>
  <si>
    <t>ORD-102167</t>
  </si>
  <si>
    <t>customer1329@example.com</t>
  </si>
  <si>
    <t>ORD-100628</t>
  </si>
  <si>
    <t>customer1285@example.com</t>
  </si>
  <si>
    <t>ORD-100926</t>
  </si>
  <si>
    <t>customer0329@example.com</t>
  </si>
  <si>
    <t>ORD-102555</t>
  </si>
  <si>
    <t>customer0314@example.com</t>
  </si>
  <si>
    <t>ORD-102939</t>
  </si>
  <si>
    <t>05/18/2026</t>
  </si>
  <si>
    <t>customer0624@example.com</t>
  </si>
  <si>
    <t>ORD-102135</t>
  </si>
  <si>
    <t>ORD-101411</t>
  </si>
  <si>
    <t>customer0722@example.com</t>
  </si>
  <si>
    <t>ORD-102379</t>
  </si>
  <si>
    <t>ORD-101918</t>
  </si>
  <si>
    <t>ORD-102479</t>
  </si>
  <si>
    <t>ORD-101917</t>
  </si>
  <si>
    <t>ORD-101791</t>
  </si>
  <si>
    <t>ORD-102530</t>
  </si>
  <si>
    <t>ORD-102013</t>
  </si>
  <si>
    <t>ORD-102671</t>
  </si>
  <si>
    <t>customer0510@example.com</t>
  </si>
  <si>
    <t>ORD-101128</t>
  </si>
  <si>
    <t>ORD-101006</t>
  </si>
  <si>
    <t>customer1086@example.com</t>
  </si>
  <si>
    <t>ORD-100112</t>
  </si>
  <si>
    <t>customer0356@example.com</t>
  </si>
  <si>
    <t>ORD-102796</t>
  </si>
  <si>
    <t>customer0070@example.com</t>
  </si>
  <si>
    <t>ORD-102466</t>
  </si>
  <si>
    <t>customer0746@example.com</t>
  </si>
  <si>
    <t>36.72</t>
  </si>
  <si>
    <t>ORD-102213</t>
  </si>
  <si>
    <t>ORD-101076</t>
  </si>
  <si>
    <t>customer0649@example.com</t>
  </si>
  <si>
    <t>ORD-100702</t>
  </si>
  <si>
    <t>customer1364@example.com</t>
  </si>
  <si>
    <t>ORD-102010</t>
  </si>
  <si>
    <t>customer0969@example.com</t>
  </si>
  <si>
    <t>ORD-101424</t>
  </si>
  <si>
    <t>ORD-101282</t>
  </si>
  <si>
    <t>customer0597@example.com</t>
  </si>
  <si>
    <t>ORD-101415</t>
  </si>
  <si>
    <t>customer0765@example.com</t>
  </si>
  <si>
    <t>ORD-102730</t>
  </si>
  <si>
    <t>customer1227@example.com</t>
  </si>
  <si>
    <t>ORD-101369</t>
  </si>
  <si>
    <t>ORD-102577</t>
  </si>
  <si>
    <t>01/31/2026</t>
  </si>
  <si>
    <t>ORD-102300</t>
  </si>
  <si>
    <t>ORD-102090</t>
  </si>
  <si>
    <t>ORD-102543</t>
  </si>
  <si>
    <t>customer1160@example.com</t>
  </si>
  <si>
    <t>ORD-102803</t>
  </si>
  <si>
    <t>customer0417@example.com</t>
  </si>
  <si>
    <t>ORD-100430</t>
  </si>
  <si>
    <t>ORD-100269</t>
  </si>
  <si>
    <t>ORD-102502</t>
  </si>
  <si>
    <t>ORD-100179</t>
  </si>
  <si>
    <t>ORD-101366</t>
  </si>
  <si>
    <t>ORD-102283</t>
  </si>
  <si>
    <t>customer0323@example.com</t>
  </si>
  <si>
    <t>ORD-100816</t>
  </si>
  <si>
    <t>ORD-100068</t>
  </si>
  <si>
    <t>customer1366@example.com</t>
  </si>
  <si>
    <t>ORD-102838</t>
  </si>
  <si>
    <t>customer0504@example.com</t>
  </si>
  <si>
    <t>ORD-100555</t>
  </si>
  <si>
    <t>customer1271@example.com</t>
  </si>
  <si>
    <t>ORD-100157</t>
  </si>
  <si>
    <t>ORD-102963</t>
  </si>
  <si>
    <t>ORD-101269</t>
  </si>
  <si>
    <t>ORD-102902</t>
  </si>
  <si>
    <t>ORD-100827</t>
  </si>
  <si>
    <t>customer0826@example.com</t>
  </si>
  <si>
    <t>ORD-102975</t>
  </si>
  <si>
    <t>customer0532@example.com</t>
  </si>
  <si>
    <t>ORD-100743</t>
  </si>
  <si>
    <t>ORD-100607</t>
  </si>
  <si>
    <t>customer0056@example.com</t>
  </si>
  <si>
    <t>ORD-101386</t>
  </si>
  <si>
    <t>customer1250@example.com</t>
  </si>
  <si>
    <t>ORD-101784</t>
  </si>
  <si>
    <t>ORD-102980</t>
  </si>
  <si>
    <t>customer0156@example.com</t>
  </si>
  <si>
    <t>ORD-102470</t>
  </si>
  <si>
    <t>customer0460@example.com</t>
  </si>
  <si>
    <t>ORD-100224</t>
  </si>
  <si>
    <t>ORD-100064</t>
  </si>
  <si>
    <t>customer1240@example.com</t>
  </si>
  <si>
    <t>ORD-102289</t>
  </si>
  <si>
    <t>ORD-102791</t>
  </si>
  <si>
    <t>ORD-101671</t>
  </si>
  <si>
    <t>ORD-101832</t>
  </si>
  <si>
    <t>customer0483@example.com</t>
  </si>
  <si>
    <t>ORD-102178</t>
  </si>
  <si>
    <t>ORD-102951</t>
  </si>
  <si>
    <t>customer0839@example.com</t>
  </si>
  <si>
    <t>ORD-101265</t>
  </si>
  <si>
    <t>ORD-100844</t>
  </si>
  <si>
    <t>customer1187@example.com</t>
  </si>
  <si>
    <t>ORD-100374</t>
  </si>
  <si>
    <t>ORD-102689</t>
  </si>
  <si>
    <t>ORD-100550</t>
  </si>
  <si>
    <t>ORD-101930</t>
  </si>
  <si>
    <t>-298.00</t>
  </si>
  <si>
    <t>ORD-101940</t>
  </si>
  <si>
    <t>ORD-102696</t>
  </si>
  <si>
    <t>customer0744@example.com</t>
  </si>
  <si>
    <t>ORD-102401</t>
  </si>
  <si>
    <t>customer0903@example.com</t>
  </si>
  <si>
    <t>ORD-100317</t>
  </si>
  <si>
    <t>ORD-100096</t>
  </si>
  <si>
    <t>customer0189@example.com</t>
  </si>
  <si>
    <t>ORD-101717</t>
  </si>
  <si>
    <t>customer0288@example.com</t>
  </si>
  <si>
    <t>ORD-102486</t>
  </si>
  <si>
    <t>customer0142@example.com</t>
  </si>
  <si>
    <t>ORD-101907</t>
  </si>
  <si>
    <t>customer0887@example.com</t>
  </si>
  <si>
    <t>ORD-101166</t>
  </si>
  <si>
    <t>ORD-102103</t>
  </si>
  <si>
    <t>ORD-101035</t>
  </si>
  <si>
    <t>ORD-100594</t>
  </si>
  <si>
    <t>ORD-100414</t>
  </si>
  <si>
    <t>customer0998@example.com</t>
  </si>
  <si>
    <t>ORD-100024</t>
  </si>
  <si>
    <t>ORD-102798</t>
  </si>
  <si>
    <t>ORD-101013</t>
  </si>
  <si>
    <t>customer1231@example.com</t>
  </si>
  <si>
    <t>ORD-100792</t>
  </si>
  <si>
    <t>customer1081@example.com</t>
  </si>
  <si>
    <t>34.42</t>
  </si>
  <si>
    <t>ORD-101242</t>
  </si>
  <si>
    <t>ORD-101912</t>
  </si>
  <si>
    <t>ORD-102710</t>
  </si>
  <si>
    <t>ORD-101937</t>
  </si>
  <si>
    <t>customer1267@example.com</t>
  </si>
  <si>
    <t>ORD-102176</t>
  </si>
  <si>
    <t>ORD-100046</t>
  </si>
  <si>
    <t>customer0234@example.com</t>
  </si>
  <si>
    <t>ORD-102410</t>
  </si>
  <si>
    <t>ORD-102450</t>
  </si>
  <si>
    <t>ORD-102080</t>
  </si>
  <si>
    <t>customer0889@example.com</t>
  </si>
  <si>
    <t>ORD-101000</t>
  </si>
  <si>
    <t>customer0745@example.com</t>
  </si>
  <si>
    <t>ORD-100988</t>
  </si>
  <si>
    <t>customer0961@example.com</t>
  </si>
  <si>
    <t>ORD-100084</t>
  </si>
  <si>
    <t>ORD-102785</t>
  </si>
  <si>
    <t>customer0502@example.com</t>
  </si>
  <si>
    <t>9.00</t>
  </si>
  <si>
    <t>ORD-101683</t>
  </si>
  <si>
    <t>customer0365@example.com</t>
  </si>
  <si>
    <t>ORD-100646</t>
  </si>
  <si>
    <t>customer1104@example.com</t>
  </si>
  <si>
    <t>ORD-101734</t>
  </si>
  <si>
    <t>ORD-102871</t>
  </si>
  <si>
    <t>ORD-100261</t>
  </si>
  <si>
    <t>ORD-102944</t>
  </si>
  <si>
    <t>ORD-100757</t>
  </si>
  <si>
    <t>customer0170@example.com</t>
  </si>
  <si>
    <t>ORD-101653</t>
  </si>
  <si>
    <t>customer0304@example.com</t>
  </si>
  <si>
    <t>60.43</t>
  </si>
  <si>
    <t>ORD-100935</t>
  </si>
  <si>
    <t>customer1127@example.com</t>
  </si>
  <si>
    <t>ORD-101749</t>
  </si>
  <si>
    <t>ORD-100265</t>
  </si>
  <si>
    <t>ORD-101874</t>
  </si>
  <si>
    <t>customer0917@example.com</t>
  </si>
  <si>
    <t>ORD-100795</t>
  </si>
  <si>
    <t>40.80</t>
  </si>
  <si>
    <t>ORD-100768</t>
  </si>
  <si>
    <t>ORD-101219</t>
  </si>
  <si>
    <t>ORD-102371</t>
  </si>
  <si>
    <t>customer0216@example.com</t>
  </si>
  <si>
    <t>ORD-100242</t>
  </si>
  <si>
    <t>ORD-100109</t>
  </si>
  <si>
    <t>ORD-102039</t>
  </si>
  <si>
    <t>ORD-101064</t>
  </si>
  <si>
    <t>ORD-100490</t>
  </si>
  <si>
    <t>ORD-102571</t>
  </si>
  <si>
    <t>ORD-102419</t>
  </si>
  <si>
    <t>customer0343@example.com</t>
  </si>
  <si>
    <t>ORD-102856</t>
  </si>
  <si>
    <t>03/17/2026</t>
  </si>
  <si>
    <t>customer1282@example.com</t>
  </si>
  <si>
    <t>ORD-102943</t>
  </si>
  <si>
    <t>customer1091@example.com</t>
  </si>
  <si>
    <t>ORD-102345</t>
  </si>
  <si>
    <t>05/24/2026</t>
  </si>
  <si>
    <t>customer0657@example.com</t>
  </si>
  <si>
    <t>ORD-101820</t>
  </si>
  <si>
    <t>customer0201@example.com</t>
  </si>
  <si>
    <t>ORD-100908</t>
  </si>
  <si>
    <t>ORD-101238</t>
  </si>
  <si>
    <t>06/23/2026</t>
  </si>
  <si>
    <t>customer0941@example.com</t>
  </si>
  <si>
    <t>ORD-100153</t>
  </si>
  <si>
    <t>ORD-100864</t>
  </si>
  <si>
    <t>ORD-100342</t>
  </si>
  <si>
    <t>customer0525@example.com</t>
  </si>
  <si>
    <t>ORD-100738</t>
  </si>
  <si>
    <t>ORD-101968</t>
  </si>
  <si>
    <t>ORD-101846</t>
  </si>
  <si>
    <t>customer0602@example.com</t>
  </si>
  <si>
    <t>ORD-100207</t>
  </si>
  <si>
    <t>ORD-102252</t>
  </si>
  <si>
    <t>ORD-100692</t>
  </si>
  <si>
    <t>ORD-100202</t>
  </si>
  <si>
    <t>ORD-102383</t>
  </si>
  <si>
    <t>ORD-100321</t>
  </si>
  <si>
    <t>ORD-101130</t>
  </si>
  <si>
    <t>customer1398@example.com</t>
  </si>
  <si>
    <t>ORD-100572</t>
  </si>
  <si>
    <t>ORD-101618</t>
  </si>
  <si>
    <t>customer1137@example.com</t>
  </si>
  <si>
    <t>ORD-101007</t>
  </si>
  <si>
    <t>ORD-102526</t>
  </si>
  <si>
    <t>ORD-101967</t>
  </si>
  <si>
    <t>ORD-100251</t>
  </si>
  <si>
    <t>customer1295@example.com</t>
  </si>
  <si>
    <t>ORD-102260</t>
  </si>
  <si>
    <t>customer0377@example.com</t>
  </si>
  <si>
    <t>ORD-101589</t>
  </si>
  <si>
    <t>04/22/2026</t>
  </si>
  <si>
    <t>ORD-102077</t>
  </si>
  <si>
    <t>ORD-101260</t>
  </si>
  <si>
    <t>customer1009@example.com</t>
  </si>
  <si>
    <t>ORD-102141</t>
  </si>
  <si>
    <t>customer0208@example.com</t>
  </si>
  <si>
    <t>ORD-102198</t>
  </si>
  <si>
    <t>ORD-101634</t>
  </si>
  <si>
    <t>customer0067@example.com</t>
  </si>
  <si>
    <t>ORD-100334</t>
  </si>
  <si>
    <t>ORD-102622</t>
  </si>
  <si>
    <t>01/18/2026</t>
  </si>
  <si>
    <t>ORD-102547</t>
  </si>
  <si>
    <t>ORD-102357</t>
  </si>
  <si>
    <t>customer0522@example.com</t>
  </si>
  <si>
    <t>ORD-100922</t>
  </si>
  <si>
    <t>ORD-102639</t>
  </si>
  <si>
    <t>customer0719@example.com</t>
  </si>
  <si>
    <t>ORD-102405</t>
  </si>
  <si>
    <t>customer0439@example.com</t>
  </si>
  <si>
    <t>ORD-102299</t>
  </si>
  <si>
    <t>customer0199@example.com</t>
  </si>
  <si>
    <t>ORD-102572</t>
  </si>
  <si>
    <t>ORD-100198</t>
  </si>
  <si>
    <t>customer0136@example.com</t>
  </si>
  <si>
    <t>ORD-102996</t>
  </si>
  <si>
    <t>ORD-101356</t>
  </si>
  <si>
    <t>customer0383@example.com</t>
  </si>
  <si>
    <t>ORD-100346</t>
  </si>
  <si>
    <t>customer0952@example.com</t>
  </si>
  <si>
    <t>ORD-101060</t>
  </si>
  <si>
    <t>ORD-100107</t>
  </si>
  <si>
    <t>customer1289@example.com</t>
  </si>
  <si>
    <t>ORD-101005</t>
  </si>
  <si>
    <t>ORD-100243</t>
  </si>
  <si>
    <t>ORD-100159</t>
  </si>
  <si>
    <t>ORD-100989</t>
  </si>
  <si>
    <t>ORD-100426</t>
  </si>
  <si>
    <t>customer0472@example.com</t>
  </si>
  <si>
    <t>ORD-101571</t>
  </si>
  <si>
    <t>customer0250@example.com</t>
  </si>
  <si>
    <t>ORD-101701</t>
  </si>
  <si>
    <t>ORD-101747</t>
  </si>
  <si>
    <t>ORD-102480</t>
  </si>
  <si>
    <t>ORD-102180</t>
  </si>
  <si>
    <t>customer0655@example.com</t>
  </si>
  <si>
    <t>ORD-101998</t>
  </si>
  <si>
    <t>customer0256@example.com</t>
  </si>
  <si>
    <t>ORD-102855</t>
  </si>
  <si>
    <t>ORD-101821</t>
  </si>
  <si>
    <t>ORD-101979</t>
  </si>
  <si>
    <t>customer0308@example.com</t>
  </si>
  <si>
    <t>10.12</t>
  </si>
  <si>
    <t>ORD-100546</t>
  </si>
  <si>
    <t>ORD-100659</t>
  </si>
  <si>
    <t>customer0737@example.com</t>
  </si>
  <si>
    <t>ORD-100978</t>
  </si>
  <si>
    <t>ORD-100376</t>
  </si>
  <si>
    <t>ORD-102886</t>
  </si>
  <si>
    <t>customer0634@example.com</t>
  </si>
  <si>
    <t>ORD-101630</t>
  </si>
  <si>
    <t>ORD-101794</t>
  </si>
  <si>
    <t>ORD-100952</t>
  </si>
  <si>
    <t>customer0196@example.com</t>
  </si>
  <si>
    <t>ORD-100774</t>
  </si>
  <si>
    <t>customer0146@example.com</t>
  </si>
  <si>
    <t>ORD-102801</t>
  </si>
  <si>
    <t>ORD-102226</t>
  </si>
  <si>
    <t>customer0603@example.com</t>
  </si>
  <si>
    <t>ORD-102333</t>
  </si>
  <si>
    <t>customer1258@example.com</t>
  </si>
  <si>
    <t>ORD-101904</t>
  </si>
  <si>
    <t>ORD-100611</t>
  </si>
  <si>
    <t>customer0428@example.com</t>
  </si>
  <si>
    <t>ORD-101073</t>
  </si>
  <si>
    <t>customer1177@example.com</t>
  </si>
  <si>
    <t>ORD-101318</t>
  </si>
  <si>
    <t>ORD-100771</t>
  </si>
  <si>
    <t>ORD-100349</t>
  </si>
  <si>
    <t>customer0318@example.com</t>
  </si>
  <si>
    <t>ORD-100700</t>
  </si>
  <si>
    <t>ORD-100675</t>
  </si>
  <si>
    <t>ORD-100961</t>
  </si>
  <si>
    <t>customer0686@example.com</t>
  </si>
  <si>
    <t>ORD-100856</t>
  </si>
  <si>
    <t>ORD-101685</t>
  </si>
  <si>
    <t>customer0016@example.com</t>
  </si>
  <si>
    <t>ORD-100565</t>
  </si>
  <si>
    <t>customer1394@example.com</t>
  </si>
  <si>
    <t>ORD-100673</t>
  </si>
  <si>
    <t>customer1251@example.com</t>
  </si>
  <si>
    <t>ORD-100494</t>
  </si>
  <si>
    <t>customer0035@example.com</t>
  </si>
  <si>
    <t>ORD-102694</t>
  </si>
  <si>
    <t>ORD-101038</t>
  </si>
  <si>
    <t>ORD-102454</t>
  </si>
  <si>
    <t>ORD-101758</t>
  </si>
  <si>
    <t>ORD-102432</t>
  </si>
  <si>
    <t>customer0253@example.com</t>
  </si>
  <si>
    <t>ORD-101300</t>
  </si>
  <si>
    <t>customer1113@example.com</t>
  </si>
  <si>
    <t>ORD-101697</t>
  </si>
  <si>
    <t>ORD-102408</t>
  </si>
  <si>
    <t>ORD-102035</t>
  </si>
  <si>
    <t>ORD-101291</t>
  </si>
  <si>
    <t>ORD-101834</t>
  </si>
  <si>
    <t>ORD-101838</t>
  </si>
  <si>
    <t>customer0443@example.com</t>
  </si>
  <si>
    <t>ORD-101879</t>
  </si>
  <si>
    <t>customer0536@example.com</t>
  </si>
  <si>
    <t>ORD-101345</t>
  </si>
  <si>
    <t>ORD-100763</t>
  </si>
  <si>
    <t>ORD-101310</t>
  </si>
  <si>
    <t>customer0062@example.com</t>
  </si>
  <si>
    <t>ORD-102795</t>
  </si>
  <si>
    <t>ORD-101921</t>
  </si>
  <si>
    <t>ORD-101506</t>
  </si>
  <si>
    <t>-81.00</t>
  </si>
  <si>
    <t>ORD-100971</t>
  </si>
  <si>
    <t>ORD-102769</t>
  </si>
  <si>
    <t>customer0094@example.com</t>
  </si>
  <si>
    <t>ORD-100118</t>
  </si>
  <si>
    <t>ORD-102635</t>
  </si>
  <si>
    <t>ORD-101499</t>
  </si>
  <si>
    <t>ORD-102888</t>
  </si>
  <si>
    <t>customer0776@example.com</t>
  </si>
  <si>
    <t>ORD-100894</t>
  </si>
  <si>
    <t>customer0702@example.com</t>
  </si>
  <si>
    <t>ORD-101936</t>
  </si>
  <si>
    <t>ORD-100286</t>
  </si>
  <si>
    <t>ORD-102390</t>
  </si>
  <si>
    <t>ORD-101022</t>
  </si>
  <si>
    <t>ORD-100442</t>
  </si>
  <si>
    <t>ORD-100006</t>
  </si>
  <si>
    <t>ORD-101646</t>
  </si>
  <si>
    <t>ORD-101885</t>
  </si>
  <si>
    <t>ORD-100419</t>
  </si>
  <si>
    <t>136.80</t>
  </si>
  <si>
    <t>ORD-101290</t>
  </si>
  <si>
    <t>ORD-101661</t>
  </si>
  <si>
    <t>ORD-102304</t>
  </si>
  <si>
    <t>ORD-102551</t>
  </si>
  <si>
    <t>ORD-100631</t>
  </si>
  <si>
    <t>ORD-101012</t>
  </si>
  <si>
    <t>ORD-100404</t>
  </si>
  <si>
    <t>ORD-101842</t>
  </si>
  <si>
    <t>customer0871@example.com</t>
  </si>
  <si>
    <t>ORD-102637</t>
  </si>
  <si>
    <t>ORD-100923</t>
  </si>
  <si>
    <t>ORD-100220</t>
  </si>
  <si>
    <t>ORD-102541</t>
  </si>
  <si>
    <t>customer0710@example.com</t>
  </si>
  <si>
    <t>ORD-100501</t>
  </si>
  <si>
    <t>customer0945@example.com</t>
  </si>
  <si>
    <t>ORD-102562</t>
  </si>
  <si>
    <t>customer0769@example.com</t>
  </si>
  <si>
    <t>ORD-101504</t>
  </si>
  <si>
    <t>ORD-102449</t>
  </si>
  <si>
    <t>customer0962@example.com</t>
  </si>
  <si>
    <t>ORD-102184</t>
  </si>
  <si>
    <t>customer0526@example.com</t>
  </si>
  <si>
    <t>ORD-101251</t>
  </si>
  <si>
    <t>ORD-100786</t>
  </si>
  <si>
    <t>customer1063@example.com</t>
  </si>
  <si>
    <t>ORD-100811</t>
  </si>
  <si>
    <t>customer0513@example.com</t>
  </si>
  <si>
    <t>ORD-101783</t>
  </si>
  <si>
    <t>customer0896@example.com</t>
  </si>
  <si>
    <t>ORD-101284</t>
  </si>
  <si>
    <t>ORD-100921</t>
  </si>
  <si>
    <t>ORD-102462</t>
  </si>
  <si>
    <t>ORD-100580</t>
  </si>
  <si>
    <t>customer0932@example.com</t>
  </si>
  <si>
    <t>ORD-102669</t>
  </si>
  <si>
    <t>ORD-100515</t>
  </si>
  <si>
    <t>ORD-102328</t>
  </si>
  <si>
    <t>customer0009@example.com</t>
  </si>
  <si>
    <t>ORD-100945</t>
  </si>
  <si>
    <t>ORD-100201</t>
  </si>
  <si>
    <t>ORD-100819</t>
  </si>
  <si>
    <t>ORD-100909</t>
  </si>
  <si>
    <t>customer1110@example.com</t>
  </si>
  <si>
    <t>ORD-100728</t>
  </si>
  <si>
    <t>customer1360@example.com</t>
  </si>
  <si>
    <t>ORD-101664</t>
  </si>
  <si>
    <t>customer0535@example.com</t>
  </si>
  <si>
    <t>ORD-102164</t>
  </si>
  <si>
    <t>ORD-100209</t>
  </si>
  <si>
    <t>customer0659@example.com</t>
  </si>
  <si>
    <t>ORD-101078</t>
  </si>
  <si>
    <t>customer0520@example.com</t>
  </si>
  <si>
    <t>ORD-101554</t>
  </si>
  <si>
    <t>customer0254@example.com</t>
  </si>
  <si>
    <t>68.40</t>
  </si>
  <si>
    <t>ORD-102119</t>
  </si>
  <si>
    <t>ORD-102489</t>
  </si>
  <si>
    <t>ORD-101895</t>
  </si>
  <si>
    <t>ORD-100835</t>
  </si>
  <si>
    <t>customer0105@example.com</t>
  </si>
  <si>
    <t>ORD-100301</t>
  </si>
  <si>
    <t>customer0121@example.com</t>
  </si>
  <si>
    <t>ORD-100543</t>
  </si>
  <si>
    <t>76.50</t>
  </si>
  <si>
    <t>ORD-101046</t>
  </si>
  <si>
    <t>ORD-102161</t>
  </si>
  <si>
    <t>ORD-100469</t>
  </si>
  <si>
    <t>customer1355@example.com</t>
  </si>
  <si>
    <t>ORD-100381</t>
  </si>
  <si>
    <t>customer0758@example.com</t>
  </si>
  <si>
    <t>309.60</t>
  </si>
  <si>
    <t>ORD-101538</t>
  </si>
  <si>
    <t>ORD-101610</t>
  </si>
  <si>
    <t>ORD-101961</t>
  </si>
  <si>
    <t>ORD-100588</t>
  </si>
  <si>
    <t>ORD-101973</t>
  </si>
  <si>
    <t>ORD-100447</t>
  </si>
  <si>
    <t>customer0612@example.com</t>
  </si>
  <si>
    <t>ORD-101286</t>
  </si>
  <si>
    <t>ORD-101165</t>
  </si>
  <si>
    <t>ORD-100876</t>
  </si>
  <si>
    <t>customer0305@example.com</t>
  </si>
  <si>
    <t>ORD-101700</t>
  </si>
  <si>
    <t>customer0577@example.com</t>
  </si>
  <si>
    <t>ORD-102048</t>
  </si>
  <si>
    <t>customer0447@example.com</t>
  </si>
  <si>
    <t>ORD-102335</t>
  </si>
  <si>
    <t>ORD-101132</t>
  </si>
  <si>
    <t>ORD-101603</t>
  </si>
  <si>
    <t>ORD-102306</t>
  </si>
  <si>
    <t>customer0300@example.com</t>
  </si>
  <si>
    <t>ORD-100504</t>
  </si>
  <si>
    <t>ORD-102811</t>
  </si>
  <si>
    <t>ORD-101087</t>
  </si>
  <si>
    <t>customer0754@example.com</t>
  </si>
  <si>
    <t>ORD-100779</t>
  </si>
  <si>
    <t>ORD-102497</t>
  </si>
  <si>
    <t>ORD-102752</t>
  </si>
  <si>
    <t>-145.35</t>
  </si>
  <si>
    <t>ORD-100841</t>
  </si>
  <si>
    <t>ORD-102292</t>
  </si>
  <si>
    <t>ORD-100690</t>
  </si>
  <si>
    <t>customer0791@example.com</t>
  </si>
  <si>
    <t>ORD-100082</t>
  </si>
  <si>
    <t>customer0916@example.com</t>
  </si>
  <si>
    <t>ORD-101093</t>
  </si>
  <si>
    <t>ORD-102929</t>
  </si>
  <si>
    <t>ORD-101152</t>
  </si>
  <si>
    <t>ORD-101764</t>
  </si>
  <si>
    <t>ORD-100545</t>
  </si>
  <si>
    <t>customer0882@example.com</t>
  </si>
  <si>
    <t>ORD-101175</t>
  </si>
  <si>
    <t>ORD-100468</t>
  </si>
  <si>
    <t>ORD-102102</t>
  </si>
  <si>
    <t>ORD-100071</t>
  </si>
  <si>
    <t>ORD-100324</t>
  </si>
  <si>
    <t>customer0589@example.com</t>
  </si>
  <si>
    <t>ORD-101574</t>
  </si>
  <si>
    <t>customer0777@example.com</t>
  </si>
  <si>
    <t>ORD-102967</t>
  </si>
  <si>
    <t>ORD-102116</t>
  </si>
  <si>
    <t>ORD-102759</t>
  </si>
  <si>
    <t>ORD-100993</t>
  </si>
  <si>
    <t>customer0246@example.com</t>
  </si>
  <si>
    <t>ORD-100983</t>
  </si>
  <si>
    <t>ORD-100187</t>
  </si>
  <si>
    <t>ORD-101299</t>
  </si>
  <si>
    <t>02/28/2026</t>
  </si>
  <si>
    <t>ORD-100706</t>
  </si>
  <si>
    <t>ORD-101639</t>
  </si>
  <si>
    <t>ORD-102618</t>
  </si>
  <si>
    <t>ORD-102750</t>
  </si>
  <si>
    <t>ORD-102732</t>
  </si>
  <si>
    <t>ORD-101200</t>
  </si>
  <si>
    <t>customer0485@example.com</t>
  </si>
  <si>
    <t>ORD-102089</t>
  </si>
  <si>
    <t>ORD-101944</t>
  </si>
  <si>
    <t>ORD-100237</t>
  </si>
  <si>
    <t>customer1235@example.com</t>
  </si>
  <si>
    <t>ORD-100859</t>
  </si>
  <si>
    <t>ORD-101447</t>
  </si>
  <si>
    <t>ORD-100791</t>
  </si>
  <si>
    <t>ORD-101971</t>
  </si>
  <si>
    <t>customer1054@example.com</t>
  </si>
  <si>
    <t>ORD-100456</t>
  </si>
  <si>
    <t>ORD-102068</t>
  </si>
  <si>
    <t>03/20/2026</t>
  </si>
  <si>
    <t>ORD-100884</t>
  </si>
  <si>
    <t>ORD-100621</t>
  </si>
  <si>
    <t>ORD-100401</t>
  </si>
  <si>
    <t>ORD-100329</t>
  </si>
  <si>
    <t>customer0584@example.com</t>
  </si>
  <si>
    <t>ORD-101795</t>
  </si>
  <si>
    <t>ORD-100842</t>
  </si>
  <si>
    <t>ORD-101993</t>
  </si>
  <si>
    <t>ORD-101226</t>
  </si>
  <si>
    <t>ORD-102600</t>
  </si>
  <si>
    <t>ORD-102045</t>
  </si>
  <si>
    <t>ORD-100548</t>
  </si>
  <si>
    <t>ORD-100724</t>
  </si>
  <si>
    <t>ORD-100606</t>
  </si>
  <si>
    <t>ORD-102443</t>
  </si>
  <si>
    <t>customer0354@example.com</t>
  </si>
  <si>
    <t>ORD-100573</t>
  </si>
  <si>
    <t>customer0816@example.com</t>
  </si>
  <si>
    <t>ORD-100995</t>
  </si>
  <si>
    <t>ORD-100175</t>
  </si>
  <si>
    <t>ORD-102651</t>
  </si>
  <si>
    <t>ORD-100688</t>
  </si>
  <si>
    <t>ORD-100640</t>
  </si>
  <si>
    <t>ORD-102891</t>
  </si>
  <si>
    <t>customer1153@example.com</t>
  </si>
  <si>
    <t>ORD-101246</t>
  </si>
  <si>
    <t>ORD-100699</t>
  </si>
  <si>
    <t>customer0565@example.com</t>
  </si>
  <si>
    <t>Â£95.00</t>
  </si>
  <si>
    <t>ORD-101347</t>
  </si>
  <si>
    <t>ORD-102515</t>
  </si>
  <si>
    <t>ORD-100495</t>
  </si>
  <si>
    <t>customer0168@example.com</t>
  </si>
  <si>
    <t>ORD-101058</t>
  </si>
  <si>
    <t>ORD-101420</t>
  </si>
  <si>
    <t>ORD-101954</t>
  </si>
  <si>
    <t>customer0438@example.com</t>
  </si>
  <si>
    <t>ORD-100005</t>
  </si>
  <si>
    <t>customer0757@example.com</t>
  </si>
  <si>
    <t>ORD-101458</t>
  </si>
  <si>
    <t>customer1303@example.com</t>
  </si>
  <si>
    <t>ORD-102291</t>
  </si>
  <si>
    <t>customer0740@example.com</t>
  </si>
  <si>
    <t>ORD-101293</t>
  </si>
  <si>
    <t>-160.20</t>
  </si>
  <si>
    <t>ORD-100593</t>
  </si>
  <si>
    <t>customer0448@example.com</t>
  </si>
  <si>
    <t>ORD-101392</t>
  </si>
  <si>
    <t>customer0671@example.com</t>
  </si>
  <si>
    <t>ORD-102064</t>
  </si>
  <si>
    <t>ORD-100635</t>
  </si>
  <si>
    <t>ORD-102634</t>
  </si>
  <si>
    <t>ORD-101188</t>
  </si>
  <si>
    <t>ORD-100541</t>
  </si>
  <si>
    <t>ORD-101994</t>
  </si>
  <si>
    <t>customer0627@example.com</t>
  </si>
  <si>
    <t>ORD-102290</t>
  </si>
  <si>
    <t>ORD-102015</t>
  </si>
  <si>
    <t>05/27/2026</t>
  </si>
  <si>
    <t>ORD-102307</t>
  </si>
  <si>
    <t>ORD-102159</t>
  </si>
  <si>
    <t>ORD-100940</t>
  </si>
  <si>
    <t>ORD-101404</t>
  </si>
  <si>
    <t>customer0764@example.com</t>
  </si>
  <si>
    <t>ORD-101951</t>
  </si>
  <si>
    <t>06/14/2026</t>
  </si>
  <si>
    <t>ORD-101339</t>
  </si>
  <si>
    <t>ORD-101136</t>
  </si>
  <si>
    <t>GBP85.50</t>
  </si>
  <si>
    <t>ORD-100530</t>
  </si>
  <si>
    <t>customer0647@example.com</t>
  </si>
  <si>
    <t>ORD-102968</t>
  </si>
  <si>
    <t>ORD-100803</t>
  </si>
  <si>
    <t>customer1347@example.com</t>
  </si>
  <si>
    <t>ORD-101456</t>
  </si>
  <si>
    <t>ORD-101167</t>
  </si>
  <si>
    <t>ORD-101021</t>
  </si>
  <si>
    <t>customer1210@example.com</t>
  </si>
  <si>
    <t>ORD-101726</t>
  </si>
  <si>
    <t>ORD-101201</t>
  </si>
  <si>
    <t>ORD-100571</t>
  </si>
  <si>
    <t>ORD-101018</t>
  </si>
  <si>
    <t>ORD-100769</t>
  </si>
  <si>
    <t>customer0580@example.com</t>
  </si>
  <si>
    <t>ORD-101279</t>
  </si>
  <si>
    <t>customer0808@example.com</t>
  </si>
  <si>
    <t>-268.20</t>
  </si>
  <si>
    <t>ORD-102977</t>
  </si>
  <si>
    <t>ORD-100557</t>
  </si>
  <si>
    <t>customer0152@example.com</t>
  </si>
  <si>
    <t>ORD-102647</t>
  </si>
  <si>
    <t>ORD-101059</t>
  </si>
  <si>
    <t>ORD-100879</t>
  </si>
  <si>
    <t>customer1120@example.com</t>
  </si>
  <si>
    <t>ORD-100502</t>
  </si>
  <si>
    <t>ORD-100072</t>
  </si>
  <si>
    <t>ORD-100467</t>
  </si>
  <si>
    <t>customer0362@example.com</t>
  </si>
  <si>
    <t>ORD-101812</t>
  </si>
  <si>
    <t>ORD-102309</t>
  </si>
  <si>
    <t>ORD-100003</t>
  </si>
  <si>
    <t>ORD-101315</t>
  </si>
  <si>
    <t>ORD-102041</t>
  </si>
  <si>
    <t>customer0204@example.com</t>
  </si>
  <si>
    <t>ORD-102373</t>
  </si>
  <si>
    <t>ORD-100581</t>
  </si>
  <si>
    <t>ORD-102864</t>
  </si>
  <si>
    <t>ORD-100764</t>
  </si>
  <si>
    <t>ORD-100043</t>
  </si>
  <si>
    <t>customer0750@example.com</t>
  </si>
  <si>
    <t>ORD-101355</t>
  </si>
  <si>
    <t>ORD-102640</t>
  </si>
  <si>
    <t>ORD-100941</t>
  </si>
  <si>
    <t>ORD-100315</t>
  </si>
  <si>
    <t>customer0557@example.com</t>
  </si>
  <si>
    <t>ORD-102512</t>
  </si>
  <si>
    <t>ORD-102406</t>
  </si>
  <si>
    <t>customer0243@example.com</t>
  </si>
  <si>
    <t>ORD-100523</t>
  </si>
  <si>
    <t>customer0018@example.com</t>
  </si>
  <si>
    <t>ORD-102128</t>
  </si>
  <si>
    <t>ORD-102329</t>
  </si>
  <si>
    <t>ORD-101919</t>
  </si>
  <si>
    <t>ORD-100984</t>
  </si>
  <si>
    <t>ORD-101635</t>
  </si>
  <si>
    <t>customer1400@example.com</t>
  </si>
  <si>
    <t>ORD-101304</t>
  </si>
  <si>
    <t>ORD-100300</t>
  </si>
  <si>
    <t>customer1382@example.com</t>
  </si>
  <si>
    <t>ORD-101151</t>
  </si>
  <si>
    <t>customer0812@example.com</t>
  </si>
  <si>
    <t>36.45</t>
  </si>
  <si>
    <t>ORD-101833</t>
  </si>
  <si>
    <t>ORD-101581</t>
  </si>
  <si>
    <t>ORD-102446</t>
  </si>
  <si>
    <t>ORD-100402</t>
  </si>
  <si>
    <t>ORD-101097</t>
  </si>
  <si>
    <t>ORD-100641</t>
  </si>
  <si>
    <t>ORD-100542</t>
  </si>
  <si>
    <t>ORD-101230</t>
  </si>
  <si>
    <t>ORD-102674</t>
  </si>
  <si>
    <t>customer0409@example.com</t>
  </si>
  <si>
    <t>ORD-100122</t>
  </si>
  <si>
    <t>customer1313@example.com</t>
  </si>
  <si>
    <t>ORD-101161</t>
  </si>
  <si>
    <t>ORD-100562</t>
  </si>
  <si>
    <t>customer0207@example.com</t>
  </si>
  <si>
    <t>ORD-102797</t>
  </si>
  <si>
    <t>ORD-101974</t>
  </si>
  <si>
    <t>ORD-100241</t>
  </si>
  <si>
    <t>ORD-102648</t>
  </si>
  <si>
    <t>ORD-102840</t>
  </si>
  <si>
    <t>ORD-102894</t>
  </si>
  <si>
    <t>customer0310@example.com</t>
  </si>
  <si>
    <t>ORD-102554</t>
  </si>
  <si>
    <t>customer1222@example.com</t>
  </si>
  <si>
    <t>ORD-100915</t>
  </si>
  <si>
    <t>customer0325@example.com</t>
  </si>
  <si>
    <t>ORD-102083</t>
  </si>
  <si>
    <t>ORD-101901</t>
  </si>
  <si>
    <t>ORD-101351</t>
  </si>
  <si>
    <t>ORD-100105</t>
  </si>
  <si>
    <t>ORD-100812</t>
  </si>
  <si>
    <t>10.00</t>
  </si>
  <si>
    <t>ORD-100765</t>
  </si>
  <si>
    <t>customer0822@example.com</t>
  </si>
  <si>
    <t>ORD-101410</t>
  </si>
  <si>
    <t>customer0220@example.com</t>
  </si>
  <si>
    <t>ORD-100210</t>
  </si>
  <si>
    <t>181.31</t>
  </si>
  <si>
    <t>ORD-100330</t>
  </si>
  <si>
    <t>ORD-102211</t>
  </si>
  <si>
    <t>customer0126@example.com</t>
  </si>
  <si>
    <t>ORD-102642</t>
  </si>
  <si>
    <t>ORD-100067</t>
  </si>
  <si>
    <t>ORD-101690</t>
  </si>
  <si>
    <t>customer1065@example.com</t>
  </si>
  <si>
    <t>ORD-102981</t>
  </si>
  <si>
    <t>ORD-101264</t>
  </si>
  <si>
    <t>ORD-101357</t>
  </si>
  <si>
    <t>customer0995@example.com</t>
  </si>
  <si>
    <t>ORD-101370</t>
  </si>
  <si>
    <t>customer0500@example.com</t>
  </si>
  <si>
    <t>ORD-102002</t>
  </si>
  <si>
    <t>customer0569@example.com</t>
  </si>
  <si>
    <t>ORD-102205</t>
  </si>
  <si>
    <t>customer0237@example.com</t>
  </si>
  <si>
    <t>ORD-101699</t>
  </si>
  <si>
    <t>ORD-100377</t>
  </si>
  <si>
    <t>ORD-101703</t>
  </si>
  <si>
    <t>customer0188@example.com</t>
  </si>
  <si>
    <t>ORD-101561</t>
  </si>
  <si>
    <t>customer0578@example.com</t>
  </si>
  <si>
    <t>ORD-102712</t>
  </si>
  <si>
    <t>ORD-100011</t>
  </si>
  <si>
    <t>customer1074@example.com</t>
  </si>
  <si>
    <t>ORD-101641</t>
  </si>
  <si>
    <t>customer0436@example.com</t>
  </si>
  <si>
    <t>ORD-100058</t>
  </si>
  <si>
    <t>customer0043@example.com</t>
  </si>
  <si>
    <t>ORD-101615</t>
  </si>
  <si>
    <t>ORD-101171</t>
  </si>
  <si>
    <t>ORD-100357</t>
  </si>
  <si>
    <t>ORD-102092</t>
  </si>
  <si>
    <t>customer0778@example.com</t>
  </si>
  <si>
    <t>ORD-101359</t>
  </si>
  <si>
    <t>customer0570@example.com</t>
  </si>
  <si>
    <t>ORD-102765</t>
  </si>
  <si>
    <t>ORD-101891</t>
  </si>
  <si>
    <t>04/26/2026</t>
  </si>
  <si>
    <t>ORD-102424</t>
  </si>
  <si>
    <t>customer0007@example.com</t>
  </si>
  <si>
    <t>ORD-102130</t>
  </si>
  <si>
    <t>customer0030@example.com</t>
  </si>
  <si>
    <t>ORD-101170</t>
  </si>
  <si>
    <t>ORD-102423</t>
  </si>
  <si>
    <t>ORD-100457</t>
  </si>
  <si>
    <t>customer1300@example.com</t>
  </si>
  <si>
    <t>ORD-102297</t>
  </si>
  <si>
    <t>customer1339@example.com</t>
  </si>
  <si>
    <t>ORD-102663</t>
  </si>
  <si>
    <t>ORD-101360</t>
  </si>
  <si>
    <t>customer0553@example.com</t>
  </si>
  <si>
    <t>ORD-102923</t>
  </si>
  <si>
    <t>customer0057@example.com</t>
  </si>
  <si>
    <t>ORD-100891</t>
  </si>
  <si>
    <t>customer0359@example.com</t>
  </si>
  <si>
    <t>ORD-101108</t>
  </si>
  <si>
    <t>ORD-102455</t>
  </si>
  <si>
    <t>151.30</t>
  </si>
  <si>
    <t>ORD-102655</t>
  </si>
  <si>
    <t>customer0558@example.com</t>
  </si>
  <si>
    <t>ORD-102433</t>
  </si>
  <si>
    <t>ORD-100514</t>
  </si>
  <si>
    <t>ORD-100050</t>
  </si>
  <si>
    <t>customer0853@example.com</t>
  </si>
  <si>
    <t>ORD-102566</t>
  </si>
  <si>
    <t>ORD-100624</t>
  </si>
  <si>
    <t>customer0194@example.com</t>
  </si>
  <si>
    <t>ORD-102540</t>
  </si>
  <si>
    <t>customer0878@example.com</t>
  </si>
  <si>
    <t>97.20</t>
  </si>
  <si>
    <t>ORD-101001</t>
  </si>
  <si>
    <t>customer0024@example.com</t>
  </si>
  <si>
    <t>ORD-101702</t>
  </si>
  <si>
    <t>ORD-102885</t>
  </si>
  <si>
    <t>01/16/2026</t>
  </si>
  <si>
    <t>ORD-102282</t>
  </si>
  <si>
    <t>ORD-102992</t>
  </si>
  <si>
    <t>customer0005@example.com</t>
  </si>
  <si>
    <t>ORD-100101</t>
  </si>
  <si>
    <t>customer0813@example.com</t>
  </si>
  <si>
    <t>ORD-102845</t>
  </si>
  <si>
    <t>ORD-102058</t>
  </si>
  <si>
    <t>ORD-102746</t>
  </si>
  <si>
    <t>ORD-102372</t>
  </si>
  <si>
    <t>ORD-101547</t>
  </si>
  <si>
    <t>ORD-101297</t>
  </si>
  <si>
    <t>ORD-101115</t>
  </si>
  <si>
    <t>ORD-102078</t>
  </si>
  <si>
    <t>customer1212@example.com</t>
  </si>
  <si>
    <t>ORD-101072</t>
  </si>
  <si>
    <t>ORD-100946</t>
  </si>
  <si>
    <t>customer0922@example.com</t>
  </si>
  <si>
    <t>ORD-100956</t>
  </si>
  <si>
    <t>213.60</t>
  </si>
  <si>
    <t>ORD-100172</t>
  </si>
  <si>
    <t>ORD-100144</t>
  </si>
  <si>
    <t>ORD-102197</t>
  </si>
  <si>
    <t>ORD-101138</t>
  </si>
  <si>
    <t>ORD-100726</t>
  </si>
  <si>
    <t>ORD-100062</t>
  </si>
  <si>
    <t>ORD-100518</t>
  </si>
  <si>
    <t>customer0618@example.com</t>
  </si>
  <si>
    <t>ORD-100182</t>
  </si>
  <si>
    <t>customer0020@example.com</t>
  </si>
  <si>
    <t>ORD-101845</t>
  </si>
  <si>
    <t>customer0931@example.com</t>
  </si>
  <si>
    <t>ORD-101706</t>
  </si>
  <si>
    <t>ORD-100474</t>
  </si>
  <si>
    <t>ORD-101761</t>
  </si>
  <si>
    <t>customer0587@example.com</t>
  </si>
  <si>
    <t>ORD-100015</t>
  </si>
  <si>
    <t>customer0069@example.com</t>
  </si>
  <si>
    <t>ORD-101398</t>
  </si>
  <si>
    <t>ORD-102565</t>
  </si>
  <si>
    <t>customer1254@example.com</t>
  </si>
  <si>
    <t>104.49</t>
  </si>
  <si>
    <t>ORD-101530</t>
  </si>
  <si>
    <t>ORD-102140</t>
  </si>
  <si>
    <t>ORD-101248</t>
  </si>
  <si>
    <t>ORD-101977</t>
  </si>
  <si>
    <t>ORD-102909</t>
  </si>
  <si>
    <t>278.64</t>
  </si>
  <si>
    <t>ORD-100958</t>
  </si>
  <si>
    <t>ORD-100564</t>
  </si>
  <si>
    <t>ORD-100974</t>
  </si>
  <si>
    <t>ORD-102281</t>
  </si>
  <si>
    <t>ORD-101772</t>
  </si>
  <si>
    <t>ORD-100326</t>
  </si>
  <si>
    <t>ORD-100839</t>
  </si>
  <si>
    <t>ORD-102348</t>
  </si>
  <si>
    <t>ORD-101981</t>
  </si>
  <si>
    <t>customer0285@example.com</t>
  </si>
  <si>
    <t>ORD-100009</t>
  </si>
  <si>
    <t>ORD-101705</t>
  </si>
  <si>
    <t>ORD-101976</t>
  </si>
  <si>
    <t>customer0958@example.com</t>
  </si>
  <si>
    <t>ORD-102323</t>
  </si>
  <si>
    <t>customer0015@example.com</t>
  </si>
  <si>
    <t>ORD-101277</t>
  </si>
  <si>
    <t>customer0307@example.com</t>
  </si>
  <si>
    <t>ORD-100623</t>
  </si>
  <si>
    <t>ORD-101735</t>
  </si>
  <si>
    <t>ORD-102386</t>
  </si>
  <si>
    <t>ORD-102183</t>
  </si>
  <si>
    <t>ORD-102467</t>
  </si>
  <si>
    <t>ORD-100076</t>
  </si>
  <si>
    <t>ORD-101273</t>
  </si>
  <si>
    <t>customer0798@example.com</t>
  </si>
  <si>
    <t>ORD-101103</t>
  </si>
  <si>
    <t>customer0065@example.com</t>
  </si>
  <si>
    <t>ORD-102385</t>
  </si>
  <si>
    <t>ORD-101836</t>
  </si>
  <si>
    <t>ORD-102452</t>
  </si>
  <si>
    <t>customer0441@example.com</t>
  </si>
  <si>
    <t>ORD-101442</t>
  </si>
  <si>
    <t>customer0418@example.com</t>
  </si>
  <si>
    <t>ORD-102179</t>
  </si>
  <si>
    <t>ORD-102783</t>
  </si>
  <si>
    <t>ORD-101047</t>
  </si>
  <si>
    <t>ORD-100280</t>
  </si>
  <si>
    <t>customer0151@example.com</t>
  </si>
  <si>
    <t>-40.50</t>
  </si>
  <si>
    <t>ORD-101206</t>
  </si>
  <si>
    <t>ORD-102611</t>
  </si>
  <si>
    <t>ORD-100867</t>
  </si>
  <si>
    <t>ORD-102447</t>
  </si>
  <si>
    <t>customer1386@example.com</t>
  </si>
  <si>
    <t>ORD-100341</t>
  </si>
  <si>
    <t>ORD-100777</t>
  </si>
  <si>
    <t>ORD-102050</t>
  </si>
  <si>
    <t>02/15/2026</t>
  </si>
  <si>
    <t>ORD-100486</t>
  </si>
  <si>
    <t>customer0135@example.com</t>
  </si>
  <si>
    <t>ORD-101572</t>
  </si>
  <si>
    <t>customer1331@example.com</t>
  </si>
  <si>
    <t>ORD-100651</t>
  </si>
  <si>
    <t>ORD-100741</t>
  </si>
  <si>
    <t>ORD-100069</t>
  </si>
  <si>
    <t>ORD-101107</t>
  </si>
  <si>
    <t>ORD-100223</t>
  </si>
  <si>
    <t>ORD-102394</t>
  </si>
  <si>
    <t>ORD-100320</t>
  </si>
  <si>
    <t>ORD-101320</t>
  </si>
  <si>
    <t>ORD-102468</t>
  </si>
  <si>
    <t>Â£45.00</t>
  </si>
  <si>
    <t>ORD-101039</t>
  </si>
  <si>
    <t>customer0169@example.com</t>
  </si>
  <si>
    <t>ORD-102056</t>
  </si>
  <si>
    <t>ORD-101746</t>
  </si>
  <si>
    <t>ORD-100165</t>
  </si>
  <si>
    <t>customer1362@example.com</t>
  </si>
  <si>
    <t>ORD-102219</t>
  </si>
  <si>
    <t>ORD-101354</t>
  </si>
  <si>
    <t>ORD-101243</t>
  </si>
  <si>
    <t>ORD-102484</t>
  </si>
  <si>
    <t>ORD-100222</t>
  </si>
  <si>
    <t>ORD-101835</t>
  </si>
  <si>
    <t>ORD-101174</t>
  </si>
  <si>
    <t>ORD-101513</t>
  </si>
  <si>
    <t>ORD-100717</t>
  </si>
  <si>
    <t>ORD-102137</t>
  </si>
  <si>
    <t>ORD-100533</t>
  </si>
  <si>
    <t>customer1163@example.com</t>
  </si>
  <si>
    <t>34.56</t>
  </si>
  <si>
    <t>ORD-100674</t>
  </si>
  <si>
    <t>customer0799@example.com</t>
  </si>
  <si>
    <t>ORD-102436</t>
  </si>
  <si>
    <t>ORD-101732</t>
  </si>
  <si>
    <t>ORD-101960</t>
  </si>
  <si>
    <t>customer1169@example.com</t>
  </si>
  <si>
    <t>ORD-102025</t>
  </si>
  <si>
    <t>ORD-101897</t>
  </si>
  <si>
    <t>customer0421@example.com</t>
  </si>
  <si>
    <t>ORD-102709</t>
  </si>
  <si>
    <t>customer0625@example.com</t>
  </si>
  <si>
    <t>ORD-100534</t>
  </si>
  <si>
    <t>ORD-100614</t>
  </si>
  <si>
    <t>ORD-101569</t>
  </si>
  <si>
    <t>customer0516@example.com</t>
  </si>
  <si>
    <t>ORD-102315</t>
  </si>
  <si>
    <t>customer0268@example.com</t>
  </si>
  <si>
    <t>ORD-101655</t>
  </si>
  <si>
    <t>ORD-102518</t>
  </si>
  <si>
    <t>ORD-101141</t>
  </si>
  <si>
    <t>customer1343@example.com</t>
  </si>
  <si>
    <t>ORD-102136</t>
  </si>
  <si>
    <t>ORD-102492</t>
  </si>
  <si>
    <t>ORD-102440</t>
  </si>
  <si>
    <t>customer0514@example.com</t>
  </si>
  <si>
    <t>ORD-100716</t>
  </si>
  <si>
    <t>ORD-100154</t>
  </si>
  <si>
    <t>ORD-100119</t>
  </si>
  <si>
    <t>ORD-102504</t>
  </si>
  <si>
    <t>ORD-102148</t>
  </si>
  <si>
    <t>customer0429@example.com</t>
  </si>
  <si>
    <t>ORD-101008</t>
  </si>
  <si>
    <t>customer0316@example.com</t>
  </si>
  <si>
    <t>ORD-102745</t>
  </si>
  <si>
    <t>ORD-100814</t>
  </si>
  <si>
    <t>customer1284@example.com</t>
  </si>
  <si>
    <t>ORD-101016</t>
  </si>
  <si>
    <t>67.15</t>
  </si>
  <si>
    <t>ORD-101445</t>
  </si>
  <si>
    <t>ORD-100532</t>
  </si>
  <si>
    <t>-21.60</t>
  </si>
  <si>
    <t>ORD-101737</t>
  </si>
  <si>
    <t>customer0355@example.com</t>
  </si>
  <si>
    <t>ORD-100089</t>
  </si>
  <si>
    <t>ORD-101180</t>
  </si>
  <si>
    <t>customer0337@example.com</t>
  </si>
  <si>
    <t>ORD-101127</t>
  </si>
  <si>
    <t>ORD-102707</t>
  </si>
  <si>
    <t>customer0817@example.com</t>
  </si>
  <si>
    <t>ORD-100142</t>
  </si>
  <si>
    <t>ORD-100087</t>
  </si>
  <si>
    <t>customer0621@example.com</t>
  </si>
  <si>
    <t>ORD-101580</t>
  </si>
  <si>
    <t>ORD-100141</t>
  </si>
  <si>
    <t>ORD-102416</t>
  </si>
  <si>
    <t>customer1146@example.com</t>
  </si>
  <si>
    <t>ORD-101306</t>
  </si>
  <si>
    <t>ORD-100980</t>
  </si>
  <si>
    <t>customer1130@example.com</t>
  </si>
  <si>
    <t>ORD-102101</t>
  </si>
  <si>
    <t>ORD-102046</t>
  </si>
  <si>
    <t>customer1384@example.com</t>
  </si>
  <si>
    <t>ORD-101559</t>
  </si>
  <si>
    <t>ORD-102952</t>
  </si>
  <si>
    <t>ORD-101011</t>
  </si>
  <si>
    <t>ORD-101441</t>
  </si>
  <si>
    <t>customer0747@example.com</t>
  </si>
  <si>
    <t>ORD-101092</t>
  </si>
  <si>
    <t>customer0382@example.com</t>
  </si>
  <si>
    <t>ORD-102267</t>
  </si>
  <si>
    <t>customer1051@example.com</t>
  </si>
  <si>
    <t>ORD-100930</t>
  </si>
  <si>
    <t>ORD-102407</t>
  </si>
  <si>
    <t>126.40</t>
  </si>
  <si>
    <t>ORD-102646</t>
  </si>
  <si>
    <t>ORD-100367</t>
  </si>
  <si>
    <t>ORD-101208</t>
  </si>
  <si>
    <t>ORD-101397</t>
  </si>
  <si>
    <t>ORD-102032</t>
  </si>
  <si>
    <t>ORD-102360</t>
  </si>
  <si>
    <t>ORD-100235</t>
  </si>
  <si>
    <t>ORD-101245</t>
  </si>
  <si>
    <t>ORD-101285</t>
  </si>
  <si>
    <t>customer0131@example.com</t>
  </si>
  <si>
    <t>ORD-102959</t>
  </si>
  <si>
    <t>ORD-101617</t>
  </si>
  <si>
    <t>ORD-100682</t>
  </si>
  <si>
    <t>ORD-101948</t>
  </si>
  <si>
    <t>ORD-102475</t>
  </si>
  <si>
    <t>ORD-102187</t>
  </si>
  <si>
    <t>ORD-102256</t>
  </si>
  <si>
    <t>customer1178@example.com</t>
  </si>
  <si>
    <t>ORD-100160</t>
  </si>
  <si>
    <t>ORD-101197</t>
  </si>
  <si>
    <t>ORD-101340</t>
  </si>
  <si>
    <t>01/20/2026</t>
  </si>
  <si>
    <t>ORD-100313</t>
  </si>
  <si>
    <t>ORD-102400</t>
  </si>
  <si>
    <t>ORD-100951</t>
  </si>
  <si>
    <t>ORD-102478</t>
  </si>
  <si>
    <t>ORD-102341</t>
  </si>
  <si>
    <t>customer0286@example.com</t>
  </si>
  <si>
    <t>ORD-100277</t>
  </si>
  <si>
    <t>customer0861@example.com</t>
  </si>
  <si>
    <t>ORD-102869</t>
  </si>
  <si>
    <t>ORD-102784</t>
  </si>
  <si>
    <t>ORD-101213</t>
  </si>
  <si>
    <t>ORD-102387</t>
  </si>
  <si>
    <t>customer0019@example.com</t>
  </si>
  <si>
    <t>ORD-102933</t>
  </si>
  <si>
    <t>ORD-102404</t>
  </si>
  <si>
    <t>customer0836@example.com</t>
  </si>
  <si>
    <t>ORD-100685</t>
  </si>
  <si>
    <t>19.12</t>
  </si>
  <si>
    <t>ORD-101925</t>
  </si>
  <si>
    <t>ORD-101488</t>
  </si>
  <si>
    <t>customer0615@example.com</t>
  </si>
  <si>
    <t>ORD-100525</t>
  </si>
  <si>
    <t>ORD-101253</t>
  </si>
  <si>
    <t>customer0106@example.com</t>
  </si>
  <si>
    <t>ORD-101396</t>
  </si>
  <si>
    <t>customer0022@example.com</t>
  </si>
  <si>
    <t>ORD-101113</t>
  </si>
  <si>
    <t>ORD-101335</t>
  </si>
  <si>
    <t>ORD-102212</t>
  </si>
  <si>
    <t>ORD-100825</t>
  </si>
  <si>
    <t>ORD-101465</t>
  </si>
  <si>
    <t>ORD-100880</t>
  </si>
  <si>
    <t>ORD-102503</t>
  </si>
  <si>
    <t>customer0190@example.com</t>
  </si>
  <si>
    <t>61.20</t>
  </si>
  <si>
    <t>ORD-100920</t>
  </si>
  <si>
    <t>ORD-101673</t>
  </si>
  <si>
    <t>ORD-101341</t>
  </si>
  <si>
    <t>ORD-102859</t>
  </si>
  <si>
    <t>ORD-102030</t>
  </si>
  <si>
    <t>customer1236@example.com</t>
  </si>
  <si>
    <t>ORD-102365</t>
  </si>
  <si>
    <t>ORD-100033</t>
  </si>
  <si>
    <t>customer1132@example.com</t>
  </si>
  <si>
    <t>ORD-100171</t>
  </si>
  <si>
    <t>customer0144@example.com</t>
  </si>
  <si>
    <t>ORD-101034</t>
  </si>
  <si>
    <t>ORD-101756</t>
  </si>
  <si>
    <t>ORD-100676</t>
  </si>
  <si>
    <t>customer0176@example.com</t>
  </si>
  <si>
    <t>ORD-102412</t>
  </si>
  <si>
    <t>ORD-101459</t>
  </si>
  <si>
    <t>ORD-102625</t>
  </si>
  <si>
    <t>customer0488@example.com</t>
  </si>
  <si>
    <t>ORD-100052</t>
  </si>
  <si>
    <t>customer0767@example.com</t>
  </si>
  <si>
    <t>ORD-100114</t>
  </si>
  <si>
    <t>customer1038@example.com</t>
  </si>
  <si>
    <t>ORD-101714</t>
  </si>
  <si>
    <t>ORD-100888</t>
  </si>
  <si>
    <t>ORD-101330</t>
  </si>
  <si>
    <t>ORD-101276</t>
  </si>
  <si>
    <t>ORD-101119</t>
  </si>
  <si>
    <t>ORD-100216</t>
  </si>
  <si>
    <t>customer0913@example.com</t>
  </si>
  <si>
    <t>ORD-102583</t>
  </si>
  <si>
    <t>ORD-100837</t>
  </si>
  <si>
    <t>ORD-100312</t>
  </si>
  <si>
    <t>ORD-101500</t>
  </si>
  <si>
    <t>04/19/2026</t>
  </si>
  <si>
    <t>customer0908@example.com</t>
  </si>
  <si>
    <t>ORD-102548</t>
  </si>
  <si>
    <t>ORD-100498</t>
  </si>
  <si>
    <t>ORD-100240</t>
  </si>
  <si>
    <t>customer0492@example.com</t>
  </si>
  <si>
    <t>ORD-100787</t>
  </si>
  <si>
    <t>ORD-100767</t>
  </si>
  <si>
    <t>ORD-101270</t>
  </si>
  <si>
    <t>ORD-101916</t>
  </si>
  <si>
    <t>customer0537@example.com</t>
  </si>
  <si>
    <t>ORD-101606</t>
  </si>
  <si>
    <t>ORD-100465</t>
  </si>
  <si>
    <t>ORD-100382</t>
  </si>
  <si>
    <t>ORD-100422</t>
  </si>
  <si>
    <t>ORD-102043</t>
  </si>
  <si>
    <t>ORD-101920</t>
  </si>
  <si>
    <t>ORD-102501</t>
  </si>
  <si>
    <t>ORD-102319</t>
  </si>
  <si>
    <t>ORD-102037</t>
  </si>
  <si>
    <t>ORD-102110</t>
  </si>
  <si>
    <t>customer0576@example.com</t>
  </si>
  <si>
    <t>103.27</t>
  </si>
  <si>
    <t>ORD-101898</t>
  </si>
  <si>
    <t>customer0987@example.com</t>
  </si>
  <si>
    <t>ORD-100694</t>
  </si>
  <si>
    <t>customer0857@example.com</t>
  </si>
  <si>
    <t>ORD-101817</t>
  </si>
  <si>
    <t>ORD-100759</t>
  </si>
  <si>
    <t>ORD-100604</t>
  </si>
  <si>
    <t>customer0452@example.com</t>
  </si>
  <si>
    <t>63.20</t>
  </si>
  <si>
    <t>ORD-102105</t>
  </si>
  <si>
    <t>ORD-102382</t>
  </si>
  <si>
    <t>ORD-101027</t>
  </si>
  <si>
    <t>ORD-102144</t>
  </si>
  <si>
    <t>customer0586@example.com</t>
  </si>
  <si>
    <t>ORD-100310</t>
  </si>
  <si>
    <t>customer0517@example.com</t>
  </si>
  <si>
    <t>ORD-100887</t>
  </si>
  <si>
    <t>customer0434@example.com</t>
  </si>
  <si>
    <t>ORD-101203</t>
  </si>
  <si>
    <t>customer0600@example.com</t>
  </si>
  <si>
    <t>ORD-101517</t>
  </si>
  <si>
    <t>customer0352@example.com</t>
  </si>
  <si>
    <t>ORD-101740</t>
  </si>
  <si>
    <t>ORD-101910</t>
  </si>
  <si>
    <t>ORD-101474</t>
  </si>
  <si>
    <t>customer0182@example.com</t>
  </si>
  <si>
    <t>ORD-102910</t>
  </si>
  <si>
    <t>customer0219@example.com</t>
  </si>
  <si>
    <t>ORD-101303</t>
  </si>
  <si>
    <t>ORD-101975</t>
  </si>
  <si>
    <t>ORD-101827</t>
  </si>
  <si>
    <t>ORD-101540</t>
  </si>
  <si>
    <t>ORD-102964</t>
  </si>
  <si>
    <t>ORD-100018</t>
  </si>
  <si>
    <t>ORD-101057</t>
  </si>
  <si>
    <t>customer0838@example.com</t>
  </si>
  <si>
    <t>ORD-102065</t>
  </si>
  <si>
    <t>127.98</t>
  </si>
  <si>
    <t>ORD-100898</t>
  </si>
  <si>
    <t>ORD-101041</t>
  </si>
  <si>
    <t>ORD-101687</t>
  </si>
  <si>
    <t>ORD-101144</t>
  </si>
  <si>
    <t>ORD-102084</t>
  </si>
  <si>
    <t>ORD-101539</t>
  </si>
  <si>
    <t>ORD-100189</t>
  </si>
  <si>
    <t>ORD-101380</t>
  </si>
  <si>
    <t>customer1356@example.com</t>
  </si>
  <si>
    <t>ORD-100973</t>
  </si>
  <si>
    <t>ORD-101541</t>
  </si>
  <si>
    <t>customer1327@example.com</t>
  </si>
  <si>
    <t>ORD-101492</t>
  </si>
  <si>
    <t>ORD-101624</t>
  </si>
  <si>
    <t>ORD-100866</t>
  </si>
  <si>
    <t>customer1126@example.com</t>
  </si>
  <si>
    <t>ORD-100902</t>
  </si>
  <si>
    <t>ORD-102363</t>
  </si>
  <si>
    <t>customer0028@example.com</t>
  </si>
  <si>
    <t>ORD-102378</t>
  </si>
  <si>
    <t>ORD-102295</t>
  </si>
  <si>
    <t>ORD-100267</t>
  </si>
  <si>
    <t>ORD-102683</t>
  </si>
  <si>
    <t>customer1028@example.com</t>
  </si>
  <si>
    <t>ORD-100985</t>
  </si>
  <si>
    <t>ORD-102491</t>
  </si>
  <si>
    <t>ORD-100479</t>
  </si>
  <si>
    <t>ORD-100484</t>
  </si>
  <si>
    <t>ORD-102901</t>
  </si>
  <si>
    <t>ORD-100073</t>
  </si>
  <si>
    <t>ORD-100836</t>
  </si>
  <si>
    <t>ORD-101352</t>
  </si>
  <si>
    <t>customer0683@example.com</t>
  </si>
  <si>
    <t>ORD-100400</t>
  </si>
  <si>
    <t>customer0568@example.com</t>
  </si>
  <si>
    <t>ORD-101192</t>
  </si>
  <si>
    <t>ORD-100805</t>
  </si>
  <si>
    <t>ORD-100470</t>
  </si>
  <si>
    <t>ORD-102007</t>
  </si>
  <si>
    <t>ORD-100307</t>
  </si>
  <si>
    <t>customer1046@example.com</t>
  </si>
  <si>
    <t>ORD-101298</t>
  </si>
  <si>
    <t>ORD-101205</t>
  </si>
  <si>
    <t>ORD-102764</t>
  </si>
  <si>
    <t>customer1021@example.com</t>
  </si>
  <si>
    <t>ORD-101796</t>
  </si>
  <si>
    <t>ORD-101519</t>
  </si>
  <si>
    <t>ORD-102507</t>
  </si>
  <si>
    <t>ORD-102915</t>
  </si>
  <si>
    <t>ORD-100136</t>
  </si>
  <si>
    <t>ORD-100097</t>
  </si>
  <si>
    <t>ORD-102145</t>
  </si>
  <si>
    <t>-134.10</t>
  </si>
  <si>
    <t>ORD-101262</t>
  </si>
  <si>
    <t>ORD-101663</t>
  </si>
  <si>
    <t>customer0675@example.com</t>
  </si>
  <si>
    <t>ORD-100680</t>
  </si>
  <si>
    <t>ORD-100200</t>
  </si>
  <si>
    <t>customer0187@example.com</t>
  </si>
  <si>
    <t>ORD-100797</t>
  </si>
  <si>
    <t>customer1342@example.com</t>
  </si>
  <si>
    <t>ORD-101510</t>
  </si>
  <si>
    <t>customer0456@example.com</t>
  </si>
  <si>
    <t>ORD-102819</t>
  </si>
  <si>
    <t>ORD-101669</t>
  </si>
  <si>
    <t>ORD-100264</t>
  </si>
  <si>
    <t>ORD-102338</t>
  </si>
  <si>
    <t>ORD-100272</t>
  </si>
  <si>
    <t>customer0435@example.com</t>
  </si>
  <si>
    <t>ORD-100041</t>
  </si>
  <si>
    <t>ORD-100090</t>
  </si>
  <si>
    <t>ORD-102318</t>
  </si>
  <si>
    <t>ORD-101864</t>
  </si>
  <si>
    <t>ORD-101317</t>
  </si>
  <si>
    <t>ORD-100563</t>
  </si>
  <si>
    <t>ORD-101962</t>
  </si>
  <si>
    <t>ORD-102134</t>
  </si>
  <si>
    <t>ORD-101421</t>
  </si>
  <si>
    <t>ORD-100271</t>
  </si>
  <si>
    <t>ORD-101274</t>
  </si>
  <si>
    <t>ORD-100021</t>
  </si>
  <si>
    <t>customer0601@example.com</t>
  </si>
  <si>
    <t>ORD-101681</t>
  </si>
  <si>
    <t>ORD-102173</t>
  </si>
  <si>
    <t>ORD-102844</t>
  </si>
  <si>
    <t>ORD-101768</t>
  </si>
  <si>
    <t>ORD-100547</t>
  </si>
  <si>
    <t>ORD-101440</t>
  </si>
  <si>
    <t>customer0073@example.com</t>
  </si>
  <si>
    <t>ORD-102340</t>
  </si>
  <si>
    <t>ORD-101605</t>
  </si>
  <si>
    <t>ORD-101402</t>
  </si>
  <si>
    <t>ORD-102799</t>
  </si>
  <si>
    <t>customer1018@example.com</t>
  </si>
  <si>
    <t>-121.50</t>
  </si>
  <si>
    <t>ORD-102453</t>
  </si>
  <si>
    <t>ORD-100193</t>
  </si>
  <si>
    <t>ORD-100116</t>
  </si>
  <si>
    <t>ORD-100705</t>
  </si>
  <si>
    <t>customer0364@example.com</t>
  </si>
  <si>
    <t>ORD-102251</t>
  </si>
  <si>
    <t>ORD-102473</t>
  </si>
  <si>
    <t>05/25/2026</t>
  </si>
  <si>
    <t>ORD-100345</t>
  </si>
  <si>
    <t>customer1084@example.com</t>
  </si>
  <si>
    <t>ORD-101755</t>
  </si>
  <si>
    <t>ORD-101271</t>
  </si>
  <si>
    <t>ORD-102241</t>
  </si>
  <si>
    <t>ORD-100125</t>
  </si>
  <si>
    <t>ORD-102594</t>
  </si>
  <si>
    <t>ORD-100877</t>
  </si>
  <si>
    <t>ORD-100868</t>
  </si>
  <si>
    <t>customer0766@example.com</t>
  </si>
  <si>
    <t>ORD-102558</t>
  </si>
  <si>
    <t>customer0075@example.com</t>
  </si>
  <si>
    <t>ORD-100205</t>
  </si>
  <si>
    <t>customer0573@example.com</t>
  </si>
  <si>
    <t>ORD-100247</t>
  </si>
  <si>
    <t>ORD-100129</t>
  </si>
  <si>
    <t>ORD-100095</t>
  </si>
  <si>
    <t>ORD-101857</t>
  </si>
  <si>
    <t>ORD-100038</t>
  </si>
  <si>
    <t>ORD-100739</t>
  </si>
  <si>
    <t>ORD-102024</t>
  </si>
  <si>
    <t>ORD-100061</t>
  </si>
  <si>
    <t>ORD-102476</t>
  </si>
  <si>
    <t>ORD-101014</t>
  </si>
  <si>
    <t>ORD-100583</t>
  </si>
  <si>
    <t>ORD-100248</t>
  </si>
  <si>
    <t>ORD-100883</t>
  </si>
  <si>
    <t>customer0231@example.com</t>
  </si>
  <si>
    <t>ORD-102560</t>
  </si>
  <si>
    <t>customer0371@example.com</t>
  </si>
  <si>
    <t>ORD-100537</t>
  </si>
  <si>
    <t>customer0455@example.com</t>
  </si>
  <si>
    <t>ORD-102343</t>
  </si>
  <si>
    <t>ORD-102676</t>
  </si>
  <si>
    <t>ORD-101985</t>
  </si>
  <si>
    <t>ORD-101149</t>
  </si>
  <si>
    <t>ORD-100997</t>
  </si>
  <si>
    <t>customer0332@example.com</t>
  </si>
  <si>
    <t>ORD-102525</t>
  </si>
  <si>
    <t>customer0283@example.com</t>
  </si>
  <si>
    <t>ORD-100749</t>
  </si>
  <si>
    <t>customer0662@example.com</t>
  </si>
  <si>
    <t>ORD-101095</t>
  </si>
  <si>
    <t>ORD-102248</t>
  </si>
  <si>
    <t>ORD-102569</t>
  </si>
  <si>
    <t>ORD-101943</t>
  </si>
  <si>
    <t>customer0230@example.com</t>
  </si>
  <si>
    <t>ORD-102870</t>
  </si>
  <si>
    <t>20.00</t>
  </si>
  <si>
    <t>ORD-101216</t>
  </si>
  <si>
    <t>ORD-101596</t>
  </si>
  <si>
    <t>ORD-101848</t>
  </si>
  <si>
    <t>customer0372@example.com</t>
  </si>
  <si>
    <t>ORD-101332</t>
  </si>
  <si>
    <t>ORD-101122</t>
  </si>
  <si>
    <t>ORD-100284</t>
  </si>
  <si>
    <t>ORD-102301</t>
  </si>
  <si>
    <t>ORD-100460</t>
  </si>
  <si>
    <t>ORD-100405</t>
  </si>
  <si>
    <t>ORD-100609</t>
  </si>
  <si>
    <t>ORD-100655</t>
  </si>
  <si>
    <t>02/24/2026</t>
  </si>
  <si>
    <t>ORD-101568</t>
  </si>
  <si>
    <t>ORD-100135</t>
  </si>
  <si>
    <t>ORD-100438</t>
  </si>
  <si>
    <t>ORD-102086</t>
  </si>
  <si>
    <t>customer0113@example.com</t>
  </si>
  <si>
    <t>ORD-102437</t>
  </si>
  <si>
    <t>04/23/2026</t>
  </si>
  <si>
    <t>ORD-101375</t>
  </si>
  <si>
    <t>ORD-102978</t>
  </si>
  <si>
    <t>ORD-101558</t>
  </si>
  <si>
    <t>ORD-100710</t>
  </si>
  <si>
    <t>ORD-102109</t>
  </si>
  <si>
    <t>ORD-102728</t>
  </si>
  <si>
    <t>customer0164@example.com</t>
  </si>
  <si>
    <t>ORD-100298</t>
  </si>
  <si>
    <t>customer0127@example.com</t>
  </si>
  <si>
    <t>ORD-101263</t>
  </si>
  <si>
    <t>customer1334@example.com</t>
  </si>
  <si>
    <t>ORD-102953</t>
  </si>
  <si>
    <t>ORD-102263</t>
  </si>
  <si>
    <t>ORD-100719</t>
  </si>
  <si>
    <t>ORD-101553</t>
  </si>
  <si>
    <t>ORD-101875</t>
  </si>
  <si>
    <t>customer0370@example.com</t>
  </si>
  <si>
    <t>ORD-100552</t>
  </si>
  <si>
    <t>ORD-102471</t>
  </si>
  <si>
    <t>customer1026@example.com</t>
  </si>
  <si>
    <t>ORD-101995</t>
  </si>
  <si>
    <t>ORD-100389</t>
  </si>
  <si>
    <t>customer1078@example.com</t>
  </si>
  <si>
    <t>ORD-101724</t>
  </si>
  <si>
    <t>ORD-101716</t>
  </si>
  <si>
    <t>ORD-102243</t>
  </si>
  <si>
    <t>ORD-102182</t>
  </si>
  <si>
    <t>ORD-102826</t>
  </si>
  <si>
    <t>customer1200@example.com</t>
  </si>
  <si>
    <t>134.30</t>
  </si>
  <si>
    <t>ORD-102376</t>
  </si>
  <si>
    <t>customer0463@example.com</t>
  </si>
  <si>
    <t>ORD-101691</t>
  </si>
  <si>
    <t>ORD-101704</t>
  </si>
  <si>
    <t>ORD-102699</t>
  </si>
  <si>
    <t>-116.10</t>
  </si>
  <si>
    <t>ORD-102001</t>
  </si>
  <si>
    <t>customer0453@example.com</t>
  </si>
  <si>
    <t>ORD-101818</t>
  </si>
  <si>
    <t>ORD-101342</t>
  </si>
  <si>
    <t>ORD-102430</t>
  </si>
  <si>
    <t>ORD-101609</t>
  </si>
  <si>
    <t>19.20</t>
  </si>
  <si>
    <t>ORD-100715</t>
  </si>
  <si>
    <t>customer0469@example.com</t>
  </si>
  <si>
    <t>ORD-102900</t>
  </si>
  <si>
    <t>customer1388@example.com</t>
  </si>
  <si>
    <t>ORD-100432</t>
  </si>
  <si>
    <t>ORD-101670</t>
  </si>
  <si>
    <t>ORD-101752</t>
  </si>
  <si>
    <t>ORD-102377</t>
  </si>
  <si>
    <t>ORD-100023</t>
  </si>
  <si>
    <t>ORD-100653</t>
  </si>
  <si>
    <t>ORD-101479</t>
  </si>
  <si>
    <t>ORD-102019</t>
  </si>
  <si>
    <t>ORD-102956</t>
  </si>
  <si>
    <t>ORD-102564</t>
  </si>
  <si>
    <t>227.97</t>
  </si>
  <si>
    <t>ORD-101325</t>
  </si>
  <si>
    <t>customer0733@example.com</t>
  </si>
  <si>
    <t>ORD-100191</t>
  </si>
  <si>
    <t>customer0205@example.com</t>
  </si>
  <si>
    <t>ORD-102100</t>
  </si>
  <si>
    <t>ORD-102151</t>
  </si>
  <si>
    <t>customer0218@example.com</t>
  </si>
  <si>
    <t>ORD-100388</t>
  </si>
  <si>
    <t>customer0787@example.com</t>
  </si>
  <si>
    <t>ORD-102071</t>
  </si>
  <si>
    <t>customer0376@example.com</t>
  </si>
  <si>
    <t>ORD-101434</t>
  </si>
  <si>
    <t>ORD-101148</t>
  </si>
  <si>
    <t>ORD-101419</t>
  </si>
  <si>
    <t>ORD-102857</t>
  </si>
  <si>
    <t>customer0348@example.com</t>
  </si>
  <si>
    <t>ORD-102624</t>
  </si>
  <si>
    <t>ORD-102701</t>
  </si>
  <si>
    <t>ORD-100325</t>
  </si>
  <si>
    <t>ORD-100008</t>
  </si>
  <si>
    <t>ORD-100044</t>
  </si>
  <si>
    <t>ORD-100343</t>
  </si>
  <si>
    <t>customer0665@example.com</t>
  </si>
  <si>
    <t>ORD-101862</t>
  </si>
  <si>
    <t>ORD-100244</t>
  </si>
  <si>
    <t>customer0117@example.com</t>
  </si>
  <si>
    <t>ORD-102649</t>
  </si>
  <si>
    <t>ORD-101349</t>
  </si>
  <si>
    <t>-37.50</t>
  </si>
  <si>
    <t>ORD-101527</t>
  </si>
  <si>
    <t>ORD-100750</t>
  </si>
  <si>
    <t>ORD-100802</t>
  </si>
  <si>
    <t>ORD-102203</t>
  </si>
  <si>
    <t>ORD-101686</t>
  </si>
  <si>
    <t>ORD-100722</t>
  </si>
  <si>
    <t>customer0515@example.com</t>
  </si>
  <si>
    <t>ORD-102970</t>
  </si>
  <si>
    <t>ORD-102031</t>
  </si>
  <si>
    <t>ORD-102982</t>
  </si>
  <si>
    <t>ORD-102661</t>
  </si>
  <si>
    <t>ORD-102199</t>
  </si>
  <si>
    <t>customer1322@example.com</t>
  </si>
  <si>
    <t>113.76</t>
  </si>
  <si>
    <t>ORD-102711</t>
  </si>
  <si>
    <t>ORD-100987</t>
  </si>
  <si>
    <t>ORD-100436</t>
  </si>
  <si>
    <t>ORD-101712</t>
  </si>
  <si>
    <t>ORD-102760</t>
  </si>
  <si>
    <t>customer1100@example.com</t>
  </si>
  <si>
    <t>ORD-100354</t>
  </si>
  <si>
    <t>ORD-101190</t>
  </si>
  <si>
    <t>ORD-100004</t>
  </si>
  <si>
    <t>ORD-102882</t>
  </si>
  <si>
    <t>ORD-101086</t>
  </si>
  <si>
    <t>ORD-100471</t>
  </si>
  <si>
    <t>ORD-100938</t>
  </si>
  <si>
    <t>ORD-100384</t>
  </si>
  <si>
    <t>ORD-100048</t>
  </si>
  <si>
    <t>ORD-102724</t>
  </si>
  <si>
    <t>ORD-101186</t>
  </si>
  <si>
    <t>customer0150@example.com</t>
  </si>
  <si>
    <t>ORD-102189</t>
  </si>
  <si>
    <t>ORD-102614</t>
  </si>
  <si>
    <t>ORD-102259</t>
  </si>
  <si>
    <t>customer1154@example.com</t>
  </si>
  <si>
    <t>ORD-100858</t>
  </si>
  <si>
    <t>customer1255@example.com</t>
  </si>
  <si>
    <t>ORD-102085</t>
  </si>
  <si>
    <t>ORD-102521</t>
  </si>
  <si>
    <t>ORD-102076</t>
  </si>
  <si>
    <t>ORD-100645</t>
  </si>
  <si>
    <t>ORD-101158</t>
  </si>
  <si>
    <t>ORD-102192</t>
  </si>
  <si>
    <t>ORD-100158</t>
  </si>
  <si>
    <t>ORD-102617</t>
  </si>
  <si>
    <t>ORD-101725</t>
  </si>
  <si>
    <t>ORD-100059</t>
  </si>
  <si>
    <t>customer0324@example.com</t>
  </si>
  <si>
    <t>ORD-101851</t>
  </si>
  <si>
    <t>ORD-102240</t>
  </si>
  <si>
    <t>ORD-102225</t>
  </si>
  <si>
    <t>ORD-102474</t>
  </si>
  <si>
    <t>ORD-101557</t>
  </si>
  <si>
    <t>ORD-100257</t>
  </si>
  <si>
    <t>customer0773@example.com</t>
  </si>
  <si>
    <t>ORD-101997</t>
  </si>
  <si>
    <t>ORD-101675</t>
  </si>
  <si>
    <t>ORD-100618</t>
  </si>
  <si>
    <t>ORD-100660</t>
  </si>
  <si>
    <t>ORD-101240</t>
  </si>
  <si>
    <t>ORD-101348</t>
  </si>
  <si>
    <t>customer1390@example.com</t>
  </si>
  <si>
    <t>ORD-100527</t>
  </si>
  <si>
    <t>ORD-101748</t>
  </si>
  <si>
    <t>ORD-102630</t>
  </si>
  <si>
    <t>ORD-100162</t>
  </si>
  <si>
    <t>ORD-101729</t>
  </si>
  <si>
    <t>ORD-101774</t>
  </si>
  <si>
    <t>customer0477@example.com</t>
  </si>
  <si>
    <t>ORD-101373</t>
  </si>
  <si>
    <t>ORD-102638</t>
  </si>
  <si>
    <t>ORD-101828</t>
  </si>
  <si>
    <t>ORD-101009</t>
  </si>
  <si>
    <t>ORD-102606</t>
  </si>
  <si>
    <t>ORD-101825</t>
  </si>
  <si>
    <t>ORD-100981</t>
  </si>
  <si>
    <t>ORD-100642</t>
  </si>
  <si>
    <t>ORD-101089</t>
  </si>
  <si>
    <t>ORD-102469</t>
  </si>
  <si>
    <t>ORD-100524</t>
  </si>
  <si>
    <t>ORD-101191</t>
  </si>
  <si>
    <t>ORD-101455</t>
  </si>
  <si>
    <t>ORD-101333</t>
  </si>
  <si>
    <t>customer1268@example.com</t>
  </si>
  <si>
    <t>ORD-101068</t>
  </si>
  <si>
    <t>ORD-101066</t>
  </si>
  <si>
    <t>ORD-100290</t>
  </si>
  <si>
    <t>ORD-100600</t>
  </si>
  <si>
    <t>ORD-102735</t>
  </si>
  <si>
    <t>customer0724@example.com</t>
  </si>
  <si>
    <t>ORD-100832</t>
  </si>
  <si>
    <t>ORD-102529</t>
  </si>
  <si>
    <t>ORD-100435</t>
  </si>
  <si>
    <t>customer0827@example.com</t>
  </si>
  <si>
    <t>ORD-102326</t>
  </si>
  <si>
    <t>ORD-102580</t>
  </si>
  <si>
    <t>ORD-101193</t>
  </si>
  <si>
    <t>customer1149@example.com</t>
  </si>
  <si>
    <t>ORD-101489</t>
  </si>
  <si>
    <t>ORD-101247</t>
  </si>
  <si>
    <t>ORD-100561</t>
  </si>
  <si>
    <t>ORD-100170</t>
  </si>
  <si>
    <t>ORD-102091</t>
  </si>
  <si>
    <t>ORD-101542</t>
  </si>
  <si>
    <t>ORD-101329</t>
  </si>
  <si>
    <t>ORD-100282</t>
  </si>
  <si>
    <t>ORD-101408</t>
  </si>
  <si>
    <t>ORD-102156</t>
  </si>
  <si>
    <t>ORD-102546</t>
  </si>
  <si>
    <t>ORD-102727</t>
  </si>
  <si>
    <t>ORD-102487</t>
  </si>
  <si>
    <t>customer0484@example.com</t>
  </si>
  <si>
    <t>ORD-100181</t>
  </si>
  <si>
    <t>ORD-100977</t>
  </si>
  <si>
    <t>ORD-101932</t>
  </si>
  <si>
    <t>customer0430@example.com</t>
  </si>
  <si>
    <t>ORD-100127</t>
  </si>
  <si>
    <t>ORD-100081</t>
  </si>
  <si>
    <t>ORD-102916</t>
  </si>
  <si>
    <t>ORD-101292</t>
  </si>
  <si>
    <t>ORD-102936</t>
  </si>
  <si>
    <t>ORD-100138</t>
  </si>
  <si>
    <t>customer0049@example.com</t>
  </si>
  <si>
    <t>ORD-102146</t>
  </si>
  <si>
    <t>ORD-100733</t>
  </si>
  <si>
    <t>customer0386@example.com</t>
  </si>
  <si>
    <t>ORD-102755</t>
  </si>
  <si>
    <t>ORD-101882</t>
  </si>
  <si>
    <t>ORD-100586</t>
  </si>
  <si>
    <t>ORD-100815</t>
  </si>
  <si>
    <t>ORD-102448</t>
  </si>
  <si>
    <t>ORD-102264</t>
  </si>
  <si>
    <t>ORD-102743</t>
  </si>
  <si>
    <t>ORD-102067</t>
  </si>
  <si>
    <t>ORD-100677</t>
  </si>
  <si>
    <t>ORD-102285</t>
  </si>
  <si>
    <t>ORD-100695</t>
  </si>
  <si>
    <t>ORD-101187</t>
  </si>
  <si>
    <t>ORD-100772</t>
  </si>
  <si>
    <t>ORD-102531</t>
  </si>
  <si>
    <t>customer0899@example.com</t>
  </si>
  <si>
    <t>ORD-100650</t>
  </si>
  <si>
    <t>ORD-100566</t>
  </si>
  <si>
    <t>ORD-100670</t>
  </si>
  <si>
    <t>ORD-100030</t>
  </si>
  <si>
    <t>ORD-101548</t>
  </si>
  <si>
    <t>ORD-102704</t>
  </si>
  <si>
    <t>ORD-101239</t>
  </si>
  <si>
    <t>ORD-102863</t>
  </si>
  <si>
    <t>ORD-101256</t>
  </si>
  <si>
    <t>ORD-100473</t>
  </si>
  <si>
    <t>ORD-100529</t>
  </si>
  <si>
    <t>ORD-101056</t>
  </si>
  <si>
    <t>customer1385@example.com</t>
  </si>
  <si>
    <t>ORD-101048</t>
  </si>
  <si>
    <t>ORD-101120</t>
  </si>
  <si>
    <t>customer0632@example.com</t>
  </si>
  <si>
    <t>ORD-100957</t>
  </si>
  <si>
    <t>ORD-102874</t>
  </si>
  <si>
    <t>customer0292@example.com</t>
  </si>
  <si>
    <t>ORD-100531</t>
  </si>
  <si>
    <t>ORD-100553</t>
  </si>
  <si>
    <t>ORD-102887</t>
  </si>
  <si>
    <t>ORD-102660</t>
  </si>
  <si>
    <t>ORD-100245</t>
  </si>
  <si>
    <t>ORD-100788</t>
  </si>
  <si>
    <t>ORD-100166</t>
  </si>
  <si>
    <t>ORD-102633</t>
  </si>
  <si>
    <t>ORD-100413</t>
  </si>
  <si>
    <t>customer1031@example.com</t>
  </si>
  <si>
    <t>ORD-102549</t>
  </si>
  <si>
    <t>ORD-102510</t>
  </si>
  <si>
    <t>ORD-102613</t>
  </si>
  <si>
    <t>ORD-100976</t>
  </si>
  <si>
    <t>ORD-101868</t>
  </si>
  <si>
    <t>ORD-101763</t>
  </si>
  <si>
    <t>ORD-102242</t>
  </si>
  <si>
    <t>ORD-100253</t>
  </si>
  <si>
    <t>ORD-101931</t>
  </si>
  <si>
    <t>ORD-101861</t>
  </si>
  <si>
    <t>ORD-102545</t>
  </si>
  <si>
    <t>ORD-102893</t>
  </si>
  <si>
    <t>ORD-102123</t>
  </si>
  <si>
    <t>ORD-102275</t>
  </si>
  <si>
    <t>customer1111@example.com</t>
  </si>
  <si>
    <t>ORD-102966</t>
  </si>
  <si>
    <t>ORD-101908</t>
  </si>
  <si>
    <t>ORD-101481</t>
  </si>
  <si>
    <t>ORD-101721</t>
  </si>
  <si>
    <t>ORD-100912</t>
  </si>
  <si>
    <t>ORD-102736</t>
  </si>
  <si>
    <t>ORD-100698</t>
  </si>
  <si>
    <t>ORD-100602</t>
  </si>
  <si>
    <t>ORD-100521</t>
  </si>
  <si>
    <t>customer0433@example.com</t>
  </si>
  <si>
    <t>ORD-101876</t>
  </si>
  <si>
    <t>ORD-101965</t>
  </si>
  <si>
    <t>ORD-102958</t>
  </si>
  <si>
    <t>ORD-101926</t>
  </si>
  <si>
    <t>ORD-102570</t>
  </si>
  <si>
    <t>ORD-102171</t>
  </si>
  <si>
    <t>ORD-102659</t>
  </si>
  <si>
    <t>ORD-101462</t>
  </si>
  <si>
    <t>ORD-100350</t>
  </si>
  <si>
    <t>ORD-101083</t>
  </si>
  <si>
    <t>customer0873@example.com</t>
  </si>
  <si>
    <t>ORD-100145</t>
  </si>
  <si>
    <t>ORD-100929</t>
  </si>
  <si>
    <t>customer0414@example.com</t>
  </si>
  <si>
    <t>ORD-102288</t>
  </si>
  <si>
    <t>ORD-102229</t>
  </si>
  <si>
    <t>ORD-102320</t>
  </si>
  <si>
    <t>customer0848@example.com</t>
  </si>
  <si>
    <t>72.67</t>
  </si>
  <si>
    <t>ORD-102175</t>
  </si>
  <si>
    <t>customer1219@example.com</t>
  </si>
  <si>
    <t>ORD-100801</t>
  </si>
  <si>
    <t>ORD-101364</t>
  </si>
  <si>
    <t>-285.00</t>
  </si>
  <si>
    <t>ORD-102496</t>
  </si>
  <si>
    <t>customer1290@example.com</t>
  </si>
  <si>
    <t>ORD-100001</t>
  </si>
  <si>
    <t>ORD-100643</t>
  </si>
  <si>
    <t>ORD-101800</t>
  </si>
  <si>
    <t>customer0097@example.com</t>
  </si>
  <si>
    <t>ORD-102544</t>
  </si>
  <si>
    <t>customer0401@example.com</t>
  </si>
  <si>
    <t>ORD-102850</t>
  </si>
  <si>
    <t>ORD-102040</t>
  </si>
  <si>
    <t>ORD-102846</t>
  </si>
  <si>
    <t>customer1165@example.com</t>
  </si>
  <si>
    <t>ORD-102960</t>
  </si>
  <si>
    <t>ORD-100597</t>
  </si>
  <si>
    <t>ORD-101871</t>
  </si>
  <si>
    <t>ORD-102782</t>
  </si>
  <si>
    <t>321.84</t>
  </si>
  <si>
    <t>ORD-102246</t>
  </si>
  <si>
    <t>ORD-100697</t>
  </si>
  <si>
    <t>ORD-102044</t>
  </si>
  <si>
    <t>ORD-101162</t>
  </si>
  <si>
    <t>ORD-100000</t>
  </si>
  <si>
    <t>ORD-100686</t>
  </si>
  <si>
    <t>ORD-100506</t>
  </si>
  <si>
    <t>ORD-102051</t>
  </si>
  <si>
    <t>ORD-101142</t>
  </si>
  <si>
    <t>ORD-102097</t>
  </si>
  <si>
    <t>customer0405@example.com</t>
  </si>
  <si>
    <t>ORD-102779</t>
  </si>
  <si>
    <t>customer0728@example.com</t>
  </si>
  <si>
    <t>ORD-102643</t>
  </si>
  <si>
    <t>ORD-102132</t>
  </si>
  <si>
    <t>ORD-100569</t>
  </si>
  <si>
    <t>ORD-101211</t>
  </si>
  <si>
    <t>ORD-102346</t>
  </si>
  <si>
    <t>ORD-102542</t>
  </si>
  <si>
    <t>ORD-102881</t>
  </si>
  <si>
    <t>ORD-102018</t>
  </si>
  <si>
    <t>ORD-102190</t>
  </si>
  <si>
    <t>ORD-100900</t>
  </si>
  <si>
    <t>customer1128@example.com</t>
  </si>
  <si>
    <t>ORD-101308</t>
  </si>
  <si>
    <t>ORD-100579</t>
  </si>
  <si>
    <t>ORD-101389</t>
  </si>
  <si>
    <t>ORD-100556</t>
  </si>
  <si>
    <t>ORD-101750</t>
  </si>
  <si>
    <t>ORD-102772</t>
  </si>
  <si>
    <t>ORD-102028</t>
  </si>
  <si>
    <t>ORD-100689</t>
  </si>
  <si>
    <t>ORD-102060</t>
  </si>
  <si>
    <t>ORD-101771</t>
  </si>
  <si>
    <t>ORD-101648</t>
  </si>
  <si>
    <t>ORD-100644</t>
  </si>
  <si>
    <t>ORD-102332</t>
  </si>
  <si>
    <t>ORD-100585</t>
  </si>
  <si>
    <t>customer0225@example.com</t>
  </si>
  <si>
    <t>ORD-102667</t>
  </si>
  <si>
    <t>ORD-102303</t>
  </si>
  <si>
    <t>customer0834@example.com</t>
  </si>
  <si>
    <t>ORD-101878</t>
  </si>
  <si>
    <t>ORD-101584</t>
  </si>
  <si>
    <t>customer1013@example.com</t>
  </si>
  <si>
    <t>ORD-102849</t>
  </si>
  <si>
    <t>ORD-100783</t>
  </si>
  <si>
    <t>ORD-100910</t>
  </si>
  <si>
    <t>ORD-102984</t>
  </si>
  <si>
    <t>ORD-101164</t>
  </si>
  <si>
    <t>ORD-102574</t>
  </si>
  <si>
    <t>ORD-101104</t>
  </si>
  <si>
    <t>customer0652@example.com</t>
  </si>
  <si>
    <t>ORD-101383</t>
  </si>
  <si>
    <t>ORD-102168</t>
  </si>
  <si>
    <t>customer0588@example.com</t>
  </si>
  <si>
    <t>ORD-100761</t>
  </si>
  <si>
    <t>ORD-102244</t>
  </si>
  <si>
    <t>ORD-101586</t>
  </si>
  <si>
    <t>ORD-101952</t>
  </si>
  <si>
    <t>ORD-102686</t>
  </si>
  <si>
    <t>ORD-100049</t>
  </si>
  <si>
    <t>ORD-102339</t>
  </si>
  <si>
    <t>ORD-100104</t>
  </si>
  <si>
    <t>ORD-102296</t>
  </si>
  <si>
    <t>ORD-101106</t>
  </si>
  <si>
    <t>customer1367@example.com</t>
  </si>
  <si>
    <t>ORD-102287</t>
  </si>
  <si>
    <t>ORD-101607</t>
  </si>
  <si>
    <t>ORD-100148</t>
  </si>
  <si>
    <t>ORD-100353</t>
  </si>
  <si>
    <t>ORD-102033</t>
  </si>
  <si>
    <t>ORD-102677</t>
  </si>
  <si>
    <t>ORD-101124</t>
  </si>
  <si>
    <t>customer0755@example.com</t>
  </si>
  <si>
    <t>ORD-100399</t>
  </si>
  <si>
    <t>ORD-100028</t>
  </si>
  <si>
    <t>ORD-101844</t>
  </si>
  <si>
    <t>ORD-100146</t>
  </si>
  <si>
    <t>ORD-100925</t>
  </si>
  <si>
    <t>customer0167@example.com</t>
  </si>
  <si>
    <t>ORD-100568</t>
  </si>
  <si>
    <t>ORD-101485</t>
  </si>
  <si>
    <t>ORD-100448</t>
  </si>
  <si>
    <t>ORD-101808</t>
  </si>
  <si>
    <t>ORD-101660</t>
  </si>
  <si>
    <t>ORD-100308</t>
  </si>
  <si>
    <t>ORD-100031</t>
  </si>
  <si>
    <t>customer0342@example.com</t>
  </si>
  <si>
    <t>ORD-100169</t>
  </si>
  <si>
    <t>ORD-100691</t>
  </si>
  <si>
    <t>customer0768@example.com</t>
  </si>
  <si>
    <t>ORD-100451</t>
  </si>
  <si>
    <t>ORD-100156</t>
  </si>
  <si>
    <t>ORD-102397</t>
  </si>
  <si>
    <t>ORD-101533</t>
  </si>
  <si>
    <t>customer1345@example.com</t>
  </si>
  <si>
    <t>ORD-101935</t>
  </si>
  <si>
    <t>ORD-100063</t>
  </si>
  <si>
    <t>ORD-101964</t>
  </si>
  <si>
    <t>ORD-101255</t>
  </si>
  <si>
    <t>ORD-100810</t>
  </si>
  <si>
    <t>ORD-102393</t>
  </si>
  <si>
    <t>ORD-102193</t>
  </si>
  <si>
    <t>ORD-100622</t>
  </si>
  <si>
    <t>ORD-101322</t>
  </si>
  <si>
    <t>ORD-101915</t>
  </si>
  <si>
    <t>ORD-102935</t>
  </si>
  <si>
    <t>06/13/2026</t>
  </si>
  <si>
    <t>ORD-102014</t>
  </si>
  <si>
    <t>customer0849@example.com</t>
  </si>
  <si>
    <t>ORD-102994</t>
  </si>
  <si>
    <t>ORD-102754</t>
  </si>
  <si>
    <t>customer1194@example.com</t>
  </si>
  <si>
    <t>ORD-100446</t>
  </si>
  <si>
    <t>ORD-100665</t>
  </si>
  <si>
    <t>ORD-102458</t>
  </si>
  <si>
    <t>ORD-102273</t>
  </si>
  <si>
    <t>ORD-102358</t>
  </si>
  <si>
    <t>ORD-101307</t>
  </si>
  <si>
    <t>customer0681@example.com</t>
  </si>
  <si>
    <t>ORD-102361</t>
  </si>
  <si>
    <t>ORD-102715</t>
  </si>
  <si>
    <t>ORD-100184</t>
  </si>
  <si>
    <t>customer0590@example.com</t>
  </si>
  <si>
    <t>ORD-102000</t>
  </si>
  <si>
    <t>ORD-100215</t>
  </si>
  <si>
    <t>customer0684@example.com</t>
  </si>
  <si>
    <t>ORD-100721</t>
  </si>
  <si>
    <t>ORD-101556</t>
  </si>
  <si>
    <t>ORD-101591</t>
  </si>
  <si>
    <t>customer1395@example.com</t>
  </si>
  <si>
    <t>ORD-101922</t>
  </si>
  <si>
    <t>ORD-102756</t>
  </si>
  <si>
    <t>ORD-100328</t>
  </si>
  <si>
    <t>ORD-101819</t>
  </si>
  <si>
    <t>10.62</t>
  </si>
  <si>
    <t>ORD-100723</t>
  </si>
  <si>
    <t>customer0002@example.com</t>
  </si>
  <si>
    <t>ORD-102359</t>
  </si>
  <si>
    <t>ORD-100371</t>
  </si>
  <si>
    <t>ORD-102927</t>
  </si>
  <si>
    <t>-348.30</t>
  </si>
  <si>
    <t>ORD-100613</t>
  </si>
  <si>
    <t>ORD-101490</t>
  </si>
  <si>
    <t>ORD-101957</t>
  </si>
  <si>
    <t>customer0653@example.com</t>
  </si>
  <si>
    <t>ORD-102808</t>
  </si>
  <si>
    <t>ORD-100828</t>
  </si>
  <si>
    <t>ORD-102775</t>
  </si>
  <si>
    <t>ORD-101071</t>
  </si>
  <si>
    <t>ORD-100845</t>
  </si>
  <si>
    <t>ORD-101823</t>
  </si>
  <si>
    <t>ORD-100010</t>
  </si>
  <si>
    <t>ORD-100960</t>
  </si>
  <si>
    <t>ORD-100083</t>
  </si>
  <si>
    <t>63.99</t>
  </si>
  <si>
    <t>ORD-100477</t>
  </si>
  <si>
    <t>ORD-101549</t>
  </si>
  <si>
    <t>customer0078@example.com</t>
  </si>
  <si>
    <t>ORD-101866</t>
  </si>
  <si>
    <t>ORD-101996</t>
  </si>
  <si>
    <t>customer0582@example.com</t>
  </si>
  <si>
    <t>ORD-101551</t>
  </si>
  <si>
    <t>customer0235@example.com</t>
  </si>
  <si>
    <t>ORD-102575</t>
  </si>
  <si>
    <t>ORD-101688</t>
  </si>
  <si>
    <t>ORD-102286</t>
  </si>
  <si>
    <t>ORD-102767</t>
  </si>
  <si>
    <t>ORD-102426</t>
  </si>
  <si>
    <t>ORD-101509</t>
  </si>
  <si>
    <t>ORD-102166</t>
  </si>
  <si>
    <t>customer0275@example.com</t>
  </si>
  <si>
    <t>ORD-101545</t>
  </si>
  <si>
    <t>ORD-101839</t>
  </si>
  <si>
    <t>ORD-101428</t>
  </si>
  <si>
    <t>ORD-100323</t>
  </si>
  <si>
    <t>customer0676@example.com</t>
  </si>
  <si>
    <t>ORD-100731</t>
  </si>
  <si>
    <t>ORD-102948</t>
  </si>
  <si>
    <t>ORD-102914</t>
  </si>
  <si>
    <t>ORD-101622</t>
  </si>
  <si>
    <t>ORD-100944</t>
  </si>
  <si>
    <t>ORD-100481</t>
  </si>
  <si>
    <t>customer0666@example.com</t>
  </si>
  <si>
    <t>ORD-102563</t>
  </si>
  <si>
    <t>ORD-102364</t>
  </si>
  <si>
    <t>ORD-100168</t>
  </si>
  <si>
    <t>customer1109@example.com</t>
  </si>
  <si>
    <t>ORD-100931</t>
  </si>
  <si>
    <t>customer0875@example.com</t>
  </si>
  <si>
    <t>ORD-101184</t>
  </si>
  <si>
    <t>ORD-101289</t>
  </si>
  <si>
    <t>ORD-101267</t>
  </si>
  <si>
    <t>ORD-101632</t>
  </si>
  <si>
    <t>ORD-101593</t>
  </si>
  <si>
    <t>ORD-100149</t>
  </si>
  <si>
    <t>customer0976@example.com</t>
  </si>
  <si>
    <t>ORD-102456</t>
  </si>
  <si>
    <t>ORD-100283</t>
  </si>
  <si>
    <t>ORD-101745</t>
  </si>
  <si>
    <t>customer0650@example.com</t>
  </si>
  <si>
    <t>ORD-101443</t>
  </si>
  <si>
    <t>customer1324@example.com</t>
  </si>
  <si>
    <t>ORD-101040</t>
  </si>
  <si>
    <t>ORD-100979</t>
  </si>
  <si>
    <t>ORD-101536</t>
  </si>
  <si>
    <t>ORD-100437</t>
  </si>
  <si>
    <t>ORD-100663</t>
  </si>
  <si>
    <t>ORD-100336</t>
  </si>
  <si>
    <t>ORD-100986</t>
  </si>
  <si>
    <t>ORD-101497</t>
  </si>
  <si>
    <t>ORD-101649</t>
  </si>
  <si>
    <t>ORD-100390</t>
  </si>
  <si>
    <t>customer0206@example.com</t>
  </si>
  <si>
    <t>ORD-101743</t>
  </si>
  <si>
    <t>ORD-102832</t>
  </si>
  <si>
    <t>customer0280@example.com</t>
  </si>
  <si>
    <t>ORD-100032</t>
  </si>
  <si>
    <t>ORD-101604</t>
  </si>
  <si>
    <t>ORD-102682</t>
  </si>
  <si>
    <t>ORD-102934</t>
  </si>
  <si>
    <t>ORD-101613</t>
  </si>
  <si>
    <t>ORD-101280</t>
  </si>
  <si>
    <t>ORD-102133</t>
  </si>
  <si>
    <t>ORD-101779</t>
  </si>
  <si>
    <t>ORD-101884</t>
  </si>
  <si>
    <t>customer0200@example.com</t>
  </si>
  <si>
    <t>ORD-101814</t>
  </si>
  <si>
    <t>ORD-102753</t>
  </si>
  <si>
    <t>customer0476@example.com</t>
  </si>
  <si>
    <t>ORD-100332</t>
  </si>
  <si>
    <t>customer0575@example.com</t>
  </si>
  <si>
    <t>ORD-101283</t>
  </si>
  <si>
    <t>ORD-102418</t>
  </si>
  <si>
    <t>ORD-100260</t>
  </si>
  <si>
    <t>ORD-102792</t>
  </si>
  <si>
    <t>ORD-101176</t>
  </si>
  <si>
    <t>ORD-102227</t>
  </si>
  <si>
    <t>ORD-100102</t>
  </si>
  <si>
    <t>ORD-100252</t>
  </si>
  <si>
    <t>customer0389@example.com</t>
  </si>
  <si>
    <t>ORD-102272</t>
  </si>
  <si>
    <t>customer0486@example.com</t>
  </si>
  <si>
    <t>ORD-101956</t>
  </si>
  <si>
    <t>ORD-101620</t>
  </si>
  <si>
    <t>customer1035@example.com</t>
  </si>
  <si>
    <t>ORD-100263</t>
  </si>
  <si>
    <t>ORD-100914</t>
  </si>
  <si>
    <t>ORD-101642</t>
  </si>
  <si>
    <t>ORD-100678</t>
  </si>
  <si>
    <t>customer0503@example.com</t>
  </si>
  <si>
    <t>ORD-100913</t>
  </si>
  <si>
    <t>ORD-102631</t>
  </si>
  <si>
    <t>ORD-100183</t>
  </si>
  <si>
    <t>ORD-101469</t>
  </si>
  <si>
    <t>ORD-101625</t>
  </si>
  <si>
    <t>ORD-100291</t>
  </si>
  <si>
    <t>ORD-101477</t>
  </si>
  <si>
    <t>ORD-100587</t>
  </si>
  <si>
    <t>ORD-101020</t>
  </si>
  <si>
    <t>ORD-101444</t>
  </si>
  <si>
    <t>ORD-102465</t>
  </si>
  <si>
    <t>ORD-100124</t>
  </si>
  <si>
    <t>customer0877@example.com</t>
  </si>
  <si>
    <t>ORD-100054</t>
  </si>
  <si>
    <t>ORD-100540</t>
  </si>
  <si>
    <t>ORD-101324</t>
  </si>
  <si>
    <t>customer0391@example.com</t>
  </si>
  <si>
    <t>ORD-100782</t>
  </si>
  <si>
    <t>ORD-102188</t>
  </si>
  <si>
    <t>ORD-100268</t>
  </si>
  <si>
    <t>ORD-101730</t>
  </si>
  <si>
    <t>ORD-101096</t>
  </si>
  <si>
    <t>ORD-100672</t>
  </si>
  <si>
    <t>ORD-102595</t>
  </si>
  <si>
    <t>ORD-101888</t>
  </si>
  <si>
    <t>ORD-102729</t>
  </si>
  <si>
    <t>ORD-100348</t>
  </si>
  <si>
    <t>ORD-100111</t>
  </si>
  <si>
    <t>ORD-101738</t>
  </si>
  <si>
    <t>customer0519@example.com</t>
  </si>
  <si>
    <t>ORD-102593</t>
  </si>
  <si>
    <t>customer0789@example.com</t>
  </si>
  <si>
    <t>ORD-102460</t>
  </si>
  <si>
    <t>ORD-102221</t>
  </si>
  <si>
    <t>customer0595@example.com</t>
  </si>
  <si>
    <t>ORD-100865</t>
  </si>
  <si>
    <t>ORD-102370</t>
  </si>
  <si>
    <t>ORD-102427</t>
  </si>
  <si>
    <t>ORD-100544</t>
  </si>
  <si>
    <t>ORD-102665</t>
  </si>
  <si>
    <t>customer1112@example.com</t>
  </si>
  <si>
    <t>ORD-100091</t>
  </si>
  <si>
    <t>ORD-102247</t>
  </si>
  <si>
    <t>ORD-101367</t>
  </si>
  <si>
    <t>ORD-100483</t>
  </si>
  <si>
    <t>ORD-100954</t>
  </si>
  <si>
    <t>ORD-102866</t>
  </si>
  <si>
    <t>ORD-102429</t>
  </si>
  <si>
    <t>ORD-102008</t>
  </si>
  <si>
    <t>ORD-102553</t>
  </si>
  <si>
    <t>customer0444@example.com</t>
  </si>
  <si>
    <t>ORD-100652</t>
  </si>
  <si>
    <t>ORD-100629</t>
  </si>
  <si>
    <t>ORD-100070</t>
  </si>
  <si>
    <t>ORD-100496</t>
  </si>
  <si>
    <t>ORD-100829</t>
  </si>
  <si>
    <t>ORD-102586</t>
  </si>
  <si>
    <t>ORD-101217</t>
  </si>
  <si>
    <t>ORD-101905</t>
  </si>
  <si>
    <t>ORD-101050</t>
  </si>
  <si>
    <t>ORD-102708</t>
  </si>
  <si>
    <t>customer0828@example.com</t>
  </si>
  <si>
    <t>ORD-100510</t>
  </si>
  <si>
    <t>ORD-102865</t>
  </si>
  <si>
    <t>ORD-101268</t>
  </si>
  <si>
    <t>ORD-102581</t>
  </si>
  <si>
    <t>customer0092@example.com</t>
  </si>
  <si>
    <t>ORD-100311</t>
  </si>
  <si>
    <t>ORD-101133</t>
  </si>
  <si>
    <t>customer0161@example.com</t>
  </si>
  <si>
    <t>ORD-102917</t>
  </si>
  <si>
    <t>ORD-102965</t>
  </si>
  <si>
    <t>ORD-101511</t>
  </si>
  <si>
    <t>ORD-102675</t>
  </si>
  <si>
    <t>customer1060@example.com</t>
  </si>
  <si>
    <t>ORD-102817</t>
  </si>
  <si>
    <t>ORD-102354</t>
  </si>
  <si>
    <t>ORD-101633</t>
  </si>
  <si>
    <t>customer0898@example.com</t>
  </si>
  <si>
    <t>ORD-100966</t>
  </si>
  <si>
    <t>ORD-102664</t>
  </si>
  <si>
    <t>customer0688@example.com</t>
  </si>
  <si>
    <t>ORD-100285</t>
  </si>
  <si>
    <t>ORD-100051</t>
  </si>
  <si>
    <t>ORD-100790</t>
  </si>
  <si>
    <t>ORD-101470</t>
  </si>
  <si>
    <t>ORD-101859</t>
  </si>
  <si>
    <t>ORD-102679</t>
  </si>
  <si>
    <t>ORD-102280</t>
  </si>
  <si>
    <t>ORD-102602</t>
  </si>
  <si>
    <t>customer1274@example.com</t>
  </si>
  <si>
    <t>ORD-102807</t>
  </si>
  <si>
    <t>ORD-101522</t>
  </si>
  <si>
    <t>ORD-100595</t>
  </si>
  <si>
    <t>customer0996@example.com</t>
  </si>
  <si>
    <t>ORD-100657</t>
  </si>
  <si>
    <t>ORD-102398</t>
  </si>
  <si>
    <t>ORD-101137</t>
  </si>
  <si>
    <t>ORD-100433</t>
  </si>
  <si>
    <t>ORD-101523</t>
  </si>
  <si>
    <t>ORD-100990</t>
  </si>
  <si>
    <t>ORD-102654</t>
  </si>
  <si>
    <t>ORD-102196</t>
  </si>
  <si>
    <t>ORD-102223</t>
  </si>
  <si>
    <t>ORD-101319</t>
  </si>
  <si>
    <t>ORD-100962</t>
  </si>
  <si>
    <t>ORD-102590</t>
  </si>
  <si>
    <t>ORD-100507</t>
  </si>
  <si>
    <t>ORD-102209</t>
  </si>
  <si>
    <t>ORD-102059</t>
  </si>
  <si>
    <t>ORD-100206</t>
  </si>
  <si>
    <t>ORD-100449</t>
  </si>
  <si>
    <t>ORD-102974</t>
  </si>
  <si>
    <t>customer0375@example.com</t>
  </si>
  <si>
    <t>ORD-101927</t>
  </si>
  <si>
    <t>customer0810@example.com</t>
  </si>
  <si>
    <t>ORD-102322</t>
  </si>
  <si>
    <t>ORD-100796</t>
  </si>
  <si>
    <t>customer0572@example.com</t>
  </si>
  <si>
    <t>ORD-102093</t>
  </si>
  <si>
    <t>ORD-102573</t>
  </si>
  <si>
    <t>ORD-102271</t>
  </si>
  <si>
    <t>ORD-101785</t>
  </si>
  <si>
    <t>customer1209@example.com</t>
  </si>
  <si>
    <t>ORD-102889</t>
  </si>
  <si>
    <t>ORD-102389</t>
  </si>
  <si>
    <t>ORD-101156</t>
  </si>
  <si>
    <t>ORD-102872</t>
  </si>
  <si>
    <t>ORD-100026</t>
  </si>
  <si>
    <t>ORD-102706</t>
  </si>
  <si>
    <t>customer1217@example.com</t>
  </si>
  <si>
    <t>ORD-101684</t>
  </si>
  <si>
    <t>ORD-101739</t>
  </si>
  <si>
    <t>ORD-101587</t>
  </si>
  <si>
    <t>ORD-102143</t>
  </si>
  <si>
    <t>ORD-102293</t>
  </si>
  <si>
    <t>ORD-101432</t>
  </si>
  <si>
    <t>ORD-100907</t>
  </si>
  <si>
    <t>ORD-102969</t>
  </si>
  <si>
    <t>ORD-100681</t>
  </si>
  <si>
    <t>ORD-100017</t>
  </si>
  <si>
    <t>ORD-100056</t>
  </si>
  <si>
    <t>ORD-100396</t>
  </si>
  <si>
    <t>ORD-101030</t>
  </si>
  <si>
    <t>ORD-101710</t>
  </si>
  <si>
    <t>ORD-101026</t>
  </si>
  <si>
    <t>customer0137@example.com</t>
  </si>
  <si>
    <t>ORD-102278</t>
  </si>
  <si>
    <t>ORD-100185</t>
  </si>
  <si>
    <t>ORD-102499</t>
  </si>
  <si>
    <t>ORD-100462</t>
  </si>
  <si>
    <t>ORD-102438</t>
  </si>
  <si>
    <t>ORD-100656</t>
  </si>
  <si>
    <t>customer0090@example.com</t>
  </si>
  <si>
    <t>ORD-102115</t>
  </si>
  <si>
    <t>ORD-101880</t>
  </si>
  <si>
    <t>ORD-101896</t>
  </si>
  <si>
    <t>ORD-101577</t>
  </si>
  <si>
    <t>ORD-100735</t>
  </si>
  <si>
    <t>ORD-101460</t>
  </si>
  <si>
    <t>ORD-102868</t>
  </si>
  <si>
    <t>ORD-102912</t>
  </si>
  <si>
    <t>ORD-101626</t>
  </si>
  <si>
    <t>ORD-100824</t>
  </si>
  <si>
    <t>ORD-102349</t>
  </si>
  <si>
    <t>ORD-102907</t>
  </si>
  <si>
    <t>ORD-101790</t>
  </si>
  <si>
    <t>ORD-101906</t>
  </si>
  <si>
    <t>ORD-100591</t>
  </si>
  <si>
    <t>ORD-101384</t>
  </si>
  <si>
    <t>customer1076@example.com</t>
  </si>
  <si>
    <t>ORD-102388</t>
  </si>
  <si>
    <t>customer0551@example.com</t>
  </si>
  <si>
    <t>ORD-102257</t>
  </si>
  <si>
    <t>ORD-100528</t>
  </si>
  <si>
    <t>ORD-101328</t>
  </si>
  <si>
    <t>ORD-102931</t>
  </si>
  <si>
    <t>ORD-101054</t>
  </si>
  <si>
    <t>ORD-101588</t>
  </si>
  <si>
    <t>ORD-101826</t>
  </si>
  <si>
    <t>ORD-102324</t>
  </si>
  <si>
    <t>customer0036@example.com</t>
  </si>
  <si>
    <t>ORD-100826</t>
  </si>
  <si>
    <t>ORD-102174</t>
  </si>
  <si>
    <t>ORD-102020</t>
  </si>
  <si>
    <t>ORD-102249</t>
  </si>
  <si>
    <t>ORD-101651</t>
  </si>
  <si>
    <t>ORD-100991</t>
  </si>
  <si>
    <t>customer0933@example.com</t>
  </si>
  <si>
    <t>ORD-100720</t>
  </si>
  <si>
    <t>customer1039@example.com</t>
  </si>
  <si>
    <t>ORD-100133</t>
  </si>
  <si>
    <t>ORD-102506</t>
  </si>
  <si>
    <t>ORD-102824</t>
  </si>
  <si>
    <t>ORD-101272</t>
  </si>
  <si>
    <t>customer0247@example.com</t>
  </si>
  <si>
    <t>ORD-100359</t>
  </si>
  <si>
    <t>ORD-101423</t>
  </si>
  <si>
    <t>05/29/2026</t>
  </si>
  <si>
    <t>ORD-101061</t>
  </si>
  <si>
    <t>ORD-102988</t>
  </si>
  <si>
    <t>ORD-100559</t>
  </si>
  <si>
    <t>ORD-101599</t>
  </si>
  <si>
    <t>ORD-102763</t>
  </si>
  <si>
    <t>ORD-102920</t>
  </si>
  <si>
    <t>ORD-101236</t>
  </si>
  <si>
    <t>ORD-102063</t>
  </si>
  <si>
    <t>ORD-102009</t>
  </si>
  <si>
    <t>ORD-102656</t>
  </si>
  <si>
    <t>customer1242@example.com</t>
  </si>
  <si>
    <t>ORD-100638</t>
  </si>
  <si>
    <t>customer1088@example.com</t>
  </si>
  <si>
    <t>ORD-101160</t>
  </si>
  <si>
    <t>ORD-100753</t>
  </si>
  <si>
    <t>ORD-100603</t>
  </si>
  <si>
    <t>ORD-102603</t>
  </si>
  <si>
    <t>ORD-102239</t>
  </si>
  <si>
    <t>ORD-102485</t>
  </si>
  <si>
    <t>ORD-100539</t>
  </si>
  <si>
    <t>ORD-101337</t>
  </si>
  <si>
    <t>customer1033@example.com</t>
  </si>
  <si>
    <t>ORD-101877</t>
  </si>
  <si>
    <t>ORD-100394</t>
  </si>
  <si>
    <t>customer0716@example.com</t>
  </si>
  <si>
    <t>ORD-102169</t>
  </si>
  <si>
    <t>ORD-102672</t>
  </si>
  <si>
    <t>ORD-102670</t>
  </si>
  <si>
    <t>ORD-100093</t>
  </si>
  <si>
    <t>ORD-100489</t>
  </si>
  <si>
    <t>ORD-101498</t>
  </si>
  <si>
    <t>ORD-100760</t>
  </si>
  <si>
    <t>ORD-101435</t>
  </si>
  <si>
    <t>ORD-102862</t>
  </si>
  <si>
    <t>ORD-101797</t>
  </si>
  <si>
    <t>ORD-101172</t>
  </si>
  <si>
    <t>ORD-102336</t>
  </si>
  <si>
    <t>ORD-100188</t>
  </si>
  <si>
    <t>ORD-100512</t>
  </si>
  <si>
    <t>customer0426@example.com</t>
  </si>
  <si>
    <t>ORD-102185</t>
  </si>
  <si>
    <t>ORD-102160</t>
  </si>
  <si>
    <t>customer1055@example.com</t>
  </si>
  <si>
    <t>ORD-102993</t>
  </si>
  <si>
    <t>ORD-101654</t>
  </si>
  <si>
    <t>ORD-101682</t>
  </si>
  <si>
    <t>ORD-101157</t>
  </si>
  <si>
    <t>ORD-102698</t>
  </si>
  <si>
    <t>ORD-102568</t>
  </si>
  <si>
    <t>customer0111@example.com</t>
  </si>
  <si>
    <t>ORD-102117</t>
  </si>
  <si>
    <t>ORD-100901</t>
  </si>
  <si>
    <t>ORD-101381</t>
  </si>
  <si>
    <t>customer0493@example.com</t>
  </si>
  <si>
    <t>ORD-100577</t>
  </si>
  <si>
    <t>ORD-101326</t>
  </si>
  <si>
    <t>ORD-102718</t>
  </si>
  <si>
    <t>ORD-102053</t>
  </si>
  <si>
    <t>customer1159@example.com</t>
  </si>
  <si>
    <t>ORD-101002</t>
  </si>
  <si>
    <t>ORD-100458</t>
  </si>
  <si>
    <t>customer0690@example.com</t>
  </si>
  <si>
    <t>ORD-102519</t>
  </si>
  <si>
    <t>customer1135@example.com</t>
  </si>
  <si>
    <t>ORD-100522</t>
  </si>
  <si>
    <t>ORD-102442</t>
  </si>
  <si>
    <t>ORD-101495</t>
  </si>
  <si>
    <t>ORD-101677</t>
  </si>
  <si>
    <t>ORD-102232</t>
  </si>
  <si>
    <t>ORD-102513</t>
  </si>
  <si>
    <t>ORD-100239</t>
  </si>
  <si>
    <t>92.88</t>
  </si>
  <si>
    <t>ORD-101528</t>
  </si>
  <si>
    <t>ORD-101496</t>
  </si>
  <si>
    <t>ORD-101989</t>
  </si>
  <si>
    <t>ORD-100373</t>
  </si>
  <si>
    <t>ORD-101573</t>
  </si>
  <si>
    <t>ORD-100327</t>
  </si>
  <si>
    <t>ORD-102979</t>
  </si>
  <si>
    <t>ORD-102270</t>
  </si>
  <si>
    <t>ORD-102294</t>
  </si>
  <si>
    <t>ORD-102762</t>
  </si>
  <si>
    <t>03/24/2026</t>
  </si>
  <si>
    <t>ORD-100192</t>
  </si>
  <si>
    <t>ORD-101552</t>
  </si>
  <si>
    <t>ORD-100911</t>
  </si>
  <si>
    <t>ORD-102516</t>
  </si>
  <si>
    <t>ORD-102334</t>
  </si>
  <si>
    <t>ORD-102828</t>
  </si>
  <si>
    <t>customer0302@example.com</t>
  </si>
  <si>
    <t>ORD-102463</t>
  </si>
  <si>
    <t>ORD-102605</t>
  </si>
  <si>
    <t>ORD-101313</t>
  </si>
  <si>
    <t>ORD-100439</t>
  </si>
  <si>
    <t>ORD-100020</t>
  </si>
  <si>
    <t>9.56</t>
  </si>
  <si>
    <t>ORD-100806</t>
  </si>
  <si>
    <t>ORD-100042</t>
  </si>
  <si>
    <t>02/25/2026</t>
  </si>
  <si>
    <t>ORD-101143</t>
  </si>
  <si>
    <t>customer0064@example.com</t>
  </si>
  <si>
    <t>ORD-101153</t>
  </si>
  <si>
    <t>ORD-100970</t>
  </si>
  <si>
    <t>ORD-102539</t>
  </si>
  <si>
    <t>ORD-102366</t>
  </si>
  <si>
    <t>ORD-101042</t>
  </si>
  <si>
    <t>ORD-102514</t>
  </si>
  <si>
    <t>ORD-100916</t>
  </si>
  <si>
    <t>ORD-100661</t>
  </si>
  <si>
    <t>ORD-102837</t>
  </si>
  <si>
    <t>ORD-102413</t>
  </si>
  <si>
    <t>customer0993@example.com</t>
  </si>
  <si>
    <t>ORD-102940</t>
  </si>
  <si>
    <t>ORD-101363</t>
  </si>
  <si>
    <t>ORD-100625</t>
  </si>
  <si>
    <t>ORD-101656</t>
  </si>
  <si>
    <t>ORD-101708</t>
  </si>
  <si>
    <t>ORD-100408</t>
  </si>
  <si>
    <t>customer0202@example.com</t>
  </si>
  <si>
    <t>ORD-100959</t>
  </si>
  <si>
    <t>ORD-101640</t>
  </si>
  <si>
    <t>ORD-100296</t>
  </si>
  <si>
    <t>ORD-101590</t>
  </si>
  <si>
    <t>ORD-102925</t>
  </si>
  <si>
    <t>ORD-101305</t>
  </si>
  <si>
    <t>ORD-102124</t>
  </si>
  <si>
    <t>ORD-101679</t>
  </si>
  <si>
    <t>ORD-100892</t>
  </si>
  <si>
    <t>ORD-101475</t>
  </si>
  <si>
    <t>ORD-101870</t>
  </si>
  <si>
    <t>ORD-101816</t>
  </si>
  <si>
    <t>ORD-100747</t>
  </si>
  <si>
    <t>customer0197@example.com</t>
  </si>
  <si>
    <t>ORD-101334</t>
  </si>
  <si>
    <t>ORD-102976</t>
  </si>
  <si>
    <t>customer0807@example.com</t>
  </si>
  <si>
    <t>ORD-102498</t>
  </si>
  <si>
    <t>ORD-100526</t>
  </si>
  <si>
    <t>ORD-102237</t>
  </si>
  <si>
    <t>customer0989@example.com</t>
  </si>
  <si>
    <t>ORD-101751</t>
  </si>
  <si>
    <t>ORD-100254</t>
  </si>
  <si>
    <t>customer0102@example.com</t>
  </si>
  <si>
    <t>ORD-100574</t>
  </si>
  <si>
    <t>ORD-102928</t>
  </si>
  <si>
    <t>ORD-101793</t>
  </si>
  <si>
    <t>ORD-102761</t>
  </si>
  <si>
    <t>customer0968@example.com</t>
  </si>
  <si>
    <t>ORD-100305</t>
  </si>
  <si>
    <t>03/27/2026</t>
  </si>
  <si>
    <t>customer0831@example.com</t>
  </si>
  <si>
    <t>ORD-100120</t>
  </si>
  <si>
    <t>ORD-101578</t>
  </si>
  <si>
    <t>ORD-101327</t>
  </si>
  <si>
    <t>ORD-100917</t>
  </si>
  <si>
    <t>ORD-101567</t>
  </si>
  <si>
    <t>customer1191@example.com</t>
  </si>
  <si>
    <t>ORD-101707</t>
  </si>
  <si>
    <t>05/23/2026</t>
  </si>
  <si>
    <t>ORD-100857</t>
  </si>
  <si>
    <t>ORD-101102</t>
  </si>
  <si>
    <t>ORD-101212</t>
  </si>
  <si>
    <t>ORD-102367</t>
  </si>
  <si>
    <t>ORD-102236</t>
  </si>
  <si>
    <t>ORD-100943</t>
  </si>
  <si>
    <t>ORD-100794</t>
  </si>
  <si>
    <t>customer0531@example.com</t>
  </si>
  <si>
    <t>ORD-101602</t>
  </si>
  <si>
    <t>customer1205@example.com</t>
  </si>
  <si>
    <t>ORD-100304</t>
  </si>
  <si>
    <t>ORD-101837</t>
  </si>
  <si>
    <t>ORD-101094</t>
  </si>
  <si>
    <t>ORD-100012</t>
  </si>
  <si>
    <t>ORD-100599</t>
  </si>
  <si>
    <t>ORD-102298</t>
  </si>
  <si>
    <t>ORD-102926</t>
  </si>
  <si>
    <t>ORD-101140</t>
  </si>
  <si>
    <t>ORD-101723</t>
  </si>
  <si>
    <t>ORD-101004</t>
  </si>
  <si>
    <t>ORD-102591</t>
  </si>
  <si>
    <t>customer0361@example.com</t>
  </si>
  <si>
    <t>ORD-100196</t>
  </si>
  <si>
    <t>ORD-101863</t>
  </si>
  <si>
    <t>ORD-100454</t>
  </si>
  <si>
    <t>ORD-101241</t>
  </si>
  <si>
    <t>ORD-102829</t>
  </si>
  <si>
    <t>ORD-100758</t>
  </si>
  <si>
    <t>ORD-101227</t>
  </si>
  <si>
    <t>ORD-100406</t>
  </si>
  <si>
    <t>ORD-100775</t>
  </si>
  <si>
    <t>ORD-100085</t>
  </si>
  <si>
    <t>ORD-102822</t>
  </si>
  <si>
    <t>ORD-102113</t>
  </si>
  <si>
    <t>ORD-102778</t>
  </si>
  <si>
    <t>ORD-101659</t>
  </si>
  <si>
    <t>ORD-102751</t>
  </si>
  <si>
    <t>ORD-100034</t>
  </si>
  <si>
    <t>ORD-102932</t>
  </si>
  <si>
    <t>ORD-100870</t>
  </si>
  <si>
    <t>ORD-101207</t>
  </si>
  <si>
    <t>ORD-101376</t>
  </si>
  <si>
    <t>ORD-101382</t>
  </si>
  <si>
    <t>ORD-101199</t>
  </si>
  <si>
    <t>ORD-101564</t>
  </si>
  <si>
    <t>ORD-100558</t>
  </si>
  <si>
    <t>ORD-102821</t>
  </si>
  <si>
    <t>ORD-101417</t>
  </si>
  <si>
    <t>ORD-102905</t>
  </si>
  <si>
    <t>ORD-101336</t>
  </si>
  <si>
    <t>ORD-100549</t>
  </si>
  <si>
    <t>customer0185@example.com</t>
  </si>
  <si>
    <t>ORD-102986</t>
  </si>
  <si>
    <t>ORD-101579</t>
  </si>
  <si>
    <t>customer1391@example.com</t>
  </si>
  <si>
    <t>ORD-100110</t>
  </si>
  <si>
    <t>ORD-100964</t>
  </si>
  <si>
    <t>ORD-100789</t>
  </si>
  <si>
    <t>ORD-102129</t>
  </si>
  <si>
    <t>ORD-102210</t>
  </si>
  <si>
    <t>customer0699@example.com</t>
  </si>
  <si>
    <t>ORD-102255</t>
  </si>
  <si>
    <t>ORD-102096</t>
  </si>
  <si>
    <t>114.75</t>
  </si>
  <si>
    <t>ORD-100249</t>
  </si>
  <si>
    <t>ORD-101015</t>
  </si>
  <si>
    <t>ORD-101849</t>
  </si>
  <si>
    <t>ORD-102274</t>
  </si>
  <si>
    <t>ORD-101400</t>
  </si>
  <si>
    <t>customer0960@example.com</t>
  </si>
  <si>
    <t>ORD-101928</t>
  </si>
  <si>
    <t>ORD-100418</t>
  </si>
  <si>
    <t>ORD-101450</t>
  </si>
  <si>
    <t>ORD-100199</t>
  </si>
  <si>
    <t>ORD-102924</t>
  </si>
  <si>
    <t>ORD-101353</t>
  </si>
  <si>
    <t>ORD-101810</t>
  </si>
  <si>
    <t>ORD-100080</t>
  </si>
  <si>
    <t>204.25</t>
  </si>
  <si>
    <t>ORD-101713</t>
  </si>
  <si>
    <t>ORD-100443</t>
  </si>
  <si>
    <t>customer1361@example.com</t>
  </si>
  <si>
    <t>ORD-100684</t>
  </si>
  <si>
    <t>ORD-101767</t>
  </si>
  <si>
    <t>customer1216@example.com</t>
  </si>
  <si>
    <t>ORD-101179</t>
  </si>
  <si>
    <t>01/19/2026</t>
  </si>
  <si>
    <t>ORD-101036</t>
  </si>
  <si>
    <t>customer1068@example.com</t>
  </si>
  <si>
    <t>ORD-100134</t>
  </si>
  <si>
    <t>ORD-100035</t>
  </si>
  <si>
    <t>ORD-102644</t>
  </si>
  <si>
    <t>ORD-101873</t>
  </si>
  <si>
    <t>customer0902@example.com</t>
  </si>
  <si>
    <t>ORD-102029</t>
  </si>
  <si>
    <t>ORD-101955</t>
  </si>
  <si>
    <t>ORD-100014</t>
  </si>
  <si>
    <t>ORD-102023</t>
  </si>
  <si>
    <t>ORD-101344</t>
  </si>
  <si>
    <t>ORD-102789</t>
  </si>
  <si>
    <t>ORD-101438</t>
  </si>
  <si>
    <t>ORD-100843</t>
  </si>
  <si>
    <t>ORD-102774</t>
  </si>
  <si>
    <t>ORD-102608</t>
  </si>
  <si>
    <t>ORD-100363</t>
  </si>
  <si>
    <t>ORD-100755</t>
  </si>
  <si>
    <t>ORD-102268</t>
  </si>
  <si>
    <t>ORD-100294</t>
  </si>
  <si>
    <t>ORD-100013</t>
  </si>
  <si>
    <t>03/30/2026</t>
  </si>
  <si>
    <t>customer1061@example.com</t>
  </si>
  <si>
    <t>ORD-101395</t>
  </si>
  <si>
    <t>customer1152@example.com</t>
  </si>
  <si>
    <t>ORD-102757</t>
  </si>
  <si>
    <t>ORD-101524</t>
  </si>
  <si>
    <t>ORD-101543</t>
  </si>
  <si>
    <t>customer1049@example.com</t>
  </si>
  <si>
    <t>ORD-101316</t>
  </si>
  <si>
    <t>ORD-101294</t>
  </si>
  <si>
    <t>ORD-102420</t>
  </si>
  <si>
    <t>customer0336@example.com</t>
  </si>
  <si>
    <t>ORD-100425</t>
  </si>
  <si>
    <t>ORD-101627</t>
  </si>
  <si>
    <t>ORD-101377</t>
  </si>
  <si>
    <t>ORD-100411</t>
  </si>
  <si>
    <t>ORD-101468</t>
  </si>
  <si>
    <t>customer0821@example.com</t>
  </si>
  <si>
    <t>ORD-101546</t>
  </si>
  <si>
    <t>ORD-100808</t>
  </si>
  <si>
    <t>ORD-101125</t>
  </si>
  <si>
    <t>ORD-102688</t>
  </si>
  <si>
    <t>ORD-102995</t>
  </si>
  <si>
    <t>ORD-102645</t>
  </si>
  <si>
    <t>ORD-102081</t>
  </si>
  <si>
    <t>ORD-100194</t>
  </si>
  <si>
    <t>ORD-102559</t>
  </si>
  <si>
    <t>ORD-101856</t>
  </si>
  <si>
    <t>ORD-101067</t>
  </si>
  <si>
    <t>ORD-101362</t>
  </si>
  <si>
    <t>ORD-100709</t>
  </si>
  <si>
    <t>ORD-101139</t>
  </si>
  <si>
    <t>customer0211@example.com</t>
  </si>
  <si>
    <t>72.90</t>
  </si>
  <si>
    <t>ORD-100137</t>
  </si>
  <si>
    <t>ORD-100077</t>
  </si>
  <si>
    <t>ORD-102127</t>
  </si>
  <si>
    <t>customer1326@example.com</t>
  </si>
  <si>
    <t>ORD-100132</t>
  </si>
  <si>
    <t>ORD-102938</t>
  </si>
  <si>
    <t>ORD-100905</t>
  </si>
  <si>
    <t>customer0890@example.com</t>
  </si>
  <si>
    <t>ORD-102057</t>
  </si>
  <si>
    <t>ORD-100605</t>
  </si>
  <si>
    <t>ORD-100219</t>
  </si>
  <si>
    <t>ORD-101028</t>
  </si>
  <si>
    <t>ORD-102626</t>
  </si>
  <si>
    <t>ORD-102747</t>
  </si>
  <si>
    <t>ORD-102851</t>
  </si>
  <si>
    <t>customer0149@example.com</t>
  </si>
  <si>
    <t>ORD-101494</t>
  </si>
  <si>
    <t>ORD-102121</t>
  </si>
  <si>
    <t>ORD-102428</t>
  </si>
  <si>
    <t>ORD-100736</t>
  </si>
  <si>
    <t>05/22/2026</t>
  </si>
  <si>
    <t>ORD-100177</t>
  </si>
  <si>
    <t>ORD-101992</t>
  </si>
  <si>
    <t>ORD-102623</t>
  </si>
  <si>
    <t>ORD-102937</t>
  </si>
  <si>
    <t>ORD-101872</t>
  </si>
  <si>
    <t>ORD-100756</t>
  </si>
  <si>
    <t>ORD-101612</t>
  </si>
  <si>
    <t>customer0774@example.com</t>
  </si>
  <si>
    <t>ORD-101804</t>
  </si>
  <si>
    <t>ORD-102399</t>
  </si>
  <si>
    <t>ORD-102508</t>
  </si>
  <si>
    <t>ORD-102989</t>
  </si>
  <si>
    <t>ORD-100288</t>
  </si>
  <si>
    <t>ORD-102629</t>
  </si>
  <si>
    <t>ORD-102126</t>
  </si>
  <si>
    <t>04/29/2026</t>
  </si>
  <si>
    <t>ORD-101678</t>
  </si>
  <si>
    <t>ORD-100890</t>
  </si>
  <si>
    <t>ORD-101938</t>
  </si>
  <si>
    <t>ORD-101224</t>
  </si>
  <si>
    <t>ORD-101178</t>
  </si>
  <si>
    <t>ORD-100734</t>
  </si>
  <si>
    <t>ORD-100322</t>
  </si>
  <si>
    <t>ORD-102208</t>
  </si>
  <si>
    <t>ORD-102781</t>
  </si>
  <si>
    <t>ORD-102557</t>
  </si>
  <si>
    <t>ORD-102814</t>
  </si>
  <si>
    <t>ORD-102641</t>
  </si>
  <si>
    <t>ORD-101966</t>
  </si>
  <si>
    <t>ORD-101088</t>
  </si>
  <si>
    <t>ORD-100535</t>
  </si>
  <si>
    <t>-171.00</t>
  </si>
  <si>
    <t>ORD-100143</t>
  </si>
  <si>
    <t>189.60</t>
  </si>
  <si>
    <t>ORD-100331</t>
  </si>
  <si>
    <t>ORD-102942</t>
  </si>
  <si>
    <t>customer0228@example.com</t>
  </si>
  <si>
    <t>ORD-101722</t>
  </si>
  <si>
    <t>ORD-101667</t>
  </si>
  <si>
    <t>ORD-100516</t>
  </si>
  <si>
    <t>ORD-101350</t>
  </si>
  <si>
    <t>ORD-102962</t>
  </si>
  <si>
    <t>ORD-101652</t>
  </si>
  <si>
    <t>ORD-100863</t>
  </si>
  <si>
    <t>customer0640@example.com</t>
  </si>
  <si>
    <t>ORD-100412</t>
  </si>
  <si>
    <t>ORD-100994</t>
  </si>
  <si>
    <t>ORD-100972</t>
  </si>
  <si>
    <t>ORD-100582</t>
  </si>
  <si>
    <t>ORD-101480</t>
  </si>
  <si>
    <t>ORD-100147</t>
  </si>
  <si>
    <t>ORD-100647</t>
  </si>
  <si>
    <t>ORD-101070</t>
  </si>
  <si>
    <t>ORD-102362</t>
  </si>
  <si>
    <t>ORD-102395</t>
  </si>
  <si>
    <t>ORD-102375</t>
  </si>
  <si>
    <t>ORD-100560</t>
  </si>
  <si>
    <t>ORD-102578</t>
  </si>
  <si>
    <t>ORD-100955</t>
  </si>
  <si>
    <t>ORD-102191</t>
  </si>
  <si>
    <t>ORD-100776</t>
  </si>
  <si>
    <t>ORD-102987</t>
  </si>
  <si>
    <t>customer1094@example.com</t>
  </si>
  <si>
    <t>ORD-101394</t>
  </si>
  <si>
    <t>ORD-102411</t>
  </si>
  <si>
    <t>ORD-102374</t>
  </si>
  <si>
    <t>ORD-101715</t>
  </si>
  <si>
    <t>ORD-100351</t>
  </si>
  <si>
    <t>ORD-101555</t>
  </si>
  <si>
    <t>customer0635@example.com</t>
  </si>
  <si>
    <t>ORD-101181</t>
  </si>
  <si>
    <t>ORD-101112</t>
  </si>
  <si>
    <t>ORD-102957</t>
  </si>
  <si>
    <t>ORD-101418</t>
  </si>
  <si>
    <t>ORD-100701</t>
  </si>
  <si>
    <t>ORD-100150</t>
  </si>
  <si>
    <t>ORD-100666</t>
  </si>
  <si>
    <t>customer1338@example.com</t>
  </si>
  <si>
    <t>219.30</t>
  </si>
  <si>
    <t>ORD-102998</t>
  </si>
  <si>
    <t>ORD-102681</t>
  </si>
  <si>
    <t>ORD-102533</t>
  </si>
  <si>
    <t>customer0880@example.com</t>
  </si>
  <si>
    <t>ORD-101388</t>
  </si>
  <si>
    <t>ORD-101582</t>
  </si>
  <si>
    <t>ORD-102991</t>
  </si>
  <si>
    <t>ORD-102233</t>
  </si>
  <si>
    <t>customer0085@example.com</t>
  </si>
  <si>
    <t>ORD-101913</t>
  </si>
  <si>
    <t>ORD-101525</t>
  </si>
  <si>
    <t>ORD-102883</t>
  </si>
  <si>
    <t>ORD-101250</t>
  </si>
  <si>
    <t>ORD-100344</t>
  </si>
  <si>
    <t>ORD-101288</t>
  </si>
  <si>
    <t>ORD-101744</t>
  </si>
  <si>
    <t>ORD-100704</t>
  </si>
  <si>
    <t>ORD-100092</t>
  </si>
  <si>
    <t>ORD-100882</t>
  </si>
  <si>
    <t>ORD-100492</t>
  </si>
  <si>
    <t>ORD-100362</t>
  </si>
  <si>
    <t>ORD-100475</t>
  </si>
  <si>
    <t>ORD-102347</t>
  </si>
  <si>
    <t>ORD-101405</t>
  </si>
  <si>
    <t>ORD-101123</t>
  </si>
  <si>
    <t>ORD-101741</t>
  </si>
  <si>
    <t>ORD-102417</t>
  </si>
  <si>
    <t>ORD-101275</t>
  </si>
  <si>
    <t>ORD-100007</t>
  </si>
  <si>
    <t>ORD-102949</t>
  </si>
  <si>
    <t>ORD-102066</t>
  </si>
  <si>
    <t>ORD-102069</t>
  </si>
  <si>
    <t>ORD-100939</t>
  </si>
  <si>
    <t>ORD-100928</t>
  </si>
  <si>
    <t>ORD-102284</t>
  </si>
  <si>
    <t>ORD-102892</t>
  </si>
  <si>
    <t>ORD-102122</t>
  </si>
  <si>
    <t>ORD-101776</t>
  </si>
  <si>
    <t>customer1350@example.com</t>
  </si>
  <si>
    <t>ORD-101889</t>
  </si>
  <si>
    <t>ORD-102461</t>
  </si>
  <si>
    <t>customer0611@example.com</t>
  </si>
  <si>
    <t>ORD-102739</t>
  </si>
  <si>
    <t>customer0598@example.com</t>
  </si>
  <si>
    <t>ORD-102500</t>
  </si>
  <si>
    <t>ORD-100664</t>
  </si>
  <si>
    <t>ORD-100718</t>
  </si>
  <si>
    <t>ORD-100019</t>
  </si>
  <si>
    <t>ORD-100420</t>
  </si>
  <si>
    <t>ORD-102911</t>
  </si>
  <si>
    <t>ORD-101886</t>
  </si>
  <si>
    <t>ORD-100903</t>
  </si>
  <si>
    <t>ORD-100773</t>
  </si>
  <si>
    <t>ORD-100482</t>
  </si>
  <si>
    <t>ORD-100259</t>
  </si>
  <si>
    <t>ORD-102596</t>
  </si>
  <si>
    <t>152.00</t>
  </si>
  <si>
    <t>ORD-101220</t>
  </si>
  <si>
    <t>ORD-100575</t>
  </si>
  <si>
    <t>ORD-101182</t>
  </si>
  <si>
    <t>ORD-102693</t>
  </si>
  <si>
    <t>ORD-102609</t>
  </si>
  <si>
    <t>ORD-102780</t>
  </si>
  <si>
    <t>ORD-101049</t>
  </si>
  <si>
    <t>ORD-100742</t>
  </si>
  <si>
    <t>ORD-102748</t>
  </si>
  <si>
    <t>ORD-101881</t>
  </si>
  <si>
    <t>ORD-101672</t>
  </si>
  <si>
    <t>customer1024@example.com</t>
  </si>
  <si>
    <t>ORD-101346</t>
  </si>
  <si>
    <t>ORD-101526</t>
  </si>
  <si>
    <t>ORD-102833</t>
  </si>
  <si>
    <t>ORD-102344</t>
  </si>
  <si>
    <t>ORD-102825</t>
  </si>
  <si>
    <t xml:space="preserve"> United Kingdom</t>
  </si>
  <si>
    <t xml:space="preserve">United Kingdom </t>
  </si>
  <si>
    <t xml:space="preserve">Weight clean </t>
  </si>
  <si>
    <t xml:space="preserve">Quantity clean </t>
  </si>
  <si>
    <t>Country Clean</t>
  </si>
  <si>
    <t>GBP45,00</t>
  </si>
  <si>
    <t>Â£80,10</t>
  </si>
  <si>
    <t>GBP12,50</t>
  </si>
  <si>
    <t>GBP80,10</t>
  </si>
  <si>
    <t>Â£85,50</t>
  </si>
  <si>
    <t>Â£116,10</t>
  </si>
  <si>
    <t>GBP116,10</t>
  </si>
  <si>
    <t>Â£24,00</t>
  </si>
  <si>
    <t>Â£71,10</t>
  </si>
  <si>
    <t>GBP129,00</t>
  </si>
  <si>
    <t>GBP95,00</t>
  </si>
  <si>
    <t>Â£40,50</t>
  </si>
  <si>
    <t>GBP134,10</t>
  </si>
  <si>
    <t>Â£11,25</t>
  </si>
  <si>
    <t>Â£79,00</t>
  </si>
  <si>
    <t>GBP89,00</t>
  </si>
  <si>
    <t>GBP24,00</t>
  </si>
  <si>
    <t>GBP71,10</t>
  </si>
  <si>
    <t>Â£134,10</t>
  </si>
  <si>
    <t>Â£89,00</t>
  </si>
  <si>
    <t>Â£149,00</t>
  </si>
  <si>
    <t>Â£21,60</t>
  </si>
  <si>
    <t>Â£12,50</t>
  </si>
  <si>
    <t>Â£129,00</t>
  </si>
  <si>
    <t>GBP149,00</t>
  </si>
  <si>
    <t>GBP21,60</t>
  </si>
  <si>
    <t>GBP11,25</t>
  </si>
  <si>
    <t>GBP79,00</t>
  </si>
  <si>
    <t>GBP40,50</t>
  </si>
  <si>
    <t>Â£95,00</t>
  </si>
  <si>
    <t>GBP85,50</t>
  </si>
  <si>
    <t>Â£45,00</t>
  </si>
  <si>
    <t>lettre_unity_price</t>
  </si>
  <si>
    <t xml:space="preserve">chiffre_unity_price_clean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</si>
</sst>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,##0.00\ &quot;€&quot;"/>
    <numFmt numFmtId="166" formatCode="#,##0.0\ &quot;€&quot;"/>
    <numFmt numFmtId="167" formatCode="#,##0\ &quot;€&quot;"/>
    <numFmt numFmtId="168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1" fontId="16" fillId="0" borderId="0" xfId="0" applyNumberFormat="1" applyFont="1"/>
    <xf numFmtId="1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16" fillId="0" borderId="0" xfId="0" applyNumberFormat="1" applyFont="1"/>
    <xf numFmtId="166" fontId="0" fillId="0" borderId="0" xfId="0" applyNumberFormat="1"/>
    <xf numFmtId="167" fontId="16" fillId="0" borderId="0" xfId="0" applyNumberFormat="1" applyFont="1"/>
    <xf numFmtId="167" fontId="0" fillId="0" borderId="0" xfId="0" applyNumberFormat="1"/>
    <xf numFmtId="168" fontId="16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9608-1D97-41EF-8D38-DD4BF196FA1E}">
  <dimension ref="A1:R3048"/>
  <sheetViews>
    <sheetView tabSelected="1" topLeftCell="G1" workbookViewId="0">
      <pane ySplit="1" topLeftCell="A2" activePane="bottomLeft" state="frozen"/>
      <selection pane="bottomLeft" activeCell="K5" sqref="K5"/>
    </sheetView>
  </sheetViews>
  <sheetFormatPr baseColWidth="10" defaultRowHeight="14.5" x14ac:dyDescent="0.35"/>
  <cols>
    <col min="1" max="1" width="17.26953125" customWidth="1"/>
    <col min="2" max="2" width="17" style="2" customWidth="1"/>
    <col min="3" max="3" width="33.26953125" customWidth="1"/>
    <col min="4" max="4" width="16.08984375" style="3" customWidth="1"/>
    <col min="5" max="5" width="18" customWidth="1"/>
    <col min="6" max="6" width="15.54296875" customWidth="1"/>
    <col min="7" max="7" width="19" customWidth="1"/>
    <col min="8" max="8" width="10.90625" style="8"/>
    <col min="9" max="9" width="16.90625" style="12" customWidth="1"/>
    <col min="10" max="10" width="14.81640625" style="14" customWidth="1"/>
    <col min="11" max="11" width="22.54296875" style="16" customWidth="1"/>
    <col min="12" max="12" width="17.453125" style="1" customWidth="1"/>
    <col min="14" max="14" width="17.54296875" customWidth="1"/>
    <col min="15" max="15" width="10.90625" style="8"/>
    <col min="16" max="16" width="12.7265625" customWidth="1"/>
    <col min="17" max="17" width="15.81640625" customWidth="1"/>
    <col min="18" max="18" width="14.6328125" style="10" customWidth="1"/>
  </cols>
  <sheetData>
    <row r="1" spans="1:18" x14ac:dyDescent="0.35">
      <c r="A1" t="s">
        <v>0</v>
      </c>
      <c r="B1" s="2" t="s">
        <v>1</v>
      </c>
      <c r="C1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7" t="s">
        <v>7</v>
      </c>
      <c r="I1" s="11" t="s">
        <v>8</v>
      </c>
      <c r="J1" s="13" t="s">
        <v>9</v>
      </c>
      <c r="K1" s="15" t="s">
        <v>10</v>
      </c>
      <c r="L1" s="6" t="s">
        <v>11</v>
      </c>
      <c r="M1" s="5" t="s">
        <v>12</v>
      </c>
      <c r="N1" s="5" t="s">
        <v>4616</v>
      </c>
      <c r="O1" s="8" t="s">
        <v>4614</v>
      </c>
      <c r="P1" t="s">
        <v>4615</v>
      </c>
      <c r="Q1" t="s">
        <v>4649</v>
      </c>
      <c r="R1" s="10" t="s">
        <v>4650</v>
      </c>
    </row>
    <row r="2" spans="1:18" x14ac:dyDescent="0.35">
      <c r="A2" t="s">
        <v>13</v>
      </c>
      <c r="B2" s="2">
        <v>46100</v>
      </c>
      <c r="C2" t="s">
        <v>14</v>
      </c>
      <c r="D2" s="3" t="s">
        <v>15</v>
      </c>
      <c r="E2" t="s">
        <v>16</v>
      </c>
      <c r="F2" t="s">
        <v>17</v>
      </c>
      <c r="G2" t="s">
        <v>18</v>
      </c>
      <c r="H2" s="8">
        <v>1</v>
      </c>
      <c r="I2" s="10">
        <v>45</v>
      </c>
      <c r="J2" s="14">
        <f>P2*I2</f>
        <v>45</v>
      </c>
      <c r="K2" s="16">
        <v>520</v>
      </c>
      <c r="L2" s="1" t="s">
        <v>21</v>
      </c>
      <c r="M2" t="s">
        <v>22</v>
      </c>
      <c r="N2" t="str">
        <f>PROPER(TRIM(D2))</f>
        <v>France</v>
      </c>
      <c r="O2" s="8">
        <f>IF(K2&gt;=1,K2,K2*1000)</f>
        <v>520</v>
      </c>
      <c r="P2">
        <f>ABS(H2)</f>
        <v>1</v>
      </c>
      <c r="R2"/>
    </row>
    <row r="3" spans="1:18" x14ac:dyDescent="0.35">
      <c r="A3" t="s">
        <v>23</v>
      </c>
      <c r="B3" s="2">
        <v>46161</v>
      </c>
      <c r="C3" t="s">
        <v>24</v>
      </c>
      <c r="D3" s="3" t="s">
        <v>15</v>
      </c>
      <c r="E3" t="s">
        <v>25</v>
      </c>
      <c r="F3" t="s">
        <v>26</v>
      </c>
      <c r="G3" t="s">
        <v>27</v>
      </c>
      <c r="H3" s="8">
        <v>1</v>
      </c>
      <c r="I3" s="10">
        <v>71.099999999999994</v>
      </c>
      <c r="J3" s="14">
        <f>P3*I3</f>
        <v>71.099999999999994</v>
      </c>
      <c r="K3" s="16">
        <v>0.52</v>
      </c>
      <c r="L3" s="1" t="s">
        <v>30</v>
      </c>
      <c r="M3" t="s">
        <v>22</v>
      </c>
      <c r="N3" t="str">
        <f t="shared" ref="N3:N66" si="0">PROPER(TRIM(D3))</f>
        <v>France</v>
      </c>
      <c r="O3" s="8">
        <f>IF(K3&gt;=1,K3,K3*1000)</f>
        <v>520</v>
      </c>
      <c r="P3">
        <f>ABS(H3)</f>
        <v>1</v>
      </c>
      <c r="R3"/>
    </row>
    <row r="4" spans="1:18" x14ac:dyDescent="0.35">
      <c r="A4" t="s">
        <v>31</v>
      </c>
      <c r="B4" s="2">
        <v>46187</v>
      </c>
      <c r="C4" t="s">
        <v>32</v>
      </c>
      <c r="D4" s="3" t="s">
        <v>99</v>
      </c>
      <c r="E4" t="s">
        <v>34</v>
      </c>
      <c r="F4" t="s">
        <v>35</v>
      </c>
      <c r="G4" t="s">
        <v>36</v>
      </c>
      <c r="H4" s="8">
        <v>1</v>
      </c>
      <c r="I4" s="10">
        <v>45</v>
      </c>
      <c r="J4" s="14">
        <f>P4*I4</f>
        <v>45</v>
      </c>
      <c r="K4" s="16">
        <v>8.5000000000000006E-2</v>
      </c>
      <c r="L4" s="1" t="s">
        <v>30</v>
      </c>
      <c r="M4" t="s">
        <v>22</v>
      </c>
      <c r="N4" t="str">
        <f t="shared" si="0"/>
        <v>United Kingdom</v>
      </c>
      <c r="O4" s="8">
        <f>IF(K4&gt;=1,K4,K4*1000)</f>
        <v>85</v>
      </c>
      <c r="P4">
        <f>ABS(H4)</f>
        <v>1</v>
      </c>
      <c r="R4"/>
    </row>
    <row r="5" spans="1:18" x14ac:dyDescent="0.35">
      <c r="A5" t="s">
        <v>38</v>
      </c>
      <c r="B5" s="2">
        <v>46030</v>
      </c>
      <c r="C5" t="s">
        <v>39</v>
      </c>
      <c r="D5" s="3" t="s">
        <v>4612</v>
      </c>
      <c r="E5" t="s">
        <v>41</v>
      </c>
      <c r="F5" t="s">
        <v>42</v>
      </c>
      <c r="G5" t="s">
        <v>43</v>
      </c>
      <c r="H5" s="8">
        <v>1</v>
      </c>
      <c r="I5" s="10">
        <v>71.099999999999994</v>
      </c>
      <c r="J5" s="14">
        <f>P5*I5</f>
        <v>71.099999999999994</v>
      </c>
      <c r="K5" s="16">
        <v>190</v>
      </c>
      <c r="L5" s="1" t="s">
        <v>21</v>
      </c>
      <c r="M5" t="s">
        <v>22</v>
      </c>
      <c r="N5" t="str">
        <f t="shared" si="0"/>
        <v>United Kingdom</v>
      </c>
      <c r="O5" s="8">
        <f>IF(K5&gt;=1,K5,K5*1000)</f>
        <v>190</v>
      </c>
      <c r="P5">
        <f>ABS(H5)</f>
        <v>1</v>
      </c>
      <c r="R5"/>
    </row>
    <row r="6" spans="1:18" x14ac:dyDescent="0.35">
      <c r="A6" t="s">
        <v>44</v>
      </c>
      <c r="B6" s="2">
        <v>46162</v>
      </c>
      <c r="C6" t="s">
        <v>45</v>
      </c>
      <c r="D6" s="3" t="s">
        <v>46</v>
      </c>
      <c r="E6" t="s">
        <v>34</v>
      </c>
      <c r="F6" t="s">
        <v>47</v>
      </c>
      <c r="G6" t="s">
        <v>48</v>
      </c>
      <c r="H6" s="8">
        <v>1</v>
      </c>
      <c r="I6" s="10">
        <v>21.6</v>
      </c>
      <c r="J6" s="14">
        <f>P6*I6</f>
        <v>21.6</v>
      </c>
      <c r="K6" s="16">
        <v>0.38</v>
      </c>
      <c r="L6" s="1" t="s">
        <v>30</v>
      </c>
      <c r="M6" t="s">
        <v>22</v>
      </c>
      <c r="N6" t="str">
        <f t="shared" si="0"/>
        <v>Ireland</v>
      </c>
      <c r="O6" s="8">
        <f>IF(K6&gt;=1,K6,K6*1000)</f>
        <v>380</v>
      </c>
      <c r="P6">
        <f>ABS(H6)</f>
        <v>1</v>
      </c>
      <c r="R6"/>
    </row>
    <row r="7" spans="1:18" x14ac:dyDescent="0.35">
      <c r="A7" t="s">
        <v>51</v>
      </c>
      <c r="B7" s="2">
        <v>46095</v>
      </c>
      <c r="C7" t="s">
        <v>52</v>
      </c>
      <c r="D7" s="3" t="s">
        <v>53</v>
      </c>
      <c r="E7" t="s">
        <v>41</v>
      </c>
      <c r="F7" t="s">
        <v>35</v>
      </c>
      <c r="G7" t="s">
        <v>36</v>
      </c>
      <c r="H7" s="8">
        <v>1</v>
      </c>
      <c r="I7" s="10">
        <v>45</v>
      </c>
      <c r="J7" s="14">
        <f>P7*I7</f>
        <v>45</v>
      </c>
      <c r="K7" s="16">
        <v>85</v>
      </c>
      <c r="L7" s="1" t="s">
        <v>30</v>
      </c>
      <c r="M7" t="s">
        <v>22</v>
      </c>
      <c r="N7" t="str">
        <f t="shared" si="0"/>
        <v>Gb</v>
      </c>
      <c r="O7" s="8">
        <f>IF(K7&gt;=1,K7,K7*1000)</f>
        <v>85</v>
      </c>
      <c r="P7">
        <f>ABS(H7)</f>
        <v>1</v>
      </c>
      <c r="R7"/>
    </row>
    <row r="8" spans="1:18" x14ac:dyDescent="0.35">
      <c r="A8" t="s">
        <v>54</v>
      </c>
      <c r="B8" s="2">
        <v>46137</v>
      </c>
      <c r="C8" t="s">
        <v>55</v>
      </c>
      <c r="D8" s="3" t="s">
        <v>53</v>
      </c>
      <c r="E8" t="s">
        <v>25</v>
      </c>
      <c r="F8" t="s">
        <v>35</v>
      </c>
      <c r="G8" t="s">
        <v>36</v>
      </c>
      <c r="H8" s="8">
        <v>3</v>
      </c>
      <c r="I8" s="10">
        <v>85.5</v>
      </c>
      <c r="J8" s="14">
        <f>P8*I8</f>
        <v>256.5</v>
      </c>
      <c r="K8" s="16">
        <v>8.5000000000000006E-2</v>
      </c>
      <c r="L8" s="1" t="s">
        <v>30</v>
      </c>
      <c r="M8" t="s">
        <v>58</v>
      </c>
      <c r="N8" t="str">
        <f t="shared" si="0"/>
        <v>Gb</v>
      </c>
      <c r="O8" s="8">
        <f>IF(K8&gt;=1,K8,K8*1000)</f>
        <v>85</v>
      </c>
      <c r="P8">
        <f>ABS(H8)</f>
        <v>3</v>
      </c>
      <c r="R8"/>
    </row>
    <row r="9" spans="1:18" x14ac:dyDescent="0.35">
      <c r="A9" t="s">
        <v>59</v>
      </c>
      <c r="B9" s="2">
        <v>46162</v>
      </c>
      <c r="C9" t="s">
        <v>60</v>
      </c>
      <c r="D9" s="3" t="s">
        <v>61</v>
      </c>
      <c r="E9" t="s">
        <v>41</v>
      </c>
      <c r="F9" t="s">
        <v>35</v>
      </c>
      <c r="G9" t="s">
        <v>36</v>
      </c>
      <c r="H9" s="8">
        <v>2</v>
      </c>
      <c r="I9" s="10">
        <v>134.1</v>
      </c>
      <c r="J9" s="14">
        <f>P9*I9</f>
        <v>268.2</v>
      </c>
      <c r="K9" s="16">
        <v>8.5000000000000006E-2</v>
      </c>
      <c r="L9" s="1" t="s">
        <v>21</v>
      </c>
      <c r="M9" t="s">
        <v>58</v>
      </c>
      <c r="N9" t="str">
        <f t="shared" si="0"/>
        <v>Ireland</v>
      </c>
      <c r="O9" s="8">
        <f>IF(K9&gt;=1,K9,K9*1000)</f>
        <v>85</v>
      </c>
      <c r="P9">
        <f>ABS(H9)</f>
        <v>2</v>
      </c>
      <c r="R9"/>
    </row>
    <row r="10" spans="1:18" x14ac:dyDescent="0.35">
      <c r="A10" t="s">
        <v>64</v>
      </c>
      <c r="B10" s="2">
        <v>46114</v>
      </c>
      <c r="C10" t="s">
        <v>65</v>
      </c>
      <c r="D10" s="3" t="s">
        <v>66</v>
      </c>
      <c r="E10" t="s">
        <v>67</v>
      </c>
      <c r="F10" t="s">
        <v>42</v>
      </c>
      <c r="G10" t="s">
        <v>43</v>
      </c>
      <c r="H10" s="8">
        <v>1</v>
      </c>
      <c r="I10" s="10">
        <v>24</v>
      </c>
      <c r="J10" s="14">
        <f>P10*I10</f>
        <v>24</v>
      </c>
      <c r="K10" s="16">
        <v>190</v>
      </c>
      <c r="L10" s="1" t="s">
        <v>30</v>
      </c>
      <c r="M10" t="s">
        <v>22</v>
      </c>
      <c r="N10" t="str">
        <f t="shared" si="0"/>
        <v>Gb</v>
      </c>
      <c r="O10" s="8">
        <f>IF(K10&gt;=1,K10,K10*1000)</f>
        <v>190</v>
      </c>
      <c r="P10">
        <f>ABS(H10)</f>
        <v>1</v>
      </c>
      <c r="R10"/>
    </row>
    <row r="11" spans="1:18" x14ac:dyDescent="0.35">
      <c r="A11" t="s">
        <v>69</v>
      </c>
      <c r="B11" s="2">
        <v>46069</v>
      </c>
      <c r="C11" t="s">
        <v>70</v>
      </c>
      <c r="D11" s="3" t="s">
        <v>4612</v>
      </c>
      <c r="E11" t="s">
        <v>67</v>
      </c>
      <c r="F11" t="s">
        <v>42</v>
      </c>
      <c r="G11" t="s">
        <v>43</v>
      </c>
      <c r="H11" s="8">
        <v>1</v>
      </c>
      <c r="I11" s="10">
        <v>95</v>
      </c>
      <c r="J11" s="14">
        <f>P11*I11</f>
        <v>95</v>
      </c>
      <c r="K11" s="16">
        <v>190</v>
      </c>
      <c r="L11" s="1" t="s">
        <v>21</v>
      </c>
      <c r="M11" t="s">
        <v>58</v>
      </c>
      <c r="N11" t="str">
        <f t="shared" si="0"/>
        <v>United Kingdom</v>
      </c>
      <c r="O11" s="8">
        <f>IF(K11&gt;=1,K11,K11*1000)</f>
        <v>190</v>
      </c>
      <c r="P11">
        <f>ABS(H11)</f>
        <v>1</v>
      </c>
      <c r="R11"/>
    </row>
    <row r="12" spans="1:18" x14ac:dyDescent="0.35">
      <c r="A12" t="s">
        <v>72</v>
      </c>
      <c r="B12" s="2">
        <v>46133</v>
      </c>
      <c r="C12" t="s">
        <v>73</v>
      </c>
      <c r="D12" s="3" t="s">
        <v>4612</v>
      </c>
      <c r="E12" t="s">
        <v>34</v>
      </c>
      <c r="F12" t="s">
        <v>74</v>
      </c>
      <c r="G12" t="s">
        <v>75</v>
      </c>
      <c r="H12" s="8">
        <v>1</v>
      </c>
      <c r="I12" s="10">
        <v>45</v>
      </c>
      <c r="J12" s="14">
        <f>P12*I12</f>
        <v>45</v>
      </c>
      <c r="K12" s="16">
        <v>0.41</v>
      </c>
      <c r="L12" s="1" t="s">
        <v>30</v>
      </c>
      <c r="M12" t="s">
        <v>22</v>
      </c>
      <c r="N12" t="str">
        <f t="shared" si="0"/>
        <v>United Kingdom</v>
      </c>
      <c r="O12" s="8">
        <f>IF(K12&gt;=1,K12,K12*1000)</f>
        <v>410</v>
      </c>
      <c r="P12">
        <f>ABS(H12)</f>
        <v>1</v>
      </c>
      <c r="R12"/>
    </row>
    <row r="13" spans="1:18" x14ac:dyDescent="0.35">
      <c r="A13" t="s">
        <v>77</v>
      </c>
      <c r="B13" s="2">
        <v>46204</v>
      </c>
      <c r="C13" t="s">
        <v>78</v>
      </c>
      <c r="D13" s="3" t="s">
        <v>46</v>
      </c>
      <c r="E13" t="s">
        <v>34</v>
      </c>
      <c r="F13" t="s">
        <v>74</v>
      </c>
      <c r="G13" t="s">
        <v>75</v>
      </c>
      <c r="H13" s="8">
        <v>1</v>
      </c>
      <c r="I13" s="10">
        <v>129</v>
      </c>
      <c r="J13" s="14">
        <f>P13*I13</f>
        <v>129</v>
      </c>
      <c r="K13" s="16">
        <v>410</v>
      </c>
      <c r="L13" s="1" t="s">
        <v>30</v>
      </c>
      <c r="M13" t="s">
        <v>22</v>
      </c>
      <c r="N13" t="str">
        <f t="shared" si="0"/>
        <v>Ireland</v>
      </c>
      <c r="O13" s="8">
        <f>IF(K13&gt;=1,K13,K13*1000)</f>
        <v>410</v>
      </c>
      <c r="P13">
        <f>ABS(H13)</f>
        <v>1</v>
      </c>
      <c r="R13"/>
    </row>
    <row r="14" spans="1:18" x14ac:dyDescent="0.35">
      <c r="A14" t="s">
        <v>80</v>
      </c>
      <c r="B14" s="2" t="s">
        <v>81</v>
      </c>
      <c r="C14" t="s">
        <v>82</v>
      </c>
      <c r="D14" s="3" t="s">
        <v>53</v>
      </c>
      <c r="E14" t="s">
        <v>41</v>
      </c>
      <c r="F14" t="s">
        <v>83</v>
      </c>
      <c r="G14" t="s">
        <v>84</v>
      </c>
      <c r="H14" s="8">
        <v>3</v>
      </c>
      <c r="I14" s="10">
        <v>116.1</v>
      </c>
      <c r="J14" s="14">
        <f>P14*I14</f>
        <v>348.29999999999995</v>
      </c>
      <c r="K14" s="16">
        <v>340</v>
      </c>
      <c r="L14" s="1" t="s">
        <v>30</v>
      </c>
      <c r="M14" t="s">
        <v>58</v>
      </c>
      <c r="N14" t="str">
        <f t="shared" si="0"/>
        <v>Gb</v>
      </c>
      <c r="O14" s="8">
        <f>IF(K14&gt;=1,K14,K14*1000)</f>
        <v>340</v>
      </c>
      <c r="P14">
        <f>ABS(H14)</f>
        <v>3</v>
      </c>
      <c r="R14"/>
    </row>
    <row r="15" spans="1:18" x14ac:dyDescent="0.35">
      <c r="A15" t="s">
        <v>87</v>
      </c>
      <c r="B15" s="2">
        <v>46074</v>
      </c>
      <c r="C15" t="s">
        <v>88</v>
      </c>
      <c r="D15" s="3" t="s">
        <v>66</v>
      </c>
      <c r="E15" t="s">
        <v>16</v>
      </c>
      <c r="F15" t="s">
        <v>89</v>
      </c>
      <c r="G15" t="s">
        <v>90</v>
      </c>
      <c r="H15" s="8">
        <v>3</v>
      </c>
      <c r="I15" s="10">
        <v>129</v>
      </c>
      <c r="J15" s="14">
        <f>P15*I15</f>
        <v>387</v>
      </c>
      <c r="K15" s="16">
        <v>640</v>
      </c>
      <c r="L15" s="1" t="s">
        <v>30</v>
      </c>
      <c r="M15" t="s">
        <v>22</v>
      </c>
      <c r="N15" t="str">
        <f t="shared" si="0"/>
        <v>Gb</v>
      </c>
      <c r="O15" s="8">
        <f>IF(K15&gt;=1,K15,K15*1000)</f>
        <v>640</v>
      </c>
      <c r="P15">
        <f>ABS(H15)</f>
        <v>3</v>
      </c>
      <c r="R15"/>
    </row>
    <row r="16" spans="1:18" x14ac:dyDescent="0.35">
      <c r="A16" t="s">
        <v>92</v>
      </c>
      <c r="B16" s="2">
        <v>46208</v>
      </c>
      <c r="C16" t="s">
        <v>93</v>
      </c>
      <c r="D16" s="3" t="s">
        <v>4613</v>
      </c>
      <c r="E16" t="s">
        <v>34</v>
      </c>
      <c r="F16" t="s">
        <v>26</v>
      </c>
      <c r="G16" t="s">
        <v>27</v>
      </c>
      <c r="H16" s="8">
        <v>1</v>
      </c>
      <c r="I16" s="10">
        <v>45</v>
      </c>
      <c r="J16" s="14">
        <f>P16*I16</f>
        <v>45</v>
      </c>
      <c r="K16" s="16">
        <v>0.52</v>
      </c>
      <c r="L16" s="1" t="s">
        <v>21</v>
      </c>
      <c r="M16" t="s">
        <v>22</v>
      </c>
      <c r="N16" t="str">
        <f t="shared" si="0"/>
        <v>United Kingdom</v>
      </c>
      <c r="O16" s="8">
        <f>IF(K16&gt;=1,K16,K16*1000)</f>
        <v>520</v>
      </c>
      <c r="P16">
        <f>ABS(H16)</f>
        <v>1</v>
      </c>
      <c r="R16"/>
    </row>
    <row r="17" spans="1:18" x14ac:dyDescent="0.35">
      <c r="A17" t="s">
        <v>95</v>
      </c>
      <c r="B17" s="2">
        <v>46033</v>
      </c>
      <c r="C17" t="s">
        <v>96</v>
      </c>
      <c r="D17" s="3" t="s">
        <v>46</v>
      </c>
      <c r="E17" t="s">
        <v>67</v>
      </c>
      <c r="F17" t="s">
        <v>35</v>
      </c>
      <c r="G17" t="s">
        <v>36</v>
      </c>
      <c r="H17" s="8">
        <v>1</v>
      </c>
      <c r="I17" s="10">
        <v>71.099999999999994</v>
      </c>
      <c r="J17" s="14">
        <f>P17*I17</f>
        <v>71.099999999999994</v>
      </c>
      <c r="K17" s="16">
        <v>85</v>
      </c>
      <c r="L17" s="1" t="s">
        <v>30</v>
      </c>
      <c r="M17" t="s">
        <v>22</v>
      </c>
      <c r="N17" t="str">
        <f t="shared" si="0"/>
        <v>Ireland</v>
      </c>
      <c r="O17" s="8">
        <f>IF(K17&gt;=1,K17,K17*1000)</f>
        <v>85</v>
      </c>
      <c r="P17">
        <f>ABS(H17)</f>
        <v>1</v>
      </c>
      <c r="R17"/>
    </row>
    <row r="18" spans="1:18" x14ac:dyDescent="0.35">
      <c r="A18" t="s">
        <v>97</v>
      </c>
      <c r="B18" s="2">
        <v>46192</v>
      </c>
      <c r="C18" t="s">
        <v>98</v>
      </c>
      <c r="D18" s="3" t="s">
        <v>99</v>
      </c>
      <c r="E18" t="s">
        <v>41</v>
      </c>
      <c r="F18" t="s">
        <v>74</v>
      </c>
      <c r="G18" t="s">
        <v>75</v>
      </c>
      <c r="H18" s="8">
        <v>1</v>
      </c>
      <c r="I18" s="10">
        <v>116.1</v>
      </c>
      <c r="J18" s="14">
        <f>P18*I18</f>
        <v>116.1</v>
      </c>
      <c r="K18" s="16">
        <v>0.41</v>
      </c>
      <c r="L18" s="1" t="s">
        <v>30</v>
      </c>
      <c r="M18" t="s">
        <v>22</v>
      </c>
      <c r="N18" t="str">
        <f t="shared" si="0"/>
        <v>United Kingdom</v>
      </c>
      <c r="O18" s="8">
        <f>IF(K18&gt;=1,K18,K18*1000)</f>
        <v>410</v>
      </c>
      <c r="P18">
        <f>ABS(H18)</f>
        <v>1</v>
      </c>
      <c r="R18"/>
    </row>
    <row r="19" spans="1:18" x14ac:dyDescent="0.35">
      <c r="A19" t="s">
        <v>100</v>
      </c>
      <c r="B19" s="2">
        <v>46180</v>
      </c>
      <c r="C19" t="s">
        <v>101</v>
      </c>
      <c r="D19" s="3" t="s">
        <v>53</v>
      </c>
      <c r="E19" t="s">
        <v>67</v>
      </c>
      <c r="F19" t="s">
        <v>83</v>
      </c>
      <c r="G19" t="s">
        <v>84</v>
      </c>
      <c r="H19" s="8">
        <v>1</v>
      </c>
      <c r="I19" s="10">
        <v>89</v>
      </c>
      <c r="J19" s="14">
        <f>P19*I19</f>
        <v>89</v>
      </c>
      <c r="K19" s="16">
        <v>0.34</v>
      </c>
      <c r="L19" s="1" t="s">
        <v>30</v>
      </c>
      <c r="M19" t="s">
        <v>58</v>
      </c>
      <c r="N19" t="str">
        <f t="shared" si="0"/>
        <v>Gb</v>
      </c>
      <c r="O19" s="8">
        <f>IF(K19&gt;=1,K19,K19*1000)</f>
        <v>340</v>
      </c>
      <c r="P19">
        <f>ABS(H19)</f>
        <v>1</v>
      </c>
      <c r="R19"/>
    </row>
    <row r="20" spans="1:18" x14ac:dyDescent="0.35">
      <c r="A20" t="s">
        <v>104</v>
      </c>
      <c r="B20" s="2">
        <v>46135</v>
      </c>
      <c r="C20" t="s">
        <v>105</v>
      </c>
      <c r="D20" s="3" t="s">
        <v>4612</v>
      </c>
      <c r="E20" t="s">
        <v>41</v>
      </c>
      <c r="F20" t="s">
        <v>89</v>
      </c>
      <c r="G20" t="s">
        <v>90</v>
      </c>
      <c r="H20" s="8">
        <v>2</v>
      </c>
      <c r="I20" s="10">
        <v>149</v>
      </c>
      <c r="J20" s="14">
        <f>P20*I20</f>
        <v>298</v>
      </c>
      <c r="K20" s="16">
        <v>0.64</v>
      </c>
      <c r="L20" s="1" t="s">
        <v>30</v>
      </c>
      <c r="M20" t="s">
        <v>22</v>
      </c>
      <c r="N20" t="str">
        <f t="shared" si="0"/>
        <v>United Kingdom</v>
      </c>
      <c r="O20" s="8">
        <f>IF(K20&gt;=1,K20,K20*1000)</f>
        <v>640</v>
      </c>
      <c r="P20">
        <f>ABS(H20)</f>
        <v>2</v>
      </c>
      <c r="R20"/>
    </row>
    <row r="21" spans="1:18" x14ac:dyDescent="0.35">
      <c r="A21" t="s">
        <v>109</v>
      </c>
      <c r="B21" s="2">
        <v>46187</v>
      </c>
      <c r="C21" t="s">
        <v>110</v>
      </c>
      <c r="D21" s="3" t="s">
        <v>4613</v>
      </c>
      <c r="E21" t="s">
        <v>34</v>
      </c>
      <c r="F21" t="s">
        <v>42</v>
      </c>
      <c r="G21" t="s">
        <v>43</v>
      </c>
      <c r="H21" s="8">
        <v>1</v>
      </c>
      <c r="I21" s="10">
        <v>45</v>
      </c>
      <c r="J21" s="14">
        <f>P21*I21</f>
        <v>45</v>
      </c>
      <c r="K21" s="16">
        <v>0.19</v>
      </c>
      <c r="L21" s="1" t="s">
        <v>30</v>
      </c>
      <c r="M21" t="s">
        <v>22</v>
      </c>
      <c r="N21" t="str">
        <f t="shared" si="0"/>
        <v>United Kingdom</v>
      </c>
      <c r="O21" s="8">
        <f>IF(K21&gt;=1,K21,K21*1000)</f>
        <v>190</v>
      </c>
      <c r="P21">
        <f>ABS(H21)</f>
        <v>1</v>
      </c>
      <c r="R21"/>
    </row>
    <row r="22" spans="1:18" x14ac:dyDescent="0.35">
      <c r="A22" t="s">
        <v>112</v>
      </c>
      <c r="B22" s="2">
        <v>46109</v>
      </c>
      <c r="C22" t="s">
        <v>113</v>
      </c>
      <c r="D22" s="3" t="s">
        <v>15</v>
      </c>
      <c r="E22" t="s">
        <v>16</v>
      </c>
      <c r="F22" t="s">
        <v>42</v>
      </c>
      <c r="G22" t="s">
        <v>43</v>
      </c>
      <c r="H22" s="8">
        <v>1</v>
      </c>
      <c r="I22" s="10">
        <v>85.5</v>
      </c>
      <c r="J22" s="14">
        <f>P22*I22</f>
        <v>85.5</v>
      </c>
      <c r="K22" s="16">
        <v>190</v>
      </c>
      <c r="L22" s="1" t="s">
        <v>30</v>
      </c>
      <c r="M22" t="s">
        <v>22</v>
      </c>
      <c r="N22" t="str">
        <f t="shared" si="0"/>
        <v>France</v>
      </c>
      <c r="O22" s="8">
        <f>IF(K22&gt;=1,K22,K22*1000)</f>
        <v>190</v>
      </c>
      <c r="P22">
        <f>ABS(H22)</f>
        <v>1</v>
      </c>
      <c r="R22"/>
    </row>
    <row r="23" spans="1:18" x14ac:dyDescent="0.35">
      <c r="A23" t="s">
        <v>114</v>
      </c>
      <c r="B23" s="2">
        <v>46081</v>
      </c>
      <c r="C23" t="s">
        <v>115</v>
      </c>
      <c r="D23" s="3" t="s">
        <v>116</v>
      </c>
      <c r="E23" t="s">
        <v>34</v>
      </c>
      <c r="F23" t="s">
        <v>47</v>
      </c>
      <c r="G23" t="s">
        <v>48</v>
      </c>
      <c r="H23" s="8">
        <v>2</v>
      </c>
      <c r="I23" s="10">
        <v>149</v>
      </c>
      <c r="J23" s="14">
        <f>P23*I23</f>
        <v>298</v>
      </c>
      <c r="K23" s="16">
        <v>380</v>
      </c>
      <c r="L23" s="1" t="s">
        <v>30</v>
      </c>
      <c r="M23" t="s">
        <v>22</v>
      </c>
      <c r="N23" t="str">
        <f t="shared" si="0"/>
        <v>Germany</v>
      </c>
      <c r="O23" s="8">
        <f>IF(K23&gt;=1,K23,K23*1000)</f>
        <v>380</v>
      </c>
      <c r="P23">
        <f>ABS(H23)</f>
        <v>2</v>
      </c>
      <c r="R23"/>
    </row>
    <row r="24" spans="1:18" x14ac:dyDescent="0.35">
      <c r="A24" t="s">
        <v>117</v>
      </c>
      <c r="B24" s="2">
        <v>46069</v>
      </c>
      <c r="C24" t="s">
        <v>118</v>
      </c>
      <c r="D24" s="3" t="s">
        <v>4613</v>
      </c>
      <c r="E24" t="s">
        <v>25</v>
      </c>
      <c r="F24" t="s">
        <v>35</v>
      </c>
      <c r="G24" t="s">
        <v>36</v>
      </c>
      <c r="H24" s="8">
        <v>1</v>
      </c>
      <c r="I24" s="10">
        <v>21.6</v>
      </c>
      <c r="J24" s="14">
        <f>P24*I24</f>
        <v>21.6</v>
      </c>
      <c r="K24" s="16">
        <v>85</v>
      </c>
      <c r="L24" s="1" t="s">
        <v>30</v>
      </c>
      <c r="M24" t="s">
        <v>22</v>
      </c>
      <c r="N24" t="str">
        <f t="shared" si="0"/>
        <v>United Kingdom</v>
      </c>
      <c r="O24" s="8">
        <f>IF(K24&gt;=1,K24,K24*1000)</f>
        <v>85</v>
      </c>
      <c r="P24">
        <f>ABS(H24)</f>
        <v>1</v>
      </c>
      <c r="R24"/>
    </row>
    <row r="25" spans="1:18" x14ac:dyDescent="0.35">
      <c r="A25" t="s">
        <v>119</v>
      </c>
      <c r="B25" s="2" t="s">
        <v>120</v>
      </c>
      <c r="C25" t="s">
        <v>121</v>
      </c>
      <c r="D25" s="3" t="s">
        <v>61</v>
      </c>
      <c r="E25" t="s">
        <v>41</v>
      </c>
      <c r="F25" t="s">
        <v>83</v>
      </c>
      <c r="G25" t="s">
        <v>84</v>
      </c>
      <c r="H25" s="8">
        <v>1</v>
      </c>
      <c r="I25" s="10">
        <v>21.6</v>
      </c>
      <c r="J25" s="14">
        <f>P25*I25</f>
        <v>21.6</v>
      </c>
      <c r="K25" s="16">
        <v>340</v>
      </c>
      <c r="L25" s="1" t="s">
        <v>30</v>
      </c>
      <c r="M25" t="s">
        <v>22</v>
      </c>
      <c r="N25" t="str">
        <f t="shared" si="0"/>
        <v>Ireland</v>
      </c>
      <c r="O25" s="8">
        <f>IF(K25&gt;=1,K25,K25*1000)</f>
        <v>340</v>
      </c>
      <c r="P25">
        <f>ABS(H25)</f>
        <v>1</v>
      </c>
      <c r="R25"/>
    </row>
    <row r="26" spans="1:18" x14ac:dyDescent="0.35">
      <c r="A26" t="s">
        <v>122</v>
      </c>
      <c r="B26" s="2">
        <v>46113</v>
      </c>
      <c r="C26" t="s">
        <v>123</v>
      </c>
      <c r="D26" s="3" t="s">
        <v>66</v>
      </c>
      <c r="E26" t="s">
        <v>34</v>
      </c>
      <c r="F26" t="s">
        <v>74</v>
      </c>
      <c r="G26" t="s">
        <v>75</v>
      </c>
      <c r="H26" s="8">
        <v>-1</v>
      </c>
      <c r="I26" s="10">
        <v>129</v>
      </c>
      <c r="J26" s="14">
        <f>P26*I26</f>
        <v>129</v>
      </c>
      <c r="K26" s="16">
        <v>410</v>
      </c>
      <c r="L26" s="1" t="s">
        <v>30</v>
      </c>
      <c r="M26" t="s">
        <v>22</v>
      </c>
      <c r="N26" t="str">
        <f t="shared" si="0"/>
        <v>Gb</v>
      </c>
      <c r="O26" s="8">
        <f>IF(K26&gt;=1,K26,K26*1000)</f>
        <v>410</v>
      </c>
      <c r="P26">
        <f>ABS(H26)</f>
        <v>1</v>
      </c>
      <c r="R26"/>
    </row>
    <row r="27" spans="1:18" x14ac:dyDescent="0.35">
      <c r="A27" t="s">
        <v>125</v>
      </c>
      <c r="B27" s="2">
        <v>46135</v>
      </c>
      <c r="C27" t="s">
        <v>126</v>
      </c>
      <c r="D27" s="3" t="s">
        <v>116</v>
      </c>
      <c r="E27" t="s">
        <v>41</v>
      </c>
      <c r="F27" t="s">
        <v>42</v>
      </c>
      <c r="G27" t="s">
        <v>43</v>
      </c>
      <c r="H27" s="8">
        <v>3</v>
      </c>
      <c r="I27" s="10">
        <v>89</v>
      </c>
      <c r="J27" s="14">
        <f>P27*I27</f>
        <v>267</v>
      </c>
      <c r="K27" s="16">
        <v>0.19</v>
      </c>
      <c r="L27" s="1" t="s">
        <v>21</v>
      </c>
      <c r="M27" t="s">
        <v>22</v>
      </c>
      <c r="N27" t="str">
        <f t="shared" si="0"/>
        <v>Germany</v>
      </c>
      <c r="O27" s="8">
        <f>IF(K27&gt;=1,K27,K27*1000)</f>
        <v>190</v>
      </c>
      <c r="P27">
        <f>ABS(H27)</f>
        <v>3</v>
      </c>
      <c r="R27"/>
    </row>
    <row r="28" spans="1:18" x14ac:dyDescent="0.35">
      <c r="A28" t="s">
        <v>128</v>
      </c>
      <c r="B28" s="2">
        <v>46031</v>
      </c>
      <c r="C28" t="s">
        <v>129</v>
      </c>
      <c r="D28" s="3" t="s">
        <v>99</v>
      </c>
      <c r="E28" t="s">
        <v>16</v>
      </c>
      <c r="F28" t="s">
        <v>83</v>
      </c>
      <c r="G28" t="s">
        <v>84</v>
      </c>
      <c r="H28" s="8">
        <v>1</v>
      </c>
      <c r="I28" s="10">
        <v>21.6</v>
      </c>
      <c r="J28" s="14">
        <f>P28*I28</f>
        <v>21.6</v>
      </c>
      <c r="K28" s="16">
        <v>340</v>
      </c>
      <c r="L28" s="1" t="s">
        <v>30</v>
      </c>
      <c r="M28" t="s">
        <v>58</v>
      </c>
      <c r="N28" t="str">
        <f t="shared" si="0"/>
        <v>United Kingdom</v>
      </c>
      <c r="O28" s="8">
        <f>IF(K28&gt;=1,K28,K28*1000)</f>
        <v>340</v>
      </c>
      <c r="P28">
        <f>ABS(H28)</f>
        <v>1</v>
      </c>
      <c r="R28"/>
    </row>
    <row r="29" spans="1:18" x14ac:dyDescent="0.35">
      <c r="A29" t="s">
        <v>130</v>
      </c>
      <c r="B29" s="2">
        <v>46173</v>
      </c>
      <c r="C29" t="s">
        <v>131</v>
      </c>
      <c r="D29" s="3" t="s">
        <v>4612</v>
      </c>
      <c r="E29" t="s">
        <v>25</v>
      </c>
      <c r="F29" t="s">
        <v>47</v>
      </c>
      <c r="G29" t="s">
        <v>48</v>
      </c>
      <c r="H29" s="8">
        <v>2</v>
      </c>
      <c r="I29" s="10">
        <v>79</v>
      </c>
      <c r="J29" s="14">
        <f>P29*I29</f>
        <v>158</v>
      </c>
      <c r="K29" s="16">
        <v>0.38</v>
      </c>
      <c r="L29" s="1" t="s">
        <v>30</v>
      </c>
      <c r="M29" t="s">
        <v>22</v>
      </c>
      <c r="N29" t="str">
        <f t="shared" si="0"/>
        <v>United Kingdom</v>
      </c>
      <c r="O29" s="8">
        <f>IF(K29&gt;=1,K29,K29*1000)</f>
        <v>380</v>
      </c>
      <c r="P29">
        <f>ABS(H29)</f>
        <v>2</v>
      </c>
      <c r="R29"/>
    </row>
    <row r="30" spans="1:18" x14ac:dyDescent="0.35">
      <c r="A30" t="s">
        <v>134</v>
      </c>
      <c r="B30" s="2">
        <v>46203</v>
      </c>
      <c r="C30" t="s">
        <v>135</v>
      </c>
      <c r="D30" s="3" t="s">
        <v>53</v>
      </c>
      <c r="E30" t="s">
        <v>16</v>
      </c>
      <c r="F30" t="s">
        <v>47</v>
      </c>
      <c r="G30" t="s">
        <v>48</v>
      </c>
      <c r="H30" s="8">
        <v>3</v>
      </c>
      <c r="I30" s="10">
        <v>11.25</v>
      </c>
      <c r="J30" s="14">
        <f>P30*I30</f>
        <v>33.75</v>
      </c>
      <c r="K30" s="16">
        <v>0.38</v>
      </c>
      <c r="L30" s="1" t="s">
        <v>30</v>
      </c>
      <c r="M30" t="s">
        <v>22</v>
      </c>
      <c r="N30" t="str">
        <f t="shared" si="0"/>
        <v>Gb</v>
      </c>
      <c r="O30" s="8">
        <f>IF(K30&gt;=1,K30,K30*1000)</f>
        <v>380</v>
      </c>
      <c r="P30">
        <f>ABS(H30)</f>
        <v>3</v>
      </c>
      <c r="R30"/>
    </row>
    <row r="31" spans="1:18" x14ac:dyDescent="0.35">
      <c r="A31" t="s">
        <v>138</v>
      </c>
      <c r="B31" s="2">
        <v>46116</v>
      </c>
      <c r="C31" t="s">
        <v>139</v>
      </c>
      <c r="D31" s="3" t="s">
        <v>66</v>
      </c>
      <c r="E31" t="s">
        <v>25</v>
      </c>
      <c r="F31" t="s">
        <v>26</v>
      </c>
      <c r="G31" t="s">
        <v>27</v>
      </c>
      <c r="H31" s="8">
        <v>1</v>
      </c>
      <c r="I31" s="12" t="s">
        <v>4617</v>
      </c>
      <c r="J31" s="14">
        <f>R31*P31</f>
        <v>45</v>
      </c>
      <c r="K31" s="16">
        <v>520</v>
      </c>
      <c r="L31" s="1" t="s">
        <v>30</v>
      </c>
      <c r="M31" t="s">
        <v>22</v>
      </c>
      <c r="N31" t="str">
        <f t="shared" si="0"/>
        <v>Gb</v>
      </c>
      <c r="O31" s="8">
        <f>IF(K31&gt;=1,K31,K31*1000)</f>
        <v>520</v>
      </c>
      <c r="P31">
        <f>ABS(H31)</f>
        <v>1</v>
      </c>
      <c r="Q31" t="str">
        <f>LEFT(I31,3)</f>
        <v>GBP</v>
      </c>
      <c r="R31" s="10" t="str">
        <f>RIGHT(I31,5)</f>
        <v>45,00</v>
      </c>
    </row>
    <row r="32" spans="1:18" x14ac:dyDescent="0.35">
      <c r="A32" t="s">
        <v>141</v>
      </c>
      <c r="B32" s="2">
        <v>46094</v>
      </c>
      <c r="C32" t="s">
        <v>142</v>
      </c>
      <c r="D32" s="3" t="s">
        <v>116</v>
      </c>
      <c r="E32" t="s">
        <v>67</v>
      </c>
      <c r="F32" t="s">
        <v>42</v>
      </c>
      <c r="G32" t="s">
        <v>43</v>
      </c>
      <c r="H32" s="8">
        <v>2</v>
      </c>
      <c r="I32" s="10">
        <v>129</v>
      </c>
      <c r="J32" s="14">
        <f>P32*I32</f>
        <v>258</v>
      </c>
      <c r="K32" s="16">
        <v>190</v>
      </c>
      <c r="L32" s="1" t="s">
        <v>30</v>
      </c>
      <c r="M32" t="s">
        <v>22</v>
      </c>
      <c r="N32" t="str">
        <f t="shared" si="0"/>
        <v>Germany</v>
      </c>
      <c r="O32" s="8">
        <f>IF(K32&gt;=1,K32,K32*1000)</f>
        <v>190</v>
      </c>
      <c r="P32">
        <f>ABS(H32)</f>
        <v>2</v>
      </c>
      <c r="R32"/>
    </row>
    <row r="33" spans="1:18" x14ac:dyDescent="0.35">
      <c r="A33" t="s">
        <v>144</v>
      </c>
      <c r="B33" s="2">
        <v>46039</v>
      </c>
      <c r="C33" t="s">
        <v>145</v>
      </c>
      <c r="D33" s="3" t="s">
        <v>4612</v>
      </c>
      <c r="E33" t="s">
        <v>25</v>
      </c>
      <c r="F33" t="s">
        <v>89</v>
      </c>
      <c r="G33" t="s">
        <v>90</v>
      </c>
      <c r="H33" s="8">
        <v>1</v>
      </c>
      <c r="I33" s="10">
        <v>71.099999999999994</v>
      </c>
      <c r="J33" s="14">
        <f>P33*I33</f>
        <v>71.099999999999994</v>
      </c>
      <c r="K33" s="16">
        <v>640</v>
      </c>
      <c r="L33" s="1" t="s">
        <v>30</v>
      </c>
      <c r="M33" t="s">
        <v>22</v>
      </c>
      <c r="N33" t="str">
        <f t="shared" si="0"/>
        <v>United Kingdom</v>
      </c>
      <c r="O33" s="8">
        <f>IF(K33&gt;=1,K33,K33*1000)</f>
        <v>640</v>
      </c>
      <c r="P33">
        <f>ABS(H33)</f>
        <v>1</v>
      </c>
      <c r="R33"/>
    </row>
    <row r="34" spans="1:18" x14ac:dyDescent="0.35">
      <c r="A34" t="s">
        <v>146</v>
      </c>
      <c r="B34" s="2">
        <v>46113</v>
      </c>
      <c r="C34" t="s">
        <v>147</v>
      </c>
      <c r="D34" s="3" t="s">
        <v>4612</v>
      </c>
      <c r="E34" t="s">
        <v>41</v>
      </c>
      <c r="F34" t="s">
        <v>83</v>
      </c>
      <c r="G34" t="s">
        <v>84</v>
      </c>
      <c r="H34" s="8">
        <v>-2</v>
      </c>
      <c r="I34" s="10">
        <v>45</v>
      </c>
      <c r="J34" s="14">
        <f>P34*I34</f>
        <v>90</v>
      </c>
      <c r="K34" s="16">
        <v>340</v>
      </c>
      <c r="L34" s="1" t="s">
        <v>30</v>
      </c>
      <c r="M34" t="s">
        <v>22</v>
      </c>
      <c r="N34" t="str">
        <f t="shared" si="0"/>
        <v>United Kingdom</v>
      </c>
      <c r="O34" s="8">
        <f>IF(K34&gt;=1,K34,K34*1000)</f>
        <v>340</v>
      </c>
      <c r="P34">
        <f>ABS(H34)</f>
        <v>2</v>
      </c>
      <c r="R34"/>
    </row>
    <row r="35" spans="1:18" x14ac:dyDescent="0.35">
      <c r="A35" t="s">
        <v>149</v>
      </c>
      <c r="B35" s="2">
        <v>46068</v>
      </c>
      <c r="C35" t="s">
        <v>150</v>
      </c>
      <c r="D35" s="3" t="s">
        <v>99</v>
      </c>
      <c r="E35" t="s">
        <v>34</v>
      </c>
      <c r="F35" t="s">
        <v>89</v>
      </c>
      <c r="G35" t="s">
        <v>90</v>
      </c>
      <c r="H35" s="8">
        <v>2</v>
      </c>
      <c r="I35" s="12" t="s">
        <v>4618</v>
      </c>
      <c r="J35" s="14">
        <f>P35*R35</f>
        <v>160.19999999999999</v>
      </c>
      <c r="K35" s="16">
        <v>640</v>
      </c>
      <c r="L35" s="1" t="s">
        <v>21</v>
      </c>
      <c r="M35" t="s">
        <v>22</v>
      </c>
      <c r="N35" t="str">
        <f t="shared" si="0"/>
        <v>United Kingdom</v>
      </c>
      <c r="O35" s="8">
        <f>IF(K35&gt;=1,K35,K35*1000)</f>
        <v>640</v>
      </c>
      <c r="P35">
        <f>ABS(H35)</f>
        <v>2</v>
      </c>
      <c r="Q35" t="str">
        <f>LEFT(I35,2)</f>
        <v>Â£</v>
      </c>
      <c r="R35" t="str">
        <f>RIGHT(I35,5)</f>
        <v>80,10</v>
      </c>
    </row>
    <row r="36" spans="1:18" x14ac:dyDescent="0.35">
      <c r="A36" t="s">
        <v>153</v>
      </c>
      <c r="B36" s="2">
        <v>46152</v>
      </c>
      <c r="C36" t="s">
        <v>154</v>
      </c>
      <c r="D36" s="3" t="s">
        <v>99</v>
      </c>
      <c r="E36" t="s">
        <v>41</v>
      </c>
      <c r="F36" t="s">
        <v>89</v>
      </c>
      <c r="G36" t="s">
        <v>90</v>
      </c>
      <c r="H36" s="8">
        <v>2</v>
      </c>
      <c r="I36" s="12" t="s">
        <v>4619</v>
      </c>
      <c r="J36" s="14" t="e">
        <f>P36*I36</f>
        <v>#VALUE!</v>
      </c>
      <c r="K36" s="16">
        <v>0.64</v>
      </c>
      <c r="L36" s="1" t="s">
        <v>30</v>
      </c>
      <c r="M36" t="s">
        <v>22</v>
      </c>
      <c r="N36" t="str">
        <f t="shared" si="0"/>
        <v>United Kingdom</v>
      </c>
      <c r="O36" s="8">
        <f>IF(K36&gt;=1,K36,K36*1000)</f>
        <v>640</v>
      </c>
      <c r="P36">
        <f>ABS(H36)</f>
        <v>2</v>
      </c>
      <c r="Q36" t="str">
        <f>LEFT(I36,3)</f>
        <v>GBP</v>
      </c>
      <c r="R36" s="10" t="str">
        <f>RIGHT(I36,5)</f>
        <v>12,50</v>
      </c>
    </row>
    <row r="37" spans="1:18" x14ac:dyDescent="0.35">
      <c r="A37" t="s">
        <v>157</v>
      </c>
      <c r="B37" s="2" t="s">
        <v>158</v>
      </c>
      <c r="C37" t="s">
        <v>159</v>
      </c>
      <c r="D37" s="3" t="s">
        <v>4612</v>
      </c>
      <c r="E37" t="s">
        <v>41</v>
      </c>
      <c r="F37" t="s">
        <v>74</v>
      </c>
      <c r="G37" t="s">
        <v>75</v>
      </c>
      <c r="H37" s="8">
        <v>3</v>
      </c>
      <c r="I37" s="10">
        <v>149</v>
      </c>
      <c r="J37" s="14">
        <f>P37*I37</f>
        <v>447</v>
      </c>
      <c r="K37" s="16">
        <v>410</v>
      </c>
      <c r="L37" s="1" t="s">
        <v>30</v>
      </c>
      <c r="M37" t="s">
        <v>22</v>
      </c>
      <c r="N37" t="str">
        <f t="shared" si="0"/>
        <v>United Kingdom</v>
      </c>
      <c r="O37" s="8">
        <f>IF(K37&gt;=1,K37,K37*1000)</f>
        <v>410</v>
      </c>
      <c r="P37">
        <f>ABS(H37)</f>
        <v>3</v>
      </c>
      <c r="R37"/>
    </row>
    <row r="38" spans="1:18" x14ac:dyDescent="0.35">
      <c r="A38" t="s">
        <v>161</v>
      </c>
      <c r="B38" s="2" t="s">
        <v>162</v>
      </c>
      <c r="C38" t="s">
        <v>163</v>
      </c>
      <c r="D38" s="3" t="s">
        <v>4612</v>
      </c>
      <c r="E38" t="s">
        <v>16</v>
      </c>
      <c r="F38" t="s">
        <v>74</v>
      </c>
      <c r="G38" t="s">
        <v>75</v>
      </c>
      <c r="H38" s="8">
        <v>2</v>
      </c>
      <c r="I38" s="10">
        <v>11.25</v>
      </c>
      <c r="J38" s="14">
        <f>P38*I38</f>
        <v>22.5</v>
      </c>
      <c r="K38" s="16">
        <v>0.41</v>
      </c>
      <c r="L38" s="1" t="s">
        <v>30</v>
      </c>
      <c r="M38" t="s">
        <v>58</v>
      </c>
      <c r="N38" t="str">
        <f t="shared" si="0"/>
        <v>United Kingdom</v>
      </c>
      <c r="O38" s="8">
        <f>IF(K38&gt;=1,K38,K38*1000)</f>
        <v>410</v>
      </c>
      <c r="P38">
        <f>ABS(H38)</f>
        <v>2</v>
      </c>
      <c r="R38"/>
    </row>
    <row r="39" spans="1:18" x14ac:dyDescent="0.35">
      <c r="A39" t="s">
        <v>165</v>
      </c>
      <c r="B39" s="2">
        <v>46111</v>
      </c>
      <c r="C39" t="s">
        <v>166</v>
      </c>
      <c r="D39" s="3" t="s">
        <v>61</v>
      </c>
      <c r="E39" t="s">
        <v>67</v>
      </c>
      <c r="F39" t="s">
        <v>74</v>
      </c>
      <c r="G39" t="s">
        <v>75</v>
      </c>
      <c r="H39" s="8">
        <v>1</v>
      </c>
      <c r="I39" s="10">
        <v>149</v>
      </c>
      <c r="J39" s="14">
        <f>P39*I39</f>
        <v>149</v>
      </c>
      <c r="K39" s="16">
        <v>410</v>
      </c>
      <c r="L39" s="1" t="s">
        <v>30</v>
      </c>
      <c r="M39" t="s">
        <v>58</v>
      </c>
      <c r="N39" t="str">
        <f t="shared" si="0"/>
        <v>Ireland</v>
      </c>
      <c r="O39" s="8">
        <f>IF(K39&gt;=1,K39,K39*1000)</f>
        <v>410</v>
      </c>
      <c r="P39">
        <f>ABS(H39)</f>
        <v>1</v>
      </c>
      <c r="R39"/>
    </row>
    <row r="40" spans="1:18" x14ac:dyDescent="0.35">
      <c r="A40" t="s">
        <v>167</v>
      </c>
      <c r="B40" s="2" t="s">
        <v>168</v>
      </c>
      <c r="C40" t="s">
        <v>169</v>
      </c>
      <c r="D40" s="3" t="s">
        <v>66</v>
      </c>
      <c r="E40" t="s">
        <v>67</v>
      </c>
      <c r="F40" t="s">
        <v>35</v>
      </c>
      <c r="G40" t="s">
        <v>36</v>
      </c>
      <c r="H40" s="8">
        <v>1</v>
      </c>
      <c r="I40" s="10">
        <v>80.099999999999994</v>
      </c>
      <c r="J40" s="14">
        <f>P40*I40</f>
        <v>80.099999999999994</v>
      </c>
      <c r="K40" s="16">
        <v>85</v>
      </c>
      <c r="L40" s="1" t="s">
        <v>30</v>
      </c>
      <c r="M40" t="s">
        <v>22</v>
      </c>
      <c r="N40" t="str">
        <f t="shared" si="0"/>
        <v>Gb</v>
      </c>
      <c r="O40" s="8">
        <f>IF(K40&gt;=1,K40,K40*1000)</f>
        <v>85</v>
      </c>
      <c r="P40">
        <f>ABS(H40)</f>
        <v>1</v>
      </c>
      <c r="R40"/>
    </row>
    <row r="41" spans="1:18" x14ac:dyDescent="0.35">
      <c r="A41" t="s">
        <v>171</v>
      </c>
      <c r="B41" s="2" t="s">
        <v>172</v>
      </c>
      <c r="C41" t="s">
        <v>173</v>
      </c>
      <c r="D41" s="3" t="s">
        <v>4613</v>
      </c>
      <c r="E41" t="s">
        <v>41</v>
      </c>
      <c r="F41" t="s">
        <v>42</v>
      </c>
      <c r="G41" t="s">
        <v>43</v>
      </c>
      <c r="H41" s="8">
        <v>1</v>
      </c>
      <c r="I41" s="10">
        <v>95</v>
      </c>
      <c r="J41" s="14">
        <f>P41*I41</f>
        <v>95</v>
      </c>
      <c r="K41" s="16">
        <v>0.19</v>
      </c>
      <c r="L41" s="1" t="s">
        <v>30</v>
      </c>
      <c r="M41" t="s">
        <v>22</v>
      </c>
      <c r="N41" t="str">
        <f t="shared" si="0"/>
        <v>United Kingdom</v>
      </c>
      <c r="O41" s="8">
        <f>IF(K41&gt;=1,K41,K41*1000)</f>
        <v>190</v>
      </c>
      <c r="P41">
        <f>ABS(H41)</f>
        <v>1</v>
      </c>
      <c r="R41"/>
    </row>
    <row r="42" spans="1:18" x14ac:dyDescent="0.35">
      <c r="A42" t="s">
        <v>174</v>
      </c>
      <c r="B42" s="2">
        <v>46193</v>
      </c>
      <c r="C42" t="s">
        <v>175</v>
      </c>
      <c r="D42" s="3" t="s">
        <v>66</v>
      </c>
      <c r="E42" t="s">
        <v>41</v>
      </c>
      <c r="F42" t="s">
        <v>74</v>
      </c>
      <c r="G42" t="s">
        <v>75</v>
      </c>
      <c r="H42" s="8">
        <v>3</v>
      </c>
      <c r="I42" s="10">
        <v>11.25</v>
      </c>
      <c r="J42" s="14">
        <f>P42*I42</f>
        <v>33.75</v>
      </c>
      <c r="K42" s="16">
        <v>0.41</v>
      </c>
      <c r="L42" s="1" t="s">
        <v>30</v>
      </c>
      <c r="M42" t="s">
        <v>22</v>
      </c>
      <c r="N42" t="str">
        <f t="shared" si="0"/>
        <v>Gb</v>
      </c>
      <c r="O42" s="8">
        <f>IF(K42&gt;=1,K42,K42*1000)</f>
        <v>410</v>
      </c>
      <c r="P42">
        <f>ABS(H42)</f>
        <v>3</v>
      </c>
      <c r="R42"/>
    </row>
    <row r="43" spans="1:18" x14ac:dyDescent="0.35">
      <c r="A43" t="s">
        <v>176</v>
      </c>
      <c r="B43" s="2">
        <v>46169</v>
      </c>
      <c r="C43" t="s">
        <v>177</v>
      </c>
      <c r="D43" s="3" t="s">
        <v>4612</v>
      </c>
      <c r="E43" t="s">
        <v>25</v>
      </c>
      <c r="F43" t="s">
        <v>89</v>
      </c>
      <c r="G43" t="s">
        <v>90</v>
      </c>
      <c r="H43" s="8">
        <v>2</v>
      </c>
      <c r="I43" s="10">
        <v>21.6</v>
      </c>
      <c r="J43" s="14">
        <f>P43*I43</f>
        <v>43.2</v>
      </c>
      <c r="K43" s="16">
        <v>0.64</v>
      </c>
      <c r="L43" s="1" t="s">
        <v>21</v>
      </c>
      <c r="M43" t="s">
        <v>58</v>
      </c>
      <c r="N43" t="str">
        <f t="shared" si="0"/>
        <v>United Kingdom</v>
      </c>
      <c r="O43" s="8">
        <f>IF(K43&gt;=1,K43,K43*1000)</f>
        <v>640</v>
      </c>
      <c r="P43">
        <f>ABS(H43)</f>
        <v>2</v>
      </c>
      <c r="R43"/>
    </row>
    <row r="44" spans="1:18" x14ac:dyDescent="0.35">
      <c r="A44" t="s">
        <v>179</v>
      </c>
      <c r="B44" s="2">
        <v>46056</v>
      </c>
      <c r="C44" t="s">
        <v>180</v>
      </c>
      <c r="D44" s="3" t="s">
        <v>99</v>
      </c>
      <c r="E44" t="s">
        <v>34</v>
      </c>
      <c r="F44" t="s">
        <v>47</v>
      </c>
      <c r="G44" t="s">
        <v>48</v>
      </c>
      <c r="H44" s="8">
        <v>2</v>
      </c>
      <c r="I44" s="10">
        <v>89</v>
      </c>
      <c r="J44" s="14">
        <f>P44*I44</f>
        <v>178</v>
      </c>
      <c r="K44" s="16">
        <v>380</v>
      </c>
      <c r="L44" s="1" t="s">
        <v>30</v>
      </c>
      <c r="M44" t="s">
        <v>22</v>
      </c>
      <c r="N44" t="str">
        <f t="shared" si="0"/>
        <v>United Kingdom</v>
      </c>
      <c r="O44" s="8">
        <f>IF(K44&gt;=1,K44,K44*1000)</f>
        <v>380</v>
      </c>
      <c r="P44">
        <f>ABS(H44)</f>
        <v>2</v>
      </c>
      <c r="R44"/>
    </row>
    <row r="45" spans="1:18" x14ac:dyDescent="0.35">
      <c r="A45" t="s">
        <v>182</v>
      </c>
      <c r="B45" s="2">
        <v>46041</v>
      </c>
      <c r="C45" t="s">
        <v>183</v>
      </c>
      <c r="D45" s="3" t="s">
        <v>4612</v>
      </c>
      <c r="E45" t="s">
        <v>34</v>
      </c>
      <c r="F45" t="s">
        <v>83</v>
      </c>
      <c r="G45" t="s">
        <v>84</v>
      </c>
      <c r="H45" s="8">
        <v>1</v>
      </c>
      <c r="I45" s="12" t="s">
        <v>4620</v>
      </c>
      <c r="J45" s="14">
        <f>P45*R45</f>
        <v>80.099999999999994</v>
      </c>
      <c r="K45" s="16">
        <v>340</v>
      </c>
      <c r="L45" s="1" t="s">
        <v>30</v>
      </c>
      <c r="M45" t="s">
        <v>22</v>
      </c>
      <c r="N45" t="str">
        <f t="shared" si="0"/>
        <v>United Kingdom</v>
      </c>
      <c r="O45" s="8">
        <f>IF(K45&gt;=1,K45,K45*1000)</f>
        <v>340</v>
      </c>
      <c r="P45">
        <f>ABS(H45)</f>
        <v>1</v>
      </c>
      <c r="Q45" t="str">
        <f>LEFT(I45,3)</f>
        <v>GBP</v>
      </c>
      <c r="R45" s="10" t="str">
        <f>RIGHT(I45,5)</f>
        <v>80,10</v>
      </c>
    </row>
    <row r="46" spans="1:18" x14ac:dyDescent="0.35">
      <c r="A46" t="s">
        <v>185</v>
      </c>
      <c r="B46" s="2" t="s">
        <v>186</v>
      </c>
      <c r="C46" t="s">
        <v>187</v>
      </c>
      <c r="D46" s="3" t="s">
        <v>99</v>
      </c>
      <c r="E46" t="s">
        <v>16</v>
      </c>
      <c r="F46" t="s">
        <v>83</v>
      </c>
      <c r="G46" t="s">
        <v>84</v>
      </c>
      <c r="H46" s="8">
        <v>3</v>
      </c>
      <c r="I46" s="10">
        <v>129</v>
      </c>
      <c r="J46" s="14">
        <f>P46*I46</f>
        <v>387</v>
      </c>
      <c r="K46" s="16">
        <v>0.34</v>
      </c>
      <c r="L46" s="1" t="s">
        <v>30</v>
      </c>
      <c r="M46" t="s">
        <v>22</v>
      </c>
      <c r="N46" t="str">
        <f t="shared" si="0"/>
        <v>United Kingdom</v>
      </c>
      <c r="O46" s="8">
        <f>IF(K46&gt;=1,K46,K46*1000)</f>
        <v>340</v>
      </c>
      <c r="P46">
        <f>ABS(H46)</f>
        <v>3</v>
      </c>
      <c r="R46"/>
    </row>
    <row r="47" spans="1:18" x14ac:dyDescent="0.35">
      <c r="A47" t="s">
        <v>188</v>
      </c>
      <c r="B47" s="2">
        <v>46163</v>
      </c>
      <c r="C47" t="s">
        <v>189</v>
      </c>
      <c r="D47" s="3" t="s">
        <v>61</v>
      </c>
      <c r="E47" t="s">
        <v>67</v>
      </c>
      <c r="F47" t="s">
        <v>74</v>
      </c>
      <c r="G47" t="s">
        <v>75</v>
      </c>
      <c r="H47" s="8">
        <v>2</v>
      </c>
      <c r="I47" s="10">
        <v>129</v>
      </c>
      <c r="J47" s="14">
        <f>P47*I47</f>
        <v>258</v>
      </c>
      <c r="K47" s="16">
        <v>0.41</v>
      </c>
      <c r="L47" s="1" t="s">
        <v>30</v>
      </c>
      <c r="M47" t="s">
        <v>22</v>
      </c>
      <c r="N47" t="str">
        <f t="shared" si="0"/>
        <v>Ireland</v>
      </c>
      <c r="O47" s="8">
        <f>IF(K47&gt;=1,K47,K47*1000)</f>
        <v>410</v>
      </c>
      <c r="P47">
        <f>ABS(H47)</f>
        <v>2</v>
      </c>
      <c r="R47"/>
    </row>
    <row r="48" spans="1:18" x14ac:dyDescent="0.35">
      <c r="A48" t="s">
        <v>190</v>
      </c>
      <c r="B48" s="2">
        <v>46105</v>
      </c>
      <c r="C48" t="s">
        <v>191</v>
      </c>
      <c r="D48" s="3" t="s">
        <v>99</v>
      </c>
      <c r="E48" t="s">
        <v>16</v>
      </c>
      <c r="F48" t="s">
        <v>89</v>
      </c>
      <c r="G48" t="s">
        <v>90</v>
      </c>
      <c r="H48" s="8">
        <v>2</v>
      </c>
      <c r="I48" s="12" t="s">
        <v>4621</v>
      </c>
      <c r="J48" s="14">
        <f>P48*R48</f>
        <v>171</v>
      </c>
      <c r="K48" s="16">
        <v>640</v>
      </c>
      <c r="L48" s="1" t="s">
        <v>30</v>
      </c>
      <c r="M48" t="s">
        <v>58</v>
      </c>
      <c r="N48" t="str">
        <f t="shared" si="0"/>
        <v>United Kingdom</v>
      </c>
      <c r="O48" s="8">
        <f>IF(K48&gt;=1,K48,K48*1000)</f>
        <v>640</v>
      </c>
      <c r="P48">
        <f>ABS(H48)</f>
        <v>2</v>
      </c>
      <c r="Q48" t="str">
        <f>LEFT(I48,2)</f>
        <v>Â£</v>
      </c>
      <c r="R48" t="str">
        <f>RIGHT(I48,5)</f>
        <v>85,50</v>
      </c>
    </row>
    <row r="49" spans="1:18" x14ac:dyDescent="0.35">
      <c r="A49" t="s">
        <v>194</v>
      </c>
      <c r="B49" s="2">
        <v>46101</v>
      </c>
      <c r="C49" t="s">
        <v>195</v>
      </c>
      <c r="D49" s="3" t="s">
        <v>61</v>
      </c>
      <c r="E49" t="s">
        <v>67</v>
      </c>
      <c r="F49" t="s">
        <v>74</v>
      </c>
      <c r="G49" t="s">
        <v>75</v>
      </c>
      <c r="H49" s="8">
        <v>1</v>
      </c>
      <c r="I49" s="10">
        <v>89</v>
      </c>
      <c r="J49" s="14">
        <f>P49*I49</f>
        <v>89</v>
      </c>
      <c r="K49" s="16">
        <v>410</v>
      </c>
      <c r="L49" s="1" t="s">
        <v>30</v>
      </c>
      <c r="M49" t="s">
        <v>22</v>
      </c>
      <c r="N49" t="str">
        <f t="shared" si="0"/>
        <v>Ireland</v>
      </c>
      <c r="O49" s="8">
        <f>IF(K49&gt;=1,K49,K49*1000)</f>
        <v>410</v>
      </c>
      <c r="P49">
        <f>ABS(H49)</f>
        <v>1</v>
      </c>
      <c r="R49"/>
    </row>
    <row r="50" spans="1:18" x14ac:dyDescent="0.35">
      <c r="A50" t="s">
        <v>196</v>
      </c>
      <c r="B50" s="2">
        <v>46036</v>
      </c>
      <c r="C50" t="s">
        <v>197</v>
      </c>
      <c r="D50" s="3" t="s">
        <v>116</v>
      </c>
      <c r="E50" t="s">
        <v>34</v>
      </c>
      <c r="F50" t="s">
        <v>83</v>
      </c>
      <c r="G50" t="s">
        <v>84</v>
      </c>
      <c r="H50" s="8">
        <v>1</v>
      </c>
      <c r="I50" s="10">
        <v>95</v>
      </c>
      <c r="J50" s="14">
        <f>P50*I50</f>
        <v>95</v>
      </c>
      <c r="K50" s="16">
        <v>340</v>
      </c>
      <c r="L50" s="1" t="s">
        <v>21</v>
      </c>
      <c r="M50" t="s">
        <v>22</v>
      </c>
      <c r="N50" t="str">
        <f t="shared" si="0"/>
        <v>Germany</v>
      </c>
      <c r="O50" s="8">
        <f>IF(K50&gt;=1,K50,K50*1000)</f>
        <v>340</v>
      </c>
      <c r="P50">
        <f>ABS(H50)</f>
        <v>1</v>
      </c>
      <c r="R50"/>
    </row>
    <row r="51" spans="1:18" x14ac:dyDescent="0.35">
      <c r="A51" t="s">
        <v>198</v>
      </c>
      <c r="B51" s="2">
        <v>46037</v>
      </c>
      <c r="C51" t="s">
        <v>199</v>
      </c>
      <c r="D51" s="3" t="s">
        <v>61</v>
      </c>
      <c r="E51" t="s">
        <v>16</v>
      </c>
      <c r="F51" t="s">
        <v>83</v>
      </c>
      <c r="G51" t="s">
        <v>84</v>
      </c>
      <c r="H51" s="8">
        <v>2</v>
      </c>
      <c r="I51" s="10">
        <v>89</v>
      </c>
      <c r="J51" s="14">
        <f>P51*I51</f>
        <v>178</v>
      </c>
      <c r="K51" s="16">
        <v>340</v>
      </c>
      <c r="L51" s="1" t="s">
        <v>30</v>
      </c>
      <c r="M51" t="s">
        <v>22</v>
      </c>
      <c r="N51" t="str">
        <f t="shared" si="0"/>
        <v>Ireland</v>
      </c>
      <c r="O51" s="8">
        <f>IF(K51&gt;=1,K51,K51*1000)</f>
        <v>340</v>
      </c>
      <c r="P51">
        <f>ABS(H51)</f>
        <v>2</v>
      </c>
      <c r="R51"/>
    </row>
    <row r="52" spans="1:18" x14ac:dyDescent="0.35">
      <c r="A52" t="s">
        <v>200</v>
      </c>
      <c r="B52" s="2">
        <v>46155</v>
      </c>
      <c r="C52" t="s">
        <v>201</v>
      </c>
      <c r="D52" s="3" t="s">
        <v>99</v>
      </c>
      <c r="E52" t="s">
        <v>41</v>
      </c>
      <c r="F52" t="s">
        <v>42</v>
      </c>
      <c r="G52" t="s">
        <v>43</v>
      </c>
      <c r="H52" s="8">
        <v>-1</v>
      </c>
      <c r="I52" s="10">
        <v>149</v>
      </c>
      <c r="J52" s="14">
        <f>P52*I52</f>
        <v>149</v>
      </c>
      <c r="K52" s="16">
        <v>0.19</v>
      </c>
      <c r="L52" s="1" t="s">
        <v>30</v>
      </c>
      <c r="M52" t="s">
        <v>22</v>
      </c>
      <c r="N52" t="str">
        <f t="shared" si="0"/>
        <v>United Kingdom</v>
      </c>
      <c r="O52" s="8">
        <f>IF(K52&gt;=1,K52,K52*1000)</f>
        <v>190</v>
      </c>
      <c r="P52">
        <f>ABS(H52)</f>
        <v>1</v>
      </c>
      <c r="R52"/>
    </row>
    <row r="53" spans="1:18" x14ac:dyDescent="0.35">
      <c r="A53" t="s">
        <v>203</v>
      </c>
      <c r="B53" s="2">
        <v>46192</v>
      </c>
      <c r="C53" t="s">
        <v>204</v>
      </c>
      <c r="D53" s="3" t="s">
        <v>46</v>
      </c>
      <c r="E53" t="s">
        <v>25</v>
      </c>
      <c r="F53" t="s">
        <v>35</v>
      </c>
      <c r="G53" t="s">
        <v>36</v>
      </c>
      <c r="H53" s="8">
        <v>3</v>
      </c>
      <c r="I53" s="10">
        <v>24</v>
      </c>
      <c r="J53" s="14">
        <f>P53*I53</f>
        <v>72</v>
      </c>
      <c r="K53" s="16">
        <v>8.5000000000000006E-2</v>
      </c>
      <c r="L53" s="1" t="s">
        <v>30</v>
      </c>
      <c r="M53" t="s">
        <v>22</v>
      </c>
      <c r="N53" t="str">
        <f t="shared" si="0"/>
        <v>Ireland</v>
      </c>
      <c r="O53" s="8">
        <f>IF(K53&gt;=1,K53,K53*1000)</f>
        <v>85</v>
      </c>
      <c r="P53">
        <f>ABS(H53)</f>
        <v>3</v>
      </c>
      <c r="R53"/>
    </row>
    <row r="54" spans="1:18" x14ac:dyDescent="0.35">
      <c r="A54" t="s">
        <v>206</v>
      </c>
      <c r="B54" s="2">
        <v>46153</v>
      </c>
      <c r="C54" t="s">
        <v>24</v>
      </c>
      <c r="D54" s="3" t="s">
        <v>99</v>
      </c>
      <c r="E54" t="s">
        <v>34</v>
      </c>
      <c r="F54" t="s">
        <v>83</v>
      </c>
      <c r="G54" t="s">
        <v>84</v>
      </c>
      <c r="H54" s="8">
        <v>2</v>
      </c>
      <c r="I54" s="10">
        <v>85.5</v>
      </c>
      <c r="J54" s="14">
        <f>P54*I54</f>
        <v>171</v>
      </c>
      <c r="K54" s="16">
        <v>0.34</v>
      </c>
      <c r="L54" s="1" t="s">
        <v>21</v>
      </c>
      <c r="M54" t="s">
        <v>22</v>
      </c>
      <c r="N54" t="str">
        <f t="shared" si="0"/>
        <v>United Kingdom</v>
      </c>
      <c r="O54" s="8">
        <f>IF(K54&gt;=1,K54,K54*1000)</f>
        <v>340</v>
      </c>
      <c r="P54">
        <f>ABS(H54)</f>
        <v>2</v>
      </c>
      <c r="R54"/>
    </row>
    <row r="55" spans="1:18" x14ac:dyDescent="0.35">
      <c r="A55" t="s">
        <v>207</v>
      </c>
      <c r="B55" s="2">
        <v>46168</v>
      </c>
      <c r="C55" t="s">
        <v>208</v>
      </c>
      <c r="D55" s="3" t="s">
        <v>99</v>
      </c>
      <c r="E55" t="s">
        <v>41</v>
      </c>
      <c r="F55" t="s">
        <v>74</v>
      </c>
      <c r="G55" t="s">
        <v>75</v>
      </c>
      <c r="H55" s="8">
        <v>3</v>
      </c>
      <c r="I55" s="10">
        <v>24</v>
      </c>
      <c r="J55" s="14">
        <f>P55*I55</f>
        <v>72</v>
      </c>
      <c r="K55" s="16">
        <v>0.41</v>
      </c>
      <c r="L55" s="1" t="s">
        <v>30</v>
      </c>
      <c r="M55" t="s">
        <v>58</v>
      </c>
      <c r="N55" t="str">
        <f t="shared" si="0"/>
        <v>United Kingdom</v>
      </c>
      <c r="O55" s="8">
        <f>IF(K55&gt;=1,K55,K55*1000)</f>
        <v>410</v>
      </c>
      <c r="P55">
        <f>ABS(H55)</f>
        <v>3</v>
      </c>
      <c r="R55"/>
    </row>
    <row r="56" spans="1:18" x14ac:dyDescent="0.35">
      <c r="A56" t="s">
        <v>209</v>
      </c>
      <c r="B56" s="2">
        <v>46038</v>
      </c>
      <c r="C56" t="s">
        <v>210</v>
      </c>
      <c r="D56" s="3" t="s">
        <v>4613</v>
      </c>
      <c r="E56" t="s">
        <v>16</v>
      </c>
      <c r="F56" t="s">
        <v>47</v>
      </c>
      <c r="G56" t="s">
        <v>48</v>
      </c>
      <c r="H56" s="8">
        <v>1</v>
      </c>
      <c r="I56" s="10">
        <v>11.25</v>
      </c>
      <c r="J56" s="14">
        <f>P56*I56</f>
        <v>11.25</v>
      </c>
      <c r="K56" s="16">
        <v>380</v>
      </c>
      <c r="L56" s="1" t="s">
        <v>30</v>
      </c>
      <c r="M56" t="s">
        <v>22</v>
      </c>
      <c r="N56" t="str">
        <f t="shared" si="0"/>
        <v>United Kingdom</v>
      </c>
      <c r="O56" s="8">
        <f>IF(K56&gt;=1,K56,K56*1000)</f>
        <v>380</v>
      </c>
      <c r="P56">
        <f>ABS(H56)</f>
        <v>1</v>
      </c>
      <c r="R56"/>
    </row>
    <row r="57" spans="1:18" x14ac:dyDescent="0.35">
      <c r="A57" t="s">
        <v>211</v>
      </c>
      <c r="B57" s="2">
        <v>46119</v>
      </c>
      <c r="C57" t="s">
        <v>212</v>
      </c>
      <c r="D57" s="3" t="s">
        <v>4612</v>
      </c>
      <c r="E57" t="s">
        <v>67</v>
      </c>
      <c r="F57" t="s">
        <v>26</v>
      </c>
      <c r="G57" t="s">
        <v>27</v>
      </c>
      <c r="H57" s="8">
        <v>2</v>
      </c>
      <c r="I57" s="10">
        <v>11.25</v>
      </c>
      <c r="J57" s="14">
        <f>P57*I57</f>
        <v>22.5</v>
      </c>
      <c r="K57" s="16">
        <v>520</v>
      </c>
      <c r="L57" s="1" t="s">
        <v>30</v>
      </c>
      <c r="M57" t="s">
        <v>22</v>
      </c>
      <c r="N57" t="str">
        <f t="shared" si="0"/>
        <v>United Kingdom</v>
      </c>
      <c r="O57" s="8">
        <f>IF(K57&gt;=1,K57,K57*1000)</f>
        <v>520</v>
      </c>
      <c r="P57">
        <f>ABS(H57)</f>
        <v>2</v>
      </c>
      <c r="R57"/>
    </row>
    <row r="58" spans="1:18" x14ac:dyDescent="0.35">
      <c r="A58" t="s">
        <v>213</v>
      </c>
      <c r="B58" s="2">
        <v>46136</v>
      </c>
      <c r="C58" t="s">
        <v>214</v>
      </c>
      <c r="D58" s="3" t="s">
        <v>4613</v>
      </c>
      <c r="E58" t="s">
        <v>41</v>
      </c>
      <c r="F58" t="s">
        <v>17</v>
      </c>
      <c r="G58" t="s">
        <v>18</v>
      </c>
      <c r="H58" s="8">
        <v>2</v>
      </c>
      <c r="I58" s="10">
        <v>95</v>
      </c>
      <c r="J58" s="14">
        <f>P58*I58</f>
        <v>190</v>
      </c>
      <c r="K58" s="16">
        <v>0.52</v>
      </c>
      <c r="L58" s="1" t="s">
        <v>30</v>
      </c>
      <c r="M58" t="s">
        <v>22</v>
      </c>
      <c r="N58" t="str">
        <f t="shared" si="0"/>
        <v>United Kingdom</v>
      </c>
      <c r="O58" s="8">
        <f>IF(K58&gt;=1,K58,K58*1000)</f>
        <v>520</v>
      </c>
      <c r="P58">
        <f>ABS(H58)</f>
        <v>2</v>
      </c>
      <c r="R58"/>
    </row>
    <row r="59" spans="1:18" x14ac:dyDescent="0.35">
      <c r="A59" t="s">
        <v>215</v>
      </c>
      <c r="B59" s="2">
        <v>46087</v>
      </c>
      <c r="C59" t="s">
        <v>216</v>
      </c>
      <c r="D59" s="3" t="s">
        <v>61</v>
      </c>
      <c r="E59" t="s">
        <v>16</v>
      </c>
      <c r="F59" t="s">
        <v>26</v>
      </c>
      <c r="G59" t="s">
        <v>27</v>
      </c>
      <c r="H59" s="8">
        <v>1</v>
      </c>
      <c r="I59" s="12" t="s">
        <v>4622</v>
      </c>
      <c r="J59" s="14">
        <f>P59*R59</f>
        <v>16.100000000000001</v>
      </c>
      <c r="K59" s="16">
        <v>520</v>
      </c>
      <c r="L59" s="1" t="s">
        <v>21</v>
      </c>
      <c r="M59" t="s">
        <v>22</v>
      </c>
      <c r="N59" t="str">
        <f t="shared" si="0"/>
        <v>Ireland</v>
      </c>
      <c r="O59" s="8">
        <f>IF(K59&gt;=1,K59,K59*1000)</f>
        <v>520</v>
      </c>
      <c r="P59">
        <f>ABS(H59)</f>
        <v>1</v>
      </c>
      <c r="Q59" t="str">
        <f>LEFT(I59,2)</f>
        <v>Â£</v>
      </c>
      <c r="R59" t="str">
        <f>RIGHT(I59,5)</f>
        <v>16,10</v>
      </c>
    </row>
    <row r="60" spans="1:18" x14ac:dyDescent="0.35">
      <c r="A60" t="s">
        <v>218</v>
      </c>
      <c r="B60" s="2">
        <v>46150</v>
      </c>
      <c r="C60" t="s">
        <v>219</v>
      </c>
      <c r="D60" s="3" t="s">
        <v>46</v>
      </c>
      <c r="E60" t="s">
        <v>16</v>
      </c>
      <c r="F60" t="s">
        <v>89</v>
      </c>
      <c r="G60" t="s">
        <v>90</v>
      </c>
      <c r="H60" s="8">
        <v>2</v>
      </c>
      <c r="I60" s="10">
        <v>40.5</v>
      </c>
      <c r="J60" s="14">
        <f>P60*I60</f>
        <v>81</v>
      </c>
      <c r="K60" s="16">
        <v>0.64</v>
      </c>
      <c r="L60" s="1" t="s">
        <v>30</v>
      </c>
      <c r="M60" t="s">
        <v>22</v>
      </c>
      <c r="N60" t="str">
        <f t="shared" si="0"/>
        <v>Ireland</v>
      </c>
      <c r="O60" s="8">
        <f>IF(K60&gt;=1,K60,K60*1000)</f>
        <v>640</v>
      </c>
      <c r="P60">
        <f>ABS(H60)</f>
        <v>2</v>
      </c>
      <c r="R60"/>
    </row>
    <row r="61" spans="1:18" x14ac:dyDescent="0.35">
      <c r="A61" t="s">
        <v>222</v>
      </c>
      <c r="B61" s="2">
        <v>46201</v>
      </c>
      <c r="C61" t="s">
        <v>223</v>
      </c>
      <c r="D61" s="3" t="s">
        <v>4612</v>
      </c>
      <c r="E61" t="s">
        <v>41</v>
      </c>
      <c r="F61" t="s">
        <v>26</v>
      </c>
      <c r="G61" t="s">
        <v>27</v>
      </c>
      <c r="H61" s="8">
        <v>1</v>
      </c>
      <c r="I61" s="10">
        <v>85.5</v>
      </c>
      <c r="J61" s="14">
        <f>P61*I61</f>
        <v>85.5</v>
      </c>
      <c r="K61" s="16">
        <v>0.52</v>
      </c>
      <c r="L61" s="1" t="s">
        <v>21</v>
      </c>
      <c r="M61" t="s">
        <v>22</v>
      </c>
      <c r="N61" t="str">
        <f t="shared" si="0"/>
        <v>United Kingdom</v>
      </c>
      <c r="O61" s="8">
        <f>IF(K61&gt;=1,K61,K61*1000)</f>
        <v>520</v>
      </c>
      <c r="P61">
        <f>ABS(H61)</f>
        <v>1</v>
      </c>
      <c r="R61"/>
    </row>
    <row r="62" spans="1:18" x14ac:dyDescent="0.35">
      <c r="A62" t="s">
        <v>224</v>
      </c>
      <c r="B62" s="2">
        <v>46205</v>
      </c>
      <c r="C62" t="s">
        <v>225</v>
      </c>
      <c r="D62" s="3" t="s">
        <v>66</v>
      </c>
      <c r="E62" t="s">
        <v>16</v>
      </c>
      <c r="F62" t="s">
        <v>35</v>
      </c>
      <c r="G62" t="s">
        <v>36</v>
      </c>
      <c r="H62" s="8">
        <v>2</v>
      </c>
      <c r="I62" s="10">
        <v>40.5</v>
      </c>
      <c r="J62" s="14">
        <f>P62*I62</f>
        <v>81</v>
      </c>
      <c r="K62" s="16">
        <v>8.5000000000000006E-2</v>
      </c>
      <c r="L62" s="1" t="s">
        <v>30</v>
      </c>
      <c r="M62" t="s">
        <v>58</v>
      </c>
      <c r="N62" t="str">
        <f t="shared" si="0"/>
        <v>Gb</v>
      </c>
      <c r="O62" s="8">
        <f>IF(K62&gt;=1,K62,K62*1000)</f>
        <v>85</v>
      </c>
      <c r="P62">
        <f>ABS(H62)</f>
        <v>2</v>
      </c>
      <c r="R62"/>
    </row>
    <row r="63" spans="1:18" x14ac:dyDescent="0.35">
      <c r="A63" t="s">
        <v>226</v>
      </c>
      <c r="B63" s="2">
        <v>46143</v>
      </c>
      <c r="C63" t="s">
        <v>227</v>
      </c>
      <c r="D63" s="3" t="s">
        <v>4613</v>
      </c>
      <c r="E63" t="s">
        <v>41</v>
      </c>
      <c r="F63" t="s">
        <v>17</v>
      </c>
      <c r="G63" t="s">
        <v>18</v>
      </c>
      <c r="H63" s="8">
        <v>2</v>
      </c>
      <c r="I63" s="10">
        <v>85.5</v>
      </c>
      <c r="J63" s="14">
        <f>P63*I63</f>
        <v>171</v>
      </c>
      <c r="K63" s="16">
        <v>0.52</v>
      </c>
      <c r="L63" s="1" t="s">
        <v>30</v>
      </c>
      <c r="M63" t="s">
        <v>22</v>
      </c>
      <c r="N63" t="str">
        <f t="shared" si="0"/>
        <v>United Kingdom</v>
      </c>
      <c r="O63" s="8">
        <f>IF(K63&gt;=1,K63,K63*1000)</f>
        <v>520</v>
      </c>
      <c r="P63">
        <f>ABS(H63)</f>
        <v>2</v>
      </c>
      <c r="R63"/>
    </row>
    <row r="64" spans="1:18" x14ac:dyDescent="0.35">
      <c r="A64" t="s">
        <v>228</v>
      </c>
      <c r="B64" s="2">
        <v>46042</v>
      </c>
      <c r="C64" t="s">
        <v>229</v>
      </c>
      <c r="D64" s="3" t="s">
        <v>116</v>
      </c>
      <c r="E64" t="s">
        <v>41</v>
      </c>
      <c r="F64" t="s">
        <v>83</v>
      </c>
      <c r="G64" t="s">
        <v>84</v>
      </c>
      <c r="H64" s="8">
        <v>3</v>
      </c>
      <c r="I64" s="10">
        <v>11.25</v>
      </c>
      <c r="J64" s="14">
        <f>P64*I64</f>
        <v>33.75</v>
      </c>
      <c r="K64" s="16">
        <v>340</v>
      </c>
      <c r="L64" s="1" t="s">
        <v>30</v>
      </c>
      <c r="M64" t="s">
        <v>22</v>
      </c>
      <c r="N64" t="str">
        <f t="shared" si="0"/>
        <v>Germany</v>
      </c>
      <c r="O64" s="8">
        <f>IF(K64&gt;=1,K64,K64*1000)</f>
        <v>340</v>
      </c>
      <c r="P64">
        <f>ABS(H64)</f>
        <v>3</v>
      </c>
      <c r="R64"/>
    </row>
    <row r="65" spans="1:18" x14ac:dyDescent="0.35">
      <c r="A65" t="s">
        <v>230</v>
      </c>
      <c r="B65" s="2">
        <v>46063</v>
      </c>
      <c r="C65" t="s">
        <v>231</v>
      </c>
      <c r="D65" s="3" t="s">
        <v>66</v>
      </c>
      <c r="E65" t="s">
        <v>16</v>
      </c>
      <c r="F65" t="s">
        <v>17</v>
      </c>
      <c r="G65" t="s">
        <v>18</v>
      </c>
      <c r="H65" s="8">
        <v>3</v>
      </c>
      <c r="I65" s="10">
        <v>79</v>
      </c>
      <c r="J65" s="14">
        <f>P65*I65</f>
        <v>237</v>
      </c>
      <c r="K65" s="16">
        <v>520</v>
      </c>
      <c r="L65" s="1" t="s">
        <v>30</v>
      </c>
      <c r="M65" t="s">
        <v>22</v>
      </c>
      <c r="N65" t="str">
        <f t="shared" si="0"/>
        <v>Gb</v>
      </c>
      <c r="O65" s="8">
        <f>IF(K65&gt;=1,K65,K65*1000)</f>
        <v>520</v>
      </c>
      <c r="P65">
        <f>ABS(H65)</f>
        <v>3</v>
      </c>
      <c r="R65"/>
    </row>
    <row r="66" spans="1:18" x14ac:dyDescent="0.35">
      <c r="A66" t="s">
        <v>233</v>
      </c>
      <c r="B66" s="2">
        <v>46270</v>
      </c>
      <c r="C66" t="s">
        <v>234</v>
      </c>
      <c r="D66" s="3" t="s">
        <v>15</v>
      </c>
      <c r="E66" t="s">
        <v>67</v>
      </c>
      <c r="F66" t="s">
        <v>83</v>
      </c>
      <c r="G66" t="s">
        <v>84</v>
      </c>
      <c r="H66" s="8">
        <v>3</v>
      </c>
      <c r="I66" s="10">
        <v>89</v>
      </c>
      <c r="J66" s="14">
        <f>P66*I66</f>
        <v>267</v>
      </c>
      <c r="K66" s="16">
        <v>0.34</v>
      </c>
      <c r="L66" s="1" t="s">
        <v>30</v>
      </c>
      <c r="M66" t="s">
        <v>22</v>
      </c>
      <c r="N66" t="str">
        <f t="shared" si="0"/>
        <v>France</v>
      </c>
      <c r="O66" s="8">
        <f>IF(K66&gt;=1,K66,K66*1000)</f>
        <v>340</v>
      </c>
      <c r="P66">
        <f>ABS(H66)</f>
        <v>3</v>
      </c>
      <c r="R66"/>
    </row>
    <row r="67" spans="1:18" x14ac:dyDescent="0.35">
      <c r="A67" t="s">
        <v>235</v>
      </c>
      <c r="B67" s="2" t="s">
        <v>236</v>
      </c>
      <c r="C67" t="s">
        <v>237</v>
      </c>
      <c r="D67" s="3" t="s">
        <v>15</v>
      </c>
      <c r="E67" t="s">
        <v>16</v>
      </c>
      <c r="F67" t="s">
        <v>74</v>
      </c>
      <c r="G67" t="s">
        <v>75</v>
      </c>
      <c r="H67" s="8">
        <v>2</v>
      </c>
      <c r="I67" s="10">
        <v>45</v>
      </c>
      <c r="J67" s="14">
        <f>P67*I67</f>
        <v>90</v>
      </c>
      <c r="K67" s="16">
        <v>410</v>
      </c>
      <c r="L67" s="1" t="s">
        <v>30</v>
      </c>
      <c r="M67" t="s">
        <v>22</v>
      </c>
      <c r="N67" t="str">
        <f t="shared" ref="N67:N130" si="1">PROPER(TRIM(D67))</f>
        <v>France</v>
      </c>
      <c r="O67" s="8">
        <f>IF(K67&gt;=1,K67,K67*1000)</f>
        <v>410</v>
      </c>
      <c r="P67">
        <f>ABS(H67)</f>
        <v>2</v>
      </c>
      <c r="R67"/>
    </row>
    <row r="68" spans="1:18" x14ac:dyDescent="0.35">
      <c r="A68" t="s">
        <v>239</v>
      </c>
      <c r="B68" s="2">
        <v>46161</v>
      </c>
      <c r="C68" t="s">
        <v>240</v>
      </c>
      <c r="D68" s="3" t="s">
        <v>99</v>
      </c>
      <c r="E68" t="s">
        <v>41</v>
      </c>
      <c r="F68" t="s">
        <v>74</v>
      </c>
      <c r="G68" t="s">
        <v>75</v>
      </c>
      <c r="H68" s="8">
        <v>3</v>
      </c>
      <c r="I68" s="10">
        <v>129</v>
      </c>
      <c r="J68" s="14">
        <f>P68*I68</f>
        <v>387</v>
      </c>
      <c r="K68" s="16">
        <v>0.41</v>
      </c>
      <c r="L68" s="1" t="s">
        <v>30</v>
      </c>
      <c r="M68" t="s">
        <v>22</v>
      </c>
      <c r="N68" t="str">
        <f t="shared" si="1"/>
        <v>United Kingdom</v>
      </c>
      <c r="O68" s="8">
        <f>IF(K68&gt;=1,K68,K68*1000)</f>
        <v>410</v>
      </c>
      <c r="P68">
        <f>ABS(H68)</f>
        <v>3</v>
      </c>
      <c r="R68"/>
    </row>
    <row r="69" spans="1:18" x14ac:dyDescent="0.35">
      <c r="A69" t="s">
        <v>241</v>
      </c>
      <c r="B69" s="2" t="s">
        <v>242</v>
      </c>
      <c r="C69" t="s">
        <v>243</v>
      </c>
      <c r="D69" s="3" t="s">
        <v>15</v>
      </c>
      <c r="E69" t="s">
        <v>67</v>
      </c>
      <c r="F69" t="s">
        <v>47</v>
      </c>
      <c r="G69" t="s">
        <v>48</v>
      </c>
      <c r="H69" s="8">
        <v>2</v>
      </c>
      <c r="I69" s="10">
        <v>129</v>
      </c>
      <c r="J69" s="14">
        <f>P69*I69</f>
        <v>258</v>
      </c>
      <c r="K69" s="16">
        <v>0.38</v>
      </c>
      <c r="L69" s="1" t="s">
        <v>30</v>
      </c>
      <c r="M69" t="s">
        <v>58</v>
      </c>
      <c r="N69" t="str">
        <f t="shared" si="1"/>
        <v>France</v>
      </c>
      <c r="O69" s="8">
        <f>IF(K69&gt;=1,K69,K69*1000)</f>
        <v>380</v>
      </c>
      <c r="P69">
        <f>ABS(H69)</f>
        <v>2</v>
      </c>
      <c r="R69"/>
    </row>
    <row r="70" spans="1:18" x14ac:dyDescent="0.35">
      <c r="A70" t="s">
        <v>244</v>
      </c>
      <c r="B70" s="2">
        <v>46168</v>
      </c>
      <c r="C70" t="s">
        <v>245</v>
      </c>
      <c r="D70" s="3" t="s">
        <v>46</v>
      </c>
      <c r="E70" t="s">
        <v>67</v>
      </c>
      <c r="F70" t="s">
        <v>35</v>
      </c>
      <c r="G70" t="s">
        <v>36</v>
      </c>
      <c r="H70" s="8">
        <v>1</v>
      </c>
      <c r="I70" s="10">
        <v>116.1</v>
      </c>
      <c r="J70" s="14">
        <f>P70*I70</f>
        <v>116.1</v>
      </c>
      <c r="K70" s="16">
        <v>8.5000000000000006E-2</v>
      </c>
      <c r="L70" s="1" t="s">
        <v>30</v>
      </c>
      <c r="M70" t="s">
        <v>22</v>
      </c>
      <c r="N70" t="str">
        <f t="shared" si="1"/>
        <v>Ireland</v>
      </c>
      <c r="O70" s="8">
        <f>IF(K70&gt;=1,K70,K70*1000)</f>
        <v>85</v>
      </c>
      <c r="P70">
        <f>ABS(H70)</f>
        <v>1</v>
      </c>
      <c r="R70"/>
    </row>
    <row r="71" spans="1:18" x14ac:dyDescent="0.35">
      <c r="A71" t="s">
        <v>246</v>
      </c>
      <c r="B71" s="2">
        <v>46100</v>
      </c>
      <c r="C71" t="s">
        <v>247</v>
      </c>
      <c r="D71" s="3" t="s">
        <v>53</v>
      </c>
      <c r="E71" t="s">
        <v>16</v>
      </c>
      <c r="F71" t="s">
        <v>47</v>
      </c>
      <c r="G71" t="s">
        <v>48</v>
      </c>
      <c r="H71" s="8">
        <v>2</v>
      </c>
      <c r="I71" s="10">
        <v>24</v>
      </c>
      <c r="J71" s="14">
        <f>P71*I71</f>
        <v>48</v>
      </c>
      <c r="K71" s="16">
        <v>380</v>
      </c>
      <c r="L71" s="1" t="s">
        <v>21</v>
      </c>
      <c r="M71" t="s">
        <v>22</v>
      </c>
      <c r="N71" t="str">
        <f t="shared" si="1"/>
        <v>Gb</v>
      </c>
      <c r="O71" s="8">
        <f>IF(K71&gt;=1,K71,K71*1000)</f>
        <v>380</v>
      </c>
      <c r="P71">
        <f>ABS(H71)</f>
        <v>2</v>
      </c>
      <c r="R71"/>
    </row>
    <row r="72" spans="1:18" x14ac:dyDescent="0.35">
      <c r="A72" t="s">
        <v>249</v>
      </c>
      <c r="B72" s="2">
        <v>46112</v>
      </c>
      <c r="C72" t="s">
        <v>250</v>
      </c>
      <c r="D72" s="3" t="s">
        <v>99</v>
      </c>
      <c r="E72" t="s">
        <v>25</v>
      </c>
      <c r="F72" t="s">
        <v>42</v>
      </c>
      <c r="G72" t="s">
        <v>43</v>
      </c>
      <c r="H72" s="8">
        <v>1</v>
      </c>
      <c r="I72" s="10">
        <v>129</v>
      </c>
      <c r="J72" s="14">
        <f>P72*I72</f>
        <v>129</v>
      </c>
      <c r="K72" s="16">
        <v>190</v>
      </c>
      <c r="L72" s="1" t="s">
        <v>30</v>
      </c>
      <c r="M72" t="s">
        <v>58</v>
      </c>
      <c r="N72" t="str">
        <f t="shared" si="1"/>
        <v>United Kingdom</v>
      </c>
      <c r="O72" s="8">
        <f>IF(K72&gt;=1,K72,K72*1000)</f>
        <v>190</v>
      </c>
      <c r="P72">
        <f>ABS(H72)</f>
        <v>1</v>
      </c>
      <c r="R72"/>
    </row>
    <row r="73" spans="1:18" x14ac:dyDescent="0.35">
      <c r="A73" t="s">
        <v>252</v>
      </c>
      <c r="B73" s="2">
        <v>46158</v>
      </c>
      <c r="C73" t="s">
        <v>253</v>
      </c>
      <c r="D73" s="3" t="s">
        <v>46</v>
      </c>
      <c r="E73" t="s">
        <v>25</v>
      </c>
      <c r="F73" t="s">
        <v>74</v>
      </c>
      <c r="G73" t="s">
        <v>75</v>
      </c>
      <c r="H73" s="8">
        <v>1</v>
      </c>
      <c r="I73" s="10">
        <v>12.5</v>
      </c>
      <c r="J73" s="14">
        <f>P73*I73</f>
        <v>12.5</v>
      </c>
      <c r="K73" s="16">
        <v>0.41</v>
      </c>
      <c r="L73" s="1" t="s">
        <v>30</v>
      </c>
      <c r="M73" t="s">
        <v>22</v>
      </c>
      <c r="N73" t="str">
        <f t="shared" si="1"/>
        <v>Ireland</v>
      </c>
      <c r="O73" s="8">
        <f>IF(K73&gt;=1,K73,K73*1000)</f>
        <v>410</v>
      </c>
      <c r="P73">
        <f>ABS(H73)</f>
        <v>1</v>
      </c>
      <c r="R73"/>
    </row>
    <row r="74" spans="1:18" x14ac:dyDescent="0.35">
      <c r="A74" t="s">
        <v>255</v>
      </c>
      <c r="B74" s="2">
        <v>46161</v>
      </c>
      <c r="C74" t="s">
        <v>256</v>
      </c>
      <c r="D74" s="3" t="s">
        <v>4612</v>
      </c>
      <c r="E74" t="s">
        <v>25</v>
      </c>
      <c r="F74" t="s">
        <v>83</v>
      </c>
      <c r="G74" t="s">
        <v>84</v>
      </c>
      <c r="H74" s="8">
        <v>3</v>
      </c>
      <c r="I74" s="10">
        <v>21.6</v>
      </c>
      <c r="J74" s="14">
        <f>P74*I74</f>
        <v>64.800000000000011</v>
      </c>
      <c r="K74" s="16">
        <v>0.34</v>
      </c>
      <c r="L74" s="1" t="s">
        <v>30</v>
      </c>
      <c r="M74" t="s">
        <v>22</v>
      </c>
      <c r="N74" t="str">
        <f t="shared" si="1"/>
        <v>United Kingdom</v>
      </c>
      <c r="O74" s="8">
        <f>IF(K74&gt;=1,K74,K74*1000)</f>
        <v>340</v>
      </c>
      <c r="P74">
        <f>ABS(H74)</f>
        <v>3</v>
      </c>
      <c r="R74"/>
    </row>
    <row r="75" spans="1:18" x14ac:dyDescent="0.35">
      <c r="A75" t="s">
        <v>258</v>
      </c>
      <c r="B75" s="2" t="s">
        <v>259</v>
      </c>
      <c r="C75" t="s">
        <v>260</v>
      </c>
      <c r="D75" s="3" t="s">
        <v>46</v>
      </c>
      <c r="E75" t="s">
        <v>41</v>
      </c>
      <c r="F75" t="s">
        <v>42</v>
      </c>
      <c r="G75" t="s">
        <v>43</v>
      </c>
      <c r="H75" s="8">
        <v>1</v>
      </c>
      <c r="I75" s="10">
        <v>149</v>
      </c>
      <c r="J75" s="14">
        <f>P75*I75</f>
        <v>149</v>
      </c>
      <c r="K75" s="16">
        <v>0.19</v>
      </c>
      <c r="L75" s="1" t="s">
        <v>30</v>
      </c>
      <c r="M75" t="s">
        <v>22</v>
      </c>
      <c r="N75" t="str">
        <f t="shared" si="1"/>
        <v>Ireland</v>
      </c>
      <c r="O75" s="8">
        <f>IF(K75&gt;=1,K75,K75*1000)</f>
        <v>190</v>
      </c>
      <c r="P75">
        <f>ABS(H75)</f>
        <v>1</v>
      </c>
      <c r="R75"/>
    </row>
    <row r="76" spans="1:18" x14ac:dyDescent="0.35">
      <c r="A76" t="s">
        <v>261</v>
      </c>
      <c r="B76" s="2">
        <v>46072</v>
      </c>
      <c r="C76" t="s">
        <v>227</v>
      </c>
      <c r="D76" s="3" t="s">
        <v>99</v>
      </c>
      <c r="E76" t="s">
        <v>25</v>
      </c>
      <c r="F76" t="s">
        <v>35</v>
      </c>
      <c r="G76" t="s">
        <v>36</v>
      </c>
      <c r="H76" s="8">
        <v>1</v>
      </c>
      <c r="I76" s="10">
        <v>79</v>
      </c>
      <c r="J76" s="14">
        <f>P76*I76</f>
        <v>79</v>
      </c>
      <c r="K76" s="16">
        <v>85</v>
      </c>
      <c r="L76" s="1" t="s">
        <v>30</v>
      </c>
      <c r="M76" t="s">
        <v>22</v>
      </c>
      <c r="N76" t="str">
        <f t="shared" si="1"/>
        <v>United Kingdom</v>
      </c>
      <c r="O76" s="8">
        <f>IF(K76&gt;=1,K76,K76*1000)</f>
        <v>85</v>
      </c>
      <c r="P76">
        <f>ABS(H76)</f>
        <v>1</v>
      </c>
      <c r="R76"/>
    </row>
    <row r="77" spans="1:18" x14ac:dyDescent="0.35">
      <c r="A77" t="s">
        <v>262</v>
      </c>
      <c r="B77" s="2">
        <v>46082</v>
      </c>
      <c r="C77" t="s">
        <v>263</v>
      </c>
      <c r="D77" s="3" t="s">
        <v>15</v>
      </c>
      <c r="E77" t="s">
        <v>41</v>
      </c>
      <c r="F77" t="s">
        <v>89</v>
      </c>
      <c r="G77" t="s">
        <v>90</v>
      </c>
      <c r="H77" s="8">
        <v>1</v>
      </c>
      <c r="I77" s="10">
        <v>24</v>
      </c>
      <c r="J77" s="14">
        <f>P77*I77</f>
        <v>24</v>
      </c>
      <c r="K77" s="16">
        <v>640</v>
      </c>
      <c r="L77" s="1" t="s">
        <v>30</v>
      </c>
      <c r="M77" t="s">
        <v>22</v>
      </c>
      <c r="N77" t="str">
        <f t="shared" si="1"/>
        <v>France</v>
      </c>
      <c r="O77" s="8">
        <f>IF(K77&gt;=1,K77,K77*1000)</f>
        <v>640</v>
      </c>
      <c r="P77">
        <f>ABS(H77)</f>
        <v>1</v>
      </c>
      <c r="R77"/>
    </row>
    <row r="78" spans="1:18" x14ac:dyDescent="0.35">
      <c r="A78" t="s">
        <v>264</v>
      </c>
      <c r="B78" s="2">
        <v>46036</v>
      </c>
      <c r="C78" t="s">
        <v>265</v>
      </c>
      <c r="D78" s="3" t="s">
        <v>4612</v>
      </c>
      <c r="E78" t="s">
        <v>41</v>
      </c>
      <c r="F78" t="s">
        <v>17</v>
      </c>
      <c r="G78" t="s">
        <v>18</v>
      </c>
      <c r="H78" s="8">
        <v>2</v>
      </c>
      <c r="I78" s="12" t="s">
        <v>4623</v>
      </c>
      <c r="J78" s="14">
        <f>P78*R78</f>
        <v>32.200000000000003</v>
      </c>
      <c r="K78" s="16">
        <v>520</v>
      </c>
      <c r="L78" s="1" t="s">
        <v>30</v>
      </c>
      <c r="M78" t="s">
        <v>58</v>
      </c>
      <c r="N78" t="str">
        <f t="shared" si="1"/>
        <v>United Kingdom</v>
      </c>
      <c r="O78" s="8">
        <f>IF(K78&gt;=1,K78,K78*1000)</f>
        <v>520</v>
      </c>
      <c r="P78">
        <f>ABS(H78)</f>
        <v>2</v>
      </c>
      <c r="Q78" t="str">
        <f>LEFT(I78,3)</f>
        <v>GBP</v>
      </c>
      <c r="R78" s="10" t="str">
        <f>RIGHT(I78,5)</f>
        <v>16,10</v>
      </c>
    </row>
    <row r="79" spans="1:18" x14ac:dyDescent="0.35">
      <c r="A79" t="s">
        <v>268</v>
      </c>
      <c r="B79" s="2">
        <v>46149</v>
      </c>
      <c r="C79" t="s">
        <v>269</v>
      </c>
      <c r="D79" s="3" t="s">
        <v>4613</v>
      </c>
      <c r="E79" t="s">
        <v>34</v>
      </c>
      <c r="F79" t="s">
        <v>42</v>
      </c>
      <c r="G79" t="s">
        <v>43</v>
      </c>
      <c r="H79" s="8">
        <v>1</v>
      </c>
      <c r="I79" s="10">
        <v>85.5</v>
      </c>
      <c r="J79" s="14">
        <f>P79*I79</f>
        <v>85.5</v>
      </c>
      <c r="K79" s="16">
        <v>0.19</v>
      </c>
      <c r="L79" s="1" t="s">
        <v>30</v>
      </c>
      <c r="M79" t="s">
        <v>22</v>
      </c>
      <c r="N79" t="str">
        <f t="shared" si="1"/>
        <v>United Kingdom</v>
      </c>
      <c r="O79" s="8">
        <f>IF(K79&gt;=1,K79,K79*1000)</f>
        <v>190</v>
      </c>
      <c r="P79">
        <f>ABS(H79)</f>
        <v>1</v>
      </c>
      <c r="R79"/>
    </row>
    <row r="80" spans="1:18" x14ac:dyDescent="0.35">
      <c r="A80" t="s">
        <v>270</v>
      </c>
      <c r="B80" s="2">
        <v>46076</v>
      </c>
      <c r="C80" t="s">
        <v>271</v>
      </c>
      <c r="D80" s="3" t="s">
        <v>116</v>
      </c>
      <c r="E80" t="s">
        <v>25</v>
      </c>
      <c r="F80" t="s">
        <v>89</v>
      </c>
      <c r="G80" t="s">
        <v>90</v>
      </c>
      <c r="H80" s="8">
        <v>2</v>
      </c>
      <c r="I80" s="10">
        <v>40.5</v>
      </c>
      <c r="J80" s="14">
        <f>P80*I80</f>
        <v>81</v>
      </c>
      <c r="K80" s="16">
        <v>640</v>
      </c>
      <c r="L80" s="1" t="s">
        <v>30</v>
      </c>
      <c r="M80" t="s">
        <v>22</v>
      </c>
      <c r="N80" t="str">
        <f t="shared" si="1"/>
        <v>Germany</v>
      </c>
      <c r="O80" s="8">
        <f>IF(K80&gt;=1,K80,K80*1000)</f>
        <v>640</v>
      </c>
      <c r="P80">
        <f>ABS(H80)</f>
        <v>2</v>
      </c>
      <c r="R80"/>
    </row>
    <row r="81" spans="1:18" x14ac:dyDescent="0.35">
      <c r="A81" t="s">
        <v>272</v>
      </c>
      <c r="B81" s="2">
        <v>46100</v>
      </c>
      <c r="C81" t="s">
        <v>273</v>
      </c>
      <c r="D81" s="3" t="s">
        <v>4613</v>
      </c>
      <c r="E81" t="s">
        <v>67</v>
      </c>
      <c r="F81" t="s">
        <v>35</v>
      </c>
      <c r="G81" t="s">
        <v>36</v>
      </c>
      <c r="H81" s="8">
        <v>1</v>
      </c>
      <c r="I81" s="10">
        <v>79</v>
      </c>
      <c r="J81" s="14">
        <f>P81*I81</f>
        <v>79</v>
      </c>
      <c r="K81" s="16">
        <v>85</v>
      </c>
      <c r="L81" s="1" t="s">
        <v>21</v>
      </c>
      <c r="M81" t="s">
        <v>22</v>
      </c>
      <c r="N81" t="str">
        <f t="shared" si="1"/>
        <v>United Kingdom</v>
      </c>
      <c r="O81" s="8">
        <f>IF(K81&gt;=1,K81,K81*1000)</f>
        <v>85</v>
      </c>
      <c r="P81">
        <f>ABS(H81)</f>
        <v>1</v>
      </c>
      <c r="R81"/>
    </row>
    <row r="82" spans="1:18" x14ac:dyDescent="0.35">
      <c r="A82" t="s">
        <v>274</v>
      </c>
      <c r="B82" s="2">
        <v>46146</v>
      </c>
      <c r="C82" t="s">
        <v>275</v>
      </c>
      <c r="D82" s="3" t="s">
        <v>4612</v>
      </c>
      <c r="E82" t="s">
        <v>41</v>
      </c>
      <c r="F82" t="s">
        <v>17</v>
      </c>
      <c r="G82" t="s">
        <v>18</v>
      </c>
      <c r="H82" s="8">
        <v>1</v>
      </c>
      <c r="I82" s="10">
        <v>80.099999999999994</v>
      </c>
      <c r="J82" s="14">
        <f>P82*I82</f>
        <v>80.099999999999994</v>
      </c>
      <c r="K82" s="16">
        <v>520</v>
      </c>
      <c r="L82" s="1" t="s">
        <v>30</v>
      </c>
      <c r="M82" t="s">
        <v>22</v>
      </c>
      <c r="N82" t="str">
        <f t="shared" si="1"/>
        <v>United Kingdom</v>
      </c>
      <c r="O82" s="8">
        <f>IF(K82&gt;=1,K82,K82*1000)</f>
        <v>520</v>
      </c>
      <c r="P82">
        <f>ABS(H82)</f>
        <v>1</v>
      </c>
      <c r="R82"/>
    </row>
    <row r="83" spans="1:18" x14ac:dyDescent="0.35">
      <c r="A83" t="s">
        <v>276</v>
      </c>
      <c r="B83" s="2">
        <v>46076</v>
      </c>
      <c r="C83" t="s">
        <v>277</v>
      </c>
      <c r="D83" s="3" t="s">
        <v>15</v>
      </c>
      <c r="E83" t="s">
        <v>41</v>
      </c>
      <c r="F83" t="s">
        <v>42</v>
      </c>
      <c r="G83" t="s">
        <v>43</v>
      </c>
      <c r="H83" s="8">
        <v>1</v>
      </c>
      <c r="I83" s="10">
        <v>71.099999999999994</v>
      </c>
      <c r="J83" s="14">
        <f>P83*I83</f>
        <v>71.099999999999994</v>
      </c>
      <c r="K83" s="16">
        <v>190</v>
      </c>
      <c r="L83" s="1" t="s">
        <v>30</v>
      </c>
      <c r="M83" t="s">
        <v>22</v>
      </c>
      <c r="N83" t="str">
        <f t="shared" si="1"/>
        <v>France</v>
      </c>
      <c r="O83" s="8">
        <f>IF(K83&gt;=1,K83,K83*1000)</f>
        <v>190</v>
      </c>
      <c r="P83">
        <f>ABS(H83)</f>
        <v>1</v>
      </c>
      <c r="R83"/>
    </row>
    <row r="84" spans="1:18" x14ac:dyDescent="0.35">
      <c r="A84" t="s">
        <v>278</v>
      </c>
      <c r="B84" s="2" t="s">
        <v>279</v>
      </c>
      <c r="C84" t="s">
        <v>280</v>
      </c>
      <c r="D84" s="3" t="s">
        <v>46</v>
      </c>
      <c r="E84" t="s">
        <v>41</v>
      </c>
      <c r="F84" t="s">
        <v>47</v>
      </c>
      <c r="G84" t="s">
        <v>48</v>
      </c>
      <c r="H84" s="8">
        <v>-2</v>
      </c>
      <c r="I84" s="10">
        <v>129</v>
      </c>
      <c r="J84" s="14">
        <f>P84*I84</f>
        <v>258</v>
      </c>
      <c r="K84" s="16">
        <v>0.38</v>
      </c>
      <c r="L84" s="1" t="s">
        <v>30</v>
      </c>
      <c r="M84" t="s">
        <v>22</v>
      </c>
      <c r="N84" t="str">
        <f t="shared" si="1"/>
        <v>Ireland</v>
      </c>
      <c r="O84" s="8">
        <f>IF(K84&gt;=1,K84,K84*1000)</f>
        <v>380</v>
      </c>
      <c r="P84">
        <f>ABS(H84)</f>
        <v>2</v>
      </c>
      <c r="R84"/>
    </row>
    <row r="85" spans="1:18" x14ac:dyDescent="0.35">
      <c r="A85" t="s">
        <v>282</v>
      </c>
      <c r="B85" s="2">
        <v>46073</v>
      </c>
      <c r="C85" t="s">
        <v>283</v>
      </c>
      <c r="D85" s="3" t="s">
        <v>15</v>
      </c>
      <c r="E85" t="s">
        <v>25</v>
      </c>
      <c r="F85" t="s">
        <v>42</v>
      </c>
      <c r="G85" t="s">
        <v>43</v>
      </c>
      <c r="H85" s="8">
        <v>1</v>
      </c>
      <c r="I85" s="10">
        <v>79</v>
      </c>
      <c r="J85" s="14">
        <f>P85*I85</f>
        <v>79</v>
      </c>
      <c r="K85" s="16">
        <v>190</v>
      </c>
      <c r="L85" s="1" t="s">
        <v>30</v>
      </c>
      <c r="M85" t="s">
        <v>22</v>
      </c>
      <c r="N85" t="str">
        <f t="shared" si="1"/>
        <v>France</v>
      </c>
      <c r="O85" s="8">
        <f>IF(K85&gt;=1,K85,K85*1000)</f>
        <v>190</v>
      </c>
      <c r="P85">
        <f>ABS(H85)</f>
        <v>1</v>
      </c>
      <c r="R85"/>
    </row>
    <row r="86" spans="1:18" x14ac:dyDescent="0.35">
      <c r="A86" t="s">
        <v>284</v>
      </c>
      <c r="B86" s="2">
        <v>46167</v>
      </c>
      <c r="C86" t="s">
        <v>285</v>
      </c>
      <c r="D86" s="3" t="s">
        <v>4613</v>
      </c>
      <c r="E86" t="s">
        <v>67</v>
      </c>
      <c r="F86" t="s">
        <v>74</v>
      </c>
      <c r="G86" t="s">
        <v>75</v>
      </c>
      <c r="H86" s="8">
        <v>2</v>
      </c>
      <c r="I86" s="10">
        <v>95</v>
      </c>
      <c r="J86" s="14">
        <f>P86*I86</f>
        <v>190</v>
      </c>
      <c r="K86" s="16">
        <v>0.41</v>
      </c>
      <c r="L86" s="1" t="s">
        <v>30</v>
      </c>
      <c r="M86" t="s">
        <v>22</v>
      </c>
      <c r="N86" t="str">
        <f t="shared" si="1"/>
        <v>United Kingdom</v>
      </c>
      <c r="O86" s="8">
        <f>IF(K86&gt;=1,K86,K86*1000)</f>
        <v>410</v>
      </c>
      <c r="P86">
        <f>ABS(H86)</f>
        <v>2</v>
      </c>
      <c r="R86"/>
    </row>
    <row r="87" spans="1:18" x14ac:dyDescent="0.35">
      <c r="A87" t="s">
        <v>287</v>
      </c>
      <c r="B87" s="2">
        <v>46044</v>
      </c>
      <c r="C87" t="s">
        <v>288</v>
      </c>
      <c r="D87" s="3" t="s">
        <v>116</v>
      </c>
      <c r="E87" t="s">
        <v>41</v>
      </c>
      <c r="F87" t="s">
        <v>89</v>
      </c>
      <c r="G87" t="s">
        <v>90</v>
      </c>
      <c r="H87" s="8">
        <v>3</v>
      </c>
      <c r="I87" s="10">
        <v>149</v>
      </c>
      <c r="J87" s="14">
        <f>P87*I87</f>
        <v>447</v>
      </c>
      <c r="K87" s="16">
        <v>640</v>
      </c>
      <c r="L87" s="1" t="s">
        <v>30</v>
      </c>
      <c r="M87" t="s">
        <v>58</v>
      </c>
      <c r="N87" t="str">
        <f t="shared" si="1"/>
        <v>Germany</v>
      </c>
      <c r="O87" s="8">
        <f>IF(K87&gt;=1,K87,K87*1000)</f>
        <v>640</v>
      </c>
      <c r="P87">
        <f>ABS(H87)</f>
        <v>3</v>
      </c>
      <c r="R87"/>
    </row>
    <row r="88" spans="1:18" x14ac:dyDescent="0.35">
      <c r="A88" t="s">
        <v>289</v>
      </c>
      <c r="B88" s="2" t="s">
        <v>290</v>
      </c>
      <c r="C88" t="s">
        <v>291</v>
      </c>
      <c r="D88" s="3" t="s">
        <v>4613</v>
      </c>
      <c r="E88" t="s">
        <v>34</v>
      </c>
      <c r="F88" t="s">
        <v>83</v>
      </c>
      <c r="G88" t="s">
        <v>84</v>
      </c>
      <c r="H88" s="8">
        <v>3</v>
      </c>
      <c r="I88" s="10">
        <v>79</v>
      </c>
      <c r="J88" s="14">
        <f>P88*I88</f>
        <v>237</v>
      </c>
      <c r="K88" s="16">
        <v>340</v>
      </c>
      <c r="L88" s="1" t="s">
        <v>30</v>
      </c>
      <c r="M88" t="s">
        <v>58</v>
      </c>
      <c r="N88" t="str">
        <f t="shared" si="1"/>
        <v>United Kingdom</v>
      </c>
      <c r="O88" s="8">
        <f>IF(K88&gt;=1,K88,K88*1000)</f>
        <v>340</v>
      </c>
      <c r="P88">
        <f>ABS(H88)</f>
        <v>3</v>
      </c>
      <c r="R88"/>
    </row>
    <row r="89" spans="1:18" x14ac:dyDescent="0.35">
      <c r="A89" t="s">
        <v>292</v>
      </c>
      <c r="B89" s="2">
        <v>46039</v>
      </c>
      <c r="C89" t="s">
        <v>293</v>
      </c>
      <c r="D89" s="3" t="s">
        <v>53</v>
      </c>
      <c r="E89" t="s">
        <v>41</v>
      </c>
      <c r="F89" t="s">
        <v>89</v>
      </c>
      <c r="G89" t="s">
        <v>90</v>
      </c>
      <c r="H89" s="8">
        <v>1</v>
      </c>
      <c r="I89" s="10">
        <v>12.5</v>
      </c>
      <c r="J89" s="14">
        <f>P89*I89</f>
        <v>12.5</v>
      </c>
      <c r="K89" s="16">
        <v>640</v>
      </c>
      <c r="L89" s="1" t="s">
        <v>21</v>
      </c>
      <c r="M89" t="s">
        <v>22</v>
      </c>
      <c r="N89" t="str">
        <f t="shared" si="1"/>
        <v>Gb</v>
      </c>
      <c r="O89" s="8">
        <f>IF(K89&gt;=1,K89,K89*1000)</f>
        <v>640</v>
      </c>
      <c r="P89">
        <f>ABS(H89)</f>
        <v>1</v>
      </c>
      <c r="R89"/>
    </row>
    <row r="90" spans="1:18" x14ac:dyDescent="0.35">
      <c r="A90" t="s">
        <v>294</v>
      </c>
      <c r="B90" s="2">
        <v>46088</v>
      </c>
      <c r="C90" t="s">
        <v>295</v>
      </c>
      <c r="D90" s="3" t="s">
        <v>46</v>
      </c>
      <c r="E90" t="s">
        <v>25</v>
      </c>
      <c r="F90" t="s">
        <v>35</v>
      </c>
      <c r="G90" t="s">
        <v>36</v>
      </c>
      <c r="H90" s="8">
        <v>1</v>
      </c>
      <c r="I90" s="10">
        <v>45</v>
      </c>
      <c r="J90" s="14">
        <f>P90*I90</f>
        <v>45</v>
      </c>
      <c r="K90" s="16">
        <v>85</v>
      </c>
      <c r="L90" s="1" t="s">
        <v>30</v>
      </c>
      <c r="M90" t="s">
        <v>22</v>
      </c>
      <c r="N90" t="str">
        <f t="shared" si="1"/>
        <v>Ireland</v>
      </c>
      <c r="O90" s="8">
        <f>IF(K90&gt;=1,K90,K90*1000)</f>
        <v>85</v>
      </c>
      <c r="P90">
        <f>ABS(H90)</f>
        <v>1</v>
      </c>
      <c r="R90"/>
    </row>
    <row r="91" spans="1:18" x14ac:dyDescent="0.35">
      <c r="A91" t="s">
        <v>296</v>
      </c>
      <c r="B91" s="2">
        <v>46107</v>
      </c>
      <c r="C91" t="s">
        <v>297</v>
      </c>
      <c r="D91" s="3" t="s">
        <v>99</v>
      </c>
      <c r="E91" t="s">
        <v>34</v>
      </c>
      <c r="F91" t="s">
        <v>17</v>
      </c>
      <c r="G91" t="s">
        <v>18</v>
      </c>
      <c r="H91" s="8">
        <v>1</v>
      </c>
      <c r="I91" s="10">
        <v>89</v>
      </c>
      <c r="J91" s="14">
        <f>P91*I91</f>
        <v>89</v>
      </c>
      <c r="K91" s="16">
        <v>520</v>
      </c>
      <c r="L91" s="1" t="s">
        <v>30</v>
      </c>
      <c r="M91" t="s">
        <v>22</v>
      </c>
      <c r="N91" t="str">
        <f t="shared" si="1"/>
        <v>United Kingdom</v>
      </c>
      <c r="O91" s="8">
        <f>IF(K91&gt;=1,K91,K91*1000)</f>
        <v>520</v>
      </c>
      <c r="P91">
        <f>ABS(H91)</f>
        <v>1</v>
      </c>
      <c r="R91"/>
    </row>
    <row r="92" spans="1:18" x14ac:dyDescent="0.35">
      <c r="A92" t="s">
        <v>298</v>
      </c>
      <c r="B92" s="2">
        <v>46057</v>
      </c>
      <c r="C92" t="s">
        <v>299</v>
      </c>
      <c r="D92" s="3" t="s">
        <v>15</v>
      </c>
      <c r="E92" t="s">
        <v>41</v>
      </c>
      <c r="F92" t="s">
        <v>89</v>
      </c>
      <c r="G92" t="s">
        <v>90</v>
      </c>
      <c r="H92" s="8">
        <v>-1</v>
      </c>
      <c r="I92" s="10">
        <v>12.5</v>
      </c>
      <c r="J92" s="14">
        <f>P92*I92</f>
        <v>12.5</v>
      </c>
      <c r="K92" s="16">
        <v>640</v>
      </c>
      <c r="L92" s="1" t="s">
        <v>30</v>
      </c>
      <c r="M92" t="s">
        <v>22</v>
      </c>
      <c r="N92" t="str">
        <f t="shared" si="1"/>
        <v>France</v>
      </c>
      <c r="O92" s="8">
        <f>IF(K92&gt;=1,K92,K92*1000)</f>
        <v>640</v>
      </c>
      <c r="P92">
        <f>ABS(H92)</f>
        <v>1</v>
      </c>
      <c r="R92"/>
    </row>
    <row r="93" spans="1:18" x14ac:dyDescent="0.35">
      <c r="A93" t="s">
        <v>301</v>
      </c>
      <c r="B93" s="2">
        <v>46082</v>
      </c>
      <c r="C93" t="s">
        <v>302</v>
      </c>
      <c r="D93" s="3" t="s">
        <v>66</v>
      </c>
      <c r="E93" t="s">
        <v>16</v>
      </c>
      <c r="F93" t="s">
        <v>89</v>
      </c>
      <c r="G93" t="s">
        <v>90</v>
      </c>
      <c r="H93" s="8">
        <v>-1</v>
      </c>
      <c r="I93" s="10">
        <v>80.099999999999994</v>
      </c>
      <c r="J93" s="14">
        <f>P93*I93</f>
        <v>80.099999999999994</v>
      </c>
      <c r="K93" s="16">
        <v>640</v>
      </c>
      <c r="L93" s="1" t="s">
        <v>30</v>
      </c>
      <c r="M93" t="s">
        <v>22</v>
      </c>
      <c r="N93" t="str">
        <f t="shared" si="1"/>
        <v>Gb</v>
      </c>
      <c r="O93" s="8">
        <f>IF(K93&gt;=1,K93,K93*1000)</f>
        <v>640</v>
      </c>
      <c r="P93">
        <f>ABS(H93)</f>
        <v>1</v>
      </c>
      <c r="R93"/>
    </row>
    <row r="94" spans="1:18" x14ac:dyDescent="0.35">
      <c r="A94" t="s">
        <v>304</v>
      </c>
      <c r="B94" s="2">
        <v>46184</v>
      </c>
      <c r="C94" t="s">
        <v>305</v>
      </c>
      <c r="D94" s="3" t="s">
        <v>15</v>
      </c>
      <c r="E94" t="s">
        <v>67</v>
      </c>
      <c r="F94" t="s">
        <v>74</v>
      </c>
      <c r="G94" t="s">
        <v>75</v>
      </c>
      <c r="H94" s="8">
        <v>1</v>
      </c>
      <c r="I94" s="10">
        <v>11.25</v>
      </c>
      <c r="J94" s="14">
        <f>P94*I94</f>
        <v>11.25</v>
      </c>
      <c r="K94" s="16">
        <v>0.41</v>
      </c>
      <c r="L94" s="1" t="s">
        <v>21</v>
      </c>
      <c r="M94" t="s">
        <v>22</v>
      </c>
      <c r="N94" t="str">
        <f t="shared" si="1"/>
        <v>France</v>
      </c>
      <c r="O94" s="8">
        <f>IF(K94&gt;=1,K94,K94*1000)</f>
        <v>410</v>
      </c>
      <c r="P94">
        <f>ABS(H94)</f>
        <v>1</v>
      </c>
      <c r="R94"/>
    </row>
    <row r="95" spans="1:18" x14ac:dyDescent="0.35">
      <c r="A95" t="s">
        <v>306</v>
      </c>
      <c r="B95" s="2">
        <v>46088</v>
      </c>
      <c r="C95" t="s">
        <v>307</v>
      </c>
      <c r="D95" s="3" t="s">
        <v>116</v>
      </c>
      <c r="E95" t="s">
        <v>25</v>
      </c>
      <c r="F95" t="s">
        <v>47</v>
      </c>
      <c r="G95" t="s">
        <v>48</v>
      </c>
      <c r="H95" s="8">
        <v>2</v>
      </c>
      <c r="I95" s="10">
        <v>95</v>
      </c>
      <c r="J95" s="14">
        <f>P95*I95</f>
        <v>190</v>
      </c>
      <c r="K95" s="16">
        <v>380</v>
      </c>
      <c r="L95" s="1" t="s">
        <v>21</v>
      </c>
      <c r="M95" t="s">
        <v>58</v>
      </c>
      <c r="N95" t="str">
        <f t="shared" si="1"/>
        <v>Germany</v>
      </c>
      <c r="O95" s="8">
        <f>IF(K95&gt;=1,K95,K95*1000)</f>
        <v>380</v>
      </c>
      <c r="P95">
        <f>ABS(H95)</f>
        <v>2</v>
      </c>
      <c r="R95"/>
    </row>
    <row r="96" spans="1:18" x14ac:dyDescent="0.35">
      <c r="A96" t="s">
        <v>308</v>
      </c>
      <c r="B96" s="2">
        <v>46087</v>
      </c>
      <c r="C96" t="s">
        <v>309</v>
      </c>
      <c r="D96" s="3" t="s">
        <v>66</v>
      </c>
      <c r="E96" t="s">
        <v>41</v>
      </c>
      <c r="F96" t="s">
        <v>74</v>
      </c>
      <c r="G96" t="s">
        <v>75</v>
      </c>
      <c r="H96" s="8">
        <v>2</v>
      </c>
      <c r="I96" s="10">
        <v>95</v>
      </c>
      <c r="J96" s="14">
        <f>P96*I96</f>
        <v>190</v>
      </c>
      <c r="K96" s="16">
        <v>410</v>
      </c>
      <c r="L96" s="1" t="s">
        <v>30</v>
      </c>
      <c r="M96" t="s">
        <v>22</v>
      </c>
      <c r="N96" t="str">
        <f t="shared" si="1"/>
        <v>Gb</v>
      </c>
      <c r="O96" s="8">
        <f>IF(K96&gt;=1,K96,K96*1000)</f>
        <v>410</v>
      </c>
      <c r="P96">
        <f>ABS(H96)</f>
        <v>2</v>
      </c>
      <c r="R96"/>
    </row>
    <row r="97" spans="1:18" x14ac:dyDescent="0.35">
      <c r="A97" t="s">
        <v>310</v>
      </c>
      <c r="B97" s="2">
        <v>46141</v>
      </c>
      <c r="C97" t="s">
        <v>311</v>
      </c>
      <c r="D97" s="3" t="s">
        <v>66</v>
      </c>
      <c r="E97" t="s">
        <v>16</v>
      </c>
      <c r="F97" t="s">
        <v>26</v>
      </c>
      <c r="G97" t="s">
        <v>27</v>
      </c>
      <c r="H97" s="8">
        <v>2</v>
      </c>
      <c r="I97" s="10">
        <v>11.25</v>
      </c>
      <c r="J97" s="14">
        <f>P97*I97</f>
        <v>22.5</v>
      </c>
      <c r="K97" s="16">
        <v>0.52</v>
      </c>
      <c r="L97" s="1" t="s">
        <v>30</v>
      </c>
      <c r="M97" t="s">
        <v>22</v>
      </c>
      <c r="N97" t="str">
        <f t="shared" si="1"/>
        <v>Gb</v>
      </c>
      <c r="O97" s="8">
        <f>IF(K97&gt;=1,K97,K97*1000)</f>
        <v>520</v>
      </c>
      <c r="P97">
        <f>ABS(H97)</f>
        <v>2</v>
      </c>
      <c r="R97"/>
    </row>
    <row r="98" spans="1:18" x14ac:dyDescent="0.35">
      <c r="A98" t="s">
        <v>312</v>
      </c>
      <c r="B98" s="2">
        <v>46185</v>
      </c>
      <c r="C98" t="s">
        <v>313</v>
      </c>
      <c r="D98" s="3" t="s">
        <v>15</v>
      </c>
      <c r="E98" t="s">
        <v>67</v>
      </c>
      <c r="F98" t="s">
        <v>47</v>
      </c>
      <c r="G98" t="s">
        <v>48</v>
      </c>
      <c r="H98" s="8">
        <v>1</v>
      </c>
      <c r="I98" s="10">
        <v>21.6</v>
      </c>
      <c r="J98" s="14">
        <f>P98*I98</f>
        <v>21.6</v>
      </c>
      <c r="K98" s="16">
        <v>0.38</v>
      </c>
      <c r="L98" s="1" t="s">
        <v>30</v>
      </c>
      <c r="M98" t="s">
        <v>22</v>
      </c>
      <c r="N98" t="str">
        <f t="shared" si="1"/>
        <v>France</v>
      </c>
      <c r="O98" s="8">
        <f>IF(K98&gt;=1,K98,K98*1000)</f>
        <v>380</v>
      </c>
      <c r="P98">
        <f>ABS(H98)</f>
        <v>1</v>
      </c>
      <c r="R98"/>
    </row>
    <row r="99" spans="1:18" x14ac:dyDescent="0.35">
      <c r="A99" t="s">
        <v>314</v>
      </c>
      <c r="B99" s="2">
        <v>46078</v>
      </c>
      <c r="C99" t="s">
        <v>315</v>
      </c>
      <c r="D99" s="3" t="s">
        <v>99</v>
      </c>
      <c r="E99" t="s">
        <v>41</v>
      </c>
      <c r="F99" t="s">
        <v>83</v>
      </c>
      <c r="G99" t="s">
        <v>84</v>
      </c>
      <c r="H99" s="8">
        <v>2</v>
      </c>
      <c r="I99" s="10">
        <v>71.099999999999994</v>
      </c>
      <c r="J99" s="14">
        <f>P99*I99</f>
        <v>142.19999999999999</v>
      </c>
      <c r="K99" s="16">
        <v>340</v>
      </c>
      <c r="L99" s="1" t="s">
        <v>30</v>
      </c>
      <c r="M99" t="s">
        <v>22</v>
      </c>
      <c r="N99" t="str">
        <f t="shared" si="1"/>
        <v>United Kingdom</v>
      </c>
      <c r="O99" s="8">
        <f>IF(K99&gt;=1,K99,K99*1000)</f>
        <v>340</v>
      </c>
      <c r="P99">
        <f>ABS(H99)</f>
        <v>2</v>
      </c>
      <c r="R99"/>
    </row>
    <row r="100" spans="1:18" x14ac:dyDescent="0.35">
      <c r="A100" t="s">
        <v>317</v>
      </c>
      <c r="B100" s="2">
        <v>46168</v>
      </c>
      <c r="C100" t="s">
        <v>318</v>
      </c>
      <c r="D100" s="3" t="s">
        <v>15</v>
      </c>
      <c r="E100" t="s">
        <v>67</v>
      </c>
      <c r="F100" t="s">
        <v>47</v>
      </c>
      <c r="G100" t="s">
        <v>48</v>
      </c>
      <c r="H100" s="8">
        <v>1</v>
      </c>
      <c r="I100" s="10">
        <v>89</v>
      </c>
      <c r="J100" s="14">
        <f>P100*I100</f>
        <v>89</v>
      </c>
      <c r="K100" s="16">
        <v>0.38</v>
      </c>
      <c r="L100" s="1" t="s">
        <v>30</v>
      </c>
      <c r="M100" t="s">
        <v>22</v>
      </c>
      <c r="N100" t="str">
        <f t="shared" si="1"/>
        <v>France</v>
      </c>
      <c r="O100" s="8">
        <f>IF(K100&gt;=1,K100,K100*1000)</f>
        <v>380</v>
      </c>
      <c r="P100">
        <f>ABS(H100)</f>
        <v>1</v>
      </c>
      <c r="R100"/>
    </row>
    <row r="101" spans="1:18" x14ac:dyDescent="0.35">
      <c r="A101" t="s">
        <v>319</v>
      </c>
      <c r="B101" s="2">
        <v>46178</v>
      </c>
      <c r="C101" t="s">
        <v>320</v>
      </c>
      <c r="D101" s="3" t="s">
        <v>99</v>
      </c>
      <c r="E101" t="s">
        <v>16</v>
      </c>
      <c r="F101" t="s">
        <v>17</v>
      </c>
      <c r="G101" t="s">
        <v>18</v>
      </c>
      <c r="H101" s="8">
        <v>2</v>
      </c>
      <c r="I101" s="10">
        <v>80.099999999999994</v>
      </c>
      <c r="J101" s="14">
        <f>P101*I101</f>
        <v>160.19999999999999</v>
      </c>
      <c r="K101" s="16">
        <v>0.52</v>
      </c>
      <c r="L101" s="1" t="s">
        <v>30</v>
      </c>
      <c r="M101" t="s">
        <v>22</v>
      </c>
      <c r="N101" t="str">
        <f t="shared" si="1"/>
        <v>United Kingdom</v>
      </c>
      <c r="O101" s="8">
        <f>IF(K101&gt;=1,K101,K101*1000)</f>
        <v>520</v>
      </c>
      <c r="P101">
        <f>ABS(H101)</f>
        <v>2</v>
      </c>
      <c r="R101"/>
    </row>
    <row r="102" spans="1:18" x14ac:dyDescent="0.35">
      <c r="A102" t="s">
        <v>321</v>
      </c>
      <c r="B102" s="2" t="s">
        <v>322</v>
      </c>
      <c r="C102" t="s">
        <v>323</v>
      </c>
      <c r="D102" s="3" t="s">
        <v>66</v>
      </c>
      <c r="E102" t="s">
        <v>25</v>
      </c>
      <c r="F102" t="s">
        <v>47</v>
      </c>
      <c r="G102" t="s">
        <v>48</v>
      </c>
      <c r="H102" s="8">
        <v>3</v>
      </c>
      <c r="I102" s="10">
        <v>24</v>
      </c>
      <c r="J102" s="14">
        <f>P102*I102</f>
        <v>72</v>
      </c>
      <c r="K102" s="16">
        <v>380</v>
      </c>
      <c r="L102" s="1" t="s">
        <v>30</v>
      </c>
      <c r="M102" t="s">
        <v>22</v>
      </c>
      <c r="N102" t="str">
        <f t="shared" si="1"/>
        <v>Gb</v>
      </c>
      <c r="O102" s="8">
        <f>IF(K102&gt;=1,K102,K102*1000)</f>
        <v>380</v>
      </c>
      <c r="P102">
        <f>ABS(H102)</f>
        <v>3</v>
      </c>
      <c r="R102"/>
    </row>
    <row r="103" spans="1:18" x14ac:dyDescent="0.35">
      <c r="A103" t="s">
        <v>324</v>
      </c>
      <c r="B103" s="2">
        <v>46198</v>
      </c>
      <c r="C103" t="s">
        <v>325</v>
      </c>
      <c r="D103" s="3" t="s">
        <v>4613</v>
      </c>
      <c r="E103" t="s">
        <v>34</v>
      </c>
      <c r="F103" t="s">
        <v>83</v>
      </c>
      <c r="G103" t="s">
        <v>84</v>
      </c>
      <c r="H103" s="8">
        <v>3</v>
      </c>
      <c r="I103" s="10">
        <v>45</v>
      </c>
      <c r="J103" s="14">
        <f>P103*I103</f>
        <v>135</v>
      </c>
      <c r="K103" s="16">
        <v>0.34</v>
      </c>
      <c r="L103" s="1" t="s">
        <v>30</v>
      </c>
      <c r="M103" t="s">
        <v>22</v>
      </c>
      <c r="N103" t="str">
        <f t="shared" si="1"/>
        <v>United Kingdom</v>
      </c>
      <c r="O103" s="8">
        <f>IF(K103&gt;=1,K103,K103*1000)</f>
        <v>340</v>
      </c>
      <c r="P103">
        <f>ABS(H103)</f>
        <v>3</v>
      </c>
      <c r="R103"/>
    </row>
    <row r="104" spans="1:18" x14ac:dyDescent="0.35">
      <c r="A104" t="s">
        <v>327</v>
      </c>
      <c r="B104" s="2">
        <v>46207</v>
      </c>
      <c r="C104" t="s">
        <v>328</v>
      </c>
      <c r="D104" s="3" t="s">
        <v>116</v>
      </c>
      <c r="E104" t="s">
        <v>25</v>
      </c>
      <c r="F104" t="s">
        <v>47</v>
      </c>
      <c r="G104" t="s">
        <v>48</v>
      </c>
      <c r="H104" s="8">
        <v>2</v>
      </c>
      <c r="I104" s="10">
        <v>45</v>
      </c>
      <c r="J104" s="14">
        <f>P104*I104</f>
        <v>90</v>
      </c>
      <c r="K104" s="16">
        <v>0.38</v>
      </c>
      <c r="L104" s="1" t="s">
        <v>21</v>
      </c>
      <c r="M104" t="s">
        <v>58</v>
      </c>
      <c r="N104" t="str">
        <f t="shared" si="1"/>
        <v>Germany</v>
      </c>
      <c r="O104" s="8">
        <f>IF(K104&gt;=1,K104,K104*1000)</f>
        <v>380</v>
      </c>
      <c r="P104">
        <f>ABS(H104)</f>
        <v>2</v>
      </c>
      <c r="R104"/>
    </row>
    <row r="105" spans="1:18" x14ac:dyDescent="0.35">
      <c r="A105" t="s">
        <v>329</v>
      </c>
      <c r="B105" s="2">
        <v>46145</v>
      </c>
      <c r="C105" t="s">
        <v>330</v>
      </c>
      <c r="D105" s="3" t="s">
        <v>4612</v>
      </c>
      <c r="E105" t="s">
        <v>34</v>
      </c>
      <c r="F105" t="s">
        <v>47</v>
      </c>
      <c r="G105" t="s">
        <v>48</v>
      </c>
      <c r="H105" s="8">
        <v>2</v>
      </c>
      <c r="I105" s="10">
        <v>79</v>
      </c>
      <c r="J105" s="14">
        <f>P105*I105</f>
        <v>158</v>
      </c>
      <c r="K105" s="16">
        <v>0.38</v>
      </c>
      <c r="L105" s="1" t="s">
        <v>30</v>
      </c>
      <c r="M105" t="s">
        <v>22</v>
      </c>
      <c r="N105" t="str">
        <f t="shared" si="1"/>
        <v>United Kingdom</v>
      </c>
      <c r="O105" s="8">
        <f>IF(K105&gt;=1,K105,K105*1000)</f>
        <v>380</v>
      </c>
      <c r="P105">
        <f>ABS(H105)</f>
        <v>2</v>
      </c>
      <c r="R105"/>
    </row>
    <row r="106" spans="1:18" x14ac:dyDescent="0.35">
      <c r="A106" t="s">
        <v>331</v>
      </c>
      <c r="B106" s="2">
        <v>46134</v>
      </c>
      <c r="C106" t="s">
        <v>332</v>
      </c>
      <c r="D106" s="3" t="s">
        <v>99</v>
      </c>
      <c r="E106" t="s">
        <v>25</v>
      </c>
      <c r="F106" t="s">
        <v>42</v>
      </c>
      <c r="G106" t="s">
        <v>43</v>
      </c>
      <c r="H106" s="8">
        <v>2</v>
      </c>
      <c r="I106" s="10">
        <v>89</v>
      </c>
      <c r="J106" s="14">
        <f>P106*I106</f>
        <v>178</v>
      </c>
      <c r="K106" s="16">
        <v>0.19</v>
      </c>
      <c r="L106" s="1" t="s">
        <v>30</v>
      </c>
      <c r="M106" t="s">
        <v>22</v>
      </c>
      <c r="N106" t="str">
        <f t="shared" si="1"/>
        <v>United Kingdom</v>
      </c>
      <c r="O106" s="8">
        <f>IF(K106&gt;=1,K106,K106*1000)</f>
        <v>190</v>
      </c>
      <c r="P106">
        <f>ABS(H106)</f>
        <v>2</v>
      </c>
      <c r="R106"/>
    </row>
    <row r="107" spans="1:18" x14ac:dyDescent="0.35">
      <c r="A107" t="s">
        <v>333</v>
      </c>
      <c r="B107" s="2">
        <v>46165</v>
      </c>
      <c r="C107" t="s">
        <v>334</v>
      </c>
      <c r="D107" s="3" t="s">
        <v>15</v>
      </c>
      <c r="E107" t="s">
        <v>25</v>
      </c>
      <c r="F107" t="s">
        <v>17</v>
      </c>
      <c r="G107" t="s">
        <v>18</v>
      </c>
      <c r="H107" s="8">
        <v>2</v>
      </c>
      <c r="I107" s="10">
        <v>95</v>
      </c>
      <c r="J107" s="14">
        <f>P107*I107</f>
        <v>190</v>
      </c>
      <c r="K107" s="16">
        <v>0.52</v>
      </c>
      <c r="L107" s="1" t="s">
        <v>30</v>
      </c>
      <c r="M107" t="s">
        <v>22</v>
      </c>
      <c r="N107" t="str">
        <f t="shared" si="1"/>
        <v>France</v>
      </c>
      <c r="O107" s="8">
        <f>IF(K107&gt;=1,K107,K107*1000)</f>
        <v>520</v>
      </c>
      <c r="P107">
        <f>ABS(H107)</f>
        <v>2</v>
      </c>
      <c r="R107"/>
    </row>
    <row r="108" spans="1:18" x14ac:dyDescent="0.35">
      <c r="A108" t="s">
        <v>335</v>
      </c>
      <c r="B108" s="2" t="s">
        <v>336</v>
      </c>
      <c r="C108" t="s">
        <v>337</v>
      </c>
      <c r="D108" s="3" t="s">
        <v>4612</v>
      </c>
      <c r="E108" t="s">
        <v>25</v>
      </c>
      <c r="F108" t="s">
        <v>26</v>
      </c>
      <c r="G108" t="s">
        <v>27</v>
      </c>
      <c r="H108" s="8">
        <v>3</v>
      </c>
      <c r="I108" s="10">
        <v>129</v>
      </c>
      <c r="J108" s="14">
        <f>P108*I108</f>
        <v>387</v>
      </c>
      <c r="K108" s="16">
        <v>520</v>
      </c>
      <c r="L108" s="1" t="s">
        <v>21</v>
      </c>
      <c r="M108" t="s">
        <v>58</v>
      </c>
      <c r="N108" t="str">
        <f t="shared" si="1"/>
        <v>United Kingdom</v>
      </c>
      <c r="O108" s="8">
        <f>IF(K108&gt;=1,K108,K108*1000)</f>
        <v>520</v>
      </c>
      <c r="P108">
        <f>ABS(H108)</f>
        <v>3</v>
      </c>
      <c r="R108"/>
    </row>
    <row r="109" spans="1:18" x14ac:dyDescent="0.35">
      <c r="A109" t="s">
        <v>338</v>
      </c>
      <c r="B109" s="2" t="s">
        <v>339</v>
      </c>
      <c r="C109" t="s">
        <v>340</v>
      </c>
      <c r="D109" s="3" t="s">
        <v>66</v>
      </c>
      <c r="E109" t="s">
        <v>67</v>
      </c>
      <c r="F109" t="s">
        <v>17</v>
      </c>
      <c r="G109" t="s">
        <v>18</v>
      </c>
      <c r="H109" s="8">
        <v>2</v>
      </c>
      <c r="I109" s="10">
        <v>134.1</v>
      </c>
      <c r="J109" s="14">
        <f>P109*I109</f>
        <v>268.2</v>
      </c>
      <c r="K109" s="16">
        <v>520</v>
      </c>
      <c r="L109" s="1" t="s">
        <v>30</v>
      </c>
      <c r="M109" t="s">
        <v>58</v>
      </c>
      <c r="N109" t="str">
        <f t="shared" si="1"/>
        <v>Gb</v>
      </c>
      <c r="O109" s="8">
        <f>IF(K109&gt;=1,K109,K109*1000)</f>
        <v>520</v>
      </c>
      <c r="P109">
        <f>ABS(H109)</f>
        <v>2</v>
      </c>
      <c r="R109"/>
    </row>
    <row r="110" spans="1:18" x14ac:dyDescent="0.35">
      <c r="A110" t="s">
        <v>341</v>
      </c>
      <c r="B110" s="2">
        <v>46164</v>
      </c>
      <c r="C110" t="s">
        <v>342</v>
      </c>
      <c r="D110" s="3" t="s">
        <v>4612</v>
      </c>
      <c r="E110" t="s">
        <v>41</v>
      </c>
      <c r="F110" t="s">
        <v>89</v>
      </c>
      <c r="G110" t="s">
        <v>90</v>
      </c>
      <c r="H110" s="8">
        <v>2</v>
      </c>
      <c r="I110" s="12" t="s">
        <v>4618</v>
      </c>
      <c r="J110" s="14">
        <f>P110*R110</f>
        <v>160.19999999999999</v>
      </c>
      <c r="K110" s="16">
        <v>0.64</v>
      </c>
      <c r="L110" s="1" t="s">
        <v>30</v>
      </c>
      <c r="M110" t="s">
        <v>22</v>
      </c>
      <c r="N110" t="str">
        <f t="shared" si="1"/>
        <v>United Kingdom</v>
      </c>
      <c r="O110" s="8">
        <f>IF(K110&gt;=1,K110,K110*1000)</f>
        <v>640</v>
      </c>
      <c r="P110">
        <f>ABS(H110)</f>
        <v>2</v>
      </c>
      <c r="Q110" t="str">
        <f>LEFT(I110,2)</f>
        <v>Â£</v>
      </c>
      <c r="R110" t="str">
        <f>RIGHT(I110,5)</f>
        <v>80,10</v>
      </c>
    </row>
    <row r="111" spans="1:18" x14ac:dyDescent="0.35">
      <c r="A111" t="s">
        <v>343</v>
      </c>
      <c r="B111" s="2">
        <v>46102</v>
      </c>
      <c r="C111" t="s">
        <v>344</v>
      </c>
      <c r="D111" s="3" t="s">
        <v>116</v>
      </c>
      <c r="E111" t="s">
        <v>67</v>
      </c>
      <c r="F111" t="s">
        <v>89</v>
      </c>
      <c r="G111" t="s">
        <v>90</v>
      </c>
      <c r="H111" s="8">
        <v>1</v>
      </c>
      <c r="I111" s="10">
        <v>11.25</v>
      </c>
      <c r="J111" s="14">
        <f>P111*I111</f>
        <v>11.25</v>
      </c>
      <c r="K111" s="16">
        <v>640</v>
      </c>
      <c r="L111" s="1" t="s">
        <v>21</v>
      </c>
      <c r="M111" t="s">
        <v>22</v>
      </c>
      <c r="N111" t="str">
        <f t="shared" si="1"/>
        <v>Germany</v>
      </c>
      <c r="O111" s="8">
        <f>IF(K111&gt;=1,K111,K111*1000)</f>
        <v>640</v>
      </c>
      <c r="P111">
        <f>ABS(H111)</f>
        <v>1</v>
      </c>
      <c r="R111"/>
    </row>
    <row r="112" spans="1:18" x14ac:dyDescent="0.35">
      <c r="A112" t="s">
        <v>345</v>
      </c>
      <c r="B112" s="2">
        <v>46190</v>
      </c>
      <c r="C112" t="s">
        <v>346</v>
      </c>
      <c r="D112" s="3" t="s">
        <v>66</v>
      </c>
      <c r="E112" t="s">
        <v>25</v>
      </c>
      <c r="F112" t="s">
        <v>89</v>
      </c>
      <c r="G112" t="s">
        <v>90</v>
      </c>
      <c r="H112" s="8">
        <v>1</v>
      </c>
      <c r="I112" s="10">
        <v>45</v>
      </c>
      <c r="J112" s="14">
        <f>P112*I112</f>
        <v>45</v>
      </c>
      <c r="K112" s="16">
        <v>0.64</v>
      </c>
      <c r="L112" s="1" t="s">
        <v>30</v>
      </c>
      <c r="M112" t="s">
        <v>22</v>
      </c>
      <c r="N112" t="str">
        <f t="shared" si="1"/>
        <v>Gb</v>
      </c>
      <c r="O112" s="8">
        <f>IF(K112&gt;=1,K112,K112*1000)</f>
        <v>640</v>
      </c>
      <c r="P112">
        <f>ABS(H112)</f>
        <v>1</v>
      </c>
      <c r="R112"/>
    </row>
    <row r="113" spans="1:18" x14ac:dyDescent="0.35">
      <c r="A113" t="s">
        <v>347</v>
      </c>
      <c r="B113" s="2">
        <v>46050</v>
      </c>
      <c r="C113" t="s">
        <v>348</v>
      </c>
      <c r="D113" s="3" t="s">
        <v>46</v>
      </c>
      <c r="E113" t="s">
        <v>67</v>
      </c>
      <c r="F113" t="s">
        <v>35</v>
      </c>
      <c r="G113" t="s">
        <v>36</v>
      </c>
      <c r="H113" s="8">
        <v>3</v>
      </c>
      <c r="I113" s="10">
        <v>129</v>
      </c>
      <c r="J113" s="14">
        <f>P113*I113</f>
        <v>387</v>
      </c>
      <c r="K113" s="16">
        <v>85</v>
      </c>
      <c r="L113" s="1" t="s">
        <v>30</v>
      </c>
      <c r="M113" t="s">
        <v>22</v>
      </c>
      <c r="N113" t="str">
        <f t="shared" si="1"/>
        <v>Ireland</v>
      </c>
      <c r="O113" s="8">
        <f>IF(K113&gt;=1,K113,K113*1000)</f>
        <v>85</v>
      </c>
      <c r="P113">
        <f>ABS(H113)</f>
        <v>3</v>
      </c>
      <c r="R113"/>
    </row>
    <row r="114" spans="1:18" x14ac:dyDescent="0.35">
      <c r="A114" t="s">
        <v>349</v>
      </c>
      <c r="B114" s="2">
        <v>46159</v>
      </c>
      <c r="C114" t="s">
        <v>350</v>
      </c>
      <c r="D114" s="3" t="s">
        <v>46</v>
      </c>
      <c r="E114" t="s">
        <v>67</v>
      </c>
      <c r="F114" t="s">
        <v>17</v>
      </c>
      <c r="G114" t="s">
        <v>18</v>
      </c>
      <c r="H114" s="8">
        <v>1</v>
      </c>
      <c r="I114" s="10">
        <v>45</v>
      </c>
      <c r="J114" s="14">
        <f>P114*I114</f>
        <v>45</v>
      </c>
      <c r="K114" s="16">
        <v>0.52</v>
      </c>
      <c r="L114" s="1" t="s">
        <v>30</v>
      </c>
      <c r="M114" t="s">
        <v>58</v>
      </c>
      <c r="N114" t="str">
        <f t="shared" si="1"/>
        <v>Ireland</v>
      </c>
      <c r="O114" s="8">
        <f>IF(K114&gt;=1,K114,K114*1000)</f>
        <v>520</v>
      </c>
      <c r="P114">
        <f>ABS(H114)</f>
        <v>1</v>
      </c>
      <c r="R114"/>
    </row>
    <row r="115" spans="1:18" x14ac:dyDescent="0.35">
      <c r="A115" t="s">
        <v>351</v>
      </c>
      <c r="B115" s="2">
        <v>46029</v>
      </c>
      <c r="C115" t="s">
        <v>352</v>
      </c>
      <c r="D115" s="3" t="s">
        <v>4612</v>
      </c>
      <c r="E115" t="s">
        <v>16</v>
      </c>
      <c r="F115" t="s">
        <v>35</v>
      </c>
      <c r="G115" t="s">
        <v>36</v>
      </c>
      <c r="H115" s="8">
        <v>3</v>
      </c>
      <c r="I115" s="10">
        <v>116.1</v>
      </c>
      <c r="J115" s="14">
        <f>P115*I115</f>
        <v>348.29999999999995</v>
      </c>
      <c r="K115" s="16">
        <v>85</v>
      </c>
      <c r="L115" s="1" t="s">
        <v>21</v>
      </c>
      <c r="M115" t="s">
        <v>58</v>
      </c>
      <c r="N115" t="str">
        <f t="shared" si="1"/>
        <v>United Kingdom</v>
      </c>
      <c r="O115" s="8">
        <f>IF(K115&gt;=1,K115,K115*1000)</f>
        <v>85</v>
      </c>
      <c r="P115">
        <f>ABS(H115)</f>
        <v>3</v>
      </c>
      <c r="R115"/>
    </row>
    <row r="116" spans="1:18" x14ac:dyDescent="0.35">
      <c r="A116" t="s">
        <v>353</v>
      </c>
      <c r="B116" s="2">
        <v>46134</v>
      </c>
      <c r="C116" t="s">
        <v>354</v>
      </c>
      <c r="D116" s="3" t="s">
        <v>4613</v>
      </c>
      <c r="E116" t="s">
        <v>67</v>
      </c>
      <c r="F116" t="s">
        <v>42</v>
      </c>
      <c r="G116" t="s">
        <v>43</v>
      </c>
      <c r="H116" s="8">
        <v>1</v>
      </c>
      <c r="I116" s="10">
        <v>129</v>
      </c>
      <c r="J116" s="14">
        <f>P116*I116</f>
        <v>129</v>
      </c>
      <c r="K116" s="16">
        <v>0.19</v>
      </c>
      <c r="L116" s="1" t="s">
        <v>30</v>
      </c>
      <c r="M116" t="s">
        <v>22</v>
      </c>
      <c r="N116" t="str">
        <f t="shared" si="1"/>
        <v>United Kingdom</v>
      </c>
      <c r="O116" s="8">
        <f>IF(K116&gt;=1,K116,K116*1000)</f>
        <v>190</v>
      </c>
      <c r="P116">
        <f>ABS(H116)</f>
        <v>1</v>
      </c>
      <c r="R116"/>
    </row>
    <row r="117" spans="1:18" x14ac:dyDescent="0.35">
      <c r="A117" t="s">
        <v>355</v>
      </c>
      <c r="B117" s="2">
        <v>46198</v>
      </c>
      <c r="C117" t="s">
        <v>356</v>
      </c>
      <c r="D117" s="3" t="s">
        <v>4613</v>
      </c>
      <c r="E117" t="s">
        <v>16</v>
      </c>
      <c r="F117" t="s">
        <v>17</v>
      </c>
      <c r="G117" t="s">
        <v>18</v>
      </c>
      <c r="H117" s="8">
        <v>1</v>
      </c>
      <c r="I117" s="10">
        <v>24</v>
      </c>
      <c r="J117" s="14">
        <f>P117*I117</f>
        <v>24</v>
      </c>
      <c r="K117" s="16">
        <v>0.52</v>
      </c>
      <c r="L117" s="1" t="s">
        <v>30</v>
      </c>
      <c r="M117" t="s">
        <v>22</v>
      </c>
      <c r="N117" t="str">
        <f t="shared" si="1"/>
        <v>United Kingdom</v>
      </c>
      <c r="O117" s="8">
        <f>IF(K117&gt;=1,K117,K117*1000)</f>
        <v>520</v>
      </c>
      <c r="P117">
        <f>ABS(H117)</f>
        <v>1</v>
      </c>
      <c r="R117"/>
    </row>
    <row r="118" spans="1:18" x14ac:dyDescent="0.35">
      <c r="A118" t="s">
        <v>357</v>
      </c>
      <c r="B118" s="2">
        <v>46182</v>
      </c>
      <c r="C118" t="s">
        <v>358</v>
      </c>
      <c r="D118" s="3" t="s">
        <v>53</v>
      </c>
      <c r="E118" t="s">
        <v>16</v>
      </c>
      <c r="F118" t="s">
        <v>89</v>
      </c>
      <c r="G118" t="s">
        <v>90</v>
      </c>
      <c r="H118" s="8">
        <v>1</v>
      </c>
      <c r="I118" s="10">
        <v>24</v>
      </c>
      <c r="J118" s="14">
        <f>P118*I118</f>
        <v>24</v>
      </c>
      <c r="K118" s="16">
        <v>0.64</v>
      </c>
      <c r="L118" s="1" t="s">
        <v>30</v>
      </c>
      <c r="M118" t="s">
        <v>22</v>
      </c>
      <c r="N118" t="str">
        <f t="shared" si="1"/>
        <v>Gb</v>
      </c>
      <c r="O118" s="8">
        <f>IF(K118&gt;=1,K118,K118*1000)</f>
        <v>640</v>
      </c>
      <c r="P118">
        <f>ABS(H118)</f>
        <v>1</v>
      </c>
      <c r="R118"/>
    </row>
    <row r="119" spans="1:18" x14ac:dyDescent="0.35">
      <c r="A119" t="s">
        <v>360</v>
      </c>
      <c r="B119" s="2">
        <v>46069</v>
      </c>
      <c r="C119" t="s">
        <v>361</v>
      </c>
      <c r="D119" s="3" t="s">
        <v>4612</v>
      </c>
      <c r="E119" t="s">
        <v>34</v>
      </c>
      <c r="F119" t="s">
        <v>74</v>
      </c>
      <c r="G119" t="s">
        <v>75</v>
      </c>
      <c r="H119" s="8">
        <v>1</v>
      </c>
      <c r="I119" s="12" t="s">
        <v>4624</v>
      </c>
      <c r="J119" s="14">
        <f>P119*R119</f>
        <v>24</v>
      </c>
      <c r="K119" s="16">
        <v>410</v>
      </c>
      <c r="L119" s="1" t="s">
        <v>30</v>
      </c>
      <c r="M119" t="s">
        <v>22</v>
      </c>
      <c r="N119" t="str">
        <f t="shared" si="1"/>
        <v>United Kingdom</v>
      </c>
      <c r="O119" s="8">
        <f>IF(K119&gt;=1,K119,K119*1000)</f>
        <v>410</v>
      </c>
      <c r="P119">
        <f>ABS(H119)</f>
        <v>1</v>
      </c>
      <c r="Q119" t="str">
        <f>LEFT(I119,2)</f>
        <v>Â£</v>
      </c>
      <c r="R119" t="str">
        <f>RIGHT(I119,5)</f>
        <v>24,00</v>
      </c>
    </row>
    <row r="120" spans="1:18" x14ac:dyDescent="0.35">
      <c r="A120" t="s">
        <v>363</v>
      </c>
      <c r="B120" s="2">
        <v>46154</v>
      </c>
      <c r="C120" t="s">
        <v>364</v>
      </c>
      <c r="D120" s="3" t="s">
        <v>46</v>
      </c>
      <c r="E120" t="s">
        <v>67</v>
      </c>
      <c r="F120" t="s">
        <v>42</v>
      </c>
      <c r="G120" t="s">
        <v>43</v>
      </c>
      <c r="H120" s="8">
        <v>3</v>
      </c>
      <c r="I120" s="10">
        <v>89</v>
      </c>
      <c r="J120" s="14">
        <f>P120*I120</f>
        <v>267</v>
      </c>
      <c r="K120" s="16">
        <v>0.19</v>
      </c>
      <c r="L120" s="1" t="s">
        <v>30</v>
      </c>
      <c r="M120" t="s">
        <v>58</v>
      </c>
      <c r="N120" t="str">
        <f t="shared" si="1"/>
        <v>Ireland</v>
      </c>
      <c r="O120" s="8">
        <f>IF(K120&gt;=1,K120,K120*1000)</f>
        <v>190</v>
      </c>
      <c r="P120">
        <f>ABS(H120)</f>
        <v>3</v>
      </c>
      <c r="R120"/>
    </row>
    <row r="121" spans="1:18" x14ac:dyDescent="0.35">
      <c r="A121" t="s">
        <v>365</v>
      </c>
      <c r="B121" s="2">
        <v>46033</v>
      </c>
      <c r="C121" t="s">
        <v>366</v>
      </c>
      <c r="D121" s="3" t="s">
        <v>15</v>
      </c>
      <c r="E121" t="s">
        <v>41</v>
      </c>
      <c r="F121" t="s">
        <v>89</v>
      </c>
      <c r="G121" t="s">
        <v>90</v>
      </c>
      <c r="H121" s="8">
        <v>1</v>
      </c>
      <c r="I121" s="10">
        <v>40.5</v>
      </c>
      <c r="J121" s="14">
        <f>P121*I121</f>
        <v>40.5</v>
      </c>
      <c r="K121" s="16">
        <v>640</v>
      </c>
      <c r="L121" s="1" t="s">
        <v>30</v>
      </c>
      <c r="M121" t="s">
        <v>22</v>
      </c>
      <c r="N121" t="str">
        <f t="shared" si="1"/>
        <v>France</v>
      </c>
      <c r="O121" s="8">
        <f>IF(K121&gt;=1,K121,K121*1000)</f>
        <v>640</v>
      </c>
      <c r="P121">
        <f>ABS(H121)</f>
        <v>1</v>
      </c>
      <c r="R121"/>
    </row>
    <row r="122" spans="1:18" x14ac:dyDescent="0.35">
      <c r="A122" t="s">
        <v>367</v>
      </c>
      <c r="B122" s="2">
        <v>46059</v>
      </c>
      <c r="C122" t="s">
        <v>368</v>
      </c>
      <c r="D122" s="3" t="s">
        <v>99</v>
      </c>
      <c r="E122" t="s">
        <v>34</v>
      </c>
      <c r="F122" t="s">
        <v>35</v>
      </c>
      <c r="G122" t="s">
        <v>36</v>
      </c>
      <c r="H122" s="8">
        <v>1</v>
      </c>
      <c r="I122" s="10">
        <v>134.1</v>
      </c>
      <c r="J122" s="14">
        <f>P122*I122</f>
        <v>134.1</v>
      </c>
      <c r="K122" s="16">
        <v>85</v>
      </c>
      <c r="L122" s="1" t="s">
        <v>30</v>
      </c>
      <c r="M122" t="s">
        <v>58</v>
      </c>
      <c r="N122" t="str">
        <f t="shared" si="1"/>
        <v>United Kingdom</v>
      </c>
      <c r="O122" s="8">
        <f>IF(K122&gt;=1,K122,K122*1000)</f>
        <v>85</v>
      </c>
      <c r="P122">
        <f>ABS(H122)</f>
        <v>1</v>
      </c>
      <c r="R122"/>
    </row>
    <row r="123" spans="1:18" x14ac:dyDescent="0.35">
      <c r="A123" t="s">
        <v>369</v>
      </c>
      <c r="B123" s="2">
        <v>46043</v>
      </c>
      <c r="C123" t="s">
        <v>370</v>
      </c>
      <c r="D123" s="3" t="s">
        <v>4612</v>
      </c>
      <c r="E123" t="s">
        <v>25</v>
      </c>
      <c r="F123" t="s">
        <v>17</v>
      </c>
      <c r="G123" t="s">
        <v>18</v>
      </c>
      <c r="H123" s="8">
        <v>3</v>
      </c>
      <c r="I123" s="10">
        <v>129</v>
      </c>
      <c r="J123" s="14">
        <f>P123*I123</f>
        <v>387</v>
      </c>
      <c r="K123" s="16">
        <v>520</v>
      </c>
      <c r="L123" s="1" t="s">
        <v>30</v>
      </c>
      <c r="M123" t="s">
        <v>58</v>
      </c>
      <c r="N123" t="str">
        <f t="shared" si="1"/>
        <v>United Kingdom</v>
      </c>
      <c r="O123" s="8">
        <f>IF(K123&gt;=1,K123,K123*1000)</f>
        <v>520</v>
      </c>
      <c r="P123">
        <f>ABS(H123)</f>
        <v>3</v>
      </c>
      <c r="R123"/>
    </row>
    <row r="124" spans="1:18" x14ac:dyDescent="0.35">
      <c r="A124" t="s">
        <v>371</v>
      </c>
      <c r="B124" s="2">
        <v>46068</v>
      </c>
      <c r="C124" t="s">
        <v>372</v>
      </c>
      <c r="D124" s="3" t="s">
        <v>46</v>
      </c>
      <c r="E124" t="s">
        <v>34</v>
      </c>
      <c r="F124" t="s">
        <v>83</v>
      </c>
      <c r="G124" t="s">
        <v>84</v>
      </c>
      <c r="H124" s="8">
        <v>2</v>
      </c>
      <c r="I124" s="10">
        <v>129</v>
      </c>
      <c r="J124" s="14">
        <f>P124*I124</f>
        <v>258</v>
      </c>
      <c r="K124" s="16">
        <v>340</v>
      </c>
      <c r="L124" s="1" t="s">
        <v>30</v>
      </c>
      <c r="M124" t="s">
        <v>22</v>
      </c>
      <c r="N124" t="str">
        <f t="shared" si="1"/>
        <v>Ireland</v>
      </c>
      <c r="O124" s="8">
        <f>IF(K124&gt;=1,K124,K124*1000)</f>
        <v>340</v>
      </c>
      <c r="P124">
        <f>ABS(H124)</f>
        <v>2</v>
      </c>
      <c r="R124"/>
    </row>
    <row r="125" spans="1:18" x14ac:dyDescent="0.35">
      <c r="A125" t="s">
        <v>373</v>
      </c>
      <c r="B125" s="2">
        <v>46089</v>
      </c>
      <c r="C125" t="s">
        <v>374</v>
      </c>
      <c r="D125" s="3" t="s">
        <v>53</v>
      </c>
      <c r="E125" t="s">
        <v>16</v>
      </c>
      <c r="F125" t="s">
        <v>89</v>
      </c>
      <c r="G125" t="s">
        <v>90</v>
      </c>
      <c r="H125" s="8">
        <v>3</v>
      </c>
      <c r="I125" s="10">
        <v>129</v>
      </c>
      <c r="J125" s="14">
        <f>P125*I125</f>
        <v>387</v>
      </c>
      <c r="K125" s="16">
        <v>640</v>
      </c>
      <c r="L125" s="1" t="s">
        <v>30</v>
      </c>
      <c r="M125" t="s">
        <v>22</v>
      </c>
      <c r="N125" t="str">
        <f t="shared" si="1"/>
        <v>Gb</v>
      </c>
      <c r="O125" s="8">
        <f>IF(K125&gt;=1,K125,K125*1000)</f>
        <v>640</v>
      </c>
      <c r="P125">
        <f>ABS(H125)</f>
        <v>3</v>
      </c>
      <c r="R125"/>
    </row>
    <row r="126" spans="1:18" x14ac:dyDescent="0.35">
      <c r="A126" t="s">
        <v>375</v>
      </c>
      <c r="B126" s="2">
        <v>46122</v>
      </c>
      <c r="C126" t="s">
        <v>376</v>
      </c>
      <c r="D126" s="3" t="s">
        <v>99</v>
      </c>
      <c r="E126" t="s">
        <v>25</v>
      </c>
      <c r="F126" t="s">
        <v>42</v>
      </c>
      <c r="G126" t="s">
        <v>43</v>
      </c>
      <c r="H126" s="8">
        <v>1</v>
      </c>
      <c r="I126" s="10">
        <v>134.1</v>
      </c>
      <c r="J126" s="14">
        <f>P126*I126</f>
        <v>134.1</v>
      </c>
      <c r="K126" s="16">
        <v>190</v>
      </c>
      <c r="L126" s="1" t="s">
        <v>21</v>
      </c>
      <c r="M126" t="s">
        <v>22</v>
      </c>
      <c r="N126" t="str">
        <f t="shared" si="1"/>
        <v>United Kingdom</v>
      </c>
      <c r="O126" s="8">
        <f>IF(K126&gt;=1,K126,K126*1000)</f>
        <v>190</v>
      </c>
      <c r="P126">
        <f>ABS(H126)</f>
        <v>1</v>
      </c>
      <c r="R126"/>
    </row>
    <row r="127" spans="1:18" x14ac:dyDescent="0.35">
      <c r="A127" t="s">
        <v>377</v>
      </c>
      <c r="B127" s="2">
        <v>46101</v>
      </c>
      <c r="C127" t="s">
        <v>378</v>
      </c>
      <c r="D127" s="3" t="s">
        <v>116</v>
      </c>
      <c r="E127" t="s">
        <v>67</v>
      </c>
      <c r="F127" t="s">
        <v>17</v>
      </c>
      <c r="G127" t="s">
        <v>18</v>
      </c>
      <c r="H127" s="8">
        <v>3</v>
      </c>
      <c r="I127" s="10">
        <v>95</v>
      </c>
      <c r="J127" s="14">
        <f>P127*I127</f>
        <v>285</v>
      </c>
      <c r="K127" s="16">
        <v>520</v>
      </c>
      <c r="L127" s="1" t="s">
        <v>30</v>
      </c>
      <c r="M127" t="s">
        <v>58</v>
      </c>
      <c r="N127" t="str">
        <f t="shared" si="1"/>
        <v>Germany</v>
      </c>
      <c r="O127" s="8">
        <f>IF(K127&gt;=1,K127,K127*1000)</f>
        <v>520</v>
      </c>
      <c r="P127">
        <f>ABS(H127)</f>
        <v>3</v>
      </c>
      <c r="R127"/>
    </row>
    <row r="128" spans="1:18" x14ac:dyDescent="0.35">
      <c r="A128" t="s">
        <v>380</v>
      </c>
      <c r="B128" s="2" t="s">
        <v>381</v>
      </c>
      <c r="C128" t="s">
        <v>370</v>
      </c>
      <c r="D128" s="3" t="s">
        <v>46</v>
      </c>
      <c r="E128" t="s">
        <v>34</v>
      </c>
      <c r="F128" t="s">
        <v>42</v>
      </c>
      <c r="G128" t="s">
        <v>43</v>
      </c>
      <c r="H128" s="8">
        <v>1</v>
      </c>
      <c r="I128" s="10">
        <v>79</v>
      </c>
      <c r="J128" s="14">
        <f>P128*I128</f>
        <v>79</v>
      </c>
      <c r="K128" s="16">
        <v>190</v>
      </c>
      <c r="L128" s="1" t="s">
        <v>30</v>
      </c>
      <c r="M128" t="s">
        <v>22</v>
      </c>
      <c r="N128" t="str">
        <f t="shared" si="1"/>
        <v>Ireland</v>
      </c>
      <c r="O128" s="8">
        <f>IF(K128&gt;=1,K128,K128*1000)</f>
        <v>190</v>
      </c>
      <c r="P128">
        <f>ABS(H128)</f>
        <v>1</v>
      </c>
      <c r="R128"/>
    </row>
    <row r="129" spans="1:18" x14ac:dyDescent="0.35">
      <c r="A129" t="s">
        <v>382</v>
      </c>
      <c r="B129" s="2">
        <v>46055</v>
      </c>
      <c r="C129" t="s">
        <v>383</v>
      </c>
      <c r="D129" s="3" t="s">
        <v>53</v>
      </c>
      <c r="E129" t="s">
        <v>67</v>
      </c>
      <c r="F129" t="s">
        <v>17</v>
      </c>
      <c r="G129" t="s">
        <v>18</v>
      </c>
      <c r="H129" s="8">
        <v>1</v>
      </c>
      <c r="I129" s="10">
        <v>80.099999999999994</v>
      </c>
      <c r="J129" s="14">
        <f>P129*I129</f>
        <v>80.099999999999994</v>
      </c>
      <c r="K129" s="16">
        <v>520</v>
      </c>
      <c r="L129" s="1" t="s">
        <v>30</v>
      </c>
      <c r="M129" t="s">
        <v>22</v>
      </c>
      <c r="N129" t="str">
        <f t="shared" si="1"/>
        <v>Gb</v>
      </c>
      <c r="O129" s="8">
        <f>IF(K129&gt;=1,K129,K129*1000)</f>
        <v>520</v>
      </c>
      <c r="P129">
        <f>ABS(H129)</f>
        <v>1</v>
      </c>
      <c r="R129"/>
    </row>
    <row r="130" spans="1:18" x14ac:dyDescent="0.35">
      <c r="A130" t="s">
        <v>384</v>
      </c>
      <c r="B130" s="2">
        <v>46109</v>
      </c>
      <c r="C130" t="s">
        <v>385</v>
      </c>
      <c r="D130" s="3" t="s">
        <v>53</v>
      </c>
      <c r="E130" t="s">
        <v>25</v>
      </c>
      <c r="F130" t="s">
        <v>74</v>
      </c>
      <c r="G130" t="s">
        <v>75</v>
      </c>
      <c r="H130" s="8">
        <v>3</v>
      </c>
      <c r="I130" s="10">
        <v>11.25</v>
      </c>
      <c r="J130" s="14">
        <f>P130*I130</f>
        <v>33.75</v>
      </c>
      <c r="K130" s="16">
        <v>410</v>
      </c>
      <c r="L130" s="1" t="s">
        <v>30</v>
      </c>
      <c r="M130" t="s">
        <v>22</v>
      </c>
      <c r="N130" t="str">
        <f t="shared" si="1"/>
        <v>Gb</v>
      </c>
      <c r="O130" s="8">
        <f>IF(K130&gt;=1,K130,K130*1000)</f>
        <v>410</v>
      </c>
      <c r="P130">
        <f>ABS(H130)</f>
        <v>3</v>
      </c>
      <c r="R130"/>
    </row>
    <row r="131" spans="1:18" x14ac:dyDescent="0.35">
      <c r="A131" t="s">
        <v>386</v>
      </c>
      <c r="B131" s="2">
        <v>46135</v>
      </c>
      <c r="C131" t="s">
        <v>387</v>
      </c>
      <c r="D131" s="3" t="s">
        <v>116</v>
      </c>
      <c r="E131" t="s">
        <v>41</v>
      </c>
      <c r="F131" t="s">
        <v>42</v>
      </c>
      <c r="G131" t="s">
        <v>43</v>
      </c>
      <c r="H131" s="8">
        <v>2</v>
      </c>
      <c r="I131" s="10">
        <v>149</v>
      </c>
      <c r="J131" s="14">
        <f>P131*I131</f>
        <v>298</v>
      </c>
      <c r="K131" s="16">
        <v>0.19</v>
      </c>
      <c r="L131" s="1" t="s">
        <v>30</v>
      </c>
      <c r="M131" t="s">
        <v>22</v>
      </c>
      <c r="N131" t="str">
        <f t="shared" ref="N131:N194" si="2">PROPER(TRIM(D131))</f>
        <v>Germany</v>
      </c>
      <c r="O131" s="8">
        <f>IF(K131&gt;=1,K131,K131*1000)</f>
        <v>190</v>
      </c>
      <c r="P131">
        <f>ABS(H131)</f>
        <v>2</v>
      </c>
      <c r="R131"/>
    </row>
    <row r="132" spans="1:18" x14ac:dyDescent="0.35">
      <c r="A132" t="s">
        <v>388</v>
      </c>
      <c r="B132" s="2">
        <v>46038</v>
      </c>
      <c r="C132" t="s">
        <v>389</v>
      </c>
      <c r="D132" s="3" t="s">
        <v>15</v>
      </c>
      <c r="E132" t="s">
        <v>67</v>
      </c>
      <c r="F132" t="s">
        <v>83</v>
      </c>
      <c r="G132" t="s">
        <v>84</v>
      </c>
      <c r="H132" s="8">
        <v>3</v>
      </c>
      <c r="I132" s="10">
        <v>12.5</v>
      </c>
      <c r="J132" s="14">
        <f>P132*I132</f>
        <v>37.5</v>
      </c>
      <c r="K132" s="16">
        <v>340</v>
      </c>
      <c r="L132" s="1" t="s">
        <v>30</v>
      </c>
      <c r="M132" t="s">
        <v>22</v>
      </c>
      <c r="N132" t="str">
        <f t="shared" si="2"/>
        <v>France</v>
      </c>
      <c r="O132" s="8">
        <f>IF(K132&gt;=1,K132,K132*1000)</f>
        <v>340</v>
      </c>
      <c r="P132">
        <f>ABS(H132)</f>
        <v>3</v>
      </c>
      <c r="R132"/>
    </row>
    <row r="133" spans="1:18" x14ac:dyDescent="0.35">
      <c r="A133" t="s">
        <v>391</v>
      </c>
      <c r="B133" s="2">
        <v>46092</v>
      </c>
      <c r="C133" t="s">
        <v>334</v>
      </c>
      <c r="D133" s="3" t="s">
        <v>99</v>
      </c>
      <c r="E133" t="s">
        <v>41</v>
      </c>
      <c r="F133" t="s">
        <v>83</v>
      </c>
      <c r="G133" t="s">
        <v>84</v>
      </c>
      <c r="H133" s="8">
        <v>1</v>
      </c>
      <c r="I133" s="10">
        <v>95</v>
      </c>
      <c r="J133" s="14">
        <f>P133*I133</f>
        <v>95</v>
      </c>
      <c r="K133" s="16">
        <v>340</v>
      </c>
      <c r="L133" s="1" t="s">
        <v>30</v>
      </c>
      <c r="M133" t="s">
        <v>58</v>
      </c>
      <c r="N133" t="str">
        <f t="shared" si="2"/>
        <v>United Kingdom</v>
      </c>
      <c r="O133" s="8">
        <f>IF(K133&gt;=1,K133,K133*1000)</f>
        <v>340</v>
      </c>
      <c r="P133">
        <f>ABS(H133)</f>
        <v>1</v>
      </c>
      <c r="R133"/>
    </row>
    <row r="134" spans="1:18" x14ac:dyDescent="0.35">
      <c r="A134" t="s">
        <v>392</v>
      </c>
      <c r="B134" s="2">
        <v>46111</v>
      </c>
      <c r="C134" t="s">
        <v>191</v>
      </c>
      <c r="D134" s="3" t="s">
        <v>61</v>
      </c>
      <c r="E134" t="s">
        <v>16</v>
      </c>
      <c r="F134" t="s">
        <v>89</v>
      </c>
      <c r="G134" t="s">
        <v>90</v>
      </c>
      <c r="H134" s="8">
        <v>-1</v>
      </c>
      <c r="I134" s="10">
        <v>45</v>
      </c>
      <c r="J134" s="14">
        <f>P134*I134</f>
        <v>45</v>
      </c>
      <c r="K134" s="16">
        <v>640</v>
      </c>
      <c r="L134" s="1" t="s">
        <v>30</v>
      </c>
      <c r="M134" t="s">
        <v>22</v>
      </c>
      <c r="N134" t="str">
        <f t="shared" si="2"/>
        <v>Ireland</v>
      </c>
      <c r="O134" s="8">
        <f>IF(K134&gt;=1,K134,K134*1000)</f>
        <v>640</v>
      </c>
      <c r="P134">
        <f>ABS(H134)</f>
        <v>1</v>
      </c>
      <c r="R134"/>
    </row>
    <row r="135" spans="1:18" x14ac:dyDescent="0.35">
      <c r="A135" t="s">
        <v>394</v>
      </c>
      <c r="B135" s="2">
        <v>46142</v>
      </c>
      <c r="C135" t="s">
        <v>395</v>
      </c>
      <c r="D135" s="3" t="s">
        <v>99</v>
      </c>
      <c r="E135" t="s">
        <v>34</v>
      </c>
      <c r="F135" t="s">
        <v>42</v>
      </c>
      <c r="G135" t="s">
        <v>43</v>
      </c>
      <c r="H135" s="8">
        <v>3</v>
      </c>
      <c r="I135" s="10">
        <v>116.1</v>
      </c>
      <c r="J135" s="14">
        <f>P135*I135</f>
        <v>348.29999999999995</v>
      </c>
      <c r="K135" s="16">
        <v>0.19</v>
      </c>
      <c r="L135" s="1" t="s">
        <v>30</v>
      </c>
      <c r="M135" t="s">
        <v>22</v>
      </c>
      <c r="N135" t="str">
        <f t="shared" si="2"/>
        <v>United Kingdom</v>
      </c>
      <c r="O135" s="8">
        <f>IF(K135&gt;=1,K135,K135*1000)</f>
        <v>190</v>
      </c>
      <c r="P135">
        <f>ABS(H135)</f>
        <v>3</v>
      </c>
      <c r="R135"/>
    </row>
    <row r="136" spans="1:18" x14ac:dyDescent="0.35">
      <c r="A136" t="s">
        <v>396</v>
      </c>
      <c r="B136" s="2">
        <v>46142</v>
      </c>
      <c r="C136" t="s">
        <v>397</v>
      </c>
      <c r="D136" s="3" t="s">
        <v>46</v>
      </c>
      <c r="E136" t="s">
        <v>16</v>
      </c>
      <c r="F136" t="s">
        <v>17</v>
      </c>
      <c r="G136" t="s">
        <v>18</v>
      </c>
      <c r="H136" s="8">
        <v>2</v>
      </c>
      <c r="I136" s="10">
        <v>80.099999999999994</v>
      </c>
      <c r="J136" s="14">
        <f>P136*I136</f>
        <v>160.19999999999999</v>
      </c>
      <c r="K136" s="16">
        <v>0.52</v>
      </c>
      <c r="L136" s="1" t="s">
        <v>21</v>
      </c>
      <c r="M136" t="s">
        <v>22</v>
      </c>
      <c r="N136" t="str">
        <f t="shared" si="2"/>
        <v>Ireland</v>
      </c>
      <c r="O136" s="8">
        <f>IF(K136&gt;=1,K136,K136*1000)</f>
        <v>520</v>
      </c>
      <c r="P136">
        <f>ABS(H136)</f>
        <v>2</v>
      </c>
      <c r="R136"/>
    </row>
    <row r="137" spans="1:18" x14ac:dyDescent="0.35">
      <c r="A137" t="s">
        <v>398</v>
      </c>
      <c r="B137" s="2">
        <v>46206</v>
      </c>
      <c r="C137" t="s">
        <v>399</v>
      </c>
      <c r="D137" s="3" t="s">
        <v>99</v>
      </c>
      <c r="E137" t="s">
        <v>25</v>
      </c>
      <c r="F137" t="s">
        <v>17</v>
      </c>
      <c r="G137" t="s">
        <v>18</v>
      </c>
      <c r="H137" s="8">
        <v>2</v>
      </c>
      <c r="I137" s="10">
        <v>40.5</v>
      </c>
      <c r="J137" s="14">
        <f>P137*I137</f>
        <v>81</v>
      </c>
      <c r="K137" s="16">
        <v>0.52</v>
      </c>
      <c r="L137" s="1" t="s">
        <v>30</v>
      </c>
      <c r="M137" t="s">
        <v>22</v>
      </c>
      <c r="N137" t="str">
        <f t="shared" si="2"/>
        <v>United Kingdom</v>
      </c>
      <c r="O137" s="8">
        <f>IF(K137&gt;=1,K137,K137*1000)</f>
        <v>520</v>
      </c>
      <c r="P137">
        <f>ABS(H137)</f>
        <v>2</v>
      </c>
      <c r="R137"/>
    </row>
    <row r="138" spans="1:18" x14ac:dyDescent="0.35">
      <c r="A138" t="s">
        <v>400</v>
      </c>
      <c r="B138" s="2">
        <v>46182</v>
      </c>
      <c r="C138" t="s">
        <v>401</v>
      </c>
      <c r="D138" s="3" t="s">
        <v>66</v>
      </c>
      <c r="E138" t="s">
        <v>67</v>
      </c>
      <c r="F138" t="s">
        <v>89</v>
      </c>
      <c r="G138" t="s">
        <v>90</v>
      </c>
      <c r="H138" s="8">
        <v>2</v>
      </c>
      <c r="I138" s="10">
        <v>134.1</v>
      </c>
      <c r="J138" s="14">
        <f>P138*I138</f>
        <v>268.2</v>
      </c>
      <c r="K138" s="16">
        <v>0.64</v>
      </c>
      <c r="L138" s="1" t="s">
        <v>30</v>
      </c>
      <c r="M138" t="s">
        <v>22</v>
      </c>
      <c r="N138" t="str">
        <f t="shared" si="2"/>
        <v>Gb</v>
      </c>
      <c r="O138" s="8">
        <f>IF(K138&gt;=1,K138,K138*1000)</f>
        <v>640</v>
      </c>
      <c r="P138">
        <f>ABS(H138)</f>
        <v>2</v>
      </c>
      <c r="R138"/>
    </row>
    <row r="139" spans="1:18" x14ac:dyDescent="0.35">
      <c r="A139" t="s">
        <v>402</v>
      </c>
      <c r="B139" s="2">
        <v>46171</v>
      </c>
      <c r="C139" t="s">
        <v>403</v>
      </c>
      <c r="D139" s="3" t="s">
        <v>53</v>
      </c>
      <c r="E139" t="s">
        <v>25</v>
      </c>
      <c r="F139" t="s">
        <v>89</v>
      </c>
      <c r="G139" t="s">
        <v>90</v>
      </c>
      <c r="H139" s="8">
        <v>2</v>
      </c>
      <c r="I139" s="10">
        <v>85.5</v>
      </c>
      <c r="J139" s="14">
        <f>P139*I139</f>
        <v>171</v>
      </c>
      <c r="K139" s="16">
        <v>0.64</v>
      </c>
      <c r="L139" s="1" t="s">
        <v>30</v>
      </c>
      <c r="M139" t="s">
        <v>22</v>
      </c>
      <c r="N139" t="str">
        <f t="shared" si="2"/>
        <v>Gb</v>
      </c>
      <c r="O139" s="8">
        <f>IF(K139&gt;=1,K139,K139*1000)</f>
        <v>640</v>
      </c>
      <c r="P139">
        <f>ABS(H139)</f>
        <v>2</v>
      </c>
      <c r="R139"/>
    </row>
    <row r="140" spans="1:18" x14ac:dyDescent="0.35">
      <c r="A140" t="s">
        <v>404</v>
      </c>
      <c r="B140" s="2">
        <v>46028</v>
      </c>
      <c r="C140" t="s">
        <v>405</v>
      </c>
      <c r="D140" s="3" t="s">
        <v>99</v>
      </c>
      <c r="E140" t="s">
        <v>16</v>
      </c>
      <c r="F140" t="s">
        <v>35</v>
      </c>
      <c r="G140" t="s">
        <v>36</v>
      </c>
      <c r="H140" s="8">
        <v>1</v>
      </c>
      <c r="I140" s="10">
        <v>71.099999999999994</v>
      </c>
      <c r="J140" s="14">
        <f>P140*I140</f>
        <v>71.099999999999994</v>
      </c>
      <c r="K140" s="16">
        <v>85</v>
      </c>
      <c r="L140" s="1" t="s">
        <v>30</v>
      </c>
      <c r="M140" t="s">
        <v>58</v>
      </c>
      <c r="N140" t="str">
        <f t="shared" si="2"/>
        <v>United Kingdom</v>
      </c>
      <c r="O140" s="8">
        <f>IF(K140&gt;=1,K140,K140*1000)</f>
        <v>85</v>
      </c>
      <c r="P140">
        <f>ABS(H140)</f>
        <v>1</v>
      </c>
      <c r="R140"/>
    </row>
    <row r="141" spans="1:18" x14ac:dyDescent="0.35">
      <c r="A141" t="s">
        <v>406</v>
      </c>
      <c r="B141" s="2">
        <v>46161</v>
      </c>
      <c r="C141" t="s">
        <v>214</v>
      </c>
      <c r="D141" s="3" t="s">
        <v>61</v>
      </c>
      <c r="E141" t="s">
        <v>16</v>
      </c>
      <c r="F141" t="s">
        <v>74</v>
      </c>
      <c r="G141" t="s">
        <v>75</v>
      </c>
      <c r="H141" s="8">
        <v>1</v>
      </c>
      <c r="I141" s="10">
        <v>45</v>
      </c>
      <c r="J141" s="14">
        <f>P141*I141</f>
        <v>45</v>
      </c>
      <c r="K141" s="16">
        <v>0.41</v>
      </c>
      <c r="L141" s="1" t="s">
        <v>30</v>
      </c>
      <c r="M141" t="s">
        <v>22</v>
      </c>
      <c r="N141" t="str">
        <f t="shared" si="2"/>
        <v>Ireland</v>
      </c>
      <c r="O141" s="8">
        <f>IF(K141&gt;=1,K141,K141*1000)</f>
        <v>410</v>
      </c>
      <c r="P141">
        <f>ABS(H141)</f>
        <v>1</v>
      </c>
      <c r="R141"/>
    </row>
    <row r="142" spans="1:18" x14ac:dyDescent="0.35">
      <c r="A142" t="s">
        <v>407</v>
      </c>
      <c r="B142" s="2">
        <v>46068</v>
      </c>
      <c r="C142" t="s">
        <v>342</v>
      </c>
      <c r="D142" s="3" t="s">
        <v>99</v>
      </c>
      <c r="E142" t="s">
        <v>67</v>
      </c>
      <c r="F142" t="s">
        <v>83</v>
      </c>
      <c r="G142" t="s">
        <v>84</v>
      </c>
      <c r="H142" s="8">
        <v>2</v>
      </c>
      <c r="I142" s="10">
        <v>129</v>
      </c>
      <c r="J142" s="14">
        <f>P142*I142</f>
        <v>258</v>
      </c>
      <c r="K142" s="16">
        <v>340</v>
      </c>
      <c r="L142" s="1" t="s">
        <v>21</v>
      </c>
      <c r="M142" t="s">
        <v>22</v>
      </c>
      <c r="N142" t="str">
        <f t="shared" si="2"/>
        <v>United Kingdom</v>
      </c>
      <c r="O142" s="8">
        <f>IF(K142&gt;=1,K142,K142*1000)</f>
        <v>340</v>
      </c>
      <c r="P142">
        <f>ABS(H142)</f>
        <v>2</v>
      </c>
      <c r="R142"/>
    </row>
    <row r="143" spans="1:18" x14ac:dyDescent="0.35">
      <c r="A143" t="s">
        <v>408</v>
      </c>
      <c r="B143" s="2">
        <v>46132</v>
      </c>
      <c r="C143" t="s">
        <v>409</v>
      </c>
      <c r="D143" s="3" t="s">
        <v>46</v>
      </c>
      <c r="E143" t="s">
        <v>16</v>
      </c>
      <c r="F143" t="s">
        <v>17</v>
      </c>
      <c r="G143" t="s">
        <v>18</v>
      </c>
      <c r="H143" s="8">
        <v>3</v>
      </c>
      <c r="I143" s="10">
        <v>95</v>
      </c>
      <c r="J143" s="14">
        <f>P143*I143</f>
        <v>285</v>
      </c>
      <c r="K143" s="16">
        <v>0.52</v>
      </c>
      <c r="L143" s="1" t="s">
        <v>30</v>
      </c>
      <c r="M143" t="s">
        <v>58</v>
      </c>
      <c r="N143" t="str">
        <f t="shared" si="2"/>
        <v>Ireland</v>
      </c>
      <c r="O143" s="8">
        <f>IF(K143&gt;=1,K143,K143*1000)</f>
        <v>520</v>
      </c>
      <c r="P143">
        <f>ABS(H143)</f>
        <v>3</v>
      </c>
      <c r="R143"/>
    </row>
    <row r="144" spans="1:18" x14ac:dyDescent="0.35">
      <c r="A144" t="s">
        <v>410</v>
      </c>
      <c r="B144" s="2">
        <v>46155</v>
      </c>
      <c r="C144" t="s">
        <v>245</v>
      </c>
      <c r="D144" s="3" t="s">
        <v>15</v>
      </c>
      <c r="E144" t="s">
        <v>41</v>
      </c>
      <c r="F144" t="s">
        <v>83</v>
      </c>
      <c r="G144" t="s">
        <v>84</v>
      </c>
      <c r="H144" s="8">
        <v>1</v>
      </c>
      <c r="I144" s="10">
        <v>24</v>
      </c>
      <c r="J144" s="14">
        <f>P144*I144</f>
        <v>24</v>
      </c>
      <c r="K144" s="16">
        <v>0.34</v>
      </c>
      <c r="L144" s="1" t="s">
        <v>30</v>
      </c>
      <c r="M144" t="s">
        <v>22</v>
      </c>
      <c r="N144" t="str">
        <f t="shared" si="2"/>
        <v>France</v>
      </c>
      <c r="O144" s="8">
        <f>IF(K144&gt;=1,K144,K144*1000)</f>
        <v>340</v>
      </c>
      <c r="P144">
        <f>ABS(H144)</f>
        <v>1</v>
      </c>
      <c r="R144"/>
    </row>
    <row r="145" spans="1:18" x14ac:dyDescent="0.35">
      <c r="A145" t="s">
        <v>411</v>
      </c>
      <c r="B145" s="2">
        <v>46180</v>
      </c>
      <c r="C145" t="s">
        <v>412</v>
      </c>
      <c r="D145" s="3" t="s">
        <v>61</v>
      </c>
      <c r="E145" t="s">
        <v>16</v>
      </c>
      <c r="F145" t="s">
        <v>26</v>
      </c>
      <c r="G145" t="s">
        <v>27</v>
      </c>
      <c r="H145" s="8">
        <v>1</v>
      </c>
      <c r="I145" s="10">
        <v>71.099999999999994</v>
      </c>
      <c r="J145" s="14">
        <f>P145*I145</f>
        <v>71.099999999999994</v>
      </c>
      <c r="K145" s="16">
        <v>0.52</v>
      </c>
      <c r="L145" s="1" t="s">
        <v>30</v>
      </c>
      <c r="M145" t="s">
        <v>22</v>
      </c>
      <c r="N145" t="str">
        <f t="shared" si="2"/>
        <v>Ireland</v>
      </c>
      <c r="O145" s="8">
        <f>IF(K145&gt;=1,K145,K145*1000)</f>
        <v>520</v>
      </c>
      <c r="P145">
        <f>ABS(H145)</f>
        <v>1</v>
      </c>
      <c r="R145"/>
    </row>
    <row r="146" spans="1:18" x14ac:dyDescent="0.35">
      <c r="A146" t="s">
        <v>413</v>
      </c>
      <c r="B146" s="2">
        <v>46144</v>
      </c>
      <c r="C146" t="s">
        <v>414</v>
      </c>
      <c r="D146" s="3" t="s">
        <v>99</v>
      </c>
      <c r="E146" t="s">
        <v>41</v>
      </c>
      <c r="F146" t="s">
        <v>42</v>
      </c>
      <c r="G146" t="s">
        <v>43</v>
      </c>
      <c r="H146" s="8">
        <v>2</v>
      </c>
      <c r="I146" s="10">
        <v>116.1</v>
      </c>
      <c r="J146" s="14">
        <f>P146*I146</f>
        <v>232.2</v>
      </c>
      <c r="K146" s="16">
        <v>0.19</v>
      </c>
      <c r="L146" s="1" t="s">
        <v>30</v>
      </c>
      <c r="M146" t="s">
        <v>22</v>
      </c>
      <c r="N146" t="str">
        <f t="shared" si="2"/>
        <v>United Kingdom</v>
      </c>
      <c r="O146" s="8">
        <f>IF(K146&gt;=1,K146,K146*1000)</f>
        <v>190</v>
      </c>
      <c r="P146">
        <f>ABS(H146)</f>
        <v>2</v>
      </c>
      <c r="R146"/>
    </row>
    <row r="147" spans="1:18" x14ac:dyDescent="0.35">
      <c r="A147" t="s">
        <v>415</v>
      </c>
      <c r="B147" s="2">
        <v>46077</v>
      </c>
      <c r="C147" t="s">
        <v>416</v>
      </c>
      <c r="D147" s="3" t="s">
        <v>61</v>
      </c>
      <c r="E147" t="s">
        <v>25</v>
      </c>
      <c r="F147" t="s">
        <v>26</v>
      </c>
      <c r="G147" t="s">
        <v>27</v>
      </c>
      <c r="H147" s="8">
        <v>1</v>
      </c>
      <c r="I147" s="10">
        <v>45</v>
      </c>
      <c r="J147" s="14">
        <f>P147*I147</f>
        <v>45</v>
      </c>
      <c r="K147" s="16">
        <v>520</v>
      </c>
      <c r="L147" s="1" t="s">
        <v>30</v>
      </c>
      <c r="M147" t="s">
        <v>22</v>
      </c>
      <c r="N147" t="str">
        <f t="shared" si="2"/>
        <v>Ireland</v>
      </c>
      <c r="O147" s="8">
        <f>IF(K147&gt;=1,K147,K147*1000)</f>
        <v>520</v>
      </c>
      <c r="P147">
        <f>ABS(H147)</f>
        <v>1</v>
      </c>
      <c r="R147"/>
    </row>
    <row r="148" spans="1:18" x14ac:dyDescent="0.35">
      <c r="A148" t="s">
        <v>417</v>
      </c>
      <c r="B148" s="2">
        <v>46089</v>
      </c>
      <c r="C148" t="s">
        <v>418</v>
      </c>
      <c r="D148" s="3" t="s">
        <v>99</v>
      </c>
      <c r="E148" t="s">
        <v>67</v>
      </c>
      <c r="F148" t="s">
        <v>17</v>
      </c>
      <c r="G148" t="s">
        <v>18</v>
      </c>
      <c r="H148" s="8">
        <v>1</v>
      </c>
      <c r="I148" s="10">
        <v>149</v>
      </c>
      <c r="J148" s="14">
        <f>P148*I148</f>
        <v>149</v>
      </c>
      <c r="K148" s="16">
        <v>520</v>
      </c>
      <c r="L148" s="1" t="s">
        <v>30</v>
      </c>
      <c r="M148" t="s">
        <v>22</v>
      </c>
      <c r="N148" t="str">
        <f t="shared" si="2"/>
        <v>United Kingdom</v>
      </c>
      <c r="O148" s="8">
        <f>IF(K148&gt;=1,K148,K148*1000)</f>
        <v>520</v>
      </c>
      <c r="P148">
        <f>ABS(H148)</f>
        <v>1</v>
      </c>
      <c r="R148"/>
    </row>
    <row r="149" spans="1:18" x14ac:dyDescent="0.35">
      <c r="A149" t="s">
        <v>419</v>
      </c>
      <c r="B149" s="2">
        <v>46086</v>
      </c>
      <c r="C149" t="s">
        <v>420</v>
      </c>
      <c r="D149" s="3" t="s">
        <v>4613</v>
      </c>
      <c r="E149" t="s">
        <v>25</v>
      </c>
      <c r="F149" t="s">
        <v>42</v>
      </c>
      <c r="G149" t="s">
        <v>43</v>
      </c>
      <c r="H149" s="8">
        <v>-2</v>
      </c>
      <c r="I149" s="10">
        <v>129</v>
      </c>
      <c r="J149" s="14">
        <f>P149*I149</f>
        <v>258</v>
      </c>
      <c r="K149" s="16">
        <v>190</v>
      </c>
      <c r="L149" s="1" t="s">
        <v>30</v>
      </c>
      <c r="M149" t="s">
        <v>22</v>
      </c>
      <c r="N149" t="str">
        <f t="shared" si="2"/>
        <v>United Kingdom</v>
      </c>
      <c r="O149" s="8">
        <f>IF(K149&gt;=1,K149,K149*1000)</f>
        <v>190</v>
      </c>
      <c r="P149">
        <f>ABS(H149)</f>
        <v>2</v>
      </c>
      <c r="R149"/>
    </row>
    <row r="150" spans="1:18" x14ac:dyDescent="0.35">
      <c r="A150" t="s">
        <v>421</v>
      </c>
      <c r="B150" s="2">
        <v>46137</v>
      </c>
      <c r="C150" t="s">
        <v>422</v>
      </c>
      <c r="D150" s="3" t="s">
        <v>53</v>
      </c>
      <c r="E150" t="s">
        <v>41</v>
      </c>
      <c r="F150" t="s">
        <v>74</v>
      </c>
      <c r="G150" t="s">
        <v>75</v>
      </c>
      <c r="H150" s="8">
        <v>1</v>
      </c>
      <c r="I150" s="10">
        <v>45</v>
      </c>
      <c r="J150" s="14">
        <f>P150*I150</f>
        <v>45</v>
      </c>
      <c r="K150" s="16">
        <v>0.41</v>
      </c>
      <c r="L150" s="1" t="s">
        <v>30</v>
      </c>
      <c r="M150" t="s">
        <v>58</v>
      </c>
      <c r="N150" t="str">
        <f t="shared" si="2"/>
        <v>Gb</v>
      </c>
      <c r="O150" s="8">
        <f>IF(K150&gt;=1,K150,K150*1000)</f>
        <v>410</v>
      </c>
      <c r="P150">
        <f>ABS(H150)</f>
        <v>1</v>
      </c>
      <c r="R150"/>
    </row>
    <row r="151" spans="1:18" x14ac:dyDescent="0.35">
      <c r="A151" t="s">
        <v>423</v>
      </c>
      <c r="B151" s="2" t="s">
        <v>424</v>
      </c>
      <c r="C151" t="s">
        <v>425</v>
      </c>
      <c r="D151" s="3" t="s">
        <v>99</v>
      </c>
      <c r="E151" t="s">
        <v>67</v>
      </c>
      <c r="F151" t="s">
        <v>89</v>
      </c>
      <c r="G151" t="s">
        <v>90</v>
      </c>
      <c r="H151" s="8">
        <v>2</v>
      </c>
      <c r="I151" s="12" t="s">
        <v>4625</v>
      </c>
      <c r="J151" s="14">
        <f>P151*R151</f>
        <v>142.19999999999999</v>
      </c>
      <c r="K151" s="16">
        <v>640</v>
      </c>
      <c r="L151" s="1" t="s">
        <v>30</v>
      </c>
      <c r="M151" t="s">
        <v>22</v>
      </c>
      <c r="N151" t="str">
        <f t="shared" si="2"/>
        <v>United Kingdom</v>
      </c>
      <c r="O151" s="8">
        <f>IF(K151&gt;=1,K151,K151*1000)</f>
        <v>640</v>
      </c>
      <c r="P151">
        <f>ABS(H151)</f>
        <v>2</v>
      </c>
      <c r="Q151" t="str">
        <f>LEFT(I151,2)</f>
        <v>Â£</v>
      </c>
      <c r="R151" t="str">
        <f>RIGHT(I151,5)</f>
        <v>71,10</v>
      </c>
    </row>
    <row r="152" spans="1:18" x14ac:dyDescent="0.35">
      <c r="A152" t="s">
        <v>427</v>
      </c>
      <c r="B152" s="2">
        <v>46155</v>
      </c>
      <c r="C152" t="s">
        <v>428</v>
      </c>
      <c r="D152" s="3" t="s">
        <v>4613</v>
      </c>
      <c r="E152" t="s">
        <v>67</v>
      </c>
      <c r="F152" t="s">
        <v>74</v>
      </c>
      <c r="G152" t="s">
        <v>75</v>
      </c>
      <c r="H152" s="8">
        <v>3</v>
      </c>
      <c r="I152" s="10">
        <v>116.1</v>
      </c>
      <c r="J152" s="14">
        <f>P152*I152</f>
        <v>348.29999999999995</v>
      </c>
      <c r="K152" s="16">
        <v>0.41</v>
      </c>
      <c r="L152" s="1" t="s">
        <v>30</v>
      </c>
      <c r="M152" t="s">
        <v>22</v>
      </c>
      <c r="N152" t="str">
        <f t="shared" si="2"/>
        <v>United Kingdom</v>
      </c>
      <c r="O152" s="8">
        <f>IF(K152&gt;=1,K152,K152*1000)</f>
        <v>410</v>
      </c>
      <c r="P152">
        <f>ABS(H152)</f>
        <v>3</v>
      </c>
      <c r="R152"/>
    </row>
    <row r="153" spans="1:18" x14ac:dyDescent="0.35">
      <c r="A153" t="s">
        <v>429</v>
      </c>
      <c r="B153" s="2">
        <v>46031</v>
      </c>
      <c r="C153" t="s">
        <v>430</v>
      </c>
      <c r="D153" s="3" t="s">
        <v>46</v>
      </c>
      <c r="E153" t="s">
        <v>16</v>
      </c>
      <c r="F153" t="s">
        <v>42</v>
      </c>
      <c r="G153" t="s">
        <v>43</v>
      </c>
      <c r="H153" s="8">
        <v>1</v>
      </c>
      <c r="I153" s="10">
        <v>79</v>
      </c>
      <c r="J153" s="14">
        <f>P153*I153</f>
        <v>79</v>
      </c>
      <c r="K153" s="16">
        <v>190</v>
      </c>
      <c r="L153" s="1" t="s">
        <v>30</v>
      </c>
      <c r="M153" t="s">
        <v>58</v>
      </c>
      <c r="N153" t="str">
        <f t="shared" si="2"/>
        <v>Ireland</v>
      </c>
      <c r="O153" s="8">
        <f>IF(K153&gt;=1,K153,K153*1000)</f>
        <v>190</v>
      </c>
      <c r="P153">
        <f>ABS(H153)</f>
        <v>1</v>
      </c>
      <c r="R153"/>
    </row>
    <row r="154" spans="1:18" x14ac:dyDescent="0.35">
      <c r="A154" t="s">
        <v>431</v>
      </c>
      <c r="B154" s="2">
        <v>46164</v>
      </c>
      <c r="C154" t="s">
        <v>216</v>
      </c>
      <c r="D154" s="3" t="s">
        <v>46</v>
      </c>
      <c r="E154" t="s">
        <v>16</v>
      </c>
      <c r="F154" t="s">
        <v>47</v>
      </c>
      <c r="G154" t="s">
        <v>48</v>
      </c>
      <c r="H154" s="8">
        <v>3</v>
      </c>
      <c r="I154" s="10">
        <v>79</v>
      </c>
      <c r="J154" s="14">
        <f>P154*I154</f>
        <v>237</v>
      </c>
      <c r="K154" s="16">
        <v>0.38</v>
      </c>
      <c r="L154" s="1" t="s">
        <v>21</v>
      </c>
      <c r="M154" t="s">
        <v>22</v>
      </c>
      <c r="N154" t="str">
        <f t="shared" si="2"/>
        <v>Ireland</v>
      </c>
      <c r="O154" s="8">
        <f>IF(K154&gt;=1,K154,K154*1000)</f>
        <v>380</v>
      </c>
      <c r="P154">
        <f>ABS(H154)</f>
        <v>3</v>
      </c>
      <c r="R154"/>
    </row>
    <row r="155" spans="1:18" x14ac:dyDescent="0.35">
      <c r="A155" t="s">
        <v>432</v>
      </c>
      <c r="B155" s="2">
        <v>46199</v>
      </c>
      <c r="C155" t="s">
        <v>433</v>
      </c>
      <c r="D155" s="3" t="s">
        <v>4612</v>
      </c>
      <c r="E155" t="s">
        <v>25</v>
      </c>
      <c r="F155" t="s">
        <v>35</v>
      </c>
      <c r="G155" t="s">
        <v>36</v>
      </c>
      <c r="H155" s="8">
        <v>1</v>
      </c>
      <c r="I155" s="10">
        <v>129</v>
      </c>
      <c r="J155" s="14">
        <f>P155*I155</f>
        <v>129</v>
      </c>
      <c r="K155" s="16">
        <v>8.5000000000000006E-2</v>
      </c>
      <c r="L155" s="1" t="s">
        <v>30</v>
      </c>
      <c r="M155" t="s">
        <v>58</v>
      </c>
      <c r="N155" t="str">
        <f t="shared" si="2"/>
        <v>United Kingdom</v>
      </c>
      <c r="O155" s="8">
        <f>IF(K155&gt;=1,K155,K155*1000)</f>
        <v>85</v>
      </c>
      <c r="P155">
        <f>ABS(H155)</f>
        <v>1</v>
      </c>
      <c r="R155"/>
    </row>
    <row r="156" spans="1:18" x14ac:dyDescent="0.35">
      <c r="A156" t="s">
        <v>434</v>
      </c>
      <c r="B156" s="2">
        <v>46029</v>
      </c>
      <c r="C156" t="s">
        <v>435</v>
      </c>
      <c r="D156" s="3" t="s">
        <v>116</v>
      </c>
      <c r="E156" t="s">
        <v>25</v>
      </c>
      <c r="F156" t="s">
        <v>47</v>
      </c>
      <c r="G156" t="s">
        <v>48</v>
      </c>
      <c r="H156" s="8">
        <v>3</v>
      </c>
      <c r="I156" s="12" t="s">
        <v>4626</v>
      </c>
      <c r="J156" s="14">
        <f>P156*R156</f>
        <v>87</v>
      </c>
      <c r="K156" s="16">
        <v>380</v>
      </c>
      <c r="L156" s="1" t="s">
        <v>30</v>
      </c>
      <c r="M156" t="s">
        <v>22</v>
      </c>
      <c r="N156" t="str">
        <f t="shared" si="2"/>
        <v>Germany</v>
      </c>
      <c r="O156" s="8">
        <f>IF(K156&gt;=1,K156,K156*1000)</f>
        <v>380</v>
      </c>
      <c r="P156">
        <f>ABS(H156)</f>
        <v>3</v>
      </c>
      <c r="Q156" t="str">
        <f>LEFT(I156,3)</f>
        <v>GBP</v>
      </c>
      <c r="R156" s="10" t="str">
        <f>RIGHT(I156,5)</f>
        <v>29,00</v>
      </c>
    </row>
    <row r="157" spans="1:18" x14ac:dyDescent="0.35">
      <c r="A157" t="s">
        <v>438</v>
      </c>
      <c r="B157" s="2">
        <v>46082</v>
      </c>
      <c r="C157" t="s">
        <v>439</v>
      </c>
      <c r="D157" s="3" t="s">
        <v>116</v>
      </c>
      <c r="E157" t="s">
        <v>34</v>
      </c>
      <c r="F157" t="s">
        <v>74</v>
      </c>
      <c r="G157" t="s">
        <v>75</v>
      </c>
      <c r="H157" s="8">
        <v>3</v>
      </c>
      <c r="I157" s="10">
        <v>11.25</v>
      </c>
      <c r="J157" s="14">
        <f>P157*I157</f>
        <v>33.75</v>
      </c>
      <c r="K157" s="16">
        <v>410</v>
      </c>
      <c r="L157" s="1" t="s">
        <v>30</v>
      </c>
      <c r="M157" t="s">
        <v>22</v>
      </c>
      <c r="N157" t="str">
        <f t="shared" si="2"/>
        <v>Germany</v>
      </c>
      <c r="O157" s="8">
        <f>IF(K157&gt;=1,K157,K157*1000)</f>
        <v>410</v>
      </c>
      <c r="P157">
        <f>ABS(H157)</f>
        <v>3</v>
      </c>
      <c r="R157"/>
    </row>
    <row r="158" spans="1:18" x14ac:dyDescent="0.35">
      <c r="A158" t="s">
        <v>440</v>
      </c>
      <c r="B158" s="2">
        <v>46058</v>
      </c>
      <c r="C158" t="s">
        <v>441</v>
      </c>
      <c r="D158" s="3" t="s">
        <v>116</v>
      </c>
      <c r="E158" t="s">
        <v>16</v>
      </c>
      <c r="F158" t="s">
        <v>74</v>
      </c>
      <c r="G158" t="s">
        <v>75</v>
      </c>
      <c r="H158" s="8">
        <v>1</v>
      </c>
      <c r="I158" s="10">
        <v>11.25</v>
      </c>
      <c r="J158" s="14">
        <f>P158*I158</f>
        <v>11.25</v>
      </c>
      <c r="K158" s="16">
        <v>410</v>
      </c>
      <c r="L158" s="1" t="s">
        <v>30</v>
      </c>
      <c r="M158" t="s">
        <v>58</v>
      </c>
      <c r="N158" t="str">
        <f t="shared" si="2"/>
        <v>Germany</v>
      </c>
      <c r="O158" s="8">
        <f>IF(K158&gt;=1,K158,K158*1000)</f>
        <v>410</v>
      </c>
      <c r="P158">
        <f>ABS(H158)</f>
        <v>1</v>
      </c>
      <c r="R158"/>
    </row>
    <row r="159" spans="1:18" x14ac:dyDescent="0.35">
      <c r="A159" t="s">
        <v>442</v>
      </c>
      <c r="B159" s="2">
        <v>46039</v>
      </c>
      <c r="C159" t="s">
        <v>443</v>
      </c>
      <c r="D159" s="3" t="s">
        <v>53</v>
      </c>
      <c r="E159" t="s">
        <v>16</v>
      </c>
      <c r="F159" t="s">
        <v>42</v>
      </c>
      <c r="G159" t="s">
        <v>43</v>
      </c>
      <c r="H159" s="8">
        <v>1</v>
      </c>
      <c r="I159" s="10">
        <v>149</v>
      </c>
      <c r="J159" s="14">
        <f>P159*I159</f>
        <v>149</v>
      </c>
      <c r="K159" s="16">
        <v>190</v>
      </c>
      <c r="L159" s="1" t="s">
        <v>30</v>
      </c>
      <c r="M159" t="s">
        <v>58</v>
      </c>
      <c r="N159" t="str">
        <f t="shared" si="2"/>
        <v>Gb</v>
      </c>
      <c r="O159" s="8">
        <f>IF(K159&gt;=1,K159,K159*1000)</f>
        <v>190</v>
      </c>
      <c r="P159">
        <f>ABS(H159)</f>
        <v>1</v>
      </c>
      <c r="R159"/>
    </row>
    <row r="160" spans="1:18" x14ac:dyDescent="0.35">
      <c r="A160" t="s">
        <v>444</v>
      </c>
      <c r="B160" s="2">
        <v>46329</v>
      </c>
      <c r="C160" t="s">
        <v>445</v>
      </c>
      <c r="D160" s="3" t="s">
        <v>66</v>
      </c>
      <c r="E160" t="s">
        <v>34</v>
      </c>
      <c r="F160" t="s">
        <v>74</v>
      </c>
      <c r="G160" t="s">
        <v>75</v>
      </c>
      <c r="H160" s="8">
        <v>1</v>
      </c>
      <c r="I160" s="10">
        <v>79</v>
      </c>
      <c r="J160" s="14">
        <f>P160*I160</f>
        <v>79</v>
      </c>
      <c r="K160" s="16">
        <v>410</v>
      </c>
      <c r="L160" s="1" t="s">
        <v>30</v>
      </c>
      <c r="M160" t="s">
        <v>58</v>
      </c>
      <c r="N160" t="str">
        <f t="shared" si="2"/>
        <v>Gb</v>
      </c>
      <c r="O160" s="8">
        <f>IF(K160&gt;=1,K160,K160*1000)</f>
        <v>410</v>
      </c>
      <c r="P160">
        <f>ABS(H160)</f>
        <v>1</v>
      </c>
      <c r="R160"/>
    </row>
    <row r="161" spans="1:18" x14ac:dyDescent="0.35">
      <c r="A161" t="s">
        <v>446</v>
      </c>
      <c r="B161" s="2">
        <v>46057</v>
      </c>
      <c r="C161" t="s">
        <v>447</v>
      </c>
      <c r="D161" s="3" t="s">
        <v>46</v>
      </c>
      <c r="E161" t="s">
        <v>25</v>
      </c>
      <c r="F161" t="s">
        <v>74</v>
      </c>
      <c r="G161" t="s">
        <v>75</v>
      </c>
      <c r="H161" s="8">
        <v>2</v>
      </c>
      <c r="I161" s="10">
        <v>11.25</v>
      </c>
      <c r="J161" s="14">
        <f>P161*I161</f>
        <v>22.5</v>
      </c>
      <c r="K161" s="16">
        <v>410</v>
      </c>
      <c r="L161" s="1" t="s">
        <v>30</v>
      </c>
      <c r="M161" t="s">
        <v>22</v>
      </c>
      <c r="N161" t="str">
        <f t="shared" si="2"/>
        <v>Ireland</v>
      </c>
      <c r="O161" s="8">
        <f>IF(K161&gt;=1,K161,K161*1000)</f>
        <v>410</v>
      </c>
      <c r="P161">
        <f>ABS(H161)</f>
        <v>2</v>
      </c>
      <c r="R161"/>
    </row>
    <row r="162" spans="1:18" x14ac:dyDescent="0.35">
      <c r="A162" t="s">
        <v>449</v>
      </c>
      <c r="B162" s="2">
        <v>46122</v>
      </c>
      <c r="C162" t="s">
        <v>280</v>
      </c>
      <c r="D162" s="3" t="s">
        <v>61</v>
      </c>
      <c r="E162" t="s">
        <v>41</v>
      </c>
      <c r="F162" t="s">
        <v>42</v>
      </c>
      <c r="G162" t="s">
        <v>43</v>
      </c>
      <c r="H162" s="8">
        <v>1</v>
      </c>
      <c r="I162" s="10">
        <v>45</v>
      </c>
      <c r="J162" s="14">
        <f>P162*I162</f>
        <v>45</v>
      </c>
      <c r="K162" s="16">
        <v>190</v>
      </c>
      <c r="L162" s="1" t="s">
        <v>30</v>
      </c>
      <c r="M162" t="s">
        <v>22</v>
      </c>
      <c r="N162" t="str">
        <f t="shared" si="2"/>
        <v>Ireland</v>
      </c>
      <c r="O162" s="8">
        <f>IF(K162&gt;=1,K162,K162*1000)</f>
        <v>190</v>
      </c>
      <c r="P162">
        <f>ABS(H162)</f>
        <v>1</v>
      </c>
      <c r="R162"/>
    </row>
    <row r="163" spans="1:18" x14ac:dyDescent="0.35">
      <c r="A163" t="s">
        <v>450</v>
      </c>
      <c r="B163" s="2">
        <v>46145</v>
      </c>
      <c r="C163" t="s">
        <v>451</v>
      </c>
      <c r="D163" s="3" t="s">
        <v>99</v>
      </c>
      <c r="E163" t="s">
        <v>34</v>
      </c>
      <c r="F163" t="s">
        <v>89</v>
      </c>
      <c r="G163" t="s">
        <v>90</v>
      </c>
      <c r="H163" s="8">
        <v>3</v>
      </c>
      <c r="I163" s="10">
        <v>116.1</v>
      </c>
      <c r="J163" s="14">
        <f>P163*I163</f>
        <v>348.29999999999995</v>
      </c>
      <c r="K163" s="16">
        <v>0.64</v>
      </c>
      <c r="L163" s="1" t="s">
        <v>30</v>
      </c>
      <c r="M163" t="s">
        <v>22</v>
      </c>
      <c r="N163" t="str">
        <f t="shared" si="2"/>
        <v>United Kingdom</v>
      </c>
      <c r="O163" s="8">
        <f>IF(K163&gt;=1,K163,K163*1000)</f>
        <v>640</v>
      </c>
      <c r="P163">
        <f>ABS(H163)</f>
        <v>3</v>
      </c>
      <c r="R163"/>
    </row>
    <row r="164" spans="1:18" x14ac:dyDescent="0.35">
      <c r="A164" t="s">
        <v>452</v>
      </c>
      <c r="B164" s="2">
        <v>46199</v>
      </c>
      <c r="C164" t="s">
        <v>453</v>
      </c>
      <c r="D164" s="3" t="s">
        <v>61</v>
      </c>
      <c r="E164" t="s">
        <v>25</v>
      </c>
      <c r="F164" t="s">
        <v>35</v>
      </c>
      <c r="G164" t="s">
        <v>36</v>
      </c>
      <c r="H164" s="8">
        <v>2</v>
      </c>
      <c r="I164" s="10">
        <v>71.099999999999994</v>
      </c>
      <c r="J164" s="14">
        <f>P164*I164</f>
        <v>142.19999999999999</v>
      </c>
      <c r="K164" s="16">
        <v>8.5000000000000006E-2</v>
      </c>
      <c r="L164" s="1" t="s">
        <v>30</v>
      </c>
      <c r="M164" t="s">
        <v>58</v>
      </c>
      <c r="N164" t="str">
        <f t="shared" si="2"/>
        <v>Ireland</v>
      </c>
      <c r="O164" s="8">
        <f>IF(K164&gt;=1,K164,K164*1000)</f>
        <v>85</v>
      </c>
      <c r="P164">
        <f>ABS(H164)</f>
        <v>2</v>
      </c>
      <c r="R164"/>
    </row>
    <row r="165" spans="1:18" x14ac:dyDescent="0.35">
      <c r="A165" t="s">
        <v>454</v>
      </c>
      <c r="B165" s="2">
        <v>46062</v>
      </c>
      <c r="C165" t="s">
        <v>455</v>
      </c>
      <c r="D165" s="3" t="s">
        <v>61</v>
      </c>
      <c r="E165" t="s">
        <v>67</v>
      </c>
      <c r="F165" t="s">
        <v>89</v>
      </c>
      <c r="G165" t="s">
        <v>90</v>
      </c>
      <c r="H165" s="8">
        <v>1</v>
      </c>
      <c r="I165" s="10">
        <v>45</v>
      </c>
      <c r="J165" s="14">
        <f>P165*I165</f>
        <v>45</v>
      </c>
      <c r="K165" s="16">
        <v>640</v>
      </c>
      <c r="L165" s="1" t="s">
        <v>30</v>
      </c>
      <c r="M165" t="s">
        <v>22</v>
      </c>
      <c r="N165" t="str">
        <f t="shared" si="2"/>
        <v>Ireland</v>
      </c>
      <c r="O165" s="8">
        <f>IF(K165&gt;=1,K165,K165*1000)</f>
        <v>640</v>
      </c>
      <c r="P165">
        <f>ABS(H165)</f>
        <v>1</v>
      </c>
      <c r="R165"/>
    </row>
    <row r="166" spans="1:18" x14ac:dyDescent="0.35">
      <c r="A166" t="s">
        <v>456</v>
      </c>
      <c r="B166" s="2">
        <v>46071</v>
      </c>
      <c r="C166" t="s">
        <v>457</v>
      </c>
      <c r="D166" s="3" t="s">
        <v>53</v>
      </c>
      <c r="E166" t="s">
        <v>67</v>
      </c>
      <c r="F166" t="s">
        <v>47</v>
      </c>
      <c r="G166" t="s">
        <v>48</v>
      </c>
      <c r="H166" s="8">
        <v>1</v>
      </c>
      <c r="I166" s="10">
        <v>45</v>
      </c>
      <c r="J166" s="14">
        <f>P166*I166</f>
        <v>45</v>
      </c>
      <c r="K166" s="16">
        <v>380</v>
      </c>
      <c r="L166" s="1" t="s">
        <v>30</v>
      </c>
      <c r="M166" t="s">
        <v>22</v>
      </c>
      <c r="N166" t="str">
        <f t="shared" si="2"/>
        <v>Gb</v>
      </c>
      <c r="O166" s="8">
        <f>IF(K166&gt;=1,K166,K166*1000)</f>
        <v>380</v>
      </c>
      <c r="P166">
        <f>ABS(H166)</f>
        <v>1</v>
      </c>
      <c r="R166"/>
    </row>
    <row r="167" spans="1:18" x14ac:dyDescent="0.35">
      <c r="A167" t="s">
        <v>458</v>
      </c>
      <c r="B167" s="2">
        <v>46166</v>
      </c>
      <c r="C167" t="s">
        <v>459</v>
      </c>
      <c r="D167" s="3" t="s">
        <v>53</v>
      </c>
      <c r="E167" t="s">
        <v>41</v>
      </c>
      <c r="F167" t="s">
        <v>89</v>
      </c>
      <c r="G167" t="s">
        <v>90</v>
      </c>
      <c r="H167" s="8">
        <v>1</v>
      </c>
      <c r="I167" s="10">
        <v>95</v>
      </c>
      <c r="J167" s="14">
        <f>P167*I167</f>
        <v>95</v>
      </c>
      <c r="K167" s="16">
        <v>0.64</v>
      </c>
      <c r="L167" s="1" t="s">
        <v>30</v>
      </c>
      <c r="M167" t="s">
        <v>58</v>
      </c>
      <c r="N167" t="str">
        <f t="shared" si="2"/>
        <v>Gb</v>
      </c>
      <c r="O167" s="8">
        <f>IF(K167&gt;=1,K167,K167*1000)</f>
        <v>640</v>
      </c>
      <c r="P167">
        <f>ABS(H167)</f>
        <v>1</v>
      </c>
      <c r="R167"/>
    </row>
    <row r="168" spans="1:18" x14ac:dyDescent="0.35">
      <c r="A168" t="s">
        <v>461</v>
      </c>
      <c r="B168" s="2">
        <v>46199</v>
      </c>
      <c r="C168" t="s">
        <v>462</v>
      </c>
      <c r="D168" s="3" t="s">
        <v>66</v>
      </c>
      <c r="E168" t="s">
        <v>25</v>
      </c>
      <c r="F168" t="s">
        <v>35</v>
      </c>
      <c r="G168" t="s">
        <v>36</v>
      </c>
      <c r="H168" s="8">
        <v>1</v>
      </c>
      <c r="I168" s="10">
        <v>79</v>
      </c>
      <c r="J168" s="14">
        <f>P168*I168</f>
        <v>79</v>
      </c>
      <c r="K168" s="16">
        <v>8.5000000000000006E-2</v>
      </c>
      <c r="L168" s="1" t="s">
        <v>30</v>
      </c>
      <c r="M168" t="s">
        <v>22</v>
      </c>
      <c r="N168" t="str">
        <f t="shared" si="2"/>
        <v>Gb</v>
      </c>
      <c r="O168" s="8">
        <f>IF(K168&gt;=1,K168,K168*1000)</f>
        <v>85</v>
      </c>
      <c r="P168">
        <f>ABS(H168)</f>
        <v>1</v>
      </c>
      <c r="R168"/>
    </row>
    <row r="169" spans="1:18" x14ac:dyDescent="0.35">
      <c r="A169" t="s">
        <v>463</v>
      </c>
      <c r="B169" s="2">
        <v>46033</v>
      </c>
      <c r="C169" t="s">
        <v>464</v>
      </c>
      <c r="D169" s="3" t="s">
        <v>61</v>
      </c>
      <c r="E169" t="s">
        <v>41</v>
      </c>
      <c r="F169" t="s">
        <v>17</v>
      </c>
      <c r="G169" t="s">
        <v>18</v>
      </c>
      <c r="H169" s="8">
        <v>2</v>
      </c>
      <c r="I169" s="10">
        <v>80.099999999999994</v>
      </c>
      <c r="J169" s="14">
        <f>P169*I169</f>
        <v>160.19999999999999</v>
      </c>
      <c r="K169" s="16">
        <v>520</v>
      </c>
      <c r="L169" s="1" t="s">
        <v>30</v>
      </c>
      <c r="M169" t="s">
        <v>22</v>
      </c>
      <c r="N169" t="str">
        <f t="shared" si="2"/>
        <v>Ireland</v>
      </c>
      <c r="O169" s="8">
        <f>IF(K169&gt;=1,K169,K169*1000)</f>
        <v>520</v>
      </c>
      <c r="P169">
        <f>ABS(H169)</f>
        <v>2</v>
      </c>
      <c r="R169"/>
    </row>
    <row r="170" spans="1:18" x14ac:dyDescent="0.35">
      <c r="A170" t="s">
        <v>465</v>
      </c>
      <c r="B170" s="2">
        <v>46150</v>
      </c>
      <c r="C170" t="s">
        <v>466</v>
      </c>
      <c r="D170" s="3" t="s">
        <v>66</v>
      </c>
      <c r="E170" t="s">
        <v>67</v>
      </c>
      <c r="F170" t="s">
        <v>26</v>
      </c>
      <c r="G170" t="s">
        <v>27</v>
      </c>
      <c r="H170" s="8">
        <v>2</v>
      </c>
      <c r="I170" s="10">
        <v>79</v>
      </c>
      <c r="J170" s="14">
        <f>P170*I170</f>
        <v>158</v>
      </c>
      <c r="K170" s="16">
        <v>0.52</v>
      </c>
      <c r="L170" s="1" t="s">
        <v>30</v>
      </c>
      <c r="M170" t="s">
        <v>58</v>
      </c>
      <c r="N170" t="str">
        <f t="shared" si="2"/>
        <v>Gb</v>
      </c>
      <c r="O170" s="8">
        <f>IF(K170&gt;=1,K170,K170*1000)</f>
        <v>520</v>
      </c>
      <c r="P170">
        <f>ABS(H170)</f>
        <v>2</v>
      </c>
      <c r="R170"/>
    </row>
    <row r="171" spans="1:18" x14ac:dyDescent="0.35">
      <c r="A171" t="s">
        <v>467</v>
      </c>
      <c r="B171" s="2">
        <v>46054</v>
      </c>
      <c r="C171" t="s">
        <v>468</v>
      </c>
      <c r="D171" s="3" t="s">
        <v>66</v>
      </c>
      <c r="E171" t="s">
        <v>67</v>
      </c>
      <c r="F171" t="s">
        <v>35</v>
      </c>
      <c r="G171" t="s">
        <v>36</v>
      </c>
      <c r="H171" s="8">
        <v>3</v>
      </c>
      <c r="I171" s="10">
        <v>149</v>
      </c>
      <c r="J171" s="14">
        <f>P171*I171</f>
        <v>447</v>
      </c>
      <c r="K171" s="16">
        <v>85</v>
      </c>
      <c r="L171" s="1" t="s">
        <v>30</v>
      </c>
      <c r="M171" t="s">
        <v>22</v>
      </c>
      <c r="N171" t="str">
        <f t="shared" si="2"/>
        <v>Gb</v>
      </c>
      <c r="O171" s="8">
        <f>IF(K171&gt;=1,K171,K171*1000)</f>
        <v>85</v>
      </c>
      <c r="P171">
        <f>ABS(H171)</f>
        <v>3</v>
      </c>
      <c r="R171"/>
    </row>
    <row r="172" spans="1:18" x14ac:dyDescent="0.35">
      <c r="A172" t="s">
        <v>469</v>
      </c>
      <c r="B172" s="2" t="s">
        <v>470</v>
      </c>
      <c r="C172" t="s">
        <v>471</v>
      </c>
      <c r="D172" s="3" t="s">
        <v>66</v>
      </c>
      <c r="E172" t="s">
        <v>34</v>
      </c>
      <c r="F172" t="s">
        <v>26</v>
      </c>
      <c r="G172" t="s">
        <v>27</v>
      </c>
      <c r="H172" s="8">
        <v>2</v>
      </c>
      <c r="I172" s="10">
        <v>95</v>
      </c>
      <c r="J172" s="14">
        <f>P172*I172</f>
        <v>190</v>
      </c>
      <c r="K172" s="16">
        <v>520</v>
      </c>
      <c r="L172" s="1" t="s">
        <v>21</v>
      </c>
      <c r="M172" t="s">
        <v>58</v>
      </c>
      <c r="N172" t="str">
        <f t="shared" si="2"/>
        <v>Gb</v>
      </c>
      <c r="O172" s="8">
        <f>IF(K172&gt;=1,K172,K172*1000)</f>
        <v>520</v>
      </c>
      <c r="P172">
        <f>ABS(H172)</f>
        <v>2</v>
      </c>
      <c r="R172"/>
    </row>
    <row r="173" spans="1:18" x14ac:dyDescent="0.35">
      <c r="A173" t="s">
        <v>472</v>
      </c>
      <c r="B173" s="2">
        <v>46140</v>
      </c>
      <c r="C173" t="s">
        <v>473</v>
      </c>
      <c r="D173" s="3" t="s">
        <v>99</v>
      </c>
      <c r="E173" t="s">
        <v>25</v>
      </c>
      <c r="F173" t="s">
        <v>89</v>
      </c>
      <c r="G173" t="s">
        <v>90</v>
      </c>
      <c r="H173" s="8">
        <v>1</v>
      </c>
      <c r="I173" s="10">
        <v>24</v>
      </c>
      <c r="J173" s="14">
        <f>P173*I173</f>
        <v>24</v>
      </c>
      <c r="K173" s="16">
        <v>0.64</v>
      </c>
      <c r="L173" s="1" t="s">
        <v>30</v>
      </c>
      <c r="M173" t="s">
        <v>58</v>
      </c>
      <c r="N173" t="str">
        <f t="shared" si="2"/>
        <v>United Kingdom</v>
      </c>
      <c r="O173" s="8">
        <f>IF(K173&gt;=1,K173,K173*1000)</f>
        <v>640</v>
      </c>
      <c r="P173">
        <f>ABS(H173)</f>
        <v>1</v>
      </c>
      <c r="R173"/>
    </row>
    <row r="174" spans="1:18" x14ac:dyDescent="0.35">
      <c r="A174" t="s">
        <v>474</v>
      </c>
      <c r="B174" s="2">
        <v>46065</v>
      </c>
      <c r="C174" t="s">
        <v>475</v>
      </c>
      <c r="D174" s="3" t="s">
        <v>4612</v>
      </c>
      <c r="E174" t="s">
        <v>41</v>
      </c>
      <c r="F174" t="s">
        <v>17</v>
      </c>
      <c r="G174" t="s">
        <v>18</v>
      </c>
      <c r="H174" s="8">
        <v>3</v>
      </c>
      <c r="I174" s="10">
        <v>149</v>
      </c>
      <c r="J174" s="14">
        <f>P174*I174</f>
        <v>447</v>
      </c>
      <c r="K174" s="16">
        <v>520</v>
      </c>
      <c r="L174" s="1" t="s">
        <v>30</v>
      </c>
      <c r="M174" t="s">
        <v>22</v>
      </c>
      <c r="N174" t="str">
        <f t="shared" si="2"/>
        <v>United Kingdom</v>
      </c>
      <c r="O174" s="8">
        <f>IF(K174&gt;=1,K174,K174*1000)</f>
        <v>520</v>
      </c>
      <c r="P174">
        <f>ABS(H174)</f>
        <v>3</v>
      </c>
      <c r="R174"/>
    </row>
    <row r="175" spans="1:18" x14ac:dyDescent="0.35">
      <c r="A175" t="s">
        <v>476</v>
      </c>
      <c r="B175" s="2">
        <v>46199</v>
      </c>
      <c r="C175" t="s">
        <v>477</v>
      </c>
      <c r="D175" s="3" t="s">
        <v>66</v>
      </c>
      <c r="E175" t="s">
        <v>41</v>
      </c>
      <c r="F175" t="s">
        <v>47</v>
      </c>
      <c r="G175" t="s">
        <v>48</v>
      </c>
      <c r="H175" s="8">
        <v>1</v>
      </c>
      <c r="I175" s="10">
        <v>134.1</v>
      </c>
      <c r="J175" s="14">
        <f>P175*I175</f>
        <v>134.1</v>
      </c>
      <c r="K175" s="16">
        <v>0.38</v>
      </c>
      <c r="L175" s="1" t="s">
        <v>30</v>
      </c>
      <c r="M175" t="s">
        <v>22</v>
      </c>
      <c r="N175" t="str">
        <f t="shared" si="2"/>
        <v>Gb</v>
      </c>
      <c r="O175" s="8">
        <f>IF(K175&gt;=1,K175,K175*1000)</f>
        <v>380</v>
      </c>
      <c r="P175">
        <f>ABS(H175)</f>
        <v>1</v>
      </c>
      <c r="R175"/>
    </row>
    <row r="176" spans="1:18" x14ac:dyDescent="0.35">
      <c r="A176" t="s">
        <v>478</v>
      </c>
      <c r="B176" s="2">
        <v>46075</v>
      </c>
      <c r="C176" t="s">
        <v>395</v>
      </c>
      <c r="D176" s="3" t="s">
        <v>99</v>
      </c>
      <c r="E176" t="s">
        <v>34</v>
      </c>
      <c r="F176" t="s">
        <v>47</v>
      </c>
      <c r="G176" t="s">
        <v>48</v>
      </c>
      <c r="H176" s="8">
        <v>2</v>
      </c>
      <c r="I176" s="12" t="s">
        <v>4627</v>
      </c>
      <c r="J176" s="14">
        <f>P176*R176</f>
        <v>190</v>
      </c>
      <c r="K176" s="16">
        <v>380</v>
      </c>
      <c r="L176" s="1" t="s">
        <v>30</v>
      </c>
      <c r="M176" t="s">
        <v>58</v>
      </c>
      <c r="N176" t="str">
        <f t="shared" si="2"/>
        <v>United Kingdom</v>
      </c>
      <c r="O176" s="8">
        <f>IF(K176&gt;=1,K176,K176*1000)</f>
        <v>380</v>
      </c>
      <c r="P176">
        <f>ABS(H176)</f>
        <v>2</v>
      </c>
      <c r="Q176" t="str">
        <f>LEFT(I176,3)</f>
        <v>GBP</v>
      </c>
      <c r="R176" s="10" t="str">
        <f>RIGHT(I176,5)</f>
        <v>95,00</v>
      </c>
    </row>
    <row r="177" spans="1:18" x14ac:dyDescent="0.35">
      <c r="A177" t="s">
        <v>480</v>
      </c>
      <c r="B177" s="2">
        <v>46176</v>
      </c>
      <c r="C177" t="s">
        <v>481</v>
      </c>
      <c r="D177" s="3" t="s">
        <v>15</v>
      </c>
      <c r="E177" t="s">
        <v>34</v>
      </c>
      <c r="F177" t="s">
        <v>26</v>
      </c>
      <c r="G177" t="s">
        <v>27</v>
      </c>
      <c r="H177" s="8">
        <v>3</v>
      </c>
      <c r="I177" s="10">
        <v>79</v>
      </c>
      <c r="J177" s="14">
        <f>P177*I177</f>
        <v>237</v>
      </c>
      <c r="K177" s="16">
        <v>0.52</v>
      </c>
      <c r="L177" s="1" t="s">
        <v>21</v>
      </c>
      <c r="M177" t="s">
        <v>22</v>
      </c>
      <c r="N177" t="str">
        <f t="shared" si="2"/>
        <v>France</v>
      </c>
      <c r="O177" s="8">
        <f>IF(K177&gt;=1,K177,K177*1000)</f>
        <v>520</v>
      </c>
      <c r="P177">
        <f>ABS(H177)</f>
        <v>3</v>
      </c>
      <c r="R177"/>
    </row>
    <row r="178" spans="1:18" x14ac:dyDescent="0.35">
      <c r="A178" t="s">
        <v>482</v>
      </c>
      <c r="B178" s="2">
        <v>46114</v>
      </c>
      <c r="C178" t="s">
        <v>483</v>
      </c>
      <c r="D178" s="3" t="s">
        <v>53</v>
      </c>
      <c r="E178" t="s">
        <v>67</v>
      </c>
      <c r="F178" t="s">
        <v>47</v>
      </c>
      <c r="G178" t="s">
        <v>48</v>
      </c>
      <c r="H178" s="8">
        <v>2</v>
      </c>
      <c r="I178" s="10">
        <v>11.25</v>
      </c>
      <c r="J178" s="14">
        <f>P178*I178</f>
        <v>22.5</v>
      </c>
      <c r="K178" s="16">
        <v>380</v>
      </c>
      <c r="L178" s="1" t="s">
        <v>30</v>
      </c>
      <c r="M178" t="s">
        <v>22</v>
      </c>
      <c r="N178" t="str">
        <f t="shared" si="2"/>
        <v>Gb</v>
      </c>
      <c r="O178" s="8">
        <f>IF(K178&gt;=1,K178,K178*1000)</f>
        <v>380</v>
      </c>
      <c r="P178">
        <f>ABS(H178)</f>
        <v>2</v>
      </c>
      <c r="R178"/>
    </row>
    <row r="179" spans="1:18" x14ac:dyDescent="0.35">
      <c r="A179" t="s">
        <v>484</v>
      </c>
      <c r="B179" s="2">
        <v>46031</v>
      </c>
      <c r="C179" t="s">
        <v>485</v>
      </c>
      <c r="D179" s="3" t="s">
        <v>46</v>
      </c>
      <c r="E179" t="s">
        <v>16</v>
      </c>
      <c r="F179" t="s">
        <v>74</v>
      </c>
      <c r="G179" t="s">
        <v>75</v>
      </c>
      <c r="H179" s="8">
        <v>1</v>
      </c>
      <c r="I179" s="10">
        <v>116.1</v>
      </c>
      <c r="J179" s="14">
        <f>P179*I179</f>
        <v>116.1</v>
      </c>
      <c r="K179" s="16">
        <v>410</v>
      </c>
      <c r="L179" s="1" t="s">
        <v>30</v>
      </c>
      <c r="M179" t="s">
        <v>22</v>
      </c>
      <c r="N179" t="str">
        <f t="shared" si="2"/>
        <v>Ireland</v>
      </c>
      <c r="O179" s="8">
        <f>IF(K179&gt;=1,K179,K179*1000)</f>
        <v>410</v>
      </c>
      <c r="P179">
        <f>ABS(H179)</f>
        <v>1</v>
      </c>
      <c r="R179"/>
    </row>
    <row r="180" spans="1:18" x14ac:dyDescent="0.35">
      <c r="A180" t="s">
        <v>486</v>
      </c>
      <c r="B180" s="2">
        <v>46192</v>
      </c>
      <c r="C180" t="s">
        <v>487</v>
      </c>
      <c r="D180" s="3" t="s">
        <v>66</v>
      </c>
      <c r="E180" t="s">
        <v>67</v>
      </c>
      <c r="F180" t="s">
        <v>42</v>
      </c>
      <c r="G180" t="s">
        <v>43</v>
      </c>
      <c r="H180" s="8">
        <v>3</v>
      </c>
      <c r="I180" s="10">
        <v>134.1</v>
      </c>
      <c r="J180" s="14">
        <f>P180*I180</f>
        <v>402.29999999999995</v>
      </c>
      <c r="K180" s="16">
        <v>0.19</v>
      </c>
      <c r="L180" s="1" t="s">
        <v>21</v>
      </c>
      <c r="M180" t="s">
        <v>22</v>
      </c>
      <c r="N180" t="str">
        <f t="shared" si="2"/>
        <v>Gb</v>
      </c>
      <c r="O180" s="8">
        <f>IF(K180&gt;=1,K180,K180*1000)</f>
        <v>190</v>
      </c>
      <c r="P180">
        <f>ABS(H180)</f>
        <v>3</v>
      </c>
      <c r="R180"/>
    </row>
    <row r="181" spans="1:18" x14ac:dyDescent="0.35">
      <c r="A181" t="s">
        <v>489</v>
      </c>
      <c r="B181" s="2">
        <v>46030</v>
      </c>
      <c r="C181" t="s">
        <v>490</v>
      </c>
      <c r="D181" s="3" t="s">
        <v>4612</v>
      </c>
      <c r="E181" t="s">
        <v>67</v>
      </c>
      <c r="F181" t="s">
        <v>26</v>
      </c>
      <c r="G181" t="s">
        <v>27</v>
      </c>
      <c r="H181" s="8">
        <v>1</v>
      </c>
      <c r="I181" s="10">
        <v>24</v>
      </c>
      <c r="J181" s="14">
        <f>P181*I181</f>
        <v>24</v>
      </c>
      <c r="K181" s="16">
        <v>520</v>
      </c>
      <c r="L181" s="1" t="s">
        <v>30</v>
      </c>
      <c r="M181" t="s">
        <v>22</v>
      </c>
      <c r="N181" t="str">
        <f t="shared" si="2"/>
        <v>United Kingdom</v>
      </c>
      <c r="O181" s="8">
        <f>IF(K181&gt;=1,K181,K181*1000)</f>
        <v>520</v>
      </c>
      <c r="P181">
        <f>ABS(H181)</f>
        <v>1</v>
      </c>
      <c r="R181"/>
    </row>
    <row r="182" spans="1:18" x14ac:dyDescent="0.35">
      <c r="A182" t="s">
        <v>491</v>
      </c>
      <c r="B182" s="2">
        <v>46155</v>
      </c>
      <c r="C182" t="s">
        <v>492</v>
      </c>
      <c r="D182" s="3" t="s">
        <v>99</v>
      </c>
      <c r="E182" t="s">
        <v>67</v>
      </c>
      <c r="F182" t="s">
        <v>26</v>
      </c>
      <c r="G182" t="s">
        <v>27</v>
      </c>
      <c r="H182" s="8">
        <v>1</v>
      </c>
      <c r="I182" s="10">
        <v>45</v>
      </c>
      <c r="J182" s="14">
        <f>P182*I182</f>
        <v>45</v>
      </c>
      <c r="K182" s="16">
        <v>0.52</v>
      </c>
      <c r="L182" s="1" t="s">
        <v>30</v>
      </c>
      <c r="M182" t="s">
        <v>22</v>
      </c>
      <c r="N182" t="str">
        <f t="shared" si="2"/>
        <v>United Kingdom</v>
      </c>
      <c r="O182" s="8">
        <f>IF(K182&gt;=1,K182,K182*1000)</f>
        <v>520</v>
      </c>
      <c r="P182">
        <f>ABS(H182)</f>
        <v>1</v>
      </c>
      <c r="R182"/>
    </row>
    <row r="183" spans="1:18" x14ac:dyDescent="0.35">
      <c r="A183" t="s">
        <v>493</v>
      </c>
      <c r="B183" s="2">
        <v>46197</v>
      </c>
      <c r="C183" t="s">
        <v>439</v>
      </c>
      <c r="D183" s="3" t="s">
        <v>4613</v>
      </c>
      <c r="E183" t="s">
        <v>16</v>
      </c>
      <c r="F183" t="s">
        <v>35</v>
      </c>
      <c r="G183" t="s">
        <v>36</v>
      </c>
      <c r="H183" s="8">
        <v>3</v>
      </c>
      <c r="I183" s="10">
        <v>40.5</v>
      </c>
      <c r="J183" s="14">
        <f>P183*I183</f>
        <v>121.5</v>
      </c>
      <c r="K183" s="16">
        <v>8.5000000000000006E-2</v>
      </c>
      <c r="L183" s="1" t="s">
        <v>21</v>
      </c>
      <c r="M183" t="s">
        <v>22</v>
      </c>
      <c r="N183" t="str">
        <f t="shared" si="2"/>
        <v>United Kingdom</v>
      </c>
      <c r="O183" s="8">
        <f>IF(K183&gt;=1,K183,K183*1000)</f>
        <v>85</v>
      </c>
      <c r="P183">
        <f>ABS(H183)</f>
        <v>3</v>
      </c>
      <c r="R183"/>
    </row>
    <row r="184" spans="1:18" x14ac:dyDescent="0.35">
      <c r="A184" t="s">
        <v>495</v>
      </c>
      <c r="B184" s="2">
        <v>46058</v>
      </c>
      <c r="C184" t="s">
        <v>496</v>
      </c>
      <c r="D184" s="3" t="s">
        <v>4613</v>
      </c>
      <c r="E184" t="s">
        <v>34</v>
      </c>
      <c r="F184" t="s">
        <v>89</v>
      </c>
      <c r="G184" t="s">
        <v>90</v>
      </c>
      <c r="H184" s="8">
        <v>1</v>
      </c>
      <c r="I184" s="10">
        <v>95</v>
      </c>
      <c r="J184" s="14">
        <f>P184*I184</f>
        <v>95</v>
      </c>
      <c r="K184" s="16">
        <v>640</v>
      </c>
      <c r="L184" s="1" t="s">
        <v>30</v>
      </c>
      <c r="M184" t="s">
        <v>22</v>
      </c>
      <c r="N184" t="str">
        <f t="shared" si="2"/>
        <v>United Kingdom</v>
      </c>
      <c r="O184" s="8">
        <f>IF(K184&gt;=1,K184,K184*1000)</f>
        <v>640</v>
      </c>
      <c r="P184">
        <f>ABS(H184)</f>
        <v>1</v>
      </c>
      <c r="R184"/>
    </row>
    <row r="185" spans="1:18" x14ac:dyDescent="0.35">
      <c r="A185" t="s">
        <v>497</v>
      </c>
      <c r="B185" s="2">
        <v>46102</v>
      </c>
      <c r="C185" t="s">
        <v>498</v>
      </c>
      <c r="D185" s="3" t="s">
        <v>15</v>
      </c>
      <c r="E185" t="s">
        <v>25</v>
      </c>
      <c r="F185" t="s">
        <v>83</v>
      </c>
      <c r="G185" t="s">
        <v>84</v>
      </c>
      <c r="H185" s="8">
        <v>2</v>
      </c>
      <c r="I185" s="10">
        <v>45</v>
      </c>
      <c r="J185" s="14">
        <f>P185*I185</f>
        <v>90</v>
      </c>
      <c r="K185" s="16">
        <v>340</v>
      </c>
      <c r="L185" s="1" t="s">
        <v>21</v>
      </c>
      <c r="M185" t="s">
        <v>58</v>
      </c>
      <c r="N185" t="str">
        <f t="shared" si="2"/>
        <v>France</v>
      </c>
      <c r="O185" s="8">
        <f>IF(K185&gt;=1,K185,K185*1000)</f>
        <v>340</v>
      </c>
      <c r="P185">
        <f>ABS(H185)</f>
        <v>2</v>
      </c>
      <c r="R185"/>
    </row>
    <row r="186" spans="1:18" x14ac:dyDescent="0.35">
      <c r="A186" t="s">
        <v>499</v>
      </c>
      <c r="B186" s="2">
        <v>46170</v>
      </c>
      <c r="C186" t="s">
        <v>280</v>
      </c>
      <c r="D186" s="3" t="s">
        <v>99</v>
      </c>
      <c r="E186" t="s">
        <v>41</v>
      </c>
      <c r="F186" t="s">
        <v>47</v>
      </c>
      <c r="G186" t="s">
        <v>48</v>
      </c>
      <c r="H186" s="8">
        <v>1</v>
      </c>
      <c r="I186" s="12" t="s">
        <v>4628</v>
      </c>
      <c r="J186" s="14">
        <f>P186*R186</f>
        <v>40.5</v>
      </c>
      <c r="K186" s="16">
        <v>0.38</v>
      </c>
      <c r="L186" s="1" t="s">
        <v>30</v>
      </c>
      <c r="M186" t="s">
        <v>22</v>
      </c>
      <c r="N186" t="str">
        <f t="shared" si="2"/>
        <v>United Kingdom</v>
      </c>
      <c r="O186" s="8">
        <f>IF(K186&gt;=1,K186,K186*1000)</f>
        <v>380</v>
      </c>
      <c r="P186">
        <f>ABS(H186)</f>
        <v>1</v>
      </c>
      <c r="Q186" t="str">
        <f>LEFT(I186,2)</f>
        <v>Â£</v>
      </c>
      <c r="R186" t="str">
        <f>RIGHT(I186,5)</f>
        <v>40,50</v>
      </c>
    </row>
    <row r="187" spans="1:18" x14ac:dyDescent="0.35">
      <c r="A187" t="s">
        <v>501</v>
      </c>
      <c r="B187" s="2">
        <v>46078</v>
      </c>
      <c r="C187" t="s">
        <v>502</v>
      </c>
      <c r="D187" s="3" t="s">
        <v>61</v>
      </c>
      <c r="E187" t="s">
        <v>41</v>
      </c>
      <c r="F187" t="s">
        <v>74</v>
      </c>
      <c r="G187" t="s">
        <v>75</v>
      </c>
      <c r="H187" s="8">
        <v>1</v>
      </c>
      <c r="I187" s="10">
        <v>45</v>
      </c>
      <c r="J187" s="14">
        <f>P187*I187</f>
        <v>45</v>
      </c>
      <c r="K187" s="16">
        <v>410</v>
      </c>
      <c r="L187" s="1" t="s">
        <v>30</v>
      </c>
      <c r="M187" t="s">
        <v>58</v>
      </c>
      <c r="N187" t="str">
        <f t="shared" si="2"/>
        <v>Ireland</v>
      </c>
      <c r="O187" s="8">
        <f>IF(K187&gt;=1,K187,K187*1000)</f>
        <v>410</v>
      </c>
      <c r="P187">
        <f>ABS(H187)</f>
        <v>1</v>
      </c>
      <c r="R187"/>
    </row>
    <row r="188" spans="1:18" x14ac:dyDescent="0.35">
      <c r="A188" t="s">
        <v>503</v>
      </c>
      <c r="B188" s="2">
        <v>46103</v>
      </c>
      <c r="C188" t="s">
        <v>504</v>
      </c>
      <c r="D188" s="3" t="s">
        <v>61</v>
      </c>
      <c r="E188" t="s">
        <v>41</v>
      </c>
      <c r="F188" t="s">
        <v>89</v>
      </c>
      <c r="G188" t="s">
        <v>90</v>
      </c>
      <c r="H188" s="8">
        <v>3</v>
      </c>
      <c r="I188" s="10">
        <v>149</v>
      </c>
      <c r="J188" s="14">
        <f>P188*I188</f>
        <v>447</v>
      </c>
      <c r="K188" s="16">
        <v>640</v>
      </c>
      <c r="L188" s="1" t="s">
        <v>30</v>
      </c>
      <c r="M188" t="s">
        <v>58</v>
      </c>
      <c r="N188" t="str">
        <f t="shared" si="2"/>
        <v>Ireland</v>
      </c>
      <c r="O188" s="8">
        <f>IF(K188&gt;=1,K188,K188*1000)</f>
        <v>640</v>
      </c>
      <c r="P188">
        <f>ABS(H188)</f>
        <v>3</v>
      </c>
      <c r="R188"/>
    </row>
    <row r="189" spans="1:18" x14ac:dyDescent="0.35">
      <c r="A189" t="s">
        <v>505</v>
      </c>
      <c r="B189" s="2">
        <v>46110</v>
      </c>
      <c r="C189" t="s">
        <v>506</v>
      </c>
      <c r="D189" s="3" t="s">
        <v>15</v>
      </c>
      <c r="E189" t="s">
        <v>67</v>
      </c>
      <c r="F189" t="s">
        <v>74</v>
      </c>
      <c r="G189" t="s">
        <v>75</v>
      </c>
      <c r="H189" s="8">
        <v>3</v>
      </c>
      <c r="I189" s="10">
        <v>95</v>
      </c>
      <c r="J189" s="14">
        <f>P189*I189</f>
        <v>285</v>
      </c>
      <c r="K189" s="16">
        <v>410</v>
      </c>
      <c r="L189" s="1" t="s">
        <v>30</v>
      </c>
      <c r="M189" t="s">
        <v>22</v>
      </c>
      <c r="N189" t="str">
        <f t="shared" si="2"/>
        <v>France</v>
      </c>
      <c r="O189" s="8">
        <f>IF(K189&gt;=1,K189,K189*1000)</f>
        <v>410</v>
      </c>
      <c r="P189">
        <f>ABS(H189)</f>
        <v>3</v>
      </c>
      <c r="R189"/>
    </row>
    <row r="190" spans="1:18" x14ac:dyDescent="0.35">
      <c r="A190" t="s">
        <v>507</v>
      </c>
      <c r="B190" s="2">
        <v>46094</v>
      </c>
      <c r="C190" t="s">
        <v>435</v>
      </c>
      <c r="D190" s="3" t="s">
        <v>46</v>
      </c>
      <c r="E190" t="s">
        <v>25</v>
      </c>
      <c r="F190" t="s">
        <v>47</v>
      </c>
      <c r="G190" t="s">
        <v>48</v>
      </c>
      <c r="H190" s="8">
        <v>2</v>
      </c>
      <c r="I190" s="10">
        <v>21.6</v>
      </c>
      <c r="J190" s="14">
        <f>P190*I190</f>
        <v>43.2</v>
      </c>
      <c r="K190" s="16">
        <v>380</v>
      </c>
      <c r="L190" s="1" t="s">
        <v>30</v>
      </c>
      <c r="M190" t="s">
        <v>22</v>
      </c>
      <c r="N190" t="str">
        <f t="shared" si="2"/>
        <v>Ireland</v>
      </c>
      <c r="O190" s="8">
        <f>IF(K190&gt;=1,K190,K190*1000)</f>
        <v>380</v>
      </c>
      <c r="P190">
        <f>ABS(H190)</f>
        <v>2</v>
      </c>
      <c r="R190"/>
    </row>
    <row r="191" spans="1:18" x14ac:dyDescent="0.35">
      <c r="A191" t="s">
        <v>508</v>
      </c>
      <c r="B191" s="2">
        <v>46095</v>
      </c>
      <c r="C191" t="s">
        <v>509</v>
      </c>
      <c r="D191" s="3" t="s">
        <v>53</v>
      </c>
      <c r="E191" t="s">
        <v>67</v>
      </c>
      <c r="F191" t="s">
        <v>74</v>
      </c>
      <c r="G191" t="s">
        <v>75</v>
      </c>
      <c r="H191" s="8">
        <v>1</v>
      </c>
      <c r="I191" s="10">
        <v>24</v>
      </c>
      <c r="J191" s="14">
        <f>P191*I191</f>
        <v>24</v>
      </c>
      <c r="K191" s="16">
        <v>410</v>
      </c>
      <c r="L191" s="1" t="s">
        <v>21</v>
      </c>
      <c r="M191" t="s">
        <v>22</v>
      </c>
      <c r="N191" t="str">
        <f t="shared" si="2"/>
        <v>Gb</v>
      </c>
      <c r="O191" s="8">
        <f>IF(K191&gt;=1,K191,K191*1000)</f>
        <v>410</v>
      </c>
      <c r="P191">
        <f>ABS(H191)</f>
        <v>1</v>
      </c>
      <c r="R191"/>
    </row>
    <row r="192" spans="1:18" x14ac:dyDescent="0.35">
      <c r="A192" t="s">
        <v>510</v>
      </c>
      <c r="B192" s="2">
        <v>46119</v>
      </c>
      <c r="C192" t="s">
        <v>511</v>
      </c>
      <c r="D192" s="3" t="s">
        <v>4612</v>
      </c>
      <c r="E192" t="s">
        <v>34</v>
      </c>
      <c r="F192" t="s">
        <v>83</v>
      </c>
      <c r="G192" t="s">
        <v>84</v>
      </c>
      <c r="H192" s="8">
        <v>2</v>
      </c>
      <c r="I192" s="10">
        <v>116.1</v>
      </c>
      <c r="J192" s="14">
        <f>P192*I192</f>
        <v>232.2</v>
      </c>
      <c r="K192" s="16">
        <v>340</v>
      </c>
      <c r="L192" s="1" t="s">
        <v>21</v>
      </c>
      <c r="M192" t="s">
        <v>22</v>
      </c>
      <c r="N192" t="str">
        <f t="shared" si="2"/>
        <v>United Kingdom</v>
      </c>
      <c r="O192" s="8">
        <f>IF(K192&gt;=1,K192,K192*1000)</f>
        <v>340</v>
      </c>
      <c r="P192">
        <f>ABS(H192)</f>
        <v>2</v>
      </c>
      <c r="R192"/>
    </row>
    <row r="193" spans="1:18" x14ac:dyDescent="0.35">
      <c r="A193" t="s">
        <v>512</v>
      </c>
      <c r="B193" s="2">
        <v>46114</v>
      </c>
      <c r="C193" t="s">
        <v>513</v>
      </c>
      <c r="D193" s="3" t="s">
        <v>61</v>
      </c>
      <c r="E193" t="s">
        <v>25</v>
      </c>
      <c r="F193" t="s">
        <v>83</v>
      </c>
      <c r="G193" t="s">
        <v>84</v>
      </c>
      <c r="H193" s="8">
        <v>1</v>
      </c>
      <c r="I193" s="10">
        <v>89</v>
      </c>
      <c r="J193" s="14">
        <f>P193*I193</f>
        <v>89</v>
      </c>
      <c r="K193" s="16">
        <v>340</v>
      </c>
      <c r="L193" s="1" t="s">
        <v>30</v>
      </c>
      <c r="M193" t="s">
        <v>22</v>
      </c>
      <c r="N193" t="str">
        <f t="shared" si="2"/>
        <v>Ireland</v>
      </c>
      <c r="O193" s="8">
        <f>IF(K193&gt;=1,K193,K193*1000)</f>
        <v>340</v>
      </c>
      <c r="P193">
        <f>ABS(H193)</f>
        <v>1</v>
      </c>
      <c r="R193"/>
    </row>
    <row r="194" spans="1:18" x14ac:dyDescent="0.35">
      <c r="A194" t="s">
        <v>514</v>
      </c>
      <c r="B194" s="2">
        <v>46153</v>
      </c>
      <c r="C194" t="s">
        <v>515</v>
      </c>
      <c r="D194" s="3" t="s">
        <v>15</v>
      </c>
      <c r="E194" t="s">
        <v>67</v>
      </c>
      <c r="F194" t="s">
        <v>17</v>
      </c>
      <c r="G194" t="s">
        <v>18</v>
      </c>
      <c r="H194" s="8">
        <v>3</v>
      </c>
      <c r="I194" s="10">
        <v>45</v>
      </c>
      <c r="J194" s="14">
        <f>P194*I194</f>
        <v>135</v>
      </c>
      <c r="K194" s="16">
        <v>0.52</v>
      </c>
      <c r="L194" s="1" t="s">
        <v>30</v>
      </c>
      <c r="M194" t="s">
        <v>22</v>
      </c>
      <c r="N194" t="str">
        <f t="shared" si="2"/>
        <v>France</v>
      </c>
      <c r="O194" s="8">
        <f>IF(K194&gt;=1,K194,K194*1000)</f>
        <v>520</v>
      </c>
      <c r="P194">
        <f>ABS(H194)</f>
        <v>3</v>
      </c>
      <c r="R194"/>
    </row>
    <row r="195" spans="1:18" x14ac:dyDescent="0.35">
      <c r="A195" t="s">
        <v>516</v>
      </c>
      <c r="B195" s="2">
        <v>46205</v>
      </c>
      <c r="C195" t="s">
        <v>517</v>
      </c>
      <c r="D195" s="3" t="s">
        <v>4612</v>
      </c>
      <c r="E195" t="s">
        <v>67</v>
      </c>
      <c r="F195" t="s">
        <v>47</v>
      </c>
      <c r="G195" t="s">
        <v>48</v>
      </c>
      <c r="H195" s="8">
        <v>1</v>
      </c>
      <c r="I195" s="10">
        <v>149</v>
      </c>
      <c r="J195" s="14">
        <f>P195*I195</f>
        <v>149</v>
      </c>
      <c r="K195" s="16">
        <v>0.38</v>
      </c>
      <c r="L195" s="1" t="s">
        <v>30</v>
      </c>
      <c r="M195" t="s">
        <v>22</v>
      </c>
      <c r="N195" t="str">
        <f t="shared" ref="N195:N258" si="3">PROPER(TRIM(D195))</f>
        <v>United Kingdom</v>
      </c>
      <c r="O195" s="8">
        <f>IF(K195&gt;=1,K195,K195*1000)</f>
        <v>380</v>
      </c>
      <c r="P195">
        <f>ABS(H195)</f>
        <v>1</v>
      </c>
      <c r="R195"/>
    </row>
    <row r="196" spans="1:18" x14ac:dyDescent="0.35">
      <c r="A196" t="s">
        <v>518</v>
      </c>
      <c r="B196" s="2">
        <v>46168</v>
      </c>
      <c r="C196" t="s">
        <v>519</v>
      </c>
      <c r="D196" s="3" t="s">
        <v>61</v>
      </c>
      <c r="E196" t="s">
        <v>34</v>
      </c>
      <c r="F196" t="s">
        <v>89</v>
      </c>
      <c r="G196" t="s">
        <v>90</v>
      </c>
      <c r="H196" s="8">
        <v>1</v>
      </c>
      <c r="I196" s="10">
        <v>85.5</v>
      </c>
      <c r="J196" s="14">
        <f>P196*I196</f>
        <v>85.5</v>
      </c>
      <c r="K196" s="16">
        <v>0.64</v>
      </c>
      <c r="L196" s="1" t="s">
        <v>30</v>
      </c>
      <c r="M196" t="s">
        <v>22</v>
      </c>
      <c r="N196" t="str">
        <f t="shared" si="3"/>
        <v>Ireland</v>
      </c>
      <c r="O196" s="8">
        <f>IF(K196&gt;=1,K196,K196*1000)</f>
        <v>640</v>
      </c>
      <c r="P196">
        <f>ABS(H196)</f>
        <v>1</v>
      </c>
      <c r="R196"/>
    </row>
    <row r="197" spans="1:18" x14ac:dyDescent="0.35">
      <c r="A197" t="s">
        <v>520</v>
      </c>
      <c r="B197" s="2">
        <v>46134</v>
      </c>
      <c r="C197" t="s">
        <v>521</v>
      </c>
      <c r="D197" s="3" t="s">
        <v>15</v>
      </c>
      <c r="E197" t="s">
        <v>34</v>
      </c>
      <c r="F197" t="s">
        <v>42</v>
      </c>
      <c r="G197" t="s">
        <v>43</v>
      </c>
      <c r="H197" s="8">
        <v>1</v>
      </c>
      <c r="I197" s="10">
        <v>89</v>
      </c>
      <c r="J197" s="14">
        <f>P197*I197</f>
        <v>89</v>
      </c>
      <c r="K197" s="16">
        <v>0.19</v>
      </c>
      <c r="L197" s="1" t="s">
        <v>21</v>
      </c>
      <c r="M197" t="s">
        <v>22</v>
      </c>
      <c r="N197" t="str">
        <f t="shared" si="3"/>
        <v>France</v>
      </c>
      <c r="O197" s="8">
        <f>IF(K197&gt;=1,K197,K197*1000)</f>
        <v>190</v>
      </c>
      <c r="P197">
        <f>ABS(H197)</f>
        <v>1</v>
      </c>
      <c r="R197"/>
    </row>
    <row r="198" spans="1:18" x14ac:dyDescent="0.35">
      <c r="A198" t="s">
        <v>522</v>
      </c>
      <c r="B198" s="2">
        <v>46085</v>
      </c>
      <c r="C198" t="s">
        <v>523</v>
      </c>
      <c r="D198" s="3" t="s">
        <v>53</v>
      </c>
      <c r="E198" t="s">
        <v>25</v>
      </c>
      <c r="F198" t="s">
        <v>89</v>
      </c>
      <c r="G198" t="s">
        <v>90</v>
      </c>
      <c r="H198" s="8">
        <v>2</v>
      </c>
      <c r="I198" s="10">
        <v>71.099999999999994</v>
      </c>
      <c r="J198" s="14">
        <f>P198*I198</f>
        <v>142.19999999999999</v>
      </c>
      <c r="K198" s="16">
        <v>640</v>
      </c>
      <c r="L198" s="1" t="s">
        <v>30</v>
      </c>
      <c r="M198" t="s">
        <v>22</v>
      </c>
      <c r="N198" t="str">
        <f t="shared" si="3"/>
        <v>Gb</v>
      </c>
      <c r="O198" s="8">
        <f>IF(K198&gt;=1,K198,K198*1000)</f>
        <v>640</v>
      </c>
      <c r="P198">
        <f>ABS(H198)</f>
        <v>2</v>
      </c>
      <c r="R198"/>
    </row>
    <row r="199" spans="1:18" x14ac:dyDescent="0.35">
      <c r="A199" t="s">
        <v>524</v>
      </c>
      <c r="B199" s="2">
        <v>46166</v>
      </c>
      <c r="C199" t="s">
        <v>525</v>
      </c>
      <c r="D199" s="3" t="s">
        <v>53</v>
      </c>
      <c r="E199" t="s">
        <v>34</v>
      </c>
      <c r="F199" t="s">
        <v>26</v>
      </c>
      <c r="G199" t="s">
        <v>27</v>
      </c>
      <c r="H199" s="8">
        <v>2</v>
      </c>
      <c r="I199" s="10">
        <v>149</v>
      </c>
      <c r="J199" s="14">
        <f>P199*I199</f>
        <v>298</v>
      </c>
      <c r="K199" s="16">
        <v>0.52</v>
      </c>
      <c r="L199" s="1" t="s">
        <v>30</v>
      </c>
      <c r="M199" t="s">
        <v>58</v>
      </c>
      <c r="N199" t="str">
        <f t="shared" si="3"/>
        <v>Gb</v>
      </c>
      <c r="O199" s="8">
        <f>IF(K199&gt;=1,K199,K199*1000)</f>
        <v>520</v>
      </c>
      <c r="P199">
        <f>ABS(H199)</f>
        <v>2</v>
      </c>
      <c r="R199"/>
    </row>
    <row r="200" spans="1:18" x14ac:dyDescent="0.35">
      <c r="A200" t="s">
        <v>526</v>
      </c>
      <c r="B200" s="2">
        <v>46040</v>
      </c>
      <c r="C200" t="s">
        <v>527</v>
      </c>
      <c r="D200" s="3" t="s">
        <v>99</v>
      </c>
      <c r="E200" t="s">
        <v>41</v>
      </c>
      <c r="F200" t="s">
        <v>17</v>
      </c>
      <c r="G200" t="s">
        <v>18</v>
      </c>
      <c r="H200" s="8">
        <v>3</v>
      </c>
      <c r="I200" s="10">
        <v>95</v>
      </c>
      <c r="J200" s="14">
        <f>P200*I200</f>
        <v>285</v>
      </c>
      <c r="K200" s="16">
        <v>520</v>
      </c>
      <c r="L200" s="1" t="s">
        <v>30</v>
      </c>
      <c r="M200" t="s">
        <v>22</v>
      </c>
      <c r="N200" t="str">
        <f t="shared" si="3"/>
        <v>United Kingdom</v>
      </c>
      <c r="O200" s="8">
        <f>IF(K200&gt;=1,K200,K200*1000)</f>
        <v>520</v>
      </c>
      <c r="P200">
        <f>ABS(H200)</f>
        <v>3</v>
      </c>
      <c r="R200"/>
    </row>
    <row r="201" spans="1:18" x14ac:dyDescent="0.35">
      <c r="A201" t="s">
        <v>528</v>
      </c>
      <c r="B201" s="2">
        <v>46114</v>
      </c>
      <c r="C201" t="s">
        <v>529</v>
      </c>
      <c r="D201" s="3" t="s">
        <v>46</v>
      </c>
      <c r="E201" t="s">
        <v>25</v>
      </c>
      <c r="F201" t="s">
        <v>35</v>
      </c>
      <c r="G201" t="s">
        <v>36</v>
      </c>
      <c r="H201" s="8">
        <v>2</v>
      </c>
      <c r="I201" s="10">
        <v>129</v>
      </c>
      <c r="J201" s="14">
        <f>P201*I201</f>
        <v>258</v>
      </c>
      <c r="K201" s="16">
        <v>85</v>
      </c>
      <c r="L201" s="1" t="s">
        <v>30</v>
      </c>
      <c r="M201" t="s">
        <v>22</v>
      </c>
      <c r="N201" t="str">
        <f t="shared" si="3"/>
        <v>Ireland</v>
      </c>
      <c r="O201" s="8">
        <f>IF(K201&gt;=1,K201,K201*1000)</f>
        <v>85</v>
      </c>
      <c r="P201">
        <f>ABS(H201)</f>
        <v>2</v>
      </c>
      <c r="R201"/>
    </row>
    <row r="202" spans="1:18" x14ac:dyDescent="0.35">
      <c r="A202" t="s">
        <v>530</v>
      </c>
      <c r="B202" s="2" t="s">
        <v>339</v>
      </c>
      <c r="C202" t="s">
        <v>531</v>
      </c>
      <c r="D202" s="3" t="s">
        <v>99</v>
      </c>
      <c r="E202" t="s">
        <v>41</v>
      </c>
      <c r="F202" t="s">
        <v>35</v>
      </c>
      <c r="G202" t="s">
        <v>36</v>
      </c>
      <c r="H202" s="8">
        <v>3</v>
      </c>
      <c r="I202" s="12" t="s">
        <v>4627</v>
      </c>
      <c r="J202" s="14">
        <f>P202*R202</f>
        <v>285</v>
      </c>
      <c r="K202" s="16">
        <v>85</v>
      </c>
      <c r="L202" s="1" t="s">
        <v>30</v>
      </c>
      <c r="M202" t="s">
        <v>58</v>
      </c>
      <c r="N202" t="str">
        <f t="shared" si="3"/>
        <v>United Kingdom</v>
      </c>
      <c r="O202" s="8">
        <f>IF(K202&gt;=1,K202,K202*1000)</f>
        <v>85</v>
      </c>
      <c r="P202">
        <f>ABS(H202)</f>
        <v>3</v>
      </c>
      <c r="Q202" t="str">
        <f>LEFT(I202,3)</f>
        <v>GBP</v>
      </c>
      <c r="R202" s="10" t="str">
        <f>RIGHT(I202,5)</f>
        <v>95,00</v>
      </c>
    </row>
    <row r="203" spans="1:18" x14ac:dyDescent="0.35">
      <c r="A203" t="s">
        <v>532</v>
      </c>
      <c r="B203" s="2">
        <v>46147</v>
      </c>
      <c r="C203" t="s">
        <v>533</v>
      </c>
      <c r="D203" s="3" t="s">
        <v>53</v>
      </c>
      <c r="E203" t="s">
        <v>16</v>
      </c>
      <c r="F203" t="s">
        <v>83</v>
      </c>
      <c r="G203" t="s">
        <v>84</v>
      </c>
      <c r="H203" s="8">
        <v>1</v>
      </c>
      <c r="I203" s="10">
        <v>116.1</v>
      </c>
      <c r="J203" s="14">
        <f>P203*I203</f>
        <v>116.1</v>
      </c>
      <c r="K203" s="16">
        <v>0.34</v>
      </c>
      <c r="L203" s="1" t="s">
        <v>30</v>
      </c>
      <c r="M203" t="s">
        <v>22</v>
      </c>
      <c r="N203" t="str">
        <f t="shared" si="3"/>
        <v>Gb</v>
      </c>
      <c r="O203" s="8">
        <f>IF(K203&gt;=1,K203,K203*1000)</f>
        <v>340</v>
      </c>
      <c r="P203">
        <f>ABS(H203)</f>
        <v>1</v>
      </c>
      <c r="R203"/>
    </row>
    <row r="204" spans="1:18" x14ac:dyDescent="0.35">
      <c r="A204" t="s">
        <v>534</v>
      </c>
      <c r="B204" s="2">
        <v>46201</v>
      </c>
      <c r="C204" t="s">
        <v>535</v>
      </c>
      <c r="D204" s="3" t="s">
        <v>116</v>
      </c>
      <c r="E204" t="s">
        <v>67</v>
      </c>
      <c r="F204" t="s">
        <v>83</v>
      </c>
      <c r="G204" t="s">
        <v>84</v>
      </c>
      <c r="H204" s="8">
        <v>2</v>
      </c>
      <c r="I204" s="10">
        <v>21.6</v>
      </c>
      <c r="J204" s="14">
        <f>P204*I204</f>
        <v>43.2</v>
      </c>
      <c r="K204" s="16">
        <v>0.34</v>
      </c>
      <c r="L204" s="1" t="s">
        <v>21</v>
      </c>
      <c r="M204" t="s">
        <v>22</v>
      </c>
      <c r="N204" t="str">
        <f t="shared" si="3"/>
        <v>Germany</v>
      </c>
      <c r="O204" s="8">
        <f>IF(K204&gt;=1,K204,K204*1000)</f>
        <v>340</v>
      </c>
      <c r="P204">
        <f>ABS(H204)</f>
        <v>2</v>
      </c>
      <c r="R204"/>
    </row>
    <row r="205" spans="1:18" x14ac:dyDescent="0.35">
      <c r="A205" t="s">
        <v>536</v>
      </c>
      <c r="B205" s="2">
        <v>46048</v>
      </c>
      <c r="C205" t="s">
        <v>537</v>
      </c>
      <c r="D205" s="3" t="s">
        <v>15</v>
      </c>
      <c r="E205" t="s">
        <v>25</v>
      </c>
      <c r="F205" t="s">
        <v>47</v>
      </c>
      <c r="G205" t="s">
        <v>48</v>
      </c>
      <c r="H205" s="8">
        <v>1</v>
      </c>
      <c r="I205" s="10">
        <v>85.5</v>
      </c>
      <c r="J205" s="14">
        <f>P205*I205</f>
        <v>85.5</v>
      </c>
      <c r="K205" s="16">
        <v>380</v>
      </c>
      <c r="L205" s="1" t="s">
        <v>30</v>
      </c>
      <c r="M205" t="s">
        <v>58</v>
      </c>
      <c r="N205" t="str">
        <f t="shared" si="3"/>
        <v>France</v>
      </c>
      <c r="O205" s="8">
        <f>IF(K205&gt;=1,K205,K205*1000)</f>
        <v>380</v>
      </c>
      <c r="P205">
        <f>ABS(H205)</f>
        <v>1</v>
      </c>
      <c r="R205"/>
    </row>
    <row r="206" spans="1:18" x14ac:dyDescent="0.35">
      <c r="A206" t="s">
        <v>538</v>
      </c>
      <c r="B206" s="2">
        <v>46054</v>
      </c>
      <c r="C206" t="s">
        <v>539</v>
      </c>
      <c r="D206" s="3" t="s">
        <v>99</v>
      </c>
      <c r="E206" t="s">
        <v>16</v>
      </c>
      <c r="F206" t="s">
        <v>17</v>
      </c>
      <c r="G206" t="s">
        <v>18</v>
      </c>
      <c r="H206" s="8">
        <v>1</v>
      </c>
      <c r="I206" s="10">
        <v>71.099999999999994</v>
      </c>
      <c r="J206" s="14">
        <f>P206*I206</f>
        <v>71.099999999999994</v>
      </c>
      <c r="K206" s="16">
        <v>520</v>
      </c>
      <c r="L206" s="1" t="s">
        <v>30</v>
      </c>
      <c r="M206" t="s">
        <v>22</v>
      </c>
      <c r="N206" t="str">
        <f t="shared" si="3"/>
        <v>United Kingdom</v>
      </c>
      <c r="O206" s="8">
        <f>IF(K206&gt;=1,K206,K206*1000)</f>
        <v>520</v>
      </c>
      <c r="P206">
        <f>ABS(H206)</f>
        <v>1</v>
      </c>
      <c r="R206"/>
    </row>
    <row r="207" spans="1:18" x14ac:dyDescent="0.35">
      <c r="A207" t="s">
        <v>540</v>
      </c>
      <c r="B207" s="2">
        <v>46077</v>
      </c>
      <c r="C207" t="s">
        <v>541</v>
      </c>
      <c r="D207" s="3" t="s">
        <v>4613</v>
      </c>
      <c r="E207" t="s">
        <v>67</v>
      </c>
      <c r="F207" t="s">
        <v>74</v>
      </c>
      <c r="G207" t="s">
        <v>75</v>
      </c>
      <c r="H207" s="8">
        <v>2</v>
      </c>
      <c r="I207" s="10">
        <v>24</v>
      </c>
      <c r="J207" s="14">
        <f>P207*I207</f>
        <v>48</v>
      </c>
      <c r="K207" s="16">
        <v>410</v>
      </c>
      <c r="L207" s="1" t="s">
        <v>30</v>
      </c>
      <c r="M207" t="s">
        <v>22</v>
      </c>
      <c r="N207" t="str">
        <f t="shared" si="3"/>
        <v>United Kingdom</v>
      </c>
      <c r="O207" s="8">
        <f>IF(K207&gt;=1,K207,K207*1000)</f>
        <v>410</v>
      </c>
      <c r="P207">
        <f>ABS(H207)</f>
        <v>2</v>
      </c>
      <c r="R207"/>
    </row>
    <row r="208" spans="1:18" x14ac:dyDescent="0.35">
      <c r="A208" t="s">
        <v>542</v>
      </c>
      <c r="B208" s="2">
        <v>46087</v>
      </c>
      <c r="C208" t="s">
        <v>543</v>
      </c>
      <c r="D208" s="3" t="s">
        <v>4612</v>
      </c>
      <c r="E208" t="s">
        <v>34</v>
      </c>
      <c r="F208" t="s">
        <v>74</v>
      </c>
      <c r="G208" t="s">
        <v>75</v>
      </c>
      <c r="H208" s="8">
        <v>1</v>
      </c>
      <c r="I208" s="10">
        <v>45</v>
      </c>
      <c r="J208" s="14">
        <f>P208*I208</f>
        <v>45</v>
      </c>
      <c r="K208" s="16">
        <v>410</v>
      </c>
      <c r="L208" s="1" t="s">
        <v>30</v>
      </c>
      <c r="M208" t="s">
        <v>58</v>
      </c>
      <c r="N208" t="str">
        <f t="shared" si="3"/>
        <v>United Kingdom</v>
      </c>
      <c r="O208" s="8">
        <f>IF(K208&gt;=1,K208,K208*1000)</f>
        <v>410</v>
      </c>
      <c r="P208">
        <f>ABS(H208)</f>
        <v>1</v>
      </c>
      <c r="R208"/>
    </row>
    <row r="209" spans="1:18" x14ac:dyDescent="0.35">
      <c r="A209" t="s">
        <v>544</v>
      </c>
      <c r="B209" s="2">
        <v>46031</v>
      </c>
      <c r="C209" t="s">
        <v>545</v>
      </c>
      <c r="D209" s="3" t="s">
        <v>46</v>
      </c>
      <c r="E209" t="s">
        <v>16</v>
      </c>
      <c r="F209" t="s">
        <v>89</v>
      </c>
      <c r="G209" t="s">
        <v>90</v>
      </c>
      <c r="H209" s="8">
        <v>1</v>
      </c>
      <c r="I209" s="10">
        <v>12.5</v>
      </c>
      <c r="J209" s="14">
        <f>P209*I209</f>
        <v>12.5</v>
      </c>
      <c r="K209" s="16">
        <v>640</v>
      </c>
      <c r="L209" s="1" t="s">
        <v>30</v>
      </c>
      <c r="M209" t="s">
        <v>22</v>
      </c>
      <c r="N209" t="str">
        <f t="shared" si="3"/>
        <v>Ireland</v>
      </c>
      <c r="O209" s="8">
        <f>IF(K209&gt;=1,K209,K209*1000)</f>
        <v>640</v>
      </c>
      <c r="P209">
        <f>ABS(H209)</f>
        <v>1</v>
      </c>
      <c r="R209"/>
    </row>
    <row r="210" spans="1:18" x14ac:dyDescent="0.35">
      <c r="A210" t="s">
        <v>546</v>
      </c>
      <c r="B210" s="2">
        <v>46148</v>
      </c>
      <c r="C210" t="s">
        <v>547</v>
      </c>
      <c r="D210" s="3" t="s">
        <v>66</v>
      </c>
      <c r="E210" t="s">
        <v>25</v>
      </c>
      <c r="F210" t="s">
        <v>47</v>
      </c>
      <c r="G210" t="s">
        <v>48</v>
      </c>
      <c r="H210" s="8">
        <v>2</v>
      </c>
      <c r="I210" s="10">
        <v>71.099999999999994</v>
      </c>
      <c r="J210" s="14">
        <f>P210*I210</f>
        <v>142.19999999999999</v>
      </c>
      <c r="K210" s="16">
        <v>0.38</v>
      </c>
      <c r="L210" s="1" t="s">
        <v>30</v>
      </c>
      <c r="M210" t="s">
        <v>22</v>
      </c>
      <c r="N210" t="str">
        <f t="shared" si="3"/>
        <v>Gb</v>
      </c>
      <c r="O210" s="8">
        <f>IF(K210&gt;=1,K210,K210*1000)</f>
        <v>380</v>
      </c>
      <c r="P210">
        <f>ABS(H210)</f>
        <v>2</v>
      </c>
      <c r="R210"/>
    </row>
    <row r="211" spans="1:18" x14ac:dyDescent="0.35">
      <c r="A211" t="s">
        <v>548</v>
      </c>
      <c r="B211" s="2">
        <v>46070</v>
      </c>
      <c r="C211" t="s">
        <v>549</v>
      </c>
      <c r="D211" s="3" t="s">
        <v>4613</v>
      </c>
      <c r="E211" t="s">
        <v>41</v>
      </c>
      <c r="F211" t="s">
        <v>74</v>
      </c>
      <c r="G211" t="s">
        <v>75</v>
      </c>
      <c r="H211" s="8">
        <v>1</v>
      </c>
      <c r="I211" s="10">
        <v>116.1</v>
      </c>
      <c r="J211" s="14">
        <f>P211*I211</f>
        <v>116.1</v>
      </c>
      <c r="K211" s="16">
        <v>410</v>
      </c>
      <c r="L211" s="1" t="s">
        <v>30</v>
      </c>
      <c r="M211" t="s">
        <v>58</v>
      </c>
      <c r="N211" t="str">
        <f t="shared" si="3"/>
        <v>United Kingdom</v>
      </c>
      <c r="O211" s="8">
        <f>IF(K211&gt;=1,K211,K211*1000)</f>
        <v>410</v>
      </c>
      <c r="P211">
        <f>ABS(H211)</f>
        <v>1</v>
      </c>
      <c r="R211"/>
    </row>
    <row r="212" spans="1:18" x14ac:dyDescent="0.35">
      <c r="A212" t="s">
        <v>551</v>
      </c>
      <c r="B212" s="2" t="s">
        <v>552</v>
      </c>
      <c r="C212" t="s">
        <v>553</v>
      </c>
      <c r="D212" s="3" t="s">
        <v>99</v>
      </c>
      <c r="E212" t="s">
        <v>34</v>
      </c>
      <c r="F212" t="s">
        <v>17</v>
      </c>
      <c r="G212" t="s">
        <v>18</v>
      </c>
      <c r="H212" s="8">
        <v>2</v>
      </c>
      <c r="I212" s="10">
        <v>45</v>
      </c>
      <c r="J212" s="14">
        <f>P212*I212</f>
        <v>90</v>
      </c>
      <c r="K212" s="16">
        <v>520</v>
      </c>
      <c r="L212" s="1" t="s">
        <v>30</v>
      </c>
      <c r="M212" t="s">
        <v>22</v>
      </c>
      <c r="N212" t="str">
        <f t="shared" si="3"/>
        <v>United Kingdom</v>
      </c>
      <c r="O212" s="8">
        <f>IF(K212&gt;=1,K212,K212*1000)</f>
        <v>520</v>
      </c>
      <c r="P212">
        <f>ABS(H212)</f>
        <v>2</v>
      </c>
      <c r="R212"/>
    </row>
    <row r="213" spans="1:18" x14ac:dyDescent="0.35">
      <c r="A213" t="s">
        <v>554</v>
      </c>
      <c r="B213" s="2">
        <v>46054</v>
      </c>
      <c r="C213" t="s">
        <v>555</v>
      </c>
      <c r="D213" s="3" t="s">
        <v>66</v>
      </c>
      <c r="E213" t="s">
        <v>67</v>
      </c>
      <c r="F213" t="s">
        <v>83</v>
      </c>
      <c r="G213" t="s">
        <v>84</v>
      </c>
      <c r="H213" s="8">
        <v>3</v>
      </c>
      <c r="I213" s="10">
        <v>95</v>
      </c>
      <c r="J213" s="14">
        <f>P213*I213</f>
        <v>285</v>
      </c>
      <c r="K213" s="16">
        <v>340</v>
      </c>
      <c r="L213" s="1" t="s">
        <v>30</v>
      </c>
      <c r="M213" t="s">
        <v>22</v>
      </c>
      <c r="N213" t="str">
        <f t="shared" si="3"/>
        <v>Gb</v>
      </c>
      <c r="O213" s="8">
        <f>IF(K213&gt;=1,K213,K213*1000)</f>
        <v>340</v>
      </c>
      <c r="P213">
        <f>ABS(H213)</f>
        <v>3</v>
      </c>
      <c r="R213"/>
    </row>
    <row r="214" spans="1:18" x14ac:dyDescent="0.35">
      <c r="A214" t="s">
        <v>556</v>
      </c>
      <c r="B214" s="2">
        <v>46193</v>
      </c>
      <c r="C214" t="s">
        <v>557</v>
      </c>
      <c r="D214" s="3" t="s">
        <v>15</v>
      </c>
      <c r="E214" t="s">
        <v>25</v>
      </c>
      <c r="F214" t="s">
        <v>35</v>
      </c>
      <c r="G214" t="s">
        <v>36</v>
      </c>
      <c r="H214" s="8">
        <v>1</v>
      </c>
      <c r="I214" s="10">
        <v>21.6</v>
      </c>
      <c r="J214" s="14">
        <f>P214*I214</f>
        <v>21.6</v>
      </c>
      <c r="K214" s="16">
        <v>8.5000000000000006E-2</v>
      </c>
      <c r="L214" s="1" t="s">
        <v>21</v>
      </c>
      <c r="M214" t="s">
        <v>22</v>
      </c>
      <c r="N214" t="str">
        <f t="shared" si="3"/>
        <v>France</v>
      </c>
      <c r="O214" s="8">
        <f>IF(K214&gt;=1,K214,K214*1000)</f>
        <v>85</v>
      </c>
      <c r="P214">
        <f>ABS(H214)</f>
        <v>1</v>
      </c>
      <c r="R214"/>
    </row>
    <row r="215" spans="1:18" x14ac:dyDescent="0.35">
      <c r="A215" t="s">
        <v>558</v>
      </c>
      <c r="B215" s="2">
        <v>46123</v>
      </c>
      <c r="C215" t="s">
        <v>559</v>
      </c>
      <c r="D215" s="3" t="s">
        <v>4613</v>
      </c>
      <c r="E215" t="s">
        <v>25</v>
      </c>
      <c r="F215" t="s">
        <v>74</v>
      </c>
      <c r="G215" t="s">
        <v>75</v>
      </c>
      <c r="H215" s="8">
        <v>2</v>
      </c>
      <c r="I215" s="10">
        <v>149</v>
      </c>
      <c r="J215" s="14">
        <f>P215*I215</f>
        <v>298</v>
      </c>
      <c r="K215" s="16">
        <v>410</v>
      </c>
      <c r="L215" s="1" t="s">
        <v>30</v>
      </c>
      <c r="M215" t="s">
        <v>22</v>
      </c>
      <c r="N215" t="str">
        <f t="shared" si="3"/>
        <v>United Kingdom</v>
      </c>
      <c r="O215" s="8">
        <f>IF(K215&gt;=1,K215,K215*1000)</f>
        <v>410</v>
      </c>
      <c r="P215">
        <f>ABS(H215)</f>
        <v>2</v>
      </c>
      <c r="R215"/>
    </row>
    <row r="216" spans="1:18" x14ac:dyDescent="0.35">
      <c r="A216" t="s">
        <v>560</v>
      </c>
      <c r="B216" s="2" t="s">
        <v>561</v>
      </c>
      <c r="C216" t="s">
        <v>562</v>
      </c>
      <c r="D216" s="3" t="s">
        <v>99</v>
      </c>
      <c r="E216" t="s">
        <v>41</v>
      </c>
      <c r="F216" t="s">
        <v>89</v>
      </c>
      <c r="G216" t="s">
        <v>90</v>
      </c>
      <c r="H216" s="8">
        <v>3</v>
      </c>
      <c r="I216" s="10">
        <v>134.1</v>
      </c>
      <c r="J216" s="14">
        <f>P216*I216</f>
        <v>402.29999999999995</v>
      </c>
      <c r="K216" s="16">
        <v>640</v>
      </c>
      <c r="L216" s="1" t="s">
        <v>30</v>
      </c>
      <c r="M216" t="s">
        <v>22</v>
      </c>
      <c r="N216" t="str">
        <f t="shared" si="3"/>
        <v>United Kingdom</v>
      </c>
      <c r="O216" s="8">
        <f>IF(K216&gt;=1,K216,K216*1000)</f>
        <v>640</v>
      </c>
      <c r="P216">
        <f>ABS(H216)</f>
        <v>3</v>
      </c>
      <c r="R216"/>
    </row>
    <row r="217" spans="1:18" x14ac:dyDescent="0.35">
      <c r="A217" t="s">
        <v>563</v>
      </c>
      <c r="B217" s="2">
        <v>46071</v>
      </c>
      <c r="C217" t="s">
        <v>564</v>
      </c>
      <c r="D217" s="3" t="s">
        <v>99</v>
      </c>
      <c r="E217" t="s">
        <v>25</v>
      </c>
      <c r="F217" t="s">
        <v>17</v>
      </c>
      <c r="G217" t="s">
        <v>18</v>
      </c>
      <c r="H217" s="8">
        <v>1</v>
      </c>
      <c r="I217" s="10">
        <v>45</v>
      </c>
      <c r="J217" s="14">
        <f>P217*I217</f>
        <v>45</v>
      </c>
      <c r="K217" s="16">
        <v>520</v>
      </c>
      <c r="L217" s="1" t="s">
        <v>21</v>
      </c>
      <c r="M217" t="s">
        <v>22</v>
      </c>
      <c r="N217" t="str">
        <f t="shared" si="3"/>
        <v>United Kingdom</v>
      </c>
      <c r="O217" s="8">
        <f>IF(K217&gt;=1,K217,K217*1000)</f>
        <v>520</v>
      </c>
      <c r="P217">
        <f>ABS(H217)</f>
        <v>1</v>
      </c>
      <c r="R217"/>
    </row>
    <row r="218" spans="1:18" x14ac:dyDescent="0.35">
      <c r="A218" t="s">
        <v>565</v>
      </c>
      <c r="B218" s="2" t="s">
        <v>566</v>
      </c>
      <c r="C218" t="s">
        <v>567</v>
      </c>
      <c r="D218" s="3" t="s">
        <v>4613</v>
      </c>
      <c r="E218" t="s">
        <v>16</v>
      </c>
      <c r="F218" t="s">
        <v>35</v>
      </c>
      <c r="G218" t="s">
        <v>36</v>
      </c>
      <c r="H218" s="8">
        <v>3</v>
      </c>
      <c r="I218" s="10">
        <v>71.099999999999994</v>
      </c>
      <c r="J218" s="14">
        <f>P218*I218</f>
        <v>213.29999999999998</v>
      </c>
      <c r="K218" s="16">
        <v>85</v>
      </c>
      <c r="L218" s="1" t="s">
        <v>30</v>
      </c>
      <c r="M218" t="s">
        <v>22</v>
      </c>
      <c r="N218" t="str">
        <f t="shared" si="3"/>
        <v>United Kingdom</v>
      </c>
      <c r="O218" s="8">
        <f>IF(K218&gt;=1,K218,K218*1000)</f>
        <v>85</v>
      </c>
      <c r="P218">
        <f>ABS(H218)</f>
        <v>3</v>
      </c>
      <c r="R218"/>
    </row>
    <row r="219" spans="1:18" x14ac:dyDescent="0.35">
      <c r="A219" t="s">
        <v>569</v>
      </c>
      <c r="B219" s="2">
        <v>46068</v>
      </c>
      <c r="C219" t="s">
        <v>570</v>
      </c>
      <c r="D219" s="3" t="s">
        <v>116</v>
      </c>
      <c r="E219" t="s">
        <v>25</v>
      </c>
      <c r="F219" t="s">
        <v>35</v>
      </c>
      <c r="G219" t="s">
        <v>36</v>
      </c>
      <c r="H219" s="8">
        <v>2</v>
      </c>
      <c r="I219" s="10">
        <v>45</v>
      </c>
      <c r="J219" s="14">
        <f>P219*I219</f>
        <v>90</v>
      </c>
      <c r="K219" s="16">
        <v>85</v>
      </c>
      <c r="L219" s="1" t="s">
        <v>21</v>
      </c>
      <c r="M219" t="s">
        <v>22</v>
      </c>
      <c r="N219" t="str">
        <f t="shared" si="3"/>
        <v>Germany</v>
      </c>
      <c r="O219" s="8">
        <f>IF(K219&gt;=1,K219,K219*1000)</f>
        <v>85</v>
      </c>
      <c r="P219">
        <f>ABS(H219)</f>
        <v>2</v>
      </c>
      <c r="R219"/>
    </row>
    <row r="220" spans="1:18" x14ac:dyDescent="0.35">
      <c r="A220" t="s">
        <v>571</v>
      </c>
      <c r="B220" s="2">
        <v>46199</v>
      </c>
      <c r="C220" t="s">
        <v>572</v>
      </c>
      <c r="D220" s="3" t="s">
        <v>66</v>
      </c>
      <c r="E220" t="s">
        <v>16</v>
      </c>
      <c r="F220" t="s">
        <v>35</v>
      </c>
      <c r="G220" t="s">
        <v>36</v>
      </c>
      <c r="H220" s="8">
        <v>1</v>
      </c>
      <c r="I220" s="10">
        <v>95</v>
      </c>
      <c r="J220" s="14">
        <f>P220*I220</f>
        <v>95</v>
      </c>
      <c r="K220" s="16">
        <v>8.5000000000000006E-2</v>
      </c>
      <c r="L220" s="1" t="s">
        <v>30</v>
      </c>
      <c r="M220" t="s">
        <v>22</v>
      </c>
      <c r="N220" t="str">
        <f t="shared" si="3"/>
        <v>Gb</v>
      </c>
      <c r="O220" s="8">
        <f>IF(K220&gt;=1,K220,K220*1000)</f>
        <v>85</v>
      </c>
      <c r="P220">
        <f>ABS(H220)</f>
        <v>1</v>
      </c>
      <c r="R220"/>
    </row>
    <row r="221" spans="1:18" x14ac:dyDescent="0.35">
      <c r="A221" t="s">
        <v>573</v>
      </c>
      <c r="B221" s="2">
        <v>46169</v>
      </c>
      <c r="C221" t="s">
        <v>574</v>
      </c>
      <c r="D221" s="3" t="s">
        <v>99</v>
      </c>
      <c r="E221" t="s">
        <v>25</v>
      </c>
      <c r="F221" t="s">
        <v>83</v>
      </c>
      <c r="G221" t="s">
        <v>84</v>
      </c>
      <c r="H221" s="8">
        <v>1</v>
      </c>
      <c r="I221" s="10">
        <v>11.25</v>
      </c>
      <c r="J221" s="14">
        <f>P221*I221</f>
        <v>11.25</v>
      </c>
      <c r="K221" s="16">
        <v>0.34</v>
      </c>
      <c r="L221" s="1" t="s">
        <v>30</v>
      </c>
      <c r="M221" t="s">
        <v>58</v>
      </c>
      <c r="N221" t="str">
        <f t="shared" si="3"/>
        <v>United Kingdom</v>
      </c>
      <c r="O221" s="8">
        <f>IF(K221&gt;=1,K221,K221*1000)</f>
        <v>340</v>
      </c>
      <c r="P221">
        <f>ABS(H221)</f>
        <v>1</v>
      </c>
      <c r="R221"/>
    </row>
    <row r="222" spans="1:18" x14ac:dyDescent="0.35">
      <c r="A222" t="s">
        <v>575</v>
      </c>
      <c r="B222" s="2">
        <v>46145</v>
      </c>
      <c r="C222" t="s">
        <v>576</v>
      </c>
      <c r="D222" s="3" t="s">
        <v>4613</v>
      </c>
      <c r="E222" t="s">
        <v>16</v>
      </c>
      <c r="F222" t="s">
        <v>17</v>
      </c>
      <c r="G222" t="s">
        <v>18</v>
      </c>
      <c r="H222" s="8">
        <v>1</v>
      </c>
      <c r="I222" s="12" t="s">
        <v>4619</v>
      </c>
      <c r="J222" s="14">
        <f>P222*R222</f>
        <v>12.5</v>
      </c>
      <c r="K222" s="16">
        <v>0.52</v>
      </c>
      <c r="L222" s="1" t="s">
        <v>30</v>
      </c>
      <c r="M222" t="s">
        <v>22</v>
      </c>
      <c r="N222" t="str">
        <f t="shared" si="3"/>
        <v>United Kingdom</v>
      </c>
      <c r="O222" s="8">
        <f>IF(K222&gt;=1,K222,K222*1000)</f>
        <v>520</v>
      </c>
      <c r="P222">
        <f>ABS(H222)</f>
        <v>1</v>
      </c>
      <c r="Q222" t="str">
        <f>LEFT(I222,3)</f>
        <v>GBP</v>
      </c>
      <c r="R222" s="10" t="str">
        <f>RIGHT(I222,5)</f>
        <v>12,50</v>
      </c>
    </row>
    <row r="223" spans="1:18" x14ac:dyDescent="0.35">
      <c r="A223" t="s">
        <v>577</v>
      </c>
      <c r="B223" s="2">
        <v>46096</v>
      </c>
      <c r="C223" t="s">
        <v>578</v>
      </c>
      <c r="D223" s="3" t="s">
        <v>66</v>
      </c>
      <c r="E223" t="s">
        <v>25</v>
      </c>
      <c r="F223" t="s">
        <v>83</v>
      </c>
      <c r="G223" t="s">
        <v>84</v>
      </c>
      <c r="H223" s="8">
        <v>1</v>
      </c>
      <c r="I223" s="10">
        <v>85.5</v>
      </c>
      <c r="J223" s="14">
        <f>P223*I223</f>
        <v>85.5</v>
      </c>
      <c r="K223" s="16">
        <v>340</v>
      </c>
      <c r="L223" s="1" t="s">
        <v>30</v>
      </c>
      <c r="M223" t="s">
        <v>58</v>
      </c>
      <c r="N223" t="str">
        <f t="shared" si="3"/>
        <v>Gb</v>
      </c>
      <c r="O223" s="8">
        <f>IF(K223&gt;=1,K223,K223*1000)</f>
        <v>340</v>
      </c>
      <c r="P223">
        <f>ABS(H223)</f>
        <v>1</v>
      </c>
      <c r="R223"/>
    </row>
    <row r="224" spans="1:18" x14ac:dyDescent="0.35">
      <c r="A224" t="s">
        <v>579</v>
      </c>
      <c r="B224" s="2">
        <v>46163</v>
      </c>
      <c r="C224" t="s">
        <v>580</v>
      </c>
      <c r="D224" s="3" t="s">
        <v>66</v>
      </c>
      <c r="E224" t="s">
        <v>67</v>
      </c>
      <c r="F224" t="s">
        <v>83</v>
      </c>
      <c r="G224" t="s">
        <v>84</v>
      </c>
      <c r="H224" s="8">
        <v>2</v>
      </c>
      <c r="I224" s="10">
        <v>149</v>
      </c>
      <c r="J224" s="14">
        <f>P224*I224</f>
        <v>298</v>
      </c>
      <c r="K224" s="16">
        <v>0.34</v>
      </c>
      <c r="L224" s="1" t="s">
        <v>30</v>
      </c>
      <c r="M224" t="s">
        <v>22</v>
      </c>
      <c r="N224" t="str">
        <f t="shared" si="3"/>
        <v>Gb</v>
      </c>
      <c r="O224" s="8">
        <f>IF(K224&gt;=1,K224,K224*1000)</f>
        <v>340</v>
      </c>
      <c r="P224">
        <f>ABS(H224)</f>
        <v>2</v>
      </c>
      <c r="R224"/>
    </row>
    <row r="225" spans="1:18" x14ac:dyDescent="0.35">
      <c r="A225" t="s">
        <v>581</v>
      </c>
      <c r="B225" s="2" t="s">
        <v>582</v>
      </c>
      <c r="C225" t="s">
        <v>583</v>
      </c>
      <c r="D225" s="3" t="s">
        <v>4613</v>
      </c>
      <c r="E225" t="s">
        <v>41</v>
      </c>
      <c r="F225" t="s">
        <v>42</v>
      </c>
      <c r="G225" t="s">
        <v>43</v>
      </c>
      <c r="H225" s="8">
        <v>2</v>
      </c>
      <c r="I225" s="10">
        <v>129</v>
      </c>
      <c r="J225" s="14">
        <f>P225*I225</f>
        <v>258</v>
      </c>
      <c r="K225" s="16">
        <v>0.19</v>
      </c>
      <c r="L225" s="1" t="s">
        <v>30</v>
      </c>
      <c r="M225" t="s">
        <v>22</v>
      </c>
      <c r="N225" t="str">
        <f t="shared" si="3"/>
        <v>United Kingdom</v>
      </c>
      <c r="O225" s="8">
        <f>IF(K225&gt;=1,K225,K225*1000)</f>
        <v>190</v>
      </c>
      <c r="P225">
        <f>ABS(H225)</f>
        <v>2</v>
      </c>
      <c r="R225"/>
    </row>
    <row r="226" spans="1:18" x14ac:dyDescent="0.35">
      <c r="A226" t="s">
        <v>584</v>
      </c>
      <c r="B226" s="2">
        <v>46074</v>
      </c>
      <c r="C226" t="s">
        <v>585</v>
      </c>
      <c r="D226" s="3" t="s">
        <v>15</v>
      </c>
      <c r="E226" t="s">
        <v>16</v>
      </c>
      <c r="F226" t="s">
        <v>26</v>
      </c>
      <c r="G226" t="s">
        <v>27</v>
      </c>
      <c r="H226" s="8">
        <v>2</v>
      </c>
      <c r="I226" s="10">
        <v>95</v>
      </c>
      <c r="J226" s="14">
        <f>P226*I226</f>
        <v>190</v>
      </c>
      <c r="K226" s="16">
        <v>520</v>
      </c>
      <c r="L226" s="1" t="s">
        <v>30</v>
      </c>
      <c r="M226" t="s">
        <v>22</v>
      </c>
      <c r="N226" t="str">
        <f t="shared" si="3"/>
        <v>France</v>
      </c>
      <c r="O226" s="8">
        <f>IF(K226&gt;=1,K226,K226*1000)</f>
        <v>520</v>
      </c>
      <c r="P226">
        <f>ABS(H226)</f>
        <v>2</v>
      </c>
      <c r="R226"/>
    </row>
    <row r="227" spans="1:18" x14ac:dyDescent="0.35">
      <c r="A227" t="s">
        <v>586</v>
      </c>
      <c r="B227" s="2">
        <v>46033</v>
      </c>
      <c r="C227" t="s">
        <v>587</v>
      </c>
      <c r="D227" s="3" t="s">
        <v>15</v>
      </c>
      <c r="E227" t="s">
        <v>25</v>
      </c>
      <c r="F227" t="s">
        <v>42</v>
      </c>
      <c r="G227" t="s">
        <v>43</v>
      </c>
      <c r="H227" s="8">
        <v>2</v>
      </c>
      <c r="I227" s="12" t="s">
        <v>4629</v>
      </c>
      <c r="J227" s="14">
        <f>P227*R227</f>
        <v>68.2</v>
      </c>
      <c r="K227" s="16">
        <v>190</v>
      </c>
      <c r="L227" s="1" t="s">
        <v>30</v>
      </c>
      <c r="M227" t="s">
        <v>22</v>
      </c>
      <c r="N227" t="str">
        <f t="shared" si="3"/>
        <v>France</v>
      </c>
      <c r="O227" s="8">
        <f>IF(K227&gt;=1,K227,K227*1000)</f>
        <v>190</v>
      </c>
      <c r="P227">
        <f>ABS(H227)</f>
        <v>2</v>
      </c>
      <c r="Q227" t="str">
        <f>LEFT(I227,3)</f>
        <v>GBP</v>
      </c>
      <c r="R227" s="10" t="str">
        <f>RIGHT(I227,5)</f>
        <v>34,10</v>
      </c>
    </row>
    <row r="228" spans="1:18" x14ac:dyDescent="0.35">
      <c r="A228" t="s">
        <v>589</v>
      </c>
      <c r="B228" s="2" t="s">
        <v>590</v>
      </c>
      <c r="C228" t="s">
        <v>591</v>
      </c>
      <c r="D228" s="3" t="s">
        <v>99</v>
      </c>
      <c r="E228" t="s">
        <v>67</v>
      </c>
      <c r="F228" t="s">
        <v>74</v>
      </c>
      <c r="G228" t="s">
        <v>75</v>
      </c>
      <c r="H228" s="8">
        <v>1</v>
      </c>
      <c r="I228" s="12" t="s">
        <v>4630</v>
      </c>
      <c r="J228" s="14">
        <f>P228*R228</f>
        <v>11.25</v>
      </c>
      <c r="K228" s="16">
        <v>410</v>
      </c>
      <c r="L228" s="1" t="s">
        <v>21</v>
      </c>
      <c r="M228" t="s">
        <v>58</v>
      </c>
      <c r="N228" t="str">
        <f t="shared" si="3"/>
        <v>United Kingdom</v>
      </c>
      <c r="O228" s="8">
        <f>IF(K228&gt;=1,K228,K228*1000)</f>
        <v>410</v>
      </c>
      <c r="P228">
        <f>ABS(H228)</f>
        <v>1</v>
      </c>
      <c r="Q228" t="str">
        <f>LEFT(I228,2)</f>
        <v>Â£</v>
      </c>
      <c r="R228" t="str">
        <f>RIGHT(I228,5)</f>
        <v>11,25</v>
      </c>
    </row>
    <row r="229" spans="1:18" x14ac:dyDescent="0.35">
      <c r="A229" t="s">
        <v>593</v>
      </c>
      <c r="B229" s="2">
        <v>46097</v>
      </c>
      <c r="C229" t="s">
        <v>594</v>
      </c>
      <c r="D229" s="3" t="s">
        <v>66</v>
      </c>
      <c r="E229" t="s">
        <v>67</v>
      </c>
      <c r="F229" t="s">
        <v>89</v>
      </c>
      <c r="G229" t="s">
        <v>90</v>
      </c>
      <c r="H229" s="8">
        <v>-1</v>
      </c>
      <c r="I229" s="10">
        <v>45</v>
      </c>
      <c r="J229" s="14">
        <f>P229*I229</f>
        <v>45</v>
      </c>
      <c r="K229" s="16">
        <v>640</v>
      </c>
      <c r="L229" s="1" t="s">
        <v>30</v>
      </c>
      <c r="M229" t="s">
        <v>22</v>
      </c>
      <c r="N229" t="str">
        <f t="shared" si="3"/>
        <v>Gb</v>
      </c>
      <c r="O229" s="8">
        <f>IF(K229&gt;=1,K229,K229*1000)</f>
        <v>640</v>
      </c>
      <c r="P229">
        <f>ABS(H229)</f>
        <v>1</v>
      </c>
      <c r="R229"/>
    </row>
    <row r="230" spans="1:18" x14ac:dyDescent="0.35">
      <c r="A230" t="s">
        <v>595</v>
      </c>
      <c r="B230" s="2" t="s">
        <v>596</v>
      </c>
      <c r="C230" t="s">
        <v>597</v>
      </c>
      <c r="D230" s="3" t="s">
        <v>53</v>
      </c>
      <c r="E230" t="s">
        <v>16</v>
      </c>
      <c r="F230" t="s">
        <v>89</v>
      </c>
      <c r="G230" t="s">
        <v>90</v>
      </c>
      <c r="H230" s="8">
        <v>2</v>
      </c>
      <c r="I230" s="10">
        <v>45</v>
      </c>
      <c r="J230" s="14">
        <f>P230*I230</f>
        <v>90</v>
      </c>
      <c r="K230" s="16">
        <v>640</v>
      </c>
      <c r="L230" s="1" t="s">
        <v>30</v>
      </c>
      <c r="M230" t="s">
        <v>58</v>
      </c>
      <c r="N230" t="str">
        <f t="shared" si="3"/>
        <v>Gb</v>
      </c>
      <c r="O230" s="8">
        <f>IF(K230&gt;=1,K230,K230*1000)</f>
        <v>640</v>
      </c>
      <c r="P230">
        <f>ABS(H230)</f>
        <v>2</v>
      </c>
      <c r="R230"/>
    </row>
    <row r="231" spans="1:18" x14ac:dyDescent="0.35">
      <c r="A231" t="s">
        <v>598</v>
      </c>
      <c r="B231" s="2">
        <v>46206</v>
      </c>
      <c r="C231" t="s">
        <v>599</v>
      </c>
      <c r="D231" s="3" t="s">
        <v>61</v>
      </c>
      <c r="E231" t="s">
        <v>34</v>
      </c>
      <c r="F231" t="s">
        <v>47</v>
      </c>
      <c r="G231" t="s">
        <v>48</v>
      </c>
      <c r="H231" s="8">
        <v>3</v>
      </c>
      <c r="I231" s="10">
        <v>11.25</v>
      </c>
      <c r="J231" s="14">
        <f>P231*I231</f>
        <v>33.75</v>
      </c>
      <c r="K231" s="16">
        <v>0.38</v>
      </c>
      <c r="L231" s="1" t="s">
        <v>21</v>
      </c>
      <c r="M231" t="s">
        <v>22</v>
      </c>
      <c r="N231" t="str">
        <f t="shared" si="3"/>
        <v>Ireland</v>
      </c>
      <c r="O231" s="8">
        <f>IF(K231&gt;=1,K231,K231*1000)</f>
        <v>380</v>
      </c>
      <c r="P231">
        <f>ABS(H231)</f>
        <v>3</v>
      </c>
      <c r="R231"/>
    </row>
    <row r="232" spans="1:18" x14ac:dyDescent="0.35">
      <c r="A232" t="s">
        <v>600</v>
      </c>
      <c r="B232" s="2">
        <v>46045</v>
      </c>
      <c r="C232" t="s">
        <v>498</v>
      </c>
      <c r="D232" s="3" t="s">
        <v>15</v>
      </c>
      <c r="E232" t="s">
        <v>25</v>
      </c>
      <c r="F232" t="s">
        <v>35</v>
      </c>
      <c r="G232" t="s">
        <v>36</v>
      </c>
      <c r="H232" s="8">
        <v>3</v>
      </c>
      <c r="I232" s="10">
        <v>89</v>
      </c>
      <c r="J232" s="14">
        <f>P232*I232</f>
        <v>267</v>
      </c>
      <c r="K232" s="16">
        <v>85</v>
      </c>
      <c r="L232" s="1" t="s">
        <v>30</v>
      </c>
      <c r="M232" t="s">
        <v>22</v>
      </c>
      <c r="N232" t="str">
        <f t="shared" si="3"/>
        <v>France</v>
      </c>
      <c r="O232" s="8">
        <f>IF(K232&gt;=1,K232,K232*1000)</f>
        <v>85</v>
      </c>
      <c r="P232">
        <f>ABS(H232)</f>
        <v>3</v>
      </c>
      <c r="R232"/>
    </row>
    <row r="233" spans="1:18" x14ac:dyDescent="0.35">
      <c r="A233" t="s">
        <v>601</v>
      </c>
      <c r="B233" s="2">
        <v>46033</v>
      </c>
      <c r="C233" t="s">
        <v>602</v>
      </c>
      <c r="D233" s="3" t="s">
        <v>53</v>
      </c>
      <c r="E233" t="s">
        <v>41</v>
      </c>
      <c r="F233" t="s">
        <v>26</v>
      </c>
      <c r="G233" t="s">
        <v>27</v>
      </c>
      <c r="H233" s="8">
        <v>3</v>
      </c>
      <c r="I233" s="10">
        <v>79</v>
      </c>
      <c r="J233" s="14">
        <f>P233*I233</f>
        <v>237</v>
      </c>
      <c r="K233" s="16">
        <v>520</v>
      </c>
      <c r="L233" s="1" t="s">
        <v>30</v>
      </c>
      <c r="M233" t="s">
        <v>22</v>
      </c>
      <c r="N233" t="str">
        <f t="shared" si="3"/>
        <v>Gb</v>
      </c>
      <c r="O233" s="8">
        <f>IF(K233&gt;=1,K233,K233*1000)</f>
        <v>520</v>
      </c>
      <c r="P233">
        <f>ABS(H233)</f>
        <v>3</v>
      </c>
      <c r="R233"/>
    </row>
    <row r="234" spans="1:18" x14ac:dyDescent="0.35">
      <c r="A234" t="s">
        <v>603</v>
      </c>
      <c r="B234" s="2">
        <v>46075</v>
      </c>
      <c r="C234" t="s">
        <v>604</v>
      </c>
      <c r="D234" s="3" t="s">
        <v>46</v>
      </c>
      <c r="E234" t="s">
        <v>25</v>
      </c>
      <c r="F234" t="s">
        <v>89</v>
      </c>
      <c r="G234" t="s">
        <v>90</v>
      </c>
      <c r="H234" s="8">
        <v>-2</v>
      </c>
      <c r="I234" s="10">
        <v>95</v>
      </c>
      <c r="J234" s="14">
        <f>P234*I234</f>
        <v>190</v>
      </c>
      <c r="K234" s="16">
        <v>640</v>
      </c>
      <c r="L234" s="1" t="s">
        <v>30</v>
      </c>
      <c r="M234" t="s">
        <v>58</v>
      </c>
      <c r="N234" t="str">
        <f t="shared" si="3"/>
        <v>Ireland</v>
      </c>
      <c r="O234" s="8">
        <f>IF(K234&gt;=1,K234,K234*1000)</f>
        <v>640</v>
      </c>
      <c r="P234">
        <f>ABS(H234)</f>
        <v>2</v>
      </c>
      <c r="R234"/>
    </row>
    <row r="235" spans="1:18" x14ac:dyDescent="0.35">
      <c r="A235" t="s">
        <v>606</v>
      </c>
      <c r="B235" s="2">
        <v>46039</v>
      </c>
      <c r="C235" t="s">
        <v>607</v>
      </c>
      <c r="D235" s="3" t="s">
        <v>46</v>
      </c>
      <c r="E235" t="s">
        <v>25</v>
      </c>
      <c r="F235" t="s">
        <v>74</v>
      </c>
      <c r="G235" t="s">
        <v>75</v>
      </c>
      <c r="H235" s="8">
        <v>2</v>
      </c>
      <c r="I235" s="12" t="s">
        <v>4631</v>
      </c>
      <c r="J235" s="14">
        <f>P235*R235</f>
        <v>158</v>
      </c>
      <c r="K235" s="16">
        <v>410</v>
      </c>
      <c r="L235" s="1" t="s">
        <v>30</v>
      </c>
      <c r="M235" t="s">
        <v>22</v>
      </c>
      <c r="N235" t="str">
        <f t="shared" si="3"/>
        <v>Ireland</v>
      </c>
      <c r="O235" s="8">
        <f>IF(K235&gt;=1,K235,K235*1000)</f>
        <v>410</v>
      </c>
      <c r="P235">
        <f>ABS(H235)</f>
        <v>2</v>
      </c>
      <c r="Q235" t="str">
        <f>LEFT(I235,2)</f>
        <v>Â£</v>
      </c>
      <c r="R235" t="str">
        <f>RIGHT(I235,5)</f>
        <v>79,00</v>
      </c>
    </row>
    <row r="236" spans="1:18" x14ac:dyDescent="0.35">
      <c r="A236" t="s">
        <v>609</v>
      </c>
      <c r="B236" s="2" t="s">
        <v>610</v>
      </c>
      <c r="C236" t="s">
        <v>611</v>
      </c>
      <c r="D236" s="3" t="s">
        <v>15</v>
      </c>
      <c r="E236" t="s">
        <v>16</v>
      </c>
      <c r="F236" t="s">
        <v>26</v>
      </c>
      <c r="G236" t="s">
        <v>27</v>
      </c>
      <c r="H236" s="8">
        <v>3</v>
      </c>
      <c r="I236" s="10">
        <v>12.5</v>
      </c>
      <c r="J236" s="14">
        <f>P236*I236</f>
        <v>37.5</v>
      </c>
      <c r="K236" s="16">
        <v>0.52</v>
      </c>
      <c r="L236" s="1" t="s">
        <v>21</v>
      </c>
      <c r="M236" t="s">
        <v>58</v>
      </c>
      <c r="N236" t="str">
        <f t="shared" si="3"/>
        <v>France</v>
      </c>
      <c r="O236" s="8">
        <f>IF(K236&gt;=1,K236,K236*1000)</f>
        <v>520</v>
      </c>
      <c r="P236">
        <f>ABS(H236)</f>
        <v>3</v>
      </c>
      <c r="R236"/>
    </row>
    <row r="237" spans="1:18" x14ac:dyDescent="0.35">
      <c r="A237" t="s">
        <v>612</v>
      </c>
      <c r="B237" s="2">
        <v>46070</v>
      </c>
      <c r="C237" t="s">
        <v>613</v>
      </c>
      <c r="D237" s="3" t="s">
        <v>99</v>
      </c>
      <c r="E237" t="s">
        <v>67</v>
      </c>
      <c r="F237" t="s">
        <v>17</v>
      </c>
      <c r="G237" t="s">
        <v>18</v>
      </c>
      <c r="H237" s="8">
        <v>1</v>
      </c>
      <c r="I237" s="10">
        <v>116.1</v>
      </c>
      <c r="J237" s="14">
        <f>P237*I237</f>
        <v>116.1</v>
      </c>
      <c r="K237" s="16">
        <v>520</v>
      </c>
      <c r="L237" s="1" t="s">
        <v>30</v>
      </c>
      <c r="M237" t="s">
        <v>22</v>
      </c>
      <c r="N237" t="str">
        <f t="shared" si="3"/>
        <v>United Kingdom</v>
      </c>
      <c r="O237" s="8">
        <f>IF(K237&gt;=1,K237,K237*1000)</f>
        <v>520</v>
      </c>
      <c r="P237">
        <f>ABS(H237)</f>
        <v>1</v>
      </c>
      <c r="R237"/>
    </row>
    <row r="238" spans="1:18" x14ac:dyDescent="0.35">
      <c r="A238" t="s">
        <v>614</v>
      </c>
      <c r="B238" s="2">
        <v>46176</v>
      </c>
      <c r="C238" t="s">
        <v>615</v>
      </c>
      <c r="D238" s="3" t="s">
        <v>99</v>
      </c>
      <c r="E238" t="s">
        <v>25</v>
      </c>
      <c r="F238" t="s">
        <v>89</v>
      </c>
      <c r="G238" t="s">
        <v>90</v>
      </c>
      <c r="H238" s="8">
        <v>-3</v>
      </c>
      <c r="I238" s="10">
        <v>45</v>
      </c>
      <c r="J238" s="14">
        <f>P238*I238</f>
        <v>135</v>
      </c>
      <c r="K238" s="16">
        <v>0.64</v>
      </c>
      <c r="L238" s="1" t="s">
        <v>30</v>
      </c>
      <c r="M238" t="s">
        <v>22</v>
      </c>
      <c r="N238" t="str">
        <f t="shared" si="3"/>
        <v>United Kingdom</v>
      </c>
      <c r="O238" s="8">
        <f>IF(K238&gt;=1,K238,K238*1000)</f>
        <v>640</v>
      </c>
      <c r="P238">
        <f>ABS(H238)</f>
        <v>3</v>
      </c>
      <c r="R238"/>
    </row>
    <row r="239" spans="1:18" x14ac:dyDescent="0.35">
      <c r="A239" t="s">
        <v>617</v>
      </c>
      <c r="B239" s="2">
        <v>46046</v>
      </c>
      <c r="C239" t="s">
        <v>618</v>
      </c>
      <c r="D239" s="3" t="s">
        <v>53</v>
      </c>
      <c r="E239" t="s">
        <v>34</v>
      </c>
      <c r="F239" t="s">
        <v>26</v>
      </c>
      <c r="G239" t="s">
        <v>27</v>
      </c>
      <c r="H239" s="8">
        <v>1</v>
      </c>
      <c r="I239" s="10">
        <v>45</v>
      </c>
      <c r="J239" s="14">
        <f>P239*I239</f>
        <v>45</v>
      </c>
      <c r="K239" s="16">
        <v>520</v>
      </c>
      <c r="L239" s="1" t="s">
        <v>30</v>
      </c>
      <c r="M239" t="s">
        <v>22</v>
      </c>
      <c r="N239" t="str">
        <f t="shared" si="3"/>
        <v>Gb</v>
      </c>
      <c r="O239" s="8">
        <f>IF(K239&gt;=1,K239,K239*1000)</f>
        <v>520</v>
      </c>
      <c r="P239">
        <f>ABS(H239)</f>
        <v>1</v>
      </c>
      <c r="R239"/>
    </row>
    <row r="240" spans="1:18" x14ac:dyDescent="0.35">
      <c r="A240" t="s">
        <v>619</v>
      </c>
      <c r="B240" s="2">
        <v>46040</v>
      </c>
      <c r="C240" t="s">
        <v>620</v>
      </c>
      <c r="D240" s="3" t="s">
        <v>4612</v>
      </c>
      <c r="E240" t="s">
        <v>41</v>
      </c>
      <c r="F240" t="s">
        <v>89</v>
      </c>
      <c r="G240" t="s">
        <v>90</v>
      </c>
      <c r="H240" s="8">
        <v>2</v>
      </c>
      <c r="I240" s="10">
        <v>80.099999999999994</v>
      </c>
      <c r="J240" s="14">
        <f>P240*I240</f>
        <v>160.19999999999999</v>
      </c>
      <c r="K240" s="16">
        <v>640</v>
      </c>
      <c r="L240" s="1" t="s">
        <v>30</v>
      </c>
      <c r="M240" t="s">
        <v>22</v>
      </c>
      <c r="N240" t="str">
        <f t="shared" si="3"/>
        <v>United Kingdom</v>
      </c>
      <c r="O240" s="8">
        <f>IF(K240&gt;=1,K240,K240*1000)</f>
        <v>640</v>
      </c>
      <c r="P240">
        <f>ABS(H240)</f>
        <v>2</v>
      </c>
      <c r="R240"/>
    </row>
    <row r="241" spans="1:18" x14ac:dyDescent="0.35">
      <c r="A241" t="s">
        <v>621</v>
      </c>
      <c r="B241" s="2">
        <v>46194</v>
      </c>
      <c r="C241" t="s">
        <v>622</v>
      </c>
      <c r="D241" s="3" t="s">
        <v>53</v>
      </c>
      <c r="E241" t="s">
        <v>25</v>
      </c>
      <c r="F241" t="s">
        <v>74</v>
      </c>
      <c r="G241" t="s">
        <v>75</v>
      </c>
      <c r="H241" s="8">
        <v>2</v>
      </c>
      <c r="I241" s="10">
        <v>89</v>
      </c>
      <c r="J241" s="14">
        <f>P241*I241</f>
        <v>178</v>
      </c>
      <c r="K241" s="16">
        <v>0.41</v>
      </c>
      <c r="L241" s="1" t="s">
        <v>30</v>
      </c>
      <c r="M241" t="s">
        <v>22</v>
      </c>
      <c r="N241" t="str">
        <f t="shared" si="3"/>
        <v>Gb</v>
      </c>
      <c r="O241" s="8">
        <f>IF(K241&gt;=1,K241,K241*1000)</f>
        <v>410</v>
      </c>
      <c r="P241">
        <f>ABS(H241)</f>
        <v>2</v>
      </c>
      <c r="R241"/>
    </row>
    <row r="242" spans="1:18" x14ac:dyDescent="0.35">
      <c r="A242" t="s">
        <v>623</v>
      </c>
      <c r="B242" s="2">
        <v>46194</v>
      </c>
      <c r="C242" t="s">
        <v>624</v>
      </c>
      <c r="D242" s="3" t="s">
        <v>4612</v>
      </c>
      <c r="E242" t="s">
        <v>67</v>
      </c>
      <c r="F242" t="s">
        <v>26</v>
      </c>
      <c r="G242" t="s">
        <v>27</v>
      </c>
      <c r="H242" s="8">
        <v>2</v>
      </c>
      <c r="I242" s="10">
        <v>12.5</v>
      </c>
      <c r="J242" s="14">
        <f>P242*I242</f>
        <v>25</v>
      </c>
      <c r="K242" s="16">
        <v>0.52</v>
      </c>
      <c r="L242" s="1" t="s">
        <v>30</v>
      </c>
      <c r="M242" t="s">
        <v>22</v>
      </c>
      <c r="N242" t="str">
        <f t="shared" si="3"/>
        <v>United Kingdom</v>
      </c>
      <c r="O242" s="8">
        <f>IF(K242&gt;=1,K242,K242*1000)</f>
        <v>520</v>
      </c>
      <c r="P242">
        <f>ABS(H242)</f>
        <v>2</v>
      </c>
      <c r="R242"/>
    </row>
    <row r="243" spans="1:18" x14ac:dyDescent="0.35">
      <c r="A243" t="s">
        <v>626</v>
      </c>
      <c r="B243" s="2">
        <v>46048</v>
      </c>
      <c r="C243" t="s">
        <v>370</v>
      </c>
      <c r="D243" s="3" t="s">
        <v>99</v>
      </c>
      <c r="E243" t="s">
        <v>67</v>
      </c>
      <c r="F243" t="s">
        <v>26</v>
      </c>
      <c r="G243" t="s">
        <v>27</v>
      </c>
      <c r="H243" s="8">
        <v>1</v>
      </c>
      <c r="I243" s="10">
        <v>24</v>
      </c>
      <c r="J243" s="14">
        <f>P243*I243</f>
        <v>24</v>
      </c>
      <c r="K243" s="16">
        <v>520</v>
      </c>
      <c r="L243" s="1" t="s">
        <v>30</v>
      </c>
      <c r="M243" t="s">
        <v>22</v>
      </c>
      <c r="N243" t="str">
        <f t="shared" si="3"/>
        <v>United Kingdom</v>
      </c>
      <c r="O243" s="8">
        <f>IF(K243&gt;=1,K243,K243*1000)</f>
        <v>520</v>
      </c>
      <c r="P243">
        <f>ABS(H243)</f>
        <v>1</v>
      </c>
      <c r="R243"/>
    </row>
    <row r="244" spans="1:18" x14ac:dyDescent="0.35">
      <c r="A244" t="s">
        <v>627</v>
      </c>
      <c r="B244" s="2">
        <v>46030</v>
      </c>
      <c r="C244" t="s">
        <v>370</v>
      </c>
      <c r="D244" s="3" t="s">
        <v>66</v>
      </c>
      <c r="E244" t="s">
        <v>34</v>
      </c>
      <c r="F244" t="s">
        <v>89</v>
      </c>
      <c r="G244" t="s">
        <v>90</v>
      </c>
      <c r="H244" s="8">
        <v>2</v>
      </c>
      <c r="I244" s="10">
        <v>11.25</v>
      </c>
      <c r="J244" s="14">
        <f>P244*I244</f>
        <v>22.5</v>
      </c>
      <c r="K244" s="16">
        <v>640</v>
      </c>
      <c r="L244" s="1" t="s">
        <v>30</v>
      </c>
      <c r="M244" t="s">
        <v>22</v>
      </c>
      <c r="N244" t="str">
        <f t="shared" si="3"/>
        <v>Gb</v>
      </c>
      <c r="O244" s="8">
        <f>IF(K244&gt;=1,K244,K244*1000)</f>
        <v>640</v>
      </c>
      <c r="P244">
        <f>ABS(H244)</f>
        <v>2</v>
      </c>
      <c r="R244"/>
    </row>
    <row r="245" spans="1:18" x14ac:dyDescent="0.35">
      <c r="A245" t="s">
        <v>628</v>
      </c>
      <c r="B245" s="2" t="s">
        <v>629</v>
      </c>
      <c r="C245" t="s">
        <v>328</v>
      </c>
      <c r="D245" s="3" t="s">
        <v>61</v>
      </c>
      <c r="E245" t="s">
        <v>67</v>
      </c>
      <c r="F245" t="s">
        <v>42</v>
      </c>
      <c r="G245" t="s">
        <v>43</v>
      </c>
      <c r="H245" s="8">
        <v>1</v>
      </c>
      <c r="I245" s="10">
        <v>89</v>
      </c>
      <c r="J245" s="14">
        <f>P245*I245</f>
        <v>89</v>
      </c>
      <c r="K245" s="16">
        <v>190</v>
      </c>
      <c r="L245" s="1" t="s">
        <v>30</v>
      </c>
      <c r="M245" t="s">
        <v>58</v>
      </c>
      <c r="N245" t="str">
        <f t="shared" si="3"/>
        <v>Ireland</v>
      </c>
      <c r="O245" s="8">
        <f>IF(K245&gt;=1,K245,K245*1000)</f>
        <v>190</v>
      </c>
      <c r="P245">
        <f>ABS(H245)</f>
        <v>1</v>
      </c>
      <c r="R245"/>
    </row>
    <row r="246" spans="1:18" x14ac:dyDescent="0.35">
      <c r="A246" t="s">
        <v>630</v>
      </c>
      <c r="B246" s="2">
        <v>46062</v>
      </c>
      <c r="C246" t="s">
        <v>631</v>
      </c>
      <c r="D246" s="3" t="s">
        <v>4613</v>
      </c>
      <c r="E246" t="s">
        <v>34</v>
      </c>
      <c r="F246" t="s">
        <v>17</v>
      </c>
      <c r="G246" t="s">
        <v>18</v>
      </c>
      <c r="H246" s="8">
        <v>3</v>
      </c>
      <c r="I246" s="10">
        <v>149</v>
      </c>
      <c r="J246" s="14">
        <f>P246*I246</f>
        <v>447</v>
      </c>
      <c r="K246" s="16">
        <v>520</v>
      </c>
      <c r="L246" s="1" t="s">
        <v>30</v>
      </c>
      <c r="M246" t="s">
        <v>58</v>
      </c>
      <c r="N246" t="str">
        <f t="shared" si="3"/>
        <v>United Kingdom</v>
      </c>
      <c r="O246" s="8">
        <f>IF(K246&gt;=1,K246,K246*1000)</f>
        <v>520</v>
      </c>
      <c r="P246">
        <f>ABS(H246)</f>
        <v>3</v>
      </c>
      <c r="R246"/>
    </row>
    <row r="247" spans="1:18" x14ac:dyDescent="0.35">
      <c r="A247" t="s">
        <v>632</v>
      </c>
      <c r="B247" s="2">
        <v>46053</v>
      </c>
      <c r="C247" t="s">
        <v>633</v>
      </c>
      <c r="D247" s="3" t="s">
        <v>4613</v>
      </c>
      <c r="E247" t="s">
        <v>34</v>
      </c>
      <c r="F247" t="s">
        <v>42</v>
      </c>
      <c r="G247" t="s">
        <v>43</v>
      </c>
      <c r="H247" s="8">
        <v>1</v>
      </c>
      <c r="I247" s="10">
        <v>95</v>
      </c>
      <c r="J247" s="14">
        <f>P247*I247</f>
        <v>95</v>
      </c>
      <c r="K247" s="16">
        <v>190</v>
      </c>
      <c r="L247" s="1" t="s">
        <v>30</v>
      </c>
      <c r="M247" t="s">
        <v>58</v>
      </c>
      <c r="N247" t="str">
        <f t="shared" si="3"/>
        <v>United Kingdom</v>
      </c>
      <c r="O247" s="8">
        <f>IF(K247&gt;=1,K247,K247*1000)</f>
        <v>190</v>
      </c>
      <c r="P247">
        <f>ABS(H247)</f>
        <v>1</v>
      </c>
      <c r="R247"/>
    </row>
    <row r="248" spans="1:18" x14ac:dyDescent="0.35">
      <c r="A248" t="s">
        <v>634</v>
      </c>
      <c r="B248" s="2">
        <v>46060</v>
      </c>
      <c r="C248" t="s">
        <v>635</v>
      </c>
      <c r="D248" s="3" t="s">
        <v>99</v>
      </c>
      <c r="E248" t="s">
        <v>67</v>
      </c>
      <c r="F248" t="s">
        <v>17</v>
      </c>
      <c r="G248" t="s">
        <v>18</v>
      </c>
      <c r="H248" s="8">
        <v>1</v>
      </c>
      <c r="I248" s="10">
        <v>149</v>
      </c>
      <c r="J248" s="14">
        <f>P248*I248</f>
        <v>149</v>
      </c>
      <c r="K248" s="16">
        <v>520</v>
      </c>
      <c r="L248" s="1" t="s">
        <v>30</v>
      </c>
      <c r="M248" t="s">
        <v>22</v>
      </c>
      <c r="N248" t="str">
        <f t="shared" si="3"/>
        <v>United Kingdom</v>
      </c>
      <c r="O248" s="8">
        <f>IF(K248&gt;=1,K248,K248*1000)</f>
        <v>520</v>
      </c>
      <c r="P248">
        <f>ABS(H248)</f>
        <v>1</v>
      </c>
      <c r="R248"/>
    </row>
    <row r="249" spans="1:18" x14ac:dyDescent="0.35">
      <c r="A249" t="s">
        <v>636</v>
      </c>
      <c r="B249" s="2">
        <v>46094</v>
      </c>
      <c r="C249" t="s">
        <v>637</v>
      </c>
      <c r="D249" s="3" t="s">
        <v>4613</v>
      </c>
      <c r="E249" t="s">
        <v>25</v>
      </c>
      <c r="F249" t="s">
        <v>89</v>
      </c>
      <c r="G249" t="s">
        <v>90</v>
      </c>
      <c r="H249" s="8">
        <v>3</v>
      </c>
      <c r="I249" s="10">
        <v>11.25</v>
      </c>
      <c r="J249" s="14">
        <f>P249*I249</f>
        <v>33.75</v>
      </c>
      <c r="K249" s="16">
        <v>640</v>
      </c>
      <c r="L249" s="1" t="s">
        <v>30</v>
      </c>
      <c r="M249" t="s">
        <v>22</v>
      </c>
      <c r="N249" t="str">
        <f t="shared" si="3"/>
        <v>United Kingdom</v>
      </c>
      <c r="O249" s="8">
        <f>IF(K249&gt;=1,K249,K249*1000)</f>
        <v>640</v>
      </c>
      <c r="P249">
        <f>ABS(H249)</f>
        <v>3</v>
      </c>
      <c r="R249"/>
    </row>
    <row r="250" spans="1:18" x14ac:dyDescent="0.35">
      <c r="A250" t="s">
        <v>638</v>
      </c>
      <c r="B250" s="2">
        <v>46072</v>
      </c>
      <c r="C250" t="s">
        <v>639</v>
      </c>
      <c r="D250" s="3" t="s">
        <v>66</v>
      </c>
      <c r="E250" t="s">
        <v>67</v>
      </c>
      <c r="F250" t="s">
        <v>17</v>
      </c>
      <c r="G250" t="s">
        <v>18</v>
      </c>
      <c r="H250" s="8">
        <v>1</v>
      </c>
      <c r="I250" s="10">
        <v>71.099999999999994</v>
      </c>
      <c r="J250" s="14">
        <f>P250*I250</f>
        <v>71.099999999999994</v>
      </c>
      <c r="K250" s="16">
        <v>520</v>
      </c>
      <c r="L250" s="1" t="s">
        <v>30</v>
      </c>
      <c r="M250" t="s">
        <v>22</v>
      </c>
      <c r="N250" t="str">
        <f t="shared" si="3"/>
        <v>Gb</v>
      </c>
      <c r="O250" s="8">
        <f>IF(K250&gt;=1,K250,K250*1000)</f>
        <v>520</v>
      </c>
      <c r="P250">
        <f>ABS(H250)</f>
        <v>1</v>
      </c>
      <c r="R250"/>
    </row>
    <row r="251" spans="1:18" x14ac:dyDescent="0.35">
      <c r="A251" t="s">
        <v>640</v>
      </c>
      <c r="B251" s="2">
        <v>46092</v>
      </c>
      <c r="C251" t="s">
        <v>641</v>
      </c>
      <c r="D251" s="3" t="s">
        <v>99</v>
      </c>
      <c r="E251" t="s">
        <v>41</v>
      </c>
      <c r="F251" t="s">
        <v>35</v>
      </c>
      <c r="G251" t="s">
        <v>36</v>
      </c>
      <c r="H251" s="8">
        <v>3</v>
      </c>
      <c r="I251" s="10">
        <v>71.099999999999994</v>
      </c>
      <c r="J251" s="14">
        <f>P251*I251</f>
        <v>213.29999999999998</v>
      </c>
      <c r="K251" s="16">
        <v>85</v>
      </c>
      <c r="L251" s="1" t="s">
        <v>30</v>
      </c>
      <c r="M251" t="s">
        <v>22</v>
      </c>
      <c r="N251" t="str">
        <f t="shared" si="3"/>
        <v>United Kingdom</v>
      </c>
      <c r="O251" s="8">
        <f>IF(K251&gt;=1,K251,K251*1000)</f>
        <v>85</v>
      </c>
      <c r="P251">
        <f>ABS(H251)</f>
        <v>3</v>
      </c>
      <c r="R251"/>
    </row>
    <row r="252" spans="1:18" x14ac:dyDescent="0.35">
      <c r="A252" t="s">
        <v>643</v>
      </c>
      <c r="B252" s="2">
        <v>46176</v>
      </c>
      <c r="C252" t="s">
        <v>644</v>
      </c>
      <c r="D252" s="3" t="s">
        <v>4612</v>
      </c>
      <c r="E252" t="s">
        <v>16</v>
      </c>
      <c r="F252" t="s">
        <v>35</v>
      </c>
      <c r="G252" t="s">
        <v>36</v>
      </c>
      <c r="H252" s="8">
        <v>2</v>
      </c>
      <c r="I252" s="12" t="s">
        <v>4632</v>
      </c>
      <c r="J252" s="14">
        <f>P252*R252</f>
        <v>178</v>
      </c>
      <c r="K252" s="16">
        <v>8.5000000000000006E-2</v>
      </c>
      <c r="L252" s="1" t="s">
        <v>21</v>
      </c>
      <c r="M252" t="s">
        <v>22</v>
      </c>
      <c r="N252" t="str">
        <f t="shared" si="3"/>
        <v>United Kingdom</v>
      </c>
      <c r="O252" s="8">
        <f>IF(K252&gt;=1,K252,K252*1000)</f>
        <v>85</v>
      </c>
      <c r="P252">
        <f>ABS(H252)</f>
        <v>2</v>
      </c>
      <c r="Q252" t="str">
        <f>LEFT(I252,3)</f>
        <v>GBP</v>
      </c>
      <c r="R252" s="10" t="str">
        <f>RIGHT(I252,5)</f>
        <v>89,00</v>
      </c>
    </row>
    <row r="253" spans="1:18" x14ac:dyDescent="0.35">
      <c r="A253" t="s">
        <v>646</v>
      </c>
      <c r="B253" s="2">
        <v>46144</v>
      </c>
      <c r="C253" t="s">
        <v>425</v>
      </c>
      <c r="D253" s="3" t="s">
        <v>99</v>
      </c>
      <c r="E253" t="s">
        <v>41</v>
      </c>
      <c r="F253" t="s">
        <v>83</v>
      </c>
      <c r="G253" t="s">
        <v>84</v>
      </c>
      <c r="H253" s="8">
        <v>2</v>
      </c>
      <c r="I253" s="10">
        <v>79</v>
      </c>
      <c r="J253" s="14">
        <f>P253*I253</f>
        <v>158</v>
      </c>
      <c r="K253" s="16">
        <v>0.34</v>
      </c>
      <c r="L253" s="1" t="s">
        <v>30</v>
      </c>
      <c r="M253" t="s">
        <v>22</v>
      </c>
      <c r="N253" t="str">
        <f t="shared" si="3"/>
        <v>United Kingdom</v>
      </c>
      <c r="O253" s="8">
        <f>IF(K253&gt;=1,K253,K253*1000)</f>
        <v>340</v>
      </c>
      <c r="P253">
        <f>ABS(H253)</f>
        <v>2</v>
      </c>
      <c r="R253"/>
    </row>
    <row r="254" spans="1:18" x14ac:dyDescent="0.35">
      <c r="A254" t="s">
        <v>647</v>
      </c>
      <c r="B254" s="2">
        <v>46050</v>
      </c>
      <c r="C254" t="s">
        <v>648</v>
      </c>
      <c r="D254" s="3" t="s">
        <v>99</v>
      </c>
      <c r="E254" t="s">
        <v>67</v>
      </c>
      <c r="F254" t="s">
        <v>89</v>
      </c>
      <c r="G254" t="s">
        <v>90</v>
      </c>
      <c r="H254" s="8">
        <v>1</v>
      </c>
      <c r="I254" s="12" t="s">
        <v>4633</v>
      </c>
      <c r="J254" s="14">
        <f>P254*R254</f>
        <v>24</v>
      </c>
      <c r="K254" s="16">
        <v>640</v>
      </c>
      <c r="L254" s="1" t="s">
        <v>30</v>
      </c>
      <c r="M254" t="s">
        <v>22</v>
      </c>
      <c r="N254" t="str">
        <f t="shared" si="3"/>
        <v>United Kingdom</v>
      </c>
      <c r="O254" s="8">
        <f>IF(K254&gt;=1,K254,K254*1000)</f>
        <v>640</v>
      </c>
      <c r="P254">
        <f>ABS(H254)</f>
        <v>1</v>
      </c>
      <c r="Q254" t="str">
        <f>LEFT(I254,3)</f>
        <v>GBP</v>
      </c>
      <c r="R254" s="10" t="str">
        <f>RIGHT(I254,5)</f>
        <v>24,00</v>
      </c>
    </row>
    <row r="255" spans="1:18" x14ac:dyDescent="0.35">
      <c r="A255" t="s">
        <v>650</v>
      </c>
      <c r="B255" s="2">
        <v>46081</v>
      </c>
      <c r="C255" t="s">
        <v>651</v>
      </c>
      <c r="D255" s="3" t="s">
        <v>99</v>
      </c>
      <c r="E255" t="s">
        <v>67</v>
      </c>
      <c r="F255" t="s">
        <v>35</v>
      </c>
      <c r="G255" t="s">
        <v>36</v>
      </c>
      <c r="H255" s="8">
        <v>1</v>
      </c>
      <c r="I255" s="10">
        <v>11.25</v>
      </c>
      <c r="J255" s="14">
        <f>P255*I255</f>
        <v>11.25</v>
      </c>
      <c r="K255" s="16">
        <v>85</v>
      </c>
      <c r="L255" s="1" t="s">
        <v>30</v>
      </c>
      <c r="M255" t="s">
        <v>58</v>
      </c>
      <c r="N255" t="str">
        <f t="shared" si="3"/>
        <v>United Kingdom</v>
      </c>
      <c r="O255" s="8">
        <f>IF(K255&gt;=1,K255,K255*1000)</f>
        <v>85</v>
      </c>
      <c r="P255">
        <f>ABS(H255)</f>
        <v>1</v>
      </c>
      <c r="R255"/>
    </row>
    <row r="256" spans="1:18" x14ac:dyDescent="0.35">
      <c r="A256" t="s">
        <v>652</v>
      </c>
      <c r="B256" s="2">
        <v>46138</v>
      </c>
      <c r="C256" t="s">
        <v>653</v>
      </c>
      <c r="D256" s="3" t="s">
        <v>4612</v>
      </c>
      <c r="E256" t="s">
        <v>67</v>
      </c>
      <c r="F256" t="s">
        <v>26</v>
      </c>
      <c r="G256" t="s">
        <v>27</v>
      </c>
      <c r="H256" s="8">
        <v>1</v>
      </c>
      <c r="I256" s="10">
        <v>71.099999999999994</v>
      </c>
      <c r="J256" s="14">
        <f>P256*I256</f>
        <v>71.099999999999994</v>
      </c>
      <c r="K256" s="16">
        <v>0.52</v>
      </c>
      <c r="L256" s="1" t="s">
        <v>30</v>
      </c>
      <c r="M256" t="s">
        <v>22</v>
      </c>
      <c r="N256" t="str">
        <f t="shared" si="3"/>
        <v>United Kingdom</v>
      </c>
      <c r="O256" s="8">
        <f>IF(K256&gt;=1,K256,K256*1000)</f>
        <v>520</v>
      </c>
      <c r="P256">
        <f>ABS(H256)</f>
        <v>1</v>
      </c>
      <c r="R256"/>
    </row>
    <row r="257" spans="1:18" x14ac:dyDescent="0.35">
      <c r="A257" t="s">
        <v>654</v>
      </c>
      <c r="B257" s="2">
        <v>46118</v>
      </c>
      <c r="C257" t="s">
        <v>655</v>
      </c>
      <c r="D257" s="3" t="s">
        <v>4613</v>
      </c>
      <c r="E257" t="s">
        <v>25</v>
      </c>
      <c r="F257" t="s">
        <v>47</v>
      </c>
      <c r="G257" t="s">
        <v>48</v>
      </c>
      <c r="H257" s="8">
        <v>2</v>
      </c>
      <c r="I257" s="12" t="s">
        <v>4634</v>
      </c>
      <c r="J257" s="14">
        <f>P257*R257</f>
        <v>142.19999999999999</v>
      </c>
      <c r="K257" s="16">
        <v>0.38</v>
      </c>
      <c r="L257" s="1" t="s">
        <v>30</v>
      </c>
      <c r="M257" t="s">
        <v>22</v>
      </c>
      <c r="N257" t="str">
        <f t="shared" si="3"/>
        <v>United Kingdom</v>
      </c>
      <c r="O257" s="8">
        <f>IF(K257&gt;=1,K257,K257*1000)</f>
        <v>380</v>
      </c>
      <c r="P257">
        <f>ABS(H257)</f>
        <v>2</v>
      </c>
      <c r="Q257" t="str">
        <f>LEFT(I257,3)</f>
        <v>GBP</v>
      </c>
      <c r="R257" s="10" t="str">
        <f>RIGHT(I257,5)</f>
        <v>71,10</v>
      </c>
    </row>
    <row r="258" spans="1:18" x14ac:dyDescent="0.35">
      <c r="A258" t="s">
        <v>657</v>
      </c>
      <c r="B258" s="2" t="s">
        <v>658</v>
      </c>
      <c r="C258" t="s">
        <v>659</v>
      </c>
      <c r="D258" s="3" t="s">
        <v>99</v>
      </c>
      <c r="E258" t="s">
        <v>34</v>
      </c>
      <c r="F258" t="s">
        <v>17</v>
      </c>
      <c r="G258" t="s">
        <v>18</v>
      </c>
      <c r="H258" s="8">
        <v>1</v>
      </c>
      <c r="I258" s="10">
        <v>85.5</v>
      </c>
      <c r="J258" s="14">
        <f>P258*I258</f>
        <v>85.5</v>
      </c>
      <c r="K258" s="16">
        <v>520</v>
      </c>
      <c r="L258" s="1" t="s">
        <v>30</v>
      </c>
      <c r="M258" t="s">
        <v>22</v>
      </c>
      <c r="N258" t="str">
        <f t="shared" si="3"/>
        <v>United Kingdom</v>
      </c>
      <c r="O258" s="8">
        <f>IF(K258&gt;=1,K258,K258*1000)</f>
        <v>520</v>
      </c>
      <c r="P258">
        <f>ABS(H258)</f>
        <v>1</v>
      </c>
      <c r="R258"/>
    </row>
    <row r="259" spans="1:18" x14ac:dyDescent="0.35">
      <c r="A259" t="s">
        <v>660</v>
      </c>
      <c r="B259" s="2">
        <v>46183</v>
      </c>
      <c r="C259" t="s">
        <v>661</v>
      </c>
      <c r="D259" s="3" t="s">
        <v>4612</v>
      </c>
      <c r="E259" t="s">
        <v>34</v>
      </c>
      <c r="F259" t="s">
        <v>83</v>
      </c>
      <c r="G259" t="s">
        <v>84</v>
      </c>
      <c r="H259" s="8">
        <v>1</v>
      </c>
      <c r="I259" s="10">
        <v>95</v>
      </c>
      <c r="J259" s="14">
        <f>P259*I259</f>
        <v>95</v>
      </c>
      <c r="K259" s="16">
        <v>0.34</v>
      </c>
      <c r="L259" s="1" t="s">
        <v>30</v>
      </c>
      <c r="M259" t="s">
        <v>22</v>
      </c>
      <c r="N259" t="str">
        <f t="shared" ref="N259:N322" si="4">PROPER(TRIM(D259))</f>
        <v>United Kingdom</v>
      </c>
      <c r="O259" s="8">
        <f>IF(K259&gt;=1,K259,K259*1000)</f>
        <v>340</v>
      </c>
      <c r="P259">
        <f>ABS(H259)</f>
        <v>1</v>
      </c>
      <c r="R259"/>
    </row>
    <row r="260" spans="1:18" x14ac:dyDescent="0.35">
      <c r="A260" t="s">
        <v>662</v>
      </c>
      <c r="B260" s="2">
        <v>46188</v>
      </c>
      <c r="C260" t="s">
        <v>663</v>
      </c>
      <c r="D260" s="3" t="s">
        <v>46</v>
      </c>
      <c r="E260" t="s">
        <v>16</v>
      </c>
      <c r="F260" t="s">
        <v>42</v>
      </c>
      <c r="G260" t="s">
        <v>43</v>
      </c>
      <c r="H260" s="8">
        <v>1</v>
      </c>
      <c r="I260" s="10">
        <v>85.5</v>
      </c>
      <c r="J260" s="14">
        <f>P260*I260</f>
        <v>85.5</v>
      </c>
      <c r="K260" s="16">
        <v>0.19</v>
      </c>
      <c r="L260" s="1" t="s">
        <v>30</v>
      </c>
      <c r="M260" t="s">
        <v>58</v>
      </c>
      <c r="N260" t="str">
        <f t="shared" si="4"/>
        <v>Ireland</v>
      </c>
      <c r="O260" s="8">
        <f>IF(K260&gt;=1,K260,K260*1000)</f>
        <v>190</v>
      </c>
      <c r="P260">
        <f>ABS(H260)</f>
        <v>1</v>
      </c>
      <c r="R260"/>
    </row>
    <row r="261" spans="1:18" x14ac:dyDescent="0.35">
      <c r="A261" t="s">
        <v>664</v>
      </c>
      <c r="B261" s="2">
        <v>46054</v>
      </c>
      <c r="C261" t="s">
        <v>665</v>
      </c>
      <c r="D261" s="3" t="s">
        <v>99</v>
      </c>
      <c r="E261" t="s">
        <v>67</v>
      </c>
      <c r="F261" t="s">
        <v>47</v>
      </c>
      <c r="G261" t="s">
        <v>48</v>
      </c>
      <c r="H261" s="8">
        <v>1</v>
      </c>
      <c r="I261" s="10">
        <v>12.5</v>
      </c>
      <c r="J261" s="14">
        <f>P261*I261</f>
        <v>12.5</v>
      </c>
      <c r="K261" s="16">
        <v>380</v>
      </c>
      <c r="L261" s="1" t="s">
        <v>30</v>
      </c>
      <c r="M261" t="s">
        <v>22</v>
      </c>
      <c r="N261" t="str">
        <f t="shared" si="4"/>
        <v>United Kingdom</v>
      </c>
      <c r="O261" s="8">
        <f>IF(K261&gt;=1,K261,K261*1000)</f>
        <v>380</v>
      </c>
      <c r="P261">
        <f>ABS(H261)</f>
        <v>1</v>
      </c>
      <c r="R261"/>
    </row>
    <row r="262" spans="1:18" x14ac:dyDescent="0.35">
      <c r="A262" t="s">
        <v>666</v>
      </c>
      <c r="B262" s="2">
        <v>46069</v>
      </c>
      <c r="C262" t="s">
        <v>295</v>
      </c>
      <c r="D262" s="3" t="s">
        <v>99</v>
      </c>
      <c r="E262" t="s">
        <v>16</v>
      </c>
      <c r="F262" t="s">
        <v>83</v>
      </c>
      <c r="G262" t="s">
        <v>84</v>
      </c>
      <c r="H262" s="8">
        <v>1</v>
      </c>
      <c r="I262" s="10">
        <v>85.5</v>
      </c>
      <c r="J262" s="14">
        <f>P262*I262</f>
        <v>85.5</v>
      </c>
      <c r="K262" s="16">
        <v>340</v>
      </c>
      <c r="L262" s="1" t="s">
        <v>30</v>
      </c>
      <c r="M262" t="s">
        <v>22</v>
      </c>
      <c r="N262" t="str">
        <f t="shared" si="4"/>
        <v>United Kingdom</v>
      </c>
      <c r="O262" s="8">
        <f>IF(K262&gt;=1,K262,K262*1000)</f>
        <v>340</v>
      </c>
      <c r="P262">
        <f>ABS(H262)</f>
        <v>1</v>
      </c>
      <c r="R262"/>
    </row>
    <row r="263" spans="1:18" x14ac:dyDescent="0.35">
      <c r="A263" t="s">
        <v>667</v>
      </c>
      <c r="B263" s="2" t="s">
        <v>158</v>
      </c>
      <c r="C263" t="s">
        <v>668</v>
      </c>
      <c r="D263" s="3" t="s">
        <v>4613</v>
      </c>
      <c r="E263" t="s">
        <v>34</v>
      </c>
      <c r="F263" t="s">
        <v>89</v>
      </c>
      <c r="G263" t="s">
        <v>90</v>
      </c>
      <c r="H263" s="8">
        <v>2</v>
      </c>
      <c r="I263" s="10">
        <v>40.5</v>
      </c>
      <c r="J263" s="14">
        <f>P263*I263</f>
        <v>81</v>
      </c>
      <c r="K263" s="16">
        <v>640</v>
      </c>
      <c r="L263" s="1" t="s">
        <v>30</v>
      </c>
      <c r="M263" t="s">
        <v>22</v>
      </c>
      <c r="N263" t="str">
        <f t="shared" si="4"/>
        <v>United Kingdom</v>
      </c>
      <c r="O263" s="8">
        <f>IF(K263&gt;=1,K263,K263*1000)</f>
        <v>640</v>
      </c>
      <c r="P263">
        <f>ABS(H263)</f>
        <v>2</v>
      </c>
      <c r="R263"/>
    </row>
    <row r="264" spans="1:18" x14ac:dyDescent="0.35">
      <c r="A264" t="s">
        <v>669</v>
      </c>
      <c r="B264" s="2">
        <v>46080</v>
      </c>
      <c r="C264" t="s">
        <v>670</v>
      </c>
      <c r="D264" s="3" t="s">
        <v>61</v>
      </c>
      <c r="E264" t="s">
        <v>16</v>
      </c>
      <c r="F264" t="s">
        <v>47</v>
      </c>
      <c r="G264" t="s">
        <v>48</v>
      </c>
      <c r="H264" s="8">
        <v>2</v>
      </c>
      <c r="I264" s="10">
        <v>116.1</v>
      </c>
      <c r="J264" s="14">
        <f>P264*I264</f>
        <v>232.2</v>
      </c>
      <c r="K264" s="16">
        <v>380</v>
      </c>
      <c r="L264" s="1" t="s">
        <v>30</v>
      </c>
      <c r="M264" t="s">
        <v>58</v>
      </c>
      <c r="N264" t="str">
        <f t="shared" si="4"/>
        <v>Ireland</v>
      </c>
      <c r="O264" s="8">
        <f>IF(K264&gt;=1,K264,K264*1000)</f>
        <v>380</v>
      </c>
      <c r="P264">
        <f>ABS(H264)</f>
        <v>2</v>
      </c>
      <c r="R264"/>
    </row>
    <row r="265" spans="1:18" x14ac:dyDescent="0.35">
      <c r="A265" t="s">
        <v>671</v>
      </c>
      <c r="B265" s="2">
        <v>46297</v>
      </c>
      <c r="C265" t="s">
        <v>672</v>
      </c>
      <c r="D265" s="3" t="s">
        <v>116</v>
      </c>
      <c r="E265" t="s">
        <v>67</v>
      </c>
      <c r="F265" t="s">
        <v>89</v>
      </c>
      <c r="G265" t="s">
        <v>90</v>
      </c>
      <c r="H265" s="8">
        <v>1</v>
      </c>
      <c r="I265" s="12" t="s">
        <v>4635</v>
      </c>
      <c r="J265" s="14">
        <f>P265*R265</f>
        <v>34.1</v>
      </c>
      <c r="K265" s="16">
        <v>640</v>
      </c>
      <c r="L265" s="1" t="s">
        <v>30</v>
      </c>
      <c r="M265" t="s">
        <v>58</v>
      </c>
      <c r="N265" t="str">
        <f t="shared" si="4"/>
        <v>Germany</v>
      </c>
      <c r="O265" s="8">
        <f>IF(K265&gt;=1,K265,K265*1000)</f>
        <v>640</v>
      </c>
      <c r="P265">
        <f>ABS(H265)</f>
        <v>1</v>
      </c>
      <c r="Q265" t="str">
        <f>LEFT(I265,2)</f>
        <v>Â£</v>
      </c>
      <c r="R265" t="str">
        <f>RIGHT(I265,5)</f>
        <v>34,10</v>
      </c>
    </row>
    <row r="266" spans="1:18" x14ac:dyDescent="0.35">
      <c r="A266" t="s">
        <v>675</v>
      </c>
      <c r="B266" s="2">
        <v>46093</v>
      </c>
      <c r="C266" t="s">
        <v>240</v>
      </c>
      <c r="D266" s="3" t="s">
        <v>66</v>
      </c>
      <c r="E266" t="s">
        <v>34</v>
      </c>
      <c r="F266" t="s">
        <v>89</v>
      </c>
      <c r="G266" t="s">
        <v>90</v>
      </c>
      <c r="H266" s="8">
        <v>3</v>
      </c>
      <c r="I266" s="10">
        <v>89</v>
      </c>
      <c r="J266" s="14">
        <f>P266*I266</f>
        <v>267</v>
      </c>
      <c r="K266" s="16">
        <v>640</v>
      </c>
      <c r="L266" s="1" t="s">
        <v>21</v>
      </c>
      <c r="M266" t="s">
        <v>58</v>
      </c>
      <c r="N266" t="str">
        <f t="shared" si="4"/>
        <v>Gb</v>
      </c>
      <c r="O266" s="8">
        <f>IF(K266&gt;=1,K266,K266*1000)</f>
        <v>640</v>
      </c>
      <c r="P266">
        <f>ABS(H266)</f>
        <v>3</v>
      </c>
      <c r="R266"/>
    </row>
    <row r="267" spans="1:18" x14ac:dyDescent="0.35">
      <c r="A267" t="s">
        <v>676</v>
      </c>
      <c r="B267" s="2">
        <v>46200</v>
      </c>
      <c r="C267" t="s">
        <v>677</v>
      </c>
      <c r="D267" s="3" t="s">
        <v>116</v>
      </c>
      <c r="E267" t="s">
        <v>34</v>
      </c>
      <c r="F267" t="s">
        <v>83</v>
      </c>
      <c r="G267" t="s">
        <v>84</v>
      </c>
      <c r="H267" s="8">
        <v>3</v>
      </c>
      <c r="I267" s="10">
        <v>24</v>
      </c>
      <c r="J267" s="14">
        <f>P267*I267</f>
        <v>72</v>
      </c>
      <c r="K267" s="16">
        <v>0.34</v>
      </c>
      <c r="L267" s="1" t="s">
        <v>30</v>
      </c>
      <c r="M267" t="s">
        <v>22</v>
      </c>
      <c r="N267" t="str">
        <f t="shared" si="4"/>
        <v>Germany</v>
      </c>
      <c r="O267" s="8">
        <f>IF(K267&gt;=1,K267,K267*1000)</f>
        <v>340</v>
      </c>
      <c r="P267">
        <f>ABS(H267)</f>
        <v>3</v>
      </c>
      <c r="R267"/>
    </row>
    <row r="268" spans="1:18" x14ac:dyDescent="0.35">
      <c r="A268" t="s">
        <v>678</v>
      </c>
      <c r="B268" s="2">
        <v>46097</v>
      </c>
      <c r="C268" t="s">
        <v>679</v>
      </c>
      <c r="D268" s="3" t="s">
        <v>46</v>
      </c>
      <c r="E268" t="s">
        <v>25</v>
      </c>
      <c r="F268" t="s">
        <v>42</v>
      </c>
      <c r="G268" t="s">
        <v>43</v>
      </c>
      <c r="H268" s="8">
        <v>1</v>
      </c>
      <c r="I268" s="10">
        <v>12.5</v>
      </c>
      <c r="J268" s="14">
        <f>P268*I268</f>
        <v>12.5</v>
      </c>
      <c r="K268" s="16">
        <v>190</v>
      </c>
      <c r="L268" s="1" t="s">
        <v>30</v>
      </c>
      <c r="M268" t="s">
        <v>22</v>
      </c>
      <c r="N268" t="str">
        <f t="shared" si="4"/>
        <v>Ireland</v>
      </c>
      <c r="O268" s="8">
        <f>IF(K268&gt;=1,K268,K268*1000)</f>
        <v>190</v>
      </c>
      <c r="P268">
        <f>ABS(H268)</f>
        <v>1</v>
      </c>
      <c r="R268"/>
    </row>
    <row r="269" spans="1:18" x14ac:dyDescent="0.35">
      <c r="A269" t="s">
        <v>680</v>
      </c>
      <c r="B269" s="2">
        <v>46109</v>
      </c>
      <c r="C269" t="s">
        <v>299</v>
      </c>
      <c r="D269" s="3" t="s">
        <v>116</v>
      </c>
      <c r="E269" t="s">
        <v>41</v>
      </c>
      <c r="F269" t="s">
        <v>35</v>
      </c>
      <c r="G269" t="s">
        <v>36</v>
      </c>
      <c r="H269" s="8">
        <v>1</v>
      </c>
      <c r="I269" s="10">
        <v>85.5</v>
      </c>
      <c r="J269" s="14">
        <f>P269*I269</f>
        <v>85.5</v>
      </c>
      <c r="K269" s="16">
        <v>85</v>
      </c>
      <c r="L269" s="1" t="s">
        <v>30</v>
      </c>
      <c r="M269" t="s">
        <v>58</v>
      </c>
      <c r="N269" t="str">
        <f t="shared" si="4"/>
        <v>Germany</v>
      </c>
      <c r="O269" s="8">
        <f>IF(K269&gt;=1,K269,K269*1000)</f>
        <v>85</v>
      </c>
      <c r="P269">
        <f>ABS(H269)</f>
        <v>1</v>
      </c>
      <c r="R269"/>
    </row>
    <row r="270" spans="1:18" x14ac:dyDescent="0.35">
      <c r="A270" t="s">
        <v>681</v>
      </c>
      <c r="B270" s="2">
        <v>46173</v>
      </c>
      <c r="C270" t="s">
        <v>682</v>
      </c>
      <c r="D270" s="3" t="s">
        <v>46</v>
      </c>
      <c r="E270" t="s">
        <v>25</v>
      </c>
      <c r="F270" t="s">
        <v>35</v>
      </c>
      <c r="G270" t="s">
        <v>36</v>
      </c>
      <c r="H270" s="8">
        <v>2</v>
      </c>
      <c r="I270" s="10">
        <v>11.25</v>
      </c>
      <c r="J270" s="14">
        <f>P270*I270</f>
        <v>22.5</v>
      </c>
      <c r="K270" s="16">
        <v>8.5000000000000006E-2</v>
      </c>
      <c r="L270" s="1" t="s">
        <v>30</v>
      </c>
      <c r="M270" t="s">
        <v>58</v>
      </c>
      <c r="N270" t="str">
        <f t="shared" si="4"/>
        <v>Ireland</v>
      </c>
      <c r="O270" s="8">
        <f>IF(K270&gt;=1,K270,K270*1000)</f>
        <v>85</v>
      </c>
      <c r="P270">
        <f>ABS(H270)</f>
        <v>2</v>
      </c>
      <c r="R270"/>
    </row>
    <row r="271" spans="1:18" x14ac:dyDescent="0.35">
      <c r="A271" t="s">
        <v>683</v>
      </c>
      <c r="B271" s="2">
        <v>46102</v>
      </c>
      <c r="C271" t="s">
        <v>250</v>
      </c>
      <c r="D271" s="3" t="s">
        <v>66</v>
      </c>
      <c r="E271" t="s">
        <v>25</v>
      </c>
      <c r="F271" t="s">
        <v>74</v>
      </c>
      <c r="G271" t="s">
        <v>75</v>
      </c>
      <c r="H271" s="8">
        <v>2</v>
      </c>
      <c r="I271" s="10">
        <v>80.099999999999994</v>
      </c>
      <c r="J271" s="14">
        <f>P271*I271</f>
        <v>160.19999999999999</v>
      </c>
      <c r="K271" s="16">
        <v>410</v>
      </c>
      <c r="L271" s="1" t="s">
        <v>30</v>
      </c>
      <c r="M271" t="s">
        <v>22</v>
      </c>
      <c r="N271" t="str">
        <f t="shared" si="4"/>
        <v>Gb</v>
      </c>
      <c r="O271" s="8">
        <f>IF(K271&gt;=1,K271,K271*1000)</f>
        <v>410</v>
      </c>
      <c r="P271">
        <f>ABS(H271)</f>
        <v>2</v>
      </c>
      <c r="R271"/>
    </row>
    <row r="272" spans="1:18" x14ac:dyDescent="0.35">
      <c r="A272" t="s">
        <v>684</v>
      </c>
      <c r="B272" s="2">
        <v>46193</v>
      </c>
      <c r="C272" t="s">
        <v>685</v>
      </c>
      <c r="D272" s="3" t="s">
        <v>99</v>
      </c>
      <c r="E272" t="s">
        <v>41</v>
      </c>
      <c r="F272" t="s">
        <v>42</v>
      </c>
      <c r="G272" t="s">
        <v>43</v>
      </c>
      <c r="H272" s="8">
        <v>2</v>
      </c>
      <c r="I272" s="10">
        <v>89</v>
      </c>
      <c r="J272" s="14">
        <f>P272*I272</f>
        <v>178</v>
      </c>
      <c r="K272" s="16">
        <v>0.19</v>
      </c>
      <c r="L272" s="1" t="s">
        <v>21</v>
      </c>
      <c r="M272" t="s">
        <v>22</v>
      </c>
      <c r="N272" t="str">
        <f t="shared" si="4"/>
        <v>United Kingdom</v>
      </c>
      <c r="O272" s="8">
        <f>IF(K272&gt;=1,K272,K272*1000)</f>
        <v>190</v>
      </c>
      <c r="P272">
        <f>ABS(H272)</f>
        <v>2</v>
      </c>
      <c r="R272"/>
    </row>
    <row r="273" spans="1:18" x14ac:dyDescent="0.35">
      <c r="A273" t="s">
        <v>686</v>
      </c>
      <c r="B273" s="2" t="s">
        <v>687</v>
      </c>
      <c r="C273" t="s">
        <v>688</v>
      </c>
      <c r="D273" s="3" t="s">
        <v>61</v>
      </c>
      <c r="E273" t="s">
        <v>25</v>
      </c>
      <c r="F273" t="s">
        <v>74</v>
      </c>
      <c r="G273" t="s">
        <v>75</v>
      </c>
      <c r="H273" s="8">
        <v>1</v>
      </c>
      <c r="I273" s="10">
        <v>149</v>
      </c>
      <c r="J273" s="14">
        <f>P273*I273</f>
        <v>149</v>
      </c>
      <c r="K273" s="16">
        <v>410</v>
      </c>
      <c r="L273" s="1" t="s">
        <v>30</v>
      </c>
      <c r="M273" t="s">
        <v>58</v>
      </c>
      <c r="N273" t="str">
        <f t="shared" si="4"/>
        <v>Ireland</v>
      </c>
      <c r="O273" s="8">
        <f>IF(K273&gt;=1,K273,K273*1000)</f>
        <v>410</v>
      </c>
      <c r="P273">
        <f>ABS(H273)</f>
        <v>1</v>
      </c>
      <c r="R273"/>
    </row>
    <row r="274" spans="1:18" x14ac:dyDescent="0.35">
      <c r="A274" t="s">
        <v>689</v>
      </c>
      <c r="B274" s="2" t="s">
        <v>279</v>
      </c>
      <c r="C274" t="s">
        <v>690</v>
      </c>
      <c r="D274" s="3" t="s">
        <v>116</v>
      </c>
      <c r="E274" t="s">
        <v>41</v>
      </c>
      <c r="F274" t="s">
        <v>47</v>
      </c>
      <c r="G274" t="s">
        <v>48</v>
      </c>
      <c r="H274" s="8">
        <v>1</v>
      </c>
      <c r="I274" s="10">
        <v>40.5</v>
      </c>
      <c r="J274" s="14">
        <f>P274*I274</f>
        <v>40.5</v>
      </c>
      <c r="K274" s="16">
        <v>0.38</v>
      </c>
      <c r="L274" s="1" t="s">
        <v>30</v>
      </c>
      <c r="M274" t="s">
        <v>22</v>
      </c>
      <c r="N274" t="str">
        <f t="shared" si="4"/>
        <v>Germany</v>
      </c>
      <c r="O274" s="8">
        <f>IF(K274&gt;=1,K274,K274*1000)</f>
        <v>380</v>
      </c>
      <c r="P274">
        <f>ABS(H274)</f>
        <v>1</v>
      </c>
      <c r="R274"/>
    </row>
    <row r="275" spans="1:18" x14ac:dyDescent="0.35">
      <c r="A275" t="s">
        <v>691</v>
      </c>
      <c r="B275" s="2">
        <v>46118</v>
      </c>
      <c r="C275" t="s">
        <v>692</v>
      </c>
      <c r="D275" s="3" t="s">
        <v>4612</v>
      </c>
      <c r="E275" t="s">
        <v>67</v>
      </c>
      <c r="F275" t="s">
        <v>83</v>
      </c>
      <c r="G275" t="s">
        <v>84</v>
      </c>
      <c r="H275" s="8">
        <v>1</v>
      </c>
      <c r="I275" s="10">
        <v>134.1</v>
      </c>
      <c r="J275" s="14">
        <f>P275*I275</f>
        <v>134.1</v>
      </c>
      <c r="K275" s="16">
        <v>340</v>
      </c>
      <c r="L275" s="1" t="s">
        <v>30</v>
      </c>
      <c r="M275" t="s">
        <v>22</v>
      </c>
      <c r="N275" t="str">
        <f t="shared" si="4"/>
        <v>United Kingdom</v>
      </c>
      <c r="O275" s="8">
        <f>IF(K275&gt;=1,K275,K275*1000)</f>
        <v>340</v>
      </c>
      <c r="P275">
        <f>ABS(H275)</f>
        <v>1</v>
      </c>
      <c r="R275"/>
    </row>
    <row r="276" spans="1:18" x14ac:dyDescent="0.35">
      <c r="A276" t="s">
        <v>693</v>
      </c>
      <c r="B276" s="2">
        <v>46143</v>
      </c>
      <c r="C276" t="s">
        <v>694</v>
      </c>
      <c r="D276" s="3" t="s">
        <v>4613</v>
      </c>
      <c r="E276" t="s">
        <v>16</v>
      </c>
      <c r="F276" t="s">
        <v>26</v>
      </c>
      <c r="G276" t="s">
        <v>27</v>
      </c>
      <c r="H276" s="8">
        <v>1</v>
      </c>
      <c r="I276" s="10">
        <v>11.25</v>
      </c>
      <c r="J276" s="14">
        <f>P276*I276</f>
        <v>11.25</v>
      </c>
      <c r="K276" s="16">
        <v>0.52</v>
      </c>
      <c r="L276" s="1" t="s">
        <v>30</v>
      </c>
      <c r="M276" t="s">
        <v>22</v>
      </c>
      <c r="N276" t="str">
        <f t="shared" si="4"/>
        <v>United Kingdom</v>
      </c>
      <c r="O276" s="8">
        <f>IF(K276&gt;=1,K276,K276*1000)</f>
        <v>520</v>
      </c>
      <c r="P276">
        <f>ABS(H276)</f>
        <v>1</v>
      </c>
      <c r="R276"/>
    </row>
    <row r="277" spans="1:18" x14ac:dyDescent="0.35">
      <c r="A277" t="s">
        <v>695</v>
      </c>
      <c r="B277" s="2">
        <v>46153</v>
      </c>
      <c r="C277" t="s">
        <v>696</v>
      </c>
      <c r="D277" s="3" t="s">
        <v>66</v>
      </c>
      <c r="E277" t="s">
        <v>34</v>
      </c>
      <c r="F277" t="s">
        <v>26</v>
      </c>
      <c r="G277" t="s">
        <v>27</v>
      </c>
      <c r="H277" s="8">
        <v>2</v>
      </c>
      <c r="I277" s="10">
        <v>85.5</v>
      </c>
      <c r="J277" s="14">
        <f>P277*I277</f>
        <v>171</v>
      </c>
      <c r="K277" s="16">
        <v>0.52</v>
      </c>
      <c r="L277" s="1" t="s">
        <v>30</v>
      </c>
      <c r="M277" t="s">
        <v>22</v>
      </c>
      <c r="N277" t="str">
        <f t="shared" si="4"/>
        <v>Gb</v>
      </c>
      <c r="O277" s="8">
        <f>IF(K277&gt;=1,K277,K277*1000)</f>
        <v>520</v>
      </c>
      <c r="P277">
        <f>ABS(H277)</f>
        <v>2</v>
      </c>
      <c r="R277"/>
    </row>
    <row r="278" spans="1:18" x14ac:dyDescent="0.35">
      <c r="A278" t="s">
        <v>698</v>
      </c>
      <c r="B278" s="2">
        <v>46331</v>
      </c>
      <c r="C278" t="s">
        <v>110</v>
      </c>
      <c r="D278" s="3" t="s">
        <v>53</v>
      </c>
      <c r="E278" t="s">
        <v>67</v>
      </c>
      <c r="F278" t="s">
        <v>26</v>
      </c>
      <c r="G278" t="s">
        <v>27</v>
      </c>
      <c r="H278" s="8">
        <v>2</v>
      </c>
      <c r="I278" s="10">
        <v>12.5</v>
      </c>
      <c r="J278" s="14">
        <f>P278*I278</f>
        <v>25</v>
      </c>
      <c r="K278" s="16">
        <v>0.52</v>
      </c>
      <c r="L278" s="1" t="s">
        <v>30</v>
      </c>
      <c r="M278" t="s">
        <v>22</v>
      </c>
      <c r="N278" t="str">
        <f t="shared" si="4"/>
        <v>Gb</v>
      </c>
      <c r="O278" s="8">
        <f>IF(K278&gt;=1,K278,K278*1000)</f>
        <v>520</v>
      </c>
      <c r="P278">
        <f>ABS(H278)</f>
        <v>2</v>
      </c>
      <c r="R278"/>
    </row>
    <row r="279" spans="1:18" x14ac:dyDescent="0.35">
      <c r="A279" t="s">
        <v>699</v>
      </c>
      <c r="B279" s="2">
        <v>46090</v>
      </c>
      <c r="C279" t="s">
        <v>700</v>
      </c>
      <c r="D279" s="3" t="s">
        <v>61</v>
      </c>
      <c r="E279" t="s">
        <v>67</v>
      </c>
      <c r="F279" t="s">
        <v>89</v>
      </c>
      <c r="G279" t="s">
        <v>90</v>
      </c>
      <c r="H279" s="8">
        <v>1</v>
      </c>
      <c r="I279" s="10">
        <v>89</v>
      </c>
      <c r="J279" s="14">
        <f>P279*I279</f>
        <v>89</v>
      </c>
      <c r="K279" s="16">
        <v>640</v>
      </c>
      <c r="L279" s="1" t="s">
        <v>30</v>
      </c>
      <c r="M279" t="s">
        <v>22</v>
      </c>
      <c r="N279" t="str">
        <f t="shared" si="4"/>
        <v>Ireland</v>
      </c>
      <c r="O279" s="8">
        <f>IF(K279&gt;=1,K279,K279*1000)</f>
        <v>640</v>
      </c>
      <c r="P279">
        <f>ABS(H279)</f>
        <v>1</v>
      </c>
      <c r="R279"/>
    </row>
    <row r="280" spans="1:18" x14ac:dyDescent="0.35">
      <c r="A280" t="s">
        <v>702</v>
      </c>
      <c r="B280" s="2">
        <v>46189</v>
      </c>
      <c r="C280" t="s">
        <v>703</v>
      </c>
      <c r="D280" s="3" t="s">
        <v>4612</v>
      </c>
      <c r="E280" t="s">
        <v>67</v>
      </c>
      <c r="F280" t="s">
        <v>89</v>
      </c>
      <c r="G280" t="s">
        <v>90</v>
      </c>
      <c r="H280" s="8">
        <v>1</v>
      </c>
      <c r="I280" s="10">
        <v>89</v>
      </c>
      <c r="J280" s="14">
        <f>P280*I280</f>
        <v>89</v>
      </c>
      <c r="K280" s="16">
        <v>0.64</v>
      </c>
      <c r="L280" s="1" t="s">
        <v>30</v>
      </c>
      <c r="M280" t="s">
        <v>22</v>
      </c>
      <c r="N280" t="str">
        <f t="shared" si="4"/>
        <v>United Kingdom</v>
      </c>
      <c r="O280" s="8">
        <f>IF(K280&gt;=1,K280,K280*1000)</f>
        <v>640</v>
      </c>
      <c r="P280">
        <f>ABS(H280)</f>
        <v>1</v>
      </c>
      <c r="R280"/>
    </row>
    <row r="281" spans="1:18" x14ac:dyDescent="0.35">
      <c r="A281" t="s">
        <v>704</v>
      </c>
      <c r="B281" s="2">
        <v>46034</v>
      </c>
      <c r="C281" t="s">
        <v>492</v>
      </c>
      <c r="D281" s="3" t="s">
        <v>66</v>
      </c>
      <c r="E281" t="s">
        <v>67</v>
      </c>
      <c r="F281" t="s">
        <v>47</v>
      </c>
      <c r="G281" t="s">
        <v>48</v>
      </c>
      <c r="H281" s="8">
        <v>1</v>
      </c>
      <c r="I281" s="10">
        <v>21.6</v>
      </c>
      <c r="J281" s="14">
        <f>P281*I281</f>
        <v>21.6</v>
      </c>
      <c r="K281" s="16">
        <v>380</v>
      </c>
      <c r="L281" s="1" t="s">
        <v>30</v>
      </c>
      <c r="M281" t="s">
        <v>22</v>
      </c>
      <c r="N281" t="str">
        <f t="shared" si="4"/>
        <v>Gb</v>
      </c>
      <c r="O281" s="8">
        <f>IF(K281&gt;=1,K281,K281*1000)</f>
        <v>380</v>
      </c>
      <c r="P281">
        <f>ABS(H281)</f>
        <v>1</v>
      </c>
      <c r="R281"/>
    </row>
    <row r="282" spans="1:18" x14ac:dyDescent="0.35">
      <c r="A282" t="s">
        <v>705</v>
      </c>
      <c r="B282" s="2">
        <v>46105</v>
      </c>
      <c r="C282" t="s">
        <v>420</v>
      </c>
      <c r="D282" s="3" t="s">
        <v>4613</v>
      </c>
      <c r="E282" t="s">
        <v>25</v>
      </c>
      <c r="F282" t="s">
        <v>35</v>
      </c>
      <c r="G282" t="s">
        <v>36</v>
      </c>
      <c r="H282" s="8">
        <v>1</v>
      </c>
      <c r="I282" s="10">
        <v>71.099999999999994</v>
      </c>
      <c r="J282" s="14">
        <f>P282*I282</f>
        <v>71.099999999999994</v>
      </c>
      <c r="K282" s="16">
        <v>85</v>
      </c>
      <c r="L282" s="1" t="s">
        <v>30</v>
      </c>
      <c r="M282" t="s">
        <v>22</v>
      </c>
      <c r="N282" t="str">
        <f t="shared" si="4"/>
        <v>United Kingdom</v>
      </c>
      <c r="O282" s="8">
        <f>IF(K282&gt;=1,K282,K282*1000)</f>
        <v>85</v>
      </c>
      <c r="P282">
        <f>ABS(H282)</f>
        <v>1</v>
      </c>
      <c r="R282"/>
    </row>
    <row r="283" spans="1:18" x14ac:dyDescent="0.35">
      <c r="A283" t="s">
        <v>706</v>
      </c>
      <c r="B283" s="2">
        <v>46104</v>
      </c>
      <c r="C283" t="s">
        <v>509</v>
      </c>
      <c r="D283" s="3" t="s">
        <v>4612</v>
      </c>
      <c r="E283" t="s">
        <v>25</v>
      </c>
      <c r="F283" t="s">
        <v>26</v>
      </c>
      <c r="G283" t="s">
        <v>27</v>
      </c>
      <c r="H283" s="8">
        <v>2</v>
      </c>
      <c r="I283" s="10">
        <v>11.25</v>
      </c>
      <c r="J283" s="14">
        <f>P283*I283</f>
        <v>22.5</v>
      </c>
      <c r="K283" s="16">
        <v>520</v>
      </c>
      <c r="L283" s="1" t="s">
        <v>30</v>
      </c>
      <c r="M283" t="s">
        <v>22</v>
      </c>
      <c r="N283" t="str">
        <f t="shared" si="4"/>
        <v>United Kingdom</v>
      </c>
      <c r="O283" s="8">
        <f>IF(K283&gt;=1,K283,K283*1000)</f>
        <v>520</v>
      </c>
      <c r="P283">
        <f>ABS(H283)</f>
        <v>2</v>
      </c>
      <c r="R283"/>
    </row>
    <row r="284" spans="1:18" x14ac:dyDescent="0.35">
      <c r="A284" t="s">
        <v>707</v>
      </c>
      <c r="B284" s="2">
        <v>46197</v>
      </c>
      <c r="C284" t="s">
        <v>297</v>
      </c>
      <c r="D284" s="3" t="s">
        <v>99</v>
      </c>
      <c r="E284" t="s">
        <v>41</v>
      </c>
      <c r="F284" t="s">
        <v>47</v>
      </c>
      <c r="G284" t="s">
        <v>48</v>
      </c>
      <c r="H284" s="8">
        <v>3</v>
      </c>
      <c r="I284" s="10">
        <v>134.1</v>
      </c>
      <c r="J284" s="14">
        <f>P284*I284</f>
        <v>402.29999999999995</v>
      </c>
      <c r="K284" s="16">
        <v>0.38</v>
      </c>
      <c r="L284" s="1" t="s">
        <v>30</v>
      </c>
      <c r="M284" t="s">
        <v>58</v>
      </c>
      <c r="N284" t="str">
        <f t="shared" si="4"/>
        <v>United Kingdom</v>
      </c>
      <c r="O284" s="8">
        <f>IF(K284&gt;=1,K284,K284*1000)</f>
        <v>380</v>
      </c>
      <c r="P284">
        <f>ABS(H284)</f>
        <v>3</v>
      </c>
      <c r="R284"/>
    </row>
    <row r="285" spans="1:18" x14ac:dyDescent="0.35">
      <c r="A285" t="s">
        <v>708</v>
      </c>
      <c r="B285" s="2">
        <v>46036</v>
      </c>
      <c r="C285" t="s">
        <v>709</v>
      </c>
      <c r="D285" s="3" t="s">
        <v>46</v>
      </c>
      <c r="E285" t="s">
        <v>16</v>
      </c>
      <c r="F285" t="s">
        <v>17</v>
      </c>
      <c r="G285" t="s">
        <v>18</v>
      </c>
      <c r="H285" s="8">
        <v>2</v>
      </c>
      <c r="I285" s="10">
        <v>12.5</v>
      </c>
      <c r="J285" s="14">
        <f>P285*I285</f>
        <v>25</v>
      </c>
      <c r="K285" s="16">
        <v>520</v>
      </c>
      <c r="L285" s="1" t="s">
        <v>21</v>
      </c>
      <c r="M285" t="s">
        <v>58</v>
      </c>
      <c r="N285" t="str">
        <f t="shared" si="4"/>
        <v>Ireland</v>
      </c>
      <c r="O285" s="8">
        <f>IF(K285&gt;=1,K285,K285*1000)</f>
        <v>520</v>
      </c>
      <c r="P285">
        <f>ABS(H285)</f>
        <v>2</v>
      </c>
      <c r="R285"/>
    </row>
    <row r="286" spans="1:18" x14ac:dyDescent="0.35">
      <c r="A286" t="s">
        <v>710</v>
      </c>
      <c r="B286" s="2">
        <v>46199</v>
      </c>
      <c r="C286" t="s">
        <v>453</v>
      </c>
      <c r="D286" s="3" t="s">
        <v>15</v>
      </c>
      <c r="E286" t="s">
        <v>16</v>
      </c>
      <c r="F286" t="s">
        <v>42</v>
      </c>
      <c r="G286" t="s">
        <v>43</v>
      </c>
      <c r="H286" s="8">
        <v>3</v>
      </c>
      <c r="I286" s="10">
        <v>11.25</v>
      </c>
      <c r="J286" s="14">
        <f>P286*I286</f>
        <v>33.75</v>
      </c>
      <c r="K286" s="16">
        <v>0.19</v>
      </c>
      <c r="L286" s="1" t="s">
        <v>21</v>
      </c>
      <c r="M286" t="s">
        <v>22</v>
      </c>
      <c r="N286" t="str">
        <f t="shared" si="4"/>
        <v>France</v>
      </c>
      <c r="O286" s="8">
        <f>IF(K286&gt;=1,K286,K286*1000)</f>
        <v>190</v>
      </c>
      <c r="P286">
        <f>ABS(H286)</f>
        <v>3</v>
      </c>
      <c r="R286"/>
    </row>
    <row r="287" spans="1:18" x14ac:dyDescent="0.35">
      <c r="A287" t="s">
        <v>711</v>
      </c>
      <c r="B287" s="2">
        <v>46204</v>
      </c>
      <c r="C287" t="s">
        <v>712</v>
      </c>
      <c r="D287" s="3" t="s">
        <v>46</v>
      </c>
      <c r="E287" t="s">
        <v>41</v>
      </c>
      <c r="F287" t="s">
        <v>83</v>
      </c>
      <c r="G287" t="s">
        <v>84</v>
      </c>
      <c r="H287" s="8">
        <v>3</v>
      </c>
      <c r="I287" s="10">
        <v>79</v>
      </c>
      <c r="J287" s="14">
        <f>P287*I287</f>
        <v>237</v>
      </c>
      <c r="K287" s="16">
        <v>0.34</v>
      </c>
      <c r="L287" s="1" t="s">
        <v>30</v>
      </c>
      <c r="M287" t="s">
        <v>58</v>
      </c>
      <c r="N287" t="str">
        <f t="shared" si="4"/>
        <v>Ireland</v>
      </c>
      <c r="O287" s="8">
        <f>IF(K287&gt;=1,K287,K287*1000)</f>
        <v>340</v>
      </c>
      <c r="P287">
        <f>ABS(H287)</f>
        <v>3</v>
      </c>
      <c r="R287"/>
    </row>
    <row r="288" spans="1:18" x14ac:dyDescent="0.35">
      <c r="A288" t="s">
        <v>713</v>
      </c>
      <c r="B288" s="2">
        <v>46235</v>
      </c>
      <c r="C288" t="s">
        <v>714</v>
      </c>
      <c r="D288" s="3" t="s">
        <v>46</v>
      </c>
      <c r="E288" t="s">
        <v>41</v>
      </c>
      <c r="F288" t="s">
        <v>74</v>
      </c>
      <c r="G288" t="s">
        <v>75</v>
      </c>
      <c r="H288" s="8">
        <v>1</v>
      </c>
      <c r="I288" s="10">
        <v>89</v>
      </c>
      <c r="J288" s="14">
        <f>P288*I288</f>
        <v>89</v>
      </c>
      <c r="K288" s="16">
        <v>410</v>
      </c>
      <c r="L288" s="1" t="s">
        <v>30</v>
      </c>
      <c r="M288" t="s">
        <v>22</v>
      </c>
      <c r="N288" t="str">
        <f t="shared" si="4"/>
        <v>Ireland</v>
      </c>
      <c r="O288" s="8">
        <f>IF(K288&gt;=1,K288,K288*1000)</f>
        <v>410</v>
      </c>
      <c r="P288">
        <f>ABS(H288)</f>
        <v>1</v>
      </c>
      <c r="R288"/>
    </row>
    <row r="289" spans="1:18" x14ac:dyDescent="0.35">
      <c r="A289" t="s">
        <v>715</v>
      </c>
      <c r="B289" s="2">
        <v>46065</v>
      </c>
      <c r="C289" t="s">
        <v>716</v>
      </c>
      <c r="D289" s="3" t="s">
        <v>66</v>
      </c>
      <c r="E289" t="s">
        <v>67</v>
      </c>
      <c r="F289" t="s">
        <v>74</v>
      </c>
      <c r="G289" t="s">
        <v>75</v>
      </c>
      <c r="H289" s="8">
        <v>1</v>
      </c>
      <c r="I289" s="10">
        <v>45</v>
      </c>
      <c r="J289" s="14">
        <f>P289*I289</f>
        <v>45</v>
      </c>
      <c r="K289" s="16">
        <v>410</v>
      </c>
      <c r="L289" s="1" t="s">
        <v>30</v>
      </c>
      <c r="M289" t="s">
        <v>22</v>
      </c>
      <c r="N289" t="str">
        <f t="shared" si="4"/>
        <v>Gb</v>
      </c>
      <c r="O289" s="8">
        <f>IF(K289&gt;=1,K289,K289*1000)</f>
        <v>410</v>
      </c>
      <c r="P289">
        <f>ABS(H289)</f>
        <v>1</v>
      </c>
      <c r="R289"/>
    </row>
    <row r="290" spans="1:18" x14ac:dyDescent="0.35">
      <c r="A290" t="s">
        <v>717</v>
      </c>
      <c r="B290" s="2">
        <v>46175</v>
      </c>
      <c r="C290" t="s">
        <v>718</v>
      </c>
      <c r="D290" s="3" t="s">
        <v>46</v>
      </c>
      <c r="E290" t="s">
        <v>25</v>
      </c>
      <c r="F290" t="s">
        <v>83</v>
      </c>
      <c r="G290" t="s">
        <v>84</v>
      </c>
      <c r="H290" s="8">
        <v>1</v>
      </c>
      <c r="I290" s="10">
        <v>85.5</v>
      </c>
      <c r="J290" s="14">
        <f>P290*I290</f>
        <v>85.5</v>
      </c>
      <c r="K290" s="16">
        <v>0.34</v>
      </c>
      <c r="L290" s="1" t="s">
        <v>21</v>
      </c>
      <c r="M290" t="s">
        <v>22</v>
      </c>
      <c r="N290" t="str">
        <f t="shared" si="4"/>
        <v>Ireland</v>
      </c>
      <c r="O290" s="8">
        <f>IF(K290&gt;=1,K290,K290*1000)</f>
        <v>340</v>
      </c>
      <c r="P290">
        <f>ABS(H290)</f>
        <v>1</v>
      </c>
      <c r="R290"/>
    </row>
    <row r="291" spans="1:18" x14ac:dyDescent="0.35">
      <c r="A291" t="s">
        <v>719</v>
      </c>
      <c r="B291" s="2">
        <v>46182</v>
      </c>
      <c r="C291" t="s">
        <v>720</v>
      </c>
      <c r="D291" s="3" t="s">
        <v>99</v>
      </c>
      <c r="E291" t="s">
        <v>67</v>
      </c>
      <c r="F291" t="s">
        <v>47</v>
      </c>
      <c r="G291" t="s">
        <v>48</v>
      </c>
      <c r="H291" s="8">
        <v>2</v>
      </c>
      <c r="I291" s="10">
        <v>24</v>
      </c>
      <c r="J291" s="14">
        <f>P291*I291</f>
        <v>48</v>
      </c>
      <c r="K291" s="16">
        <v>0.38</v>
      </c>
      <c r="L291" s="1" t="s">
        <v>30</v>
      </c>
      <c r="M291" t="s">
        <v>22</v>
      </c>
      <c r="N291" t="str">
        <f t="shared" si="4"/>
        <v>United Kingdom</v>
      </c>
      <c r="O291" s="8">
        <f>IF(K291&gt;=1,K291,K291*1000)</f>
        <v>380</v>
      </c>
      <c r="P291">
        <f>ABS(H291)</f>
        <v>2</v>
      </c>
      <c r="R291"/>
    </row>
    <row r="292" spans="1:18" x14ac:dyDescent="0.35">
      <c r="A292" t="s">
        <v>722</v>
      </c>
      <c r="B292" s="2">
        <v>46111</v>
      </c>
      <c r="C292" t="s">
        <v>328</v>
      </c>
      <c r="D292" s="3" t="s">
        <v>116</v>
      </c>
      <c r="E292" t="s">
        <v>16</v>
      </c>
      <c r="F292" t="s">
        <v>35</v>
      </c>
      <c r="G292" t="s">
        <v>36</v>
      </c>
      <c r="H292" s="8">
        <v>1</v>
      </c>
      <c r="I292" s="10">
        <v>24</v>
      </c>
      <c r="J292" s="14">
        <f>P292*I292</f>
        <v>24</v>
      </c>
      <c r="K292" s="16">
        <v>85</v>
      </c>
      <c r="L292" s="1" t="s">
        <v>30</v>
      </c>
      <c r="M292" t="s">
        <v>22</v>
      </c>
      <c r="N292" t="str">
        <f t="shared" si="4"/>
        <v>Germany</v>
      </c>
      <c r="O292" s="8">
        <f>IF(K292&gt;=1,K292,K292*1000)</f>
        <v>85</v>
      </c>
      <c r="P292">
        <f>ABS(H292)</f>
        <v>1</v>
      </c>
      <c r="R292"/>
    </row>
    <row r="293" spans="1:18" x14ac:dyDescent="0.35">
      <c r="A293" t="s">
        <v>723</v>
      </c>
      <c r="B293" s="2">
        <v>46106</v>
      </c>
      <c r="C293" t="s">
        <v>724</v>
      </c>
      <c r="D293" s="3" t="s">
        <v>46</v>
      </c>
      <c r="E293" t="s">
        <v>67</v>
      </c>
      <c r="F293" t="s">
        <v>74</v>
      </c>
      <c r="G293" t="s">
        <v>75</v>
      </c>
      <c r="H293" s="8">
        <v>1</v>
      </c>
      <c r="I293" s="10">
        <v>24</v>
      </c>
      <c r="J293" s="14">
        <f>P293*I293</f>
        <v>24</v>
      </c>
      <c r="K293" s="16">
        <v>410</v>
      </c>
      <c r="L293" s="1" t="s">
        <v>21</v>
      </c>
      <c r="M293" t="s">
        <v>22</v>
      </c>
      <c r="N293" t="str">
        <f t="shared" si="4"/>
        <v>Ireland</v>
      </c>
      <c r="O293" s="8">
        <f>IF(K293&gt;=1,K293,K293*1000)</f>
        <v>410</v>
      </c>
      <c r="P293">
        <f>ABS(H293)</f>
        <v>1</v>
      </c>
      <c r="R293"/>
    </row>
    <row r="294" spans="1:18" x14ac:dyDescent="0.35">
      <c r="A294" t="s">
        <v>725</v>
      </c>
      <c r="B294" s="2">
        <v>46132</v>
      </c>
      <c r="C294" t="s">
        <v>726</v>
      </c>
      <c r="D294" s="3" t="s">
        <v>53</v>
      </c>
      <c r="E294" t="s">
        <v>25</v>
      </c>
      <c r="F294" t="s">
        <v>74</v>
      </c>
      <c r="G294" t="s">
        <v>75</v>
      </c>
      <c r="H294" s="8">
        <v>1</v>
      </c>
      <c r="I294" s="10">
        <v>134.1</v>
      </c>
      <c r="J294" s="14">
        <f>P294*I294</f>
        <v>134.1</v>
      </c>
      <c r="K294" s="16">
        <v>0.41</v>
      </c>
      <c r="L294" s="1" t="s">
        <v>30</v>
      </c>
      <c r="M294" t="s">
        <v>22</v>
      </c>
      <c r="N294" t="str">
        <f t="shared" si="4"/>
        <v>Gb</v>
      </c>
      <c r="O294" s="8">
        <f>IF(K294&gt;=1,K294,K294*1000)</f>
        <v>410</v>
      </c>
      <c r="P294">
        <f>ABS(H294)</f>
        <v>1</v>
      </c>
      <c r="R294"/>
    </row>
    <row r="295" spans="1:18" x14ac:dyDescent="0.35">
      <c r="A295" t="s">
        <v>727</v>
      </c>
      <c r="B295" s="2">
        <v>46171</v>
      </c>
      <c r="C295" t="s">
        <v>728</v>
      </c>
      <c r="D295" s="3" t="s">
        <v>99</v>
      </c>
      <c r="E295" t="s">
        <v>25</v>
      </c>
      <c r="F295" t="s">
        <v>74</v>
      </c>
      <c r="G295" t="s">
        <v>75</v>
      </c>
      <c r="H295" s="8">
        <v>2</v>
      </c>
      <c r="I295" s="10">
        <v>80.099999999999994</v>
      </c>
      <c r="J295" s="14">
        <f>P295*I295</f>
        <v>160.19999999999999</v>
      </c>
      <c r="K295" s="16">
        <v>0.41</v>
      </c>
      <c r="L295" s="1" t="s">
        <v>21</v>
      </c>
      <c r="M295" t="s">
        <v>22</v>
      </c>
      <c r="N295" t="str">
        <f t="shared" si="4"/>
        <v>United Kingdom</v>
      </c>
      <c r="O295" s="8">
        <f>IF(K295&gt;=1,K295,K295*1000)</f>
        <v>410</v>
      </c>
      <c r="P295">
        <f>ABS(H295)</f>
        <v>2</v>
      </c>
      <c r="R295"/>
    </row>
    <row r="296" spans="1:18" x14ac:dyDescent="0.35">
      <c r="A296" t="s">
        <v>729</v>
      </c>
      <c r="B296" s="2">
        <v>46048</v>
      </c>
      <c r="C296" t="s">
        <v>730</v>
      </c>
      <c r="D296" s="3" t="s">
        <v>53</v>
      </c>
      <c r="E296" t="s">
        <v>16</v>
      </c>
      <c r="F296" t="s">
        <v>74</v>
      </c>
      <c r="G296" t="s">
        <v>75</v>
      </c>
      <c r="H296" s="8">
        <v>1</v>
      </c>
      <c r="I296" s="10">
        <v>21.6</v>
      </c>
      <c r="J296" s="14">
        <f>P296*I296</f>
        <v>21.6</v>
      </c>
      <c r="K296" s="16">
        <v>410</v>
      </c>
      <c r="L296" s="1" t="s">
        <v>30</v>
      </c>
      <c r="M296" t="s">
        <v>58</v>
      </c>
      <c r="N296" t="str">
        <f t="shared" si="4"/>
        <v>Gb</v>
      </c>
      <c r="O296" s="8">
        <f>IF(K296&gt;=1,K296,K296*1000)</f>
        <v>410</v>
      </c>
      <c r="P296">
        <f>ABS(H296)</f>
        <v>1</v>
      </c>
      <c r="R296"/>
    </row>
    <row r="297" spans="1:18" x14ac:dyDescent="0.35">
      <c r="A297" t="s">
        <v>731</v>
      </c>
      <c r="B297" s="2">
        <v>46069</v>
      </c>
      <c r="C297" t="s">
        <v>732</v>
      </c>
      <c r="D297" s="3" t="s">
        <v>53</v>
      </c>
      <c r="E297" t="s">
        <v>16</v>
      </c>
      <c r="F297" t="s">
        <v>83</v>
      </c>
      <c r="G297" t="s">
        <v>84</v>
      </c>
      <c r="H297" s="8">
        <v>2</v>
      </c>
      <c r="I297" s="10">
        <v>12.5</v>
      </c>
      <c r="J297" s="14">
        <f>P297*I297</f>
        <v>25</v>
      </c>
      <c r="K297" s="16">
        <v>340</v>
      </c>
      <c r="L297" s="1" t="s">
        <v>30</v>
      </c>
      <c r="M297" t="s">
        <v>58</v>
      </c>
      <c r="N297" t="str">
        <f t="shared" si="4"/>
        <v>Gb</v>
      </c>
      <c r="O297" s="8">
        <f>IF(K297&gt;=1,K297,K297*1000)</f>
        <v>340</v>
      </c>
      <c r="P297">
        <f>ABS(H297)</f>
        <v>2</v>
      </c>
      <c r="R297"/>
    </row>
    <row r="298" spans="1:18" x14ac:dyDescent="0.35">
      <c r="A298" t="s">
        <v>733</v>
      </c>
      <c r="B298" s="2">
        <v>46168</v>
      </c>
      <c r="C298" t="s">
        <v>734</v>
      </c>
      <c r="D298" s="3" t="s">
        <v>66</v>
      </c>
      <c r="E298" t="s">
        <v>16</v>
      </c>
      <c r="F298" t="s">
        <v>42</v>
      </c>
      <c r="G298" t="s">
        <v>43</v>
      </c>
      <c r="H298" s="8">
        <v>1</v>
      </c>
      <c r="I298" s="10">
        <v>89</v>
      </c>
      <c r="J298" s="14">
        <f>P298*I298</f>
        <v>89</v>
      </c>
      <c r="K298" s="16">
        <v>0.19</v>
      </c>
      <c r="L298" s="1" t="s">
        <v>21</v>
      </c>
      <c r="M298" t="s">
        <v>22</v>
      </c>
      <c r="N298" t="str">
        <f t="shared" si="4"/>
        <v>Gb</v>
      </c>
      <c r="O298" s="8">
        <f>IF(K298&gt;=1,K298,K298*1000)</f>
        <v>190</v>
      </c>
      <c r="P298">
        <f>ABS(H298)</f>
        <v>1</v>
      </c>
      <c r="R298"/>
    </row>
    <row r="299" spans="1:18" x14ac:dyDescent="0.35">
      <c r="A299" t="s">
        <v>735</v>
      </c>
      <c r="B299" s="2">
        <v>46183</v>
      </c>
      <c r="C299" t="s">
        <v>736</v>
      </c>
      <c r="D299" s="3" t="s">
        <v>15</v>
      </c>
      <c r="E299" t="s">
        <v>16</v>
      </c>
      <c r="F299" t="s">
        <v>83</v>
      </c>
      <c r="G299" t="s">
        <v>84</v>
      </c>
      <c r="H299" s="8">
        <v>2</v>
      </c>
      <c r="I299" s="12" t="s">
        <v>4636</v>
      </c>
      <c r="J299" s="14">
        <f>P299*R299</f>
        <v>178</v>
      </c>
      <c r="K299" s="16">
        <v>0.34</v>
      </c>
      <c r="L299" s="1" t="s">
        <v>30</v>
      </c>
      <c r="M299" t="s">
        <v>22</v>
      </c>
      <c r="N299" t="str">
        <f t="shared" si="4"/>
        <v>France</v>
      </c>
      <c r="O299" s="8">
        <f>IF(K299&gt;=1,K299,K299*1000)</f>
        <v>340</v>
      </c>
      <c r="P299">
        <f>ABS(H299)</f>
        <v>2</v>
      </c>
      <c r="Q299" t="str">
        <f>LEFT(I299,2)</f>
        <v>Â£</v>
      </c>
      <c r="R299" t="str">
        <f>RIGHT(I299,5)</f>
        <v>89,00</v>
      </c>
    </row>
    <row r="300" spans="1:18" x14ac:dyDescent="0.35">
      <c r="A300" t="s">
        <v>738</v>
      </c>
      <c r="B300" s="2">
        <v>46115</v>
      </c>
      <c r="C300" t="s">
        <v>739</v>
      </c>
      <c r="D300" s="3" t="s">
        <v>116</v>
      </c>
      <c r="E300" t="s">
        <v>34</v>
      </c>
      <c r="F300" t="s">
        <v>35</v>
      </c>
      <c r="G300" t="s">
        <v>36</v>
      </c>
      <c r="H300" s="8">
        <v>1</v>
      </c>
      <c r="I300" s="10">
        <v>95</v>
      </c>
      <c r="J300" s="14">
        <f>P300*I300</f>
        <v>95</v>
      </c>
      <c r="K300" s="16">
        <v>85</v>
      </c>
      <c r="L300" s="1" t="s">
        <v>21</v>
      </c>
      <c r="M300" t="s">
        <v>58</v>
      </c>
      <c r="N300" t="str">
        <f t="shared" si="4"/>
        <v>Germany</v>
      </c>
      <c r="O300" s="8">
        <f>IF(K300&gt;=1,K300,K300*1000)</f>
        <v>85</v>
      </c>
      <c r="P300">
        <f>ABS(H300)</f>
        <v>1</v>
      </c>
      <c r="R300"/>
    </row>
    <row r="301" spans="1:18" x14ac:dyDescent="0.35">
      <c r="A301" t="s">
        <v>740</v>
      </c>
      <c r="B301" s="2">
        <v>46155</v>
      </c>
      <c r="C301" t="s">
        <v>741</v>
      </c>
      <c r="D301" s="3" t="s">
        <v>66</v>
      </c>
      <c r="E301" t="s">
        <v>16</v>
      </c>
      <c r="F301" t="s">
        <v>83</v>
      </c>
      <c r="G301" t="s">
        <v>84</v>
      </c>
      <c r="H301" s="8">
        <v>2</v>
      </c>
      <c r="I301" s="10">
        <v>80.099999999999994</v>
      </c>
      <c r="J301" s="14">
        <f>P301*I301</f>
        <v>160.19999999999999</v>
      </c>
      <c r="K301" s="16">
        <v>0.34</v>
      </c>
      <c r="L301" s="1" t="s">
        <v>30</v>
      </c>
      <c r="M301" t="s">
        <v>22</v>
      </c>
      <c r="N301" t="str">
        <f t="shared" si="4"/>
        <v>Gb</v>
      </c>
      <c r="O301" s="8">
        <f>IF(K301&gt;=1,K301,K301*1000)</f>
        <v>340</v>
      </c>
      <c r="P301">
        <f>ABS(H301)</f>
        <v>2</v>
      </c>
      <c r="R301"/>
    </row>
    <row r="302" spans="1:18" x14ac:dyDescent="0.35">
      <c r="A302" t="s">
        <v>742</v>
      </c>
      <c r="B302" s="2">
        <v>46098</v>
      </c>
      <c r="C302" t="s">
        <v>743</v>
      </c>
      <c r="D302" s="3" t="s">
        <v>15</v>
      </c>
      <c r="E302" t="s">
        <v>25</v>
      </c>
      <c r="F302" t="s">
        <v>17</v>
      </c>
      <c r="G302" t="s">
        <v>18</v>
      </c>
      <c r="H302" s="8">
        <v>2</v>
      </c>
      <c r="I302" s="12" t="s">
        <v>4637</v>
      </c>
      <c r="J302" s="14">
        <f>P302*R302</f>
        <v>98</v>
      </c>
      <c r="K302" s="16">
        <v>520</v>
      </c>
      <c r="L302" s="1" t="s">
        <v>30</v>
      </c>
      <c r="M302" t="s">
        <v>22</v>
      </c>
      <c r="N302" t="str">
        <f t="shared" si="4"/>
        <v>France</v>
      </c>
      <c r="O302" s="8">
        <f>IF(K302&gt;=1,K302,K302*1000)</f>
        <v>520</v>
      </c>
      <c r="P302">
        <f>ABS(H302)</f>
        <v>2</v>
      </c>
      <c r="Q302" t="str">
        <f>LEFT(I302,2)</f>
        <v>Â£</v>
      </c>
      <c r="R302" t="str">
        <f>RIGHT(I302,5)</f>
        <v>49,00</v>
      </c>
    </row>
    <row r="303" spans="1:18" x14ac:dyDescent="0.35">
      <c r="A303" t="s">
        <v>745</v>
      </c>
      <c r="B303" s="2">
        <v>46172</v>
      </c>
      <c r="C303" t="s">
        <v>746</v>
      </c>
      <c r="D303" s="3" t="s">
        <v>15</v>
      </c>
      <c r="E303" t="s">
        <v>41</v>
      </c>
      <c r="F303" t="s">
        <v>42</v>
      </c>
      <c r="G303" t="s">
        <v>43</v>
      </c>
      <c r="H303" s="8">
        <v>1</v>
      </c>
      <c r="I303" s="10">
        <v>134.1</v>
      </c>
      <c r="J303" s="14">
        <f>P303*I303</f>
        <v>134.1</v>
      </c>
      <c r="K303" s="16">
        <v>0.19</v>
      </c>
      <c r="L303" s="1" t="s">
        <v>30</v>
      </c>
      <c r="M303" t="s">
        <v>22</v>
      </c>
      <c r="N303" t="str">
        <f t="shared" si="4"/>
        <v>France</v>
      </c>
      <c r="O303" s="8">
        <f>IF(K303&gt;=1,K303,K303*1000)</f>
        <v>190</v>
      </c>
      <c r="P303">
        <f>ABS(H303)</f>
        <v>1</v>
      </c>
      <c r="R303"/>
    </row>
    <row r="304" spans="1:18" x14ac:dyDescent="0.35">
      <c r="A304" t="s">
        <v>747</v>
      </c>
      <c r="B304" s="2">
        <v>46048</v>
      </c>
      <c r="C304" t="s">
        <v>748</v>
      </c>
      <c r="D304" s="3" t="s">
        <v>61</v>
      </c>
      <c r="E304" t="s">
        <v>25</v>
      </c>
      <c r="F304" t="s">
        <v>74</v>
      </c>
      <c r="G304" t="s">
        <v>75</v>
      </c>
      <c r="H304" s="8">
        <v>1</v>
      </c>
      <c r="I304" s="10">
        <v>134.1</v>
      </c>
      <c r="J304" s="14">
        <f>P304*I304</f>
        <v>134.1</v>
      </c>
      <c r="K304" s="16">
        <v>410</v>
      </c>
      <c r="L304" s="1" t="s">
        <v>21</v>
      </c>
      <c r="M304" t="s">
        <v>22</v>
      </c>
      <c r="N304" t="str">
        <f t="shared" si="4"/>
        <v>Ireland</v>
      </c>
      <c r="O304" s="8">
        <f>IF(K304&gt;=1,K304,K304*1000)</f>
        <v>410</v>
      </c>
      <c r="P304">
        <f>ABS(H304)</f>
        <v>1</v>
      </c>
      <c r="R304"/>
    </row>
    <row r="305" spans="1:18" x14ac:dyDescent="0.35">
      <c r="A305" t="s">
        <v>749</v>
      </c>
      <c r="B305" s="2">
        <v>46063</v>
      </c>
      <c r="C305" t="s">
        <v>750</v>
      </c>
      <c r="D305" s="3" t="s">
        <v>99</v>
      </c>
      <c r="E305" t="s">
        <v>34</v>
      </c>
      <c r="F305" t="s">
        <v>26</v>
      </c>
      <c r="G305" t="s">
        <v>27</v>
      </c>
      <c r="H305" s="8">
        <v>1</v>
      </c>
      <c r="I305" s="10">
        <v>79</v>
      </c>
      <c r="J305" s="14">
        <f>P305*I305</f>
        <v>79</v>
      </c>
      <c r="K305" s="16">
        <v>520</v>
      </c>
      <c r="L305" s="1" t="s">
        <v>30</v>
      </c>
      <c r="M305" t="s">
        <v>22</v>
      </c>
      <c r="N305" t="str">
        <f t="shared" si="4"/>
        <v>United Kingdom</v>
      </c>
      <c r="O305" s="8">
        <f>IF(K305&gt;=1,K305,K305*1000)</f>
        <v>520</v>
      </c>
      <c r="P305">
        <f>ABS(H305)</f>
        <v>1</v>
      </c>
      <c r="R305"/>
    </row>
    <row r="306" spans="1:18" x14ac:dyDescent="0.35">
      <c r="A306" t="s">
        <v>751</v>
      </c>
      <c r="B306" s="2">
        <v>46077</v>
      </c>
      <c r="C306" t="s">
        <v>752</v>
      </c>
      <c r="D306" s="3" t="s">
        <v>53</v>
      </c>
      <c r="E306" t="s">
        <v>67</v>
      </c>
      <c r="F306" t="s">
        <v>17</v>
      </c>
      <c r="G306" t="s">
        <v>18</v>
      </c>
      <c r="H306" s="8">
        <v>1</v>
      </c>
      <c r="I306" s="10">
        <v>45</v>
      </c>
      <c r="J306" s="14">
        <f>P306*I306</f>
        <v>45</v>
      </c>
      <c r="K306" s="16">
        <v>520</v>
      </c>
      <c r="L306" s="1" t="s">
        <v>30</v>
      </c>
      <c r="M306" t="s">
        <v>22</v>
      </c>
      <c r="N306" t="str">
        <f t="shared" si="4"/>
        <v>Gb</v>
      </c>
      <c r="O306" s="8">
        <f>IF(K306&gt;=1,K306,K306*1000)</f>
        <v>520</v>
      </c>
      <c r="P306">
        <f>ABS(H306)</f>
        <v>1</v>
      </c>
      <c r="R306"/>
    </row>
    <row r="307" spans="1:18" x14ac:dyDescent="0.35">
      <c r="A307" t="s">
        <v>753</v>
      </c>
      <c r="B307" s="2" t="s">
        <v>754</v>
      </c>
      <c r="C307" t="s">
        <v>755</v>
      </c>
      <c r="D307" s="3" t="s">
        <v>4612</v>
      </c>
      <c r="E307" t="s">
        <v>41</v>
      </c>
      <c r="F307" t="s">
        <v>42</v>
      </c>
      <c r="G307" t="s">
        <v>43</v>
      </c>
      <c r="H307" s="8">
        <v>3</v>
      </c>
      <c r="I307" s="10">
        <v>24</v>
      </c>
      <c r="J307" s="14">
        <f>P307*I307</f>
        <v>72</v>
      </c>
      <c r="K307" s="16">
        <v>190</v>
      </c>
      <c r="L307" s="1" t="s">
        <v>30</v>
      </c>
      <c r="M307" t="s">
        <v>22</v>
      </c>
      <c r="N307" t="str">
        <f t="shared" si="4"/>
        <v>United Kingdom</v>
      </c>
      <c r="O307" s="8">
        <f>IF(K307&gt;=1,K307,K307*1000)</f>
        <v>190</v>
      </c>
      <c r="P307">
        <f>ABS(H307)</f>
        <v>3</v>
      </c>
      <c r="R307"/>
    </row>
    <row r="308" spans="1:18" x14ac:dyDescent="0.35">
      <c r="A308" t="s">
        <v>756</v>
      </c>
      <c r="B308" s="2">
        <v>46087</v>
      </c>
      <c r="C308" t="s">
        <v>757</v>
      </c>
      <c r="D308" s="3" t="s">
        <v>61</v>
      </c>
      <c r="E308" t="s">
        <v>16</v>
      </c>
      <c r="F308" t="s">
        <v>47</v>
      </c>
      <c r="G308" t="s">
        <v>48</v>
      </c>
      <c r="H308" s="8">
        <v>1</v>
      </c>
      <c r="I308" s="12" t="s">
        <v>4638</v>
      </c>
      <c r="J308" s="14">
        <f>P308*R308</f>
        <v>21.6</v>
      </c>
      <c r="K308" s="16">
        <v>380</v>
      </c>
      <c r="L308" s="1" t="s">
        <v>30</v>
      </c>
      <c r="M308" t="s">
        <v>58</v>
      </c>
      <c r="N308" t="str">
        <f t="shared" si="4"/>
        <v>Ireland</v>
      </c>
      <c r="O308" s="8">
        <f>IF(K308&gt;=1,K308,K308*1000)</f>
        <v>380</v>
      </c>
      <c r="P308">
        <f>ABS(H308)</f>
        <v>1</v>
      </c>
      <c r="Q308" t="str">
        <f>LEFT(I308,2)</f>
        <v>Â£</v>
      </c>
      <c r="R308" t="str">
        <f>RIGHT(I308,5)</f>
        <v>21,60</v>
      </c>
    </row>
    <row r="309" spans="1:18" x14ac:dyDescent="0.35">
      <c r="A309" t="s">
        <v>759</v>
      </c>
      <c r="B309" s="2">
        <v>46044</v>
      </c>
      <c r="C309" t="s">
        <v>760</v>
      </c>
      <c r="D309" s="3" t="s">
        <v>4613</v>
      </c>
      <c r="E309" t="s">
        <v>67</v>
      </c>
      <c r="F309" t="s">
        <v>42</v>
      </c>
      <c r="G309" t="s">
        <v>43</v>
      </c>
      <c r="H309" s="8">
        <v>1</v>
      </c>
      <c r="I309" s="10">
        <v>149</v>
      </c>
      <c r="J309" s="14">
        <f>P309*I309</f>
        <v>149</v>
      </c>
      <c r="K309" s="16">
        <v>190</v>
      </c>
      <c r="L309" s="1" t="s">
        <v>30</v>
      </c>
      <c r="M309" t="s">
        <v>22</v>
      </c>
      <c r="N309" t="str">
        <f t="shared" si="4"/>
        <v>United Kingdom</v>
      </c>
      <c r="O309" s="8">
        <f>IF(K309&gt;=1,K309,K309*1000)</f>
        <v>190</v>
      </c>
      <c r="P309">
        <f>ABS(H309)</f>
        <v>1</v>
      </c>
      <c r="R309"/>
    </row>
    <row r="310" spans="1:18" x14ac:dyDescent="0.35">
      <c r="A310" t="s">
        <v>761</v>
      </c>
      <c r="B310" s="2">
        <v>46202</v>
      </c>
      <c r="C310" t="s">
        <v>459</v>
      </c>
      <c r="D310" s="3" t="s">
        <v>61</v>
      </c>
      <c r="E310" t="s">
        <v>25</v>
      </c>
      <c r="F310" t="s">
        <v>83</v>
      </c>
      <c r="G310" t="s">
        <v>84</v>
      </c>
      <c r="H310" s="8">
        <v>2</v>
      </c>
      <c r="I310" s="10">
        <v>12.5</v>
      </c>
      <c r="J310" s="14">
        <f>P310*I310</f>
        <v>25</v>
      </c>
      <c r="K310" s="16">
        <v>0.34</v>
      </c>
      <c r="L310" s="1" t="s">
        <v>21</v>
      </c>
      <c r="M310" t="s">
        <v>22</v>
      </c>
      <c r="N310" t="str">
        <f t="shared" si="4"/>
        <v>Ireland</v>
      </c>
      <c r="O310" s="8">
        <f>IF(K310&gt;=1,K310,K310*1000)</f>
        <v>340</v>
      </c>
      <c r="P310">
        <f>ABS(H310)</f>
        <v>2</v>
      </c>
      <c r="R310"/>
    </row>
    <row r="311" spans="1:18" x14ac:dyDescent="0.35">
      <c r="A311" t="s">
        <v>762</v>
      </c>
      <c r="B311" s="2">
        <v>46179</v>
      </c>
      <c r="C311" t="s">
        <v>763</v>
      </c>
      <c r="D311" s="3" t="s">
        <v>99</v>
      </c>
      <c r="E311" t="s">
        <v>41</v>
      </c>
      <c r="F311" t="s">
        <v>89</v>
      </c>
      <c r="G311" t="s">
        <v>90</v>
      </c>
      <c r="H311" s="8">
        <v>1</v>
      </c>
      <c r="I311" s="10">
        <v>116.1</v>
      </c>
      <c r="J311" s="14">
        <f>P311*I311</f>
        <v>116.1</v>
      </c>
      <c r="K311" s="16">
        <v>0.64</v>
      </c>
      <c r="L311" s="1" t="s">
        <v>30</v>
      </c>
      <c r="M311" t="s">
        <v>22</v>
      </c>
      <c r="N311" t="str">
        <f t="shared" si="4"/>
        <v>United Kingdom</v>
      </c>
      <c r="O311" s="8">
        <f>IF(K311&gt;=1,K311,K311*1000)</f>
        <v>640</v>
      </c>
      <c r="P311">
        <f>ABS(H311)</f>
        <v>1</v>
      </c>
      <c r="R311"/>
    </row>
    <row r="312" spans="1:18" x14ac:dyDescent="0.35">
      <c r="A312" t="s">
        <v>764</v>
      </c>
      <c r="B312" s="2" t="s">
        <v>765</v>
      </c>
      <c r="C312" t="s">
        <v>766</v>
      </c>
      <c r="D312" s="3" t="s">
        <v>99</v>
      </c>
      <c r="E312" t="s">
        <v>16</v>
      </c>
      <c r="F312" t="s">
        <v>89</v>
      </c>
      <c r="G312" t="s">
        <v>90</v>
      </c>
      <c r="H312" s="8">
        <v>-2</v>
      </c>
      <c r="I312" s="10">
        <v>12.5</v>
      </c>
      <c r="J312" s="14">
        <f>P312*I312</f>
        <v>25</v>
      </c>
      <c r="K312" s="16">
        <v>640</v>
      </c>
      <c r="L312" s="1" t="s">
        <v>30</v>
      </c>
      <c r="M312" t="s">
        <v>22</v>
      </c>
      <c r="N312" t="str">
        <f t="shared" si="4"/>
        <v>United Kingdom</v>
      </c>
      <c r="O312" s="8">
        <f>IF(K312&gt;=1,K312,K312*1000)</f>
        <v>640</v>
      </c>
      <c r="P312">
        <f>ABS(H312)</f>
        <v>2</v>
      </c>
      <c r="R312"/>
    </row>
    <row r="313" spans="1:18" x14ac:dyDescent="0.35">
      <c r="A313" t="s">
        <v>768</v>
      </c>
      <c r="B313" s="2">
        <v>46162</v>
      </c>
      <c r="C313" t="s">
        <v>769</v>
      </c>
      <c r="D313" s="3" t="s">
        <v>116</v>
      </c>
      <c r="E313" t="s">
        <v>34</v>
      </c>
      <c r="F313" t="s">
        <v>35</v>
      </c>
      <c r="G313" t="s">
        <v>36</v>
      </c>
      <c r="H313" s="8">
        <v>1</v>
      </c>
      <c r="I313" s="10">
        <v>40.5</v>
      </c>
      <c r="J313" s="14">
        <f>P313*I313</f>
        <v>40.5</v>
      </c>
      <c r="K313" s="16">
        <v>8.5000000000000006E-2</v>
      </c>
      <c r="L313" s="1" t="s">
        <v>30</v>
      </c>
      <c r="M313" t="s">
        <v>22</v>
      </c>
      <c r="N313" t="str">
        <f t="shared" si="4"/>
        <v>Germany</v>
      </c>
      <c r="O313" s="8">
        <f>IF(K313&gt;=1,K313,K313*1000)</f>
        <v>85</v>
      </c>
      <c r="P313">
        <f>ABS(H313)</f>
        <v>1</v>
      </c>
      <c r="R313"/>
    </row>
    <row r="314" spans="1:18" x14ac:dyDescent="0.35">
      <c r="A314" t="s">
        <v>770</v>
      </c>
      <c r="B314" s="2">
        <v>46044</v>
      </c>
      <c r="C314" t="s">
        <v>771</v>
      </c>
      <c r="D314" s="3" t="s">
        <v>61</v>
      </c>
      <c r="E314" t="s">
        <v>16</v>
      </c>
      <c r="F314" t="s">
        <v>42</v>
      </c>
      <c r="G314" t="s">
        <v>43</v>
      </c>
      <c r="H314" s="8">
        <v>1</v>
      </c>
      <c r="I314" s="10">
        <v>129</v>
      </c>
      <c r="J314" s="14">
        <f>P314*I314</f>
        <v>129</v>
      </c>
      <c r="K314" s="16">
        <v>190</v>
      </c>
      <c r="L314" s="1" t="s">
        <v>30</v>
      </c>
      <c r="M314" t="s">
        <v>58</v>
      </c>
      <c r="N314" t="str">
        <f t="shared" si="4"/>
        <v>Ireland</v>
      </c>
      <c r="O314" s="8">
        <f>IF(K314&gt;=1,K314,K314*1000)</f>
        <v>190</v>
      </c>
      <c r="P314">
        <f>ABS(H314)</f>
        <v>1</v>
      </c>
      <c r="R314"/>
    </row>
    <row r="315" spans="1:18" x14ac:dyDescent="0.35">
      <c r="A315" t="s">
        <v>772</v>
      </c>
      <c r="B315" s="2">
        <v>46162</v>
      </c>
      <c r="C315" t="s">
        <v>773</v>
      </c>
      <c r="D315" s="3" t="s">
        <v>66</v>
      </c>
      <c r="E315" t="s">
        <v>67</v>
      </c>
      <c r="F315" t="s">
        <v>47</v>
      </c>
      <c r="G315" t="s">
        <v>48</v>
      </c>
      <c r="H315" s="8">
        <v>1</v>
      </c>
      <c r="I315" s="10">
        <v>95</v>
      </c>
      <c r="J315" s="14">
        <f>P315*I315</f>
        <v>95</v>
      </c>
      <c r="K315" s="16">
        <v>0.38</v>
      </c>
      <c r="L315" s="1" t="s">
        <v>30</v>
      </c>
      <c r="M315" t="s">
        <v>22</v>
      </c>
      <c r="N315" t="str">
        <f t="shared" si="4"/>
        <v>Gb</v>
      </c>
      <c r="O315" s="8">
        <f>IF(K315&gt;=1,K315,K315*1000)</f>
        <v>380</v>
      </c>
      <c r="P315">
        <f>ABS(H315)</f>
        <v>1</v>
      </c>
      <c r="R315"/>
    </row>
    <row r="316" spans="1:18" x14ac:dyDescent="0.35">
      <c r="A316" t="s">
        <v>774</v>
      </c>
      <c r="B316" s="2" t="s">
        <v>775</v>
      </c>
      <c r="C316" t="s">
        <v>776</v>
      </c>
      <c r="D316" s="3" t="s">
        <v>61</v>
      </c>
      <c r="E316" t="s">
        <v>25</v>
      </c>
      <c r="F316" t="s">
        <v>35</v>
      </c>
      <c r="G316" t="s">
        <v>36</v>
      </c>
      <c r="H316" s="8">
        <v>2</v>
      </c>
      <c r="I316" s="10">
        <v>11.25</v>
      </c>
      <c r="J316" s="14">
        <f>P316*I316</f>
        <v>22.5</v>
      </c>
      <c r="K316" s="16">
        <v>85</v>
      </c>
      <c r="L316" s="1" t="s">
        <v>30</v>
      </c>
      <c r="M316" t="s">
        <v>22</v>
      </c>
      <c r="N316" t="str">
        <f t="shared" si="4"/>
        <v>Ireland</v>
      </c>
      <c r="O316" s="8">
        <f>IF(K316&gt;=1,K316,K316*1000)</f>
        <v>85</v>
      </c>
      <c r="P316">
        <f>ABS(H316)</f>
        <v>2</v>
      </c>
      <c r="R316"/>
    </row>
    <row r="317" spans="1:18" x14ac:dyDescent="0.35">
      <c r="A317" t="s">
        <v>777</v>
      </c>
      <c r="B317" s="2" t="s">
        <v>778</v>
      </c>
      <c r="C317" t="s">
        <v>455</v>
      </c>
      <c r="D317" s="3" t="s">
        <v>99</v>
      </c>
      <c r="E317" t="s">
        <v>41</v>
      </c>
      <c r="F317" t="s">
        <v>74</v>
      </c>
      <c r="G317" t="s">
        <v>75</v>
      </c>
      <c r="H317" s="8">
        <v>1</v>
      </c>
      <c r="I317" s="10">
        <v>116.1</v>
      </c>
      <c r="J317" s="14">
        <f>P317*I317</f>
        <v>116.1</v>
      </c>
      <c r="K317" s="16">
        <v>0.41</v>
      </c>
      <c r="L317" s="1" t="s">
        <v>30</v>
      </c>
      <c r="M317" t="s">
        <v>58</v>
      </c>
      <c r="N317" t="str">
        <f t="shared" si="4"/>
        <v>United Kingdom</v>
      </c>
      <c r="O317" s="8">
        <f>IF(K317&gt;=1,K317,K317*1000)</f>
        <v>410</v>
      </c>
      <c r="P317">
        <f>ABS(H317)</f>
        <v>1</v>
      </c>
      <c r="R317"/>
    </row>
    <row r="318" spans="1:18" x14ac:dyDescent="0.35">
      <c r="A318" t="s">
        <v>779</v>
      </c>
      <c r="B318" s="2">
        <v>46042</v>
      </c>
      <c r="C318" t="s">
        <v>780</v>
      </c>
      <c r="D318" s="3" t="s">
        <v>66</v>
      </c>
      <c r="E318" t="s">
        <v>16</v>
      </c>
      <c r="F318" t="s">
        <v>35</v>
      </c>
      <c r="G318" t="s">
        <v>36</v>
      </c>
      <c r="H318" s="8">
        <v>-2</v>
      </c>
      <c r="I318" s="12" t="s">
        <v>4630</v>
      </c>
      <c r="J318" s="14">
        <f>P318*R318</f>
        <v>22.5</v>
      </c>
      <c r="K318" s="16">
        <v>85</v>
      </c>
      <c r="L318" s="1" t="s">
        <v>21</v>
      </c>
      <c r="M318" t="s">
        <v>22</v>
      </c>
      <c r="N318" t="str">
        <f t="shared" si="4"/>
        <v>Gb</v>
      </c>
      <c r="O318" s="8">
        <f>IF(K318&gt;=1,K318,K318*1000)</f>
        <v>85</v>
      </c>
      <c r="P318">
        <f>ABS(H318)</f>
        <v>2</v>
      </c>
      <c r="Q318" t="str">
        <f>LEFT(I318,2)</f>
        <v>Â£</v>
      </c>
      <c r="R318" t="str">
        <f>RIGHT(I318,5)</f>
        <v>11,25</v>
      </c>
    </row>
    <row r="319" spans="1:18" x14ac:dyDescent="0.35">
      <c r="A319" t="s">
        <v>782</v>
      </c>
      <c r="B319" s="2">
        <v>46100</v>
      </c>
      <c r="C319" t="s">
        <v>783</v>
      </c>
      <c r="D319" s="3" t="s">
        <v>15</v>
      </c>
      <c r="E319" t="s">
        <v>34</v>
      </c>
      <c r="F319" t="s">
        <v>35</v>
      </c>
      <c r="G319" t="s">
        <v>36</v>
      </c>
      <c r="H319" s="8">
        <v>2</v>
      </c>
      <c r="I319" s="10">
        <v>95</v>
      </c>
      <c r="J319" s="14">
        <f>P319*I319</f>
        <v>190</v>
      </c>
      <c r="K319" s="16">
        <v>85</v>
      </c>
      <c r="L319" s="1" t="s">
        <v>21</v>
      </c>
      <c r="M319" t="s">
        <v>22</v>
      </c>
      <c r="N319" t="str">
        <f t="shared" si="4"/>
        <v>France</v>
      </c>
      <c r="O319" s="8">
        <f>IF(K319&gt;=1,K319,K319*1000)</f>
        <v>85</v>
      </c>
      <c r="P319">
        <f>ABS(H319)</f>
        <v>2</v>
      </c>
      <c r="R319"/>
    </row>
    <row r="320" spans="1:18" x14ac:dyDescent="0.35">
      <c r="A320" t="s">
        <v>784</v>
      </c>
      <c r="B320" s="2">
        <v>46048</v>
      </c>
      <c r="C320" t="s">
        <v>785</v>
      </c>
      <c r="D320" s="3" t="s">
        <v>99</v>
      </c>
      <c r="E320" t="s">
        <v>16</v>
      </c>
      <c r="F320" t="s">
        <v>89</v>
      </c>
      <c r="G320" t="s">
        <v>90</v>
      </c>
      <c r="H320" s="8">
        <v>2</v>
      </c>
      <c r="I320" s="12" t="s">
        <v>4623</v>
      </c>
      <c r="J320" s="14">
        <f>P320*R320</f>
        <v>32.200000000000003</v>
      </c>
      <c r="K320" s="16">
        <v>640</v>
      </c>
      <c r="L320" s="1" t="s">
        <v>21</v>
      </c>
      <c r="M320" t="s">
        <v>58</v>
      </c>
      <c r="N320" t="str">
        <f t="shared" si="4"/>
        <v>United Kingdom</v>
      </c>
      <c r="O320" s="8">
        <f>IF(K320&gt;=1,K320,K320*1000)</f>
        <v>640</v>
      </c>
      <c r="P320">
        <f>ABS(H320)</f>
        <v>2</v>
      </c>
      <c r="Q320" t="str">
        <f>LEFT(I320,3)</f>
        <v>GBP</v>
      </c>
      <c r="R320" s="10" t="str">
        <f>RIGHT(I320,5)</f>
        <v>16,10</v>
      </c>
    </row>
    <row r="321" spans="1:18" x14ac:dyDescent="0.35">
      <c r="A321" t="s">
        <v>787</v>
      </c>
      <c r="B321" s="2">
        <v>46037</v>
      </c>
      <c r="C321" t="s">
        <v>788</v>
      </c>
      <c r="D321" s="3" t="s">
        <v>99</v>
      </c>
      <c r="E321" t="s">
        <v>16</v>
      </c>
      <c r="F321" t="s">
        <v>74</v>
      </c>
      <c r="G321" t="s">
        <v>75</v>
      </c>
      <c r="H321" s="8">
        <v>1</v>
      </c>
      <c r="I321" s="10">
        <v>85.5</v>
      </c>
      <c r="J321" s="14">
        <f>P321*I321</f>
        <v>85.5</v>
      </c>
      <c r="K321" s="16">
        <v>410</v>
      </c>
      <c r="L321" s="1" t="s">
        <v>21</v>
      </c>
      <c r="M321" t="s">
        <v>22</v>
      </c>
      <c r="N321" t="str">
        <f t="shared" si="4"/>
        <v>United Kingdom</v>
      </c>
      <c r="O321" s="8">
        <f>IF(K321&gt;=1,K321,K321*1000)</f>
        <v>410</v>
      </c>
      <c r="P321">
        <f>ABS(H321)</f>
        <v>1</v>
      </c>
      <c r="R321"/>
    </row>
    <row r="322" spans="1:18" x14ac:dyDescent="0.35">
      <c r="A322" t="s">
        <v>789</v>
      </c>
      <c r="B322" s="2">
        <v>46177</v>
      </c>
      <c r="C322" t="s">
        <v>790</v>
      </c>
      <c r="D322" s="3" t="s">
        <v>15</v>
      </c>
      <c r="E322" t="s">
        <v>41</v>
      </c>
      <c r="F322" t="s">
        <v>26</v>
      </c>
      <c r="G322" t="s">
        <v>27</v>
      </c>
      <c r="H322" s="8">
        <v>3</v>
      </c>
      <c r="I322" s="10">
        <v>95</v>
      </c>
      <c r="J322" s="14">
        <f>P322*I322</f>
        <v>285</v>
      </c>
      <c r="K322" s="16">
        <v>0.52</v>
      </c>
      <c r="L322" s="1" t="s">
        <v>30</v>
      </c>
      <c r="M322" t="s">
        <v>22</v>
      </c>
      <c r="N322" t="str">
        <f t="shared" si="4"/>
        <v>France</v>
      </c>
      <c r="O322" s="8">
        <f>IF(K322&gt;=1,K322,K322*1000)</f>
        <v>520</v>
      </c>
      <c r="P322">
        <f>ABS(H322)</f>
        <v>3</v>
      </c>
      <c r="R322"/>
    </row>
    <row r="323" spans="1:18" x14ac:dyDescent="0.35">
      <c r="A323" t="s">
        <v>791</v>
      </c>
      <c r="B323" s="2">
        <v>46131</v>
      </c>
      <c r="C323" t="s">
        <v>792</v>
      </c>
      <c r="D323" s="3" t="s">
        <v>53</v>
      </c>
      <c r="E323" t="s">
        <v>16</v>
      </c>
      <c r="F323" t="s">
        <v>83</v>
      </c>
      <c r="G323" t="s">
        <v>84</v>
      </c>
      <c r="H323" s="8">
        <v>2</v>
      </c>
      <c r="I323" s="10">
        <v>85.5</v>
      </c>
      <c r="J323" s="14">
        <f>P323*I323</f>
        <v>171</v>
      </c>
      <c r="K323" s="16">
        <v>340</v>
      </c>
      <c r="L323" s="1" t="s">
        <v>30</v>
      </c>
      <c r="M323" t="s">
        <v>58</v>
      </c>
      <c r="N323" t="str">
        <f t="shared" ref="N323:N386" si="5">PROPER(TRIM(D323))</f>
        <v>Gb</v>
      </c>
      <c r="O323" s="8">
        <f>IF(K323&gt;=1,K323,K323*1000)</f>
        <v>340</v>
      </c>
      <c r="P323">
        <f>ABS(H323)</f>
        <v>2</v>
      </c>
      <c r="R323"/>
    </row>
    <row r="324" spans="1:18" x14ac:dyDescent="0.35">
      <c r="A324" t="s">
        <v>793</v>
      </c>
      <c r="B324" s="2">
        <v>46111</v>
      </c>
      <c r="C324" t="s">
        <v>794</v>
      </c>
      <c r="D324" s="3" t="s">
        <v>15</v>
      </c>
      <c r="E324" t="s">
        <v>25</v>
      </c>
      <c r="F324" t="s">
        <v>74</v>
      </c>
      <c r="G324" t="s">
        <v>75</v>
      </c>
      <c r="H324" s="8">
        <v>1</v>
      </c>
      <c r="I324" s="10">
        <v>71.099999999999994</v>
      </c>
      <c r="J324" s="14">
        <f>P324*I324</f>
        <v>71.099999999999994</v>
      </c>
      <c r="K324" s="16">
        <v>410</v>
      </c>
      <c r="L324" s="1" t="s">
        <v>30</v>
      </c>
      <c r="M324" t="s">
        <v>22</v>
      </c>
      <c r="N324" t="str">
        <f t="shared" si="5"/>
        <v>France</v>
      </c>
      <c r="O324" s="8">
        <f>IF(K324&gt;=1,K324,K324*1000)</f>
        <v>410</v>
      </c>
      <c r="P324">
        <f>ABS(H324)</f>
        <v>1</v>
      </c>
      <c r="R324"/>
    </row>
    <row r="325" spans="1:18" x14ac:dyDescent="0.35">
      <c r="A325" t="s">
        <v>795</v>
      </c>
      <c r="B325" s="2" t="s">
        <v>796</v>
      </c>
      <c r="C325" t="s">
        <v>208</v>
      </c>
      <c r="D325" s="3" t="s">
        <v>46</v>
      </c>
      <c r="E325" t="s">
        <v>25</v>
      </c>
      <c r="F325" t="s">
        <v>83</v>
      </c>
      <c r="G325" t="s">
        <v>84</v>
      </c>
      <c r="H325" s="8">
        <v>3</v>
      </c>
      <c r="I325" s="10">
        <v>45</v>
      </c>
      <c r="J325" s="14">
        <f>P325*I325</f>
        <v>135</v>
      </c>
      <c r="K325" s="16">
        <v>340</v>
      </c>
      <c r="L325" s="1" t="s">
        <v>30</v>
      </c>
      <c r="M325" t="s">
        <v>58</v>
      </c>
      <c r="N325" t="str">
        <f t="shared" si="5"/>
        <v>Ireland</v>
      </c>
      <c r="O325" s="8">
        <f>IF(K325&gt;=1,K325,K325*1000)</f>
        <v>340</v>
      </c>
      <c r="P325">
        <f>ABS(H325)</f>
        <v>3</v>
      </c>
      <c r="R325"/>
    </row>
    <row r="326" spans="1:18" x14ac:dyDescent="0.35">
      <c r="A326" t="s">
        <v>797</v>
      </c>
      <c r="B326" s="2">
        <v>46057</v>
      </c>
      <c r="C326" t="s">
        <v>173</v>
      </c>
      <c r="D326" s="3" t="s">
        <v>15</v>
      </c>
      <c r="E326" t="s">
        <v>67</v>
      </c>
      <c r="F326" t="s">
        <v>26</v>
      </c>
      <c r="G326" t="s">
        <v>27</v>
      </c>
      <c r="H326" s="8">
        <v>2</v>
      </c>
      <c r="I326" s="12" t="s">
        <v>4631</v>
      </c>
      <c r="J326" s="14">
        <f>P326*R326</f>
        <v>158</v>
      </c>
      <c r="K326" s="16">
        <v>520</v>
      </c>
      <c r="L326" s="1" t="s">
        <v>30</v>
      </c>
      <c r="M326" t="s">
        <v>22</v>
      </c>
      <c r="N326" t="str">
        <f t="shared" si="5"/>
        <v>France</v>
      </c>
      <c r="O326" s="8">
        <f>IF(K326&gt;=1,K326,K326*1000)</f>
        <v>520</v>
      </c>
      <c r="P326">
        <f>ABS(H326)</f>
        <v>2</v>
      </c>
      <c r="Q326" t="str">
        <f>LEFT(I326,2)</f>
        <v>Â£</v>
      </c>
      <c r="R326" t="str">
        <f>RIGHT(I326,5)</f>
        <v>79,00</v>
      </c>
    </row>
    <row r="327" spans="1:18" x14ac:dyDescent="0.35">
      <c r="A327" t="s">
        <v>798</v>
      </c>
      <c r="B327" s="2">
        <v>46198</v>
      </c>
      <c r="C327" t="s">
        <v>385</v>
      </c>
      <c r="D327" s="3" t="s">
        <v>99</v>
      </c>
      <c r="E327" t="s">
        <v>25</v>
      </c>
      <c r="F327" t="s">
        <v>74</v>
      </c>
      <c r="G327" t="s">
        <v>75</v>
      </c>
      <c r="H327" s="8">
        <v>2</v>
      </c>
      <c r="I327" s="10">
        <v>149</v>
      </c>
      <c r="J327" s="14">
        <f>P327*I327</f>
        <v>298</v>
      </c>
      <c r="K327" s="16">
        <v>0.41</v>
      </c>
      <c r="L327" s="1" t="s">
        <v>21</v>
      </c>
      <c r="M327" t="s">
        <v>22</v>
      </c>
      <c r="N327" t="str">
        <f t="shared" si="5"/>
        <v>United Kingdom</v>
      </c>
      <c r="O327" s="8">
        <f>IF(K327&gt;=1,K327,K327*1000)</f>
        <v>410</v>
      </c>
      <c r="P327">
        <f>ABS(H327)</f>
        <v>2</v>
      </c>
      <c r="R327"/>
    </row>
    <row r="328" spans="1:18" x14ac:dyDescent="0.35">
      <c r="A328" t="s">
        <v>799</v>
      </c>
      <c r="B328" s="2">
        <v>46080</v>
      </c>
      <c r="C328" t="s">
        <v>800</v>
      </c>
      <c r="D328" s="3" t="s">
        <v>66</v>
      </c>
      <c r="E328" t="s">
        <v>67</v>
      </c>
      <c r="F328" t="s">
        <v>17</v>
      </c>
      <c r="G328" t="s">
        <v>18</v>
      </c>
      <c r="H328" s="8">
        <v>2</v>
      </c>
      <c r="I328" s="10">
        <v>24</v>
      </c>
      <c r="J328" s="14">
        <f>P328*I328</f>
        <v>48</v>
      </c>
      <c r="K328" s="16">
        <v>520</v>
      </c>
      <c r="L328" s="1" t="s">
        <v>21</v>
      </c>
      <c r="M328" t="s">
        <v>58</v>
      </c>
      <c r="N328" t="str">
        <f t="shared" si="5"/>
        <v>Gb</v>
      </c>
      <c r="O328" s="8">
        <f>IF(K328&gt;=1,K328,K328*1000)</f>
        <v>520</v>
      </c>
      <c r="P328">
        <f>ABS(H328)</f>
        <v>2</v>
      </c>
      <c r="R328"/>
    </row>
    <row r="329" spans="1:18" x14ac:dyDescent="0.35">
      <c r="A329" t="s">
        <v>801</v>
      </c>
      <c r="B329" s="2">
        <v>46189</v>
      </c>
      <c r="C329" t="s">
        <v>260</v>
      </c>
      <c r="D329" s="3" t="s">
        <v>61</v>
      </c>
      <c r="E329" t="s">
        <v>41</v>
      </c>
      <c r="F329" t="s">
        <v>26</v>
      </c>
      <c r="G329" t="s">
        <v>27</v>
      </c>
      <c r="H329" s="8">
        <v>1</v>
      </c>
      <c r="I329" s="10">
        <v>45</v>
      </c>
      <c r="J329" s="14">
        <f>P329*I329</f>
        <v>45</v>
      </c>
      <c r="K329" s="16">
        <v>0.52</v>
      </c>
      <c r="L329" s="1" t="s">
        <v>21</v>
      </c>
      <c r="M329" t="s">
        <v>22</v>
      </c>
      <c r="N329" t="str">
        <f t="shared" si="5"/>
        <v>Ireland</v>
      </c>
      <c r="O329" s="8">
        <f>IF(K329&gt;=1,K329,K329*1000)</f>
        <v>520</v>
      </c>
      <c r="P329">
        <f>ABS(H329)</f>
        <v>1</v>
      </c>
      <c r="R329"/>
    </row>
    <row r="330" spans="1:18" x14ac:dyDescent="0.35">
      <c r="A330" t="s">
        <v>802</v>
      </c>
      <c r="B330" s="2">
        <v>46181</v>
      </c>
      <c r="C330" t="s">
        <v>201</v>
      </c>
      <c r="D330" s="3" t="s">
        <v>53</v>
      </c>
      <c r="E330" t="s">
        <v>67</v>
      </c>
      <c r="F330" t="s">
        <v>17</v>
      </c>
      <c r="G330" t="s">
        <v>18</v>
      </c>
      <c r="H330" s="8">
        <v>2</v>
      </c>
      <c r="I330" s="10">
        <v>134.1</v>
      </c>
      <c r="J330" s="14">
        <f>P330*I330</f>
        <v>268.2</v>
      </c>
      <c r="K330" s="16">
        <v>0.52</v>
      </c>
      <c r="L330" s="1" t="s">
        <v>30</v>
      </c>
      <c r="M330" t="s">
        <v>58</v>
      </c>
      <c r="N330" t="str">
        <f t="shared" si="5"/>
        <v>Gb</v>
      </c>
      <c r="O330" s="8">
        <f>IF(K330&gt;=1,K330,K330*1000)</f>
        <v>520</v>
      </c>
      <c r="P330">
        <f>ABS(H330)</f>
        <v>2</v>
      </c>
      <c r="R330"/>
    </row>
    <row r="331" spans="1:18" x14ac:dyDescent="0.35">
      <c r="A331" t="s">
        <v>803</v>
      </c>
      <c r="B331" s="2">
        <v>46032</v>
      </c>
      <c r="C331" t="s">
        <v>804</v>
      </c>
      <c r="D331" s="3" t="s">
        <v>53</v>
      </c>
      <c r="E331" t="s">
        <v>25</v>
      </c>
      <c r="F331" t="s">
        <v>74</v>
      </c>
      <c r="G331" t="s">
        <v>75</v>
      </c>
      <c r="H331" s="8">
        <v>1</v>
      </c>
      <c r="I331" s="10">
        <v>89</v>
      </c>
      <c r="J331" s="14">
        <f>P331*I331</f>
        <v>89</v>
      </c>
      <c r="K331" s="16">
        <v>410</v>
      </c>
      <c r="L331" s="1" t="s">
        <v>30</v>
      </c>
      <c r="M331" t="s">
        <v>22</v>
      </c>
      <c r="N331" t="str">
        <f t="shared" si="5"/>
        <v>Gb</v>
      </c>
      <c r="O331" s="8">
        <f>IF(K331&gt;=1,K331,K331*1000)</f>
        <v>410</v>
      </c>
      <c r="P331">
        <f>ABS(H331)</f>
        <v>1</v>
      </c>
      <c r="R331"/>
    </row>
    <row r="332" spans="1:18" x14ac:dyDescent="0.35">
      <c r="A332" t="s">
        <v>805</v>
      </c>
      <c r="B332" s="2">
        <v>46103</v>
      </c>
      <c r="C332" t="s">
        <v>45</v>
      </c>
      <c r="D332" s="3" t="s">
        <v>15</v>
      </c>
      <c r="E332" t="s">
        <v>67</v>
      </c>
      <c r="F332" t="s">
        <v>17</v>
      </c>
      <c r="G332" t="s">
        <v>18</v>
      </c>
      <c r="H332" s="8">
        <v>1</v>
      </c>
      <c r="I332" s="10">
        <v>80.099999999999994</v>
      </c>
      <c r="J332" s="14">
        <f>P332*I332</f>
        <v>80.099999999999994</v>
      </c>
      <c r="K332" s="16">
        <v>520</v>
      </c>
      <c r="L332" s="1" t="s">
        <v>30</v>
      </c>
      <c r="M332" t="s">
        <v>22</v>
      </c>
      <c r="N332" t="str">
        <f t="shared" si="5"/>
        <v>France</v>
      </c>
      <c r="O332" s="8">
        <f>IF(K332&gt;=1,K332,K332*1000)</f>
        <v>520</v>
      </c>
      <c r="P332">
        <f>ABS(H332)</f>
        <v>1</v>
      </c>
      <c r="R332"/>
    </row>
    <row r="333" spans="1:18" x14ac:dyDescent="0.35">
      <c r="A333" t="s">
        <v>806</v>
      </c>
      <c r="B333" s="2">
        <v>46132</v>
      </c>
      <c r="C333" t="s">
        <v>807</v>
      </c>
      <c r="D333" s="3" t="s">
        <v>15</v>
      </c>
      <c r="E333" t="s">
        <v>41</v>
      </c>
      <c r="F333" t="s">
        <v>89</v>
      </c>
      <c r="G333" t="s">
        <v>90</v>
      </c>
      <c r="H333" s="8">
        <v>3</v>
      </c>
      <c r="I333" s="10">
        <v>79</v>
      </c>
      <c r="J333" s="14">
        <f>P333*I333</f>
        <v>237</v>
      </c>
      <c r="K333" s="16">
        <v>0.64</v>
      </c>
      <c r="L333" s="1" t="s">
        <v>30</v>
      </c>
      <c r="M333" t="s">
        <v>58</v>
      </c>
      <c r="N333" t="str">
        <f t="shared" si="5"/>
        <v>France</v>
      </c>
      <c r="O333" s="8">
        <f>IF(K333&gt;=1,K333,K333*1000)</f>
        <v>640</v>
      </c>
      <c r="P333">
        <f>ABS(H333)</f>
        <v>3</v>
      </c>
      <c r="R333"/>
    </row>
    <row r="334" spans="1:18" x14ac:dyDescent="0.35">
      <c r="A334" t="s">
        <v>808</v>
      </c>
      <c r="B334" s="2">
        <v>46113</v>
      </c>
      <c r="C334" t="s">
        <v>809</v>
      </c>
      <c r="D334" s="3" t="s">
        <v>4612</v>
      </c>
      <c r="E334" t="s">
        <v>16</v>
      </c>
      <c r="F334" t="s">
        <v>47</v>
      </c>
      <c r="G334" t="s">
        <v>48</v>
      </c>
      <c r="H334" s="8">
        <v>1</v>
      </c>
      <c r="I334" s="10">
        <v>134.1</v>
      </c>
      <c r="J334" s="14">
        <f>P334*I334</f>
        <v>134.1</v>
      </c>
      <c r="K334" s="16">
        <v>380</v>
      </c>
      <c r="L334" s="1" t="s">
        <v>30</v>
      </c>
      <c r="M334" t="s">
        <v>22</v>
      </c>
      <c r="N334" t="str">
        <f t="shared" si="5"/>
        <v>United Kingdom</v>
      </c>
      <c r="O334" s="8">
        <f>IF(K334&gt;=1,K334,K334*1000)</f>
        <v>380</v>
      </c>
      <c r="P334">
        <f>ABS(H334)</f>
        <v>1</v>
      </c>
      <c r="R334"/>
    </row>
    <row r="335" spans="1:18" x14ac:dyDescent="0.35">
      <c r="A335" t="s">
        <v>810</v>
      </c>
      <c r="B335" s="2">
        <v>46128</v>
      </c>
      <c r="C335" t="s">
        <v>709</v>
      </c>
      <c r="D335" s="3" t="s">
        <v>99</v>
      </c>
      <c r="E335" t="s">
        <v>67</v>
      </c>
      <c r="F335" t="s">
        <v>74</v>
      </c>
      <c r="G335" t="s">
        <v>75</v>
      </c>
      <c r="H335" s="8">
        <v>2</v>
      </c>
      <c r="I335" s="10">
        <v>45</v>
      </c>
      <c r="J335" s="14">
        <f>P335*I335</f>
        <v>90</v>
      </c>
      <c r="K335" s="16">
        <v>410</v>
      </c>
      <c r="L335" s="1" t="s">
        <v>30</v>
      </c>
      <c r="M335" t="s">
        <v>22</v>
      </c>
      <c r="N335" t="str">
        <f t="shared" si="5"/>
        <v>United Kingdom</v>
      </c>
      <c r="O335" s="8">
        <f>IF(K335&gt;=1,K335,K335*1000)</f>
        <v>410</v>
      </c>
      <c r="P335">
        <f>ABS(H335)</f>
        <v>2</v>
      </c>
      <c r="R335"/>
    </row>
    <row r="336" spans="1:18" x14ac:dyDescent="0.35">
      <c r="A336" t="s">
        <v>811</v>
      </c>
      <c r="B336" s="2" t="s">
        <v>812</v>
      </c>
      <c r="C336" t="s">
        <v>813</v>
      </c>
      <c r="D336" s="3" t="s">
        <v>116</v>
      </c>
      <c r="E336" t="s">
        <v>41</v>
      </c>
      <c r="F336" t="s">
        <v>35</v>
      </c>
      <c r="G336" t="s">
        <v>36</v>
      </c>
      <c r="H336" s="8">
        <v>1</v>
      </c>
      <c r="I336" s="10">
        <v>40.5</v>
      </c>
      <c r="J336" s="14">
        <f>P336*I336</f>
        <v>40.5</v>
      </c>
      <c r="K336" s="16">
        <v>8.5000000000000006E-2</v>
      </c>
      <c r="L336" s="1" t="s">
        <v>30</v>
      </c>
      <c r="M336" t="s">
        <v>22</v>
      </c>
      <c r="N336" t="str">
        <f t="shared" si="5"/>
        <v>Germany</v>
      </c>
      <c r="O336" s="8">
        <f>IF(K336&gt;=1,K336,K336*1000)</f>
        <v>85</v>
      </c>
      <c r="P336">
        <f>ABS(H336)</f>
        <v>1</v>
      </c>
      <c r="R336"/>
    </row>
    <row r="337" spans="1:18" x14ac:dyDescent="0.35">
      <c r="A337" t="s">
        <v>814</v>
      </c>
      <c r="B337" s="2">
        <v>46139</v>
      </c>
      <c r="C337" t="s">
        <v>815</v>
      </c>
      <c r="D337" s="3" t="s">
        <v>116</v>
      </c>
      <c r="E337" t="s">
        <v>25</v>
      </c>
      <c r="F337" t="s">
        <v>35</v>
      </c>
      <c r="G337" t="s">
        <v>36</v>
      </c>
      <c r="H337" s="8">
        <v>1</v>
      </c>
      <c r="I337" s="10">
        <v>79</v>
      </c>
      <c r="J337" s="14">
        <f>P337*I337</f>
        <v>79</v>
      </c>
      <c r="K337" s="16">
        <v>8.5000000000000006E-2</v>
      </c>
      <c r="L337" s="1" t="s">
        <v>30</v>
      </c>
      <c r="M337" t="s">
        <v>22</v>
      </c>
      <c r="N337" t="str">
        <f t="shared" si="5"/>
        <v>Germany</v>
      </c>
      <c r="O337" s="8">
        <f>IF(K337&gt;=1,K337,K337*1000)</f>
        <v>85</v>
      </c>
      <c r="P337">
        <f>ABS(H337)</f>
        <v>1</v>
      </c>
      <c r="R337"/>
    </row>
    <row r="338" spans="1:18" x14ac:dyDescent="0.35">
      <c r="A338" t="s">
        <v>816</v>
      </c>
      <c r="B338" s="2">
        <v>46121</v>
      </c>
      <c r="C338" t="s">
        <v>817</v>
      </c>
      <c r="D338" s="3" t="s">
        <v>116</v>
      </c>
      <c r="E338" t="s">
        <v>25</v>
      </c>
      <c r="F338" t="s">
        <v>83</v>
      </c>
      <c r="G338" t="s">
        <v>84</v>
      </c>
      <c r="H338" s="8">
        <v>1</v>
      </c>
      <c r="I338" s="12" t="s">
        <v>4629</v>
      </c>
      <c r="J338" s="14">
        <f>P338*R338</f>
        <v>34.1</v>
      </c>
      <c r="K338" s="16">
        <v>340</v>
      </c>
      <c r="L338" s="1" t="s">
        <v>21</v>
      </c>
      <c r="M338" t="s">
        <v>22</v>
      </c>
      <c r="N338" t="str">
        <f t="shared" si="5"/>
        <v>Germany</v>
      </c>
      <c r="O338" s="8">
        <f>IF(K338&gt;=1,K338,K338*1000)</f>
        <v>340</v>
      </c>
      <c r="P338">
        <f>ABS(H338)</f>
        <v>1</v>
      </c>
      <c r="Q338" t="str">
        <f>LEFT(I338,3)</f>
        <v>GBP</v>
      </c>
      <c r="R338" s="10" t="str">
        <f>RIGHT(I338,5)</f>
        <v>34,10</v>
      </c>
    </row>
    <row r="339" spans="1:18" x14ac:dyDescent="0.35">
      <c r="A339" t="s">
        <v>818</v>
      </c>
      <c r="B339" s="2">
        <v>46083</v>
      </c>
      <c r="C339" t="s">
        <v>547</v>
      </c>
      <c r="D339" s="3" t="s">
        <v>46</v>
      </c>
      <c r="E339" t="s">
        <v>67</v>
      </c>
      <c r="F339" t="s">
        <v>83</v>
      </c>
      <c r="G339" t="s">
        <v>84</v>
      </c>
      <c r="H339" s="8">
        <v>3</v>
      </c>
      <c r="I339" s="10">
        <v>129</v>
      </c>
      <c r="J339" s="14">
        <f>P339*I339</f>
        <v>387</v>
      </c>
      <c r="K339" s="16">
        <v>340</v>
      </c>
      <c r="L339" s="1" t="s">
        <v>30</v>
      </c>
      <c r="M339" t="s">
        <v>22</v>
      </c>
      <c r="N339" t="str">
        <f t="shared" si="5"/>
        <v>Ireland</v>
      </c>
      <c r="O339" s="8">
        <f>IF(K339&gt;=1,K339,K339*1000)</f>
        <v>340</v>
      </c>
      <c r="P339">
        <f>ABS(H339)</f>
        <v>3</v>
      </c>
      <c r="R339"/>
    </row>
    <row r="340" spans="1:18" x14ac:dyDescent="0.35">
      <c r="A340" t="s">
        <v>819</v>
      </c>
      <c r="B340" s="2">
        <v>46041</v>
      </c>
      <c r="C340" t="s">
        <v>820</v>
      </c>
      <c r="D340" s="3" t="s">
        <v>66</v>
      </c>
      <c r="E340" t="s">
        <v>67</v>
      </c>
      <c r="F340" t="s">
        <v>35</v>
      </c>
      <c r="G340" t="s">
        <v>36</v>
      </c>
      <c r="H340" s="8">
        <v>2</v>
      </c>
      <c r="I340" s="10">
        <v>12.5</v>
      </c>
      <c r="J340" s="14">
        <f>P340*I340</f>
        <v>25</v>
      </c>
      <c r="K340" s="16">
        <v>85</v>
      </c>
      <c r="L340" s="1" t="s">
        <v>30</v>
      </c>
      <c r="M340" t="s">
        <v>58</v>
      </c>
      <c r="N340" t="str">
        <f t="shared" si="5"/>
        <v>Gb</v>
      </c>
      <c r="O340" s="8">
        <f>IF(K340&gt;=1,K340,K340*1000)</f>
        <v>85</v>
      </c>
      <c r="P340">
        <f>ABS(H340)</f>
        <v>2</v>
      </c>
      <c r="R340"/>
    </row>
    <row r="341" spans="1:18" x14ac:dyDescent="0.35">
      <c r="A341" t="s">
        <v>821</v>
      </c>
      <c r="B341" s="2">
        <v>46143</v>
      </c>
      <c r="C341" t="s">
        <v>822</v>
      </c>
      <c r="D341" s="3" t="s">
        <v>53</v>
      </c>
      <c r="E341" t="s">
        <v>16</v>
      </c>
      <c r="F341" t="s">
        <v>35</v>
      </c>
      <c r="G341" t="s">
        <v>36</v>
      </c>
      <c r="H341" s="8">
        <v>2</v>
      </c>
      <c r="I341" s="10">
        <v>129</v>
      </c>
      <c r="J341" s="14">
        <f>P341*I341</f>
        <v>258</v>
      </c>
      <c r="K341" s="16">
        <v>8.5000000000000006E-2</v>
      </c>
      <c r="L341" s="1" t="s">
        <v>30</v>
      </c>
      <c r="M341" t="s">
        <v>22</v>
      </c>
      <c r="N341" t="str">
        <f t="shared" si="5"/>
        <v>Gb</v>
      </c>
      <c r="O341" s="8">
        <f>IF(K341&gt;=1,K341,K341*1000)</f>
        <v>85</v>
      </c>
      <c r="P341">
        <f>ABS(H341)</f>
        <v>2</v>
      </c>
      <c r="R341"/>
    </row>
    <row r="342" spans="1:18" x14ac:dyDescent="0.35">
      <c r="A342" t="s">
        <v>823</v>
      </c>
      <c r="B342" s="2">
        <v>46161</v>
      </c>
      <c r="C342" t="s">
        <v>325</v>
      </c>
      <c r="D342" s="3" t="s">
        <v>99</v>
      </c>
      <c r="E342" t="s">
        <v>67</v>
      </c>
      <c r="F342" t="s">
        <v>26</v>
      </c>
      <c r="G342" t="s">
        <v>27</v>
      </c>
      <c r="H342" s="8">
        <v>1</v>
      </c>
      <c r="I342" s="10">
        <v>24</v>
      </c>
      <c r="J342" s="14">
        <f>P342*I342</f>
        <v>24</v>
      </c>
      <c r="K342" s="16">
        <v>0.52</v>
      </c>
      <c r="L342" s="1" t="s">
        <v>30</v>
      </c>
      <c r="M342" t="s">
        <v>22</v>
      </c>
      <c r="N342" t="str">
        <f t="shared" si="5"/>
        <v>United Kingdom</v>
      </c>
      <c r="O342" s="8">
        <f>IF(K342&gt;=1,K342,K342*1000)</f>
        <v>520</v>
      </c>
      <c r="P342">
        <f>ABS(H342)</f>
        <v>1</v>
      </c>
      <c r="R342"/>
    </row>
    <row r="343" spans="1:18" x14ac:dyDescent="0.35">
      <c r="A343" t="s">
        <v>824</v>
      </c>
      <c r="B343" s="2">
        <v>46164</v>
      </c>
      <c r="C343" t="s">
        <v>825</v>
      </c>
      <c r="D343" s="3" t="s">
        <v>53</v>
      </c>
      <c r="E343" t="s">
        <v>16</v>
      </c>
      <c r="F343" t="s">
        <v>17</v>
      </c>
      <c r="G343" t="s">
        <v>18</v>
      </c>
      <c r="H343" s="8">
        <v>2</v>
      </c>
      <c r="I343" s="10">
        <v>134.1</v>
      </c>
      <c r="J343" s="14">
        <f>P343*I343</f>
        <v>268.2</v>
      </c>
      <c r="K343" s="16">
        <v>0.52</v>
      </c>
      <c r="L343" s="1" t="s">
        <v>21</v>
      </c>
      <c r="M343" t="s">
        <v>22</v>
      </c>
      <c r="N343" t="str">
        <f t="shared" si="5"/>
        <v>Gb</v>
      </c>
      <c r="O343" s="8">
        <f>IF(K343&gt;=1,K343,K343*1000)</f>
        <v>520</v>
      </c>
      <c r="P343">
        <f>ABS(H343)</f>
        <v>2</v>
      </c>
      <c r="R343"/>
    </row>
    <row r="344" spans="1:18" x14ac:dyDescent="0.35">
      <c r="A344" t="s">
        <v>827</v>
      </c>
      <c r="B344" s="2">
        <v>46050</v>
      </c>
      <c r="C344" t="s">
        <v>828</v>
      </c>
      <c r="D344" s="3" t="s">
        <v>46</v>
      </c>
      <c r="E344" t="s">
        <v>16</v>
      </c>
      <c r="F344" t="s">
        <v>83</v>
      </c>
      <c r="G344" t="s">
        <v>84</v>
      </c>
      <c r="H344" s="8">
        <v>2</v>
      </c>
      <c r="I344" s="10">
        <v>129</v>
      </c>
      <c r="J344" s="14">
        <f>P344*I344</f>
        <v>258</v>
      </c>
      <c r="K344" s="16">
        <v>340</v>
      </c>
      <c r="L344" s="1" t="s">
        <v>30</v>
      </c>
      <c r="M344" t="s">
        <v>22</v>
      </c>
      <c r="N344" t="str">
        <f t="shared" si="5"/>
        <v>Ireland</v>
      </c>
      <c r="O344" s="8">
        <f>IF(K344&gt;=1,K344,K344*1000)</f>
        <v>340</v>
      </c>
      <c r="P344">
        <f>ABS(H344)</f>
        <v>2</v>
      </c>
      <c r="R344"/>
    </row>
    <row r="345" spans="1:18" x14ac:dyDescent="0.35">
      <c r="A345" t="s">
        <v>829</v>
      </c>
      <c r="B345" s="2">
        <v>46148</v>
      </c>
      <c r="C345" t="s">
        <v>830</v>
      </c>
      <c r="D345" s="3" t="s">
        <v>4612</v>
      </c>
      <c r="E345" t="s">
        <v>34</v>
      </c>
      <c r="F345" t="s">
        <v>89</v>
      </c>
      <c r="G345" t="s">
        <v>90</v>
      </c>
      <c r="H345" s="8">
        <v>1</v>
      </c>
      <c r="I345" s="10">
        <v>134.1</v>
      </c>
      <c r="J345" s="14">
        <f>P345*I345</f>
        <v>134.1</v>
      </c>
      <c r="K345" s="16">
        <v>0.64</v>
      </c>
      <c r="L345" s="1" t="s">
        <v>21</v>
      </c>
      <c r="M345" t="s">
        <v>22</v>
      </c>
      <c r="N345" t="str">
        <f t="shared" si="5"/>
        <v>United Kingdom</v>
      </c>
      <c r="O345" s="8">
        <f>IF(K345&gt;=1,K345,K345*1000)</f>
        <v>640</v>
      </c>
      <c r="P345">
        <f>ABS(H345)</f>
        <v>1</v>
      </c>
      <c r="R345"/>
    </row>
    <row r="346" spans="1:18" x14ac:dyDescent="0.35">
      <c r="A346" t="s">
        <v>831</v>
      </c>
      <c r="B346" s="2">
        <v>46080</v>
      </c>
      <c r="C346" t="s">
        <v>832</v>
      </c>
      <c r="D346" s="3" t="s">
        <v>99</v>
      </c>
      <c r="E346" t="s">
        <v>34</v>
      </c>
      <c r="F346" t="s">
        <v>47</v>
      </c>
      <c r="G346" t="s">
        <v>48</v>
      </c>
      <c r="H346" s="8">
        <v>2</v>
      </c>
      <c r="I346" s="12" t="s">
        <v>4638</v>
      </c>
      <c r="J346" s="14">
        <f>P346*R346</f>
        <v>43.2</v>
      </c>
      <c r="K346" s="16">
        <v>380</v>
      </c>
      <c r="L346" s="1" t="s">
        <v>30</v>
      </c>
      <c r="M346" t="s">
        <v>22</v>
      </c>
      <c r="N346" t="str">
        <f t="shared" si="5"/>
        <v>United Kingdom</v>
      </c>
      <c r="O346" s="8">
        <f>IF(K346&gt;=1,K346,K346*1000)</f>
        <v>380</v>
      </c>
      <c r="P346">
        <f>ABS(H346)</f>
        <v>2</v>
      </c>
      <c r="Q346" t="str">
        <f>LEFT(I346,2)</f>
        <v>Â£</v>
      </c>
      <c r="R346" t="str">
        <f>RIGHT(I346,5)</f>
        <v>21,60</v>
      </c>
    </row>
    <row r="347" spans="1:18" x14ac:dyDescent="0.35">
      <c r="A347" t="s">
        <v>833</v>
      </c>
      <c r="B347" s="2">
        <v>46042</v>
      </c>
      <c r="C347" t="s">
        <v>834</v>
      </c>
      <c r="D347" s="3" t="s">
        <v>116</v>
      </c>
      <c r="E347" t="s">
        <v>16</v>
      </c>
      <c r="F347" t="s">
        <v>26</v>
      </c>
      <c r="G347" t="s">
        <v>27</v>
      </c>
      <c r="H347" s="8">
        <v>2</v>
      </c>
      <c r="I347" s="10">
        <v>95</v>
      </c>
      <c r="J347" s="14">
        <f>P347*I347</f>
        <v>190</v>
      </c>
      <c r="K347" s="16">
        <v>520</v>
      </c>
      <c r="L347" s="1" t="s">
        <v>30</v>
      </c>
      <c r="M347" t="s">
        <v>22</v>
      </c>
      <c r="N347" t="str">
        <f t="shared" si="5"/>
        <v>Germany</v>
      </c>
      <c r="O347" s="8">
        <f>IF(K347&gt;=1,K347,K347*1000)</f>
        <v>520</v>
      </c>
      <c r="P347">
        <f>ABS(H347)</f>
        <v>2</v>
      </c>
      <c r="R347"/>
    </row>
    <row r="348" spans="1:18" x14ac:dyDescent="0.35">
      <c r="A348" t="s">
        <v>835</v>
      </c>
      <c r="B348" s="2">
        <v>46088</v>
      </c>
      <c r="C348" t="s">
        <v>836</v>
      </c>
      <c r="D348" s="3" t="s">
        <v>53</v>
      </c>
      <c r="E348" t="s">
        <v>67</v>
      </c>
      <c r="F348" t="s">
        <v>42</v>
      </c>
      <c r="G348" t="s">
        <v>43</v>
      </c>
      <c r="H348" s="8">
        <v>3</v>
      </c>
      <c r="I348" s="10">
        <v>24</v>
      </c>
      <c r="J348" s="14">
        <f>P348*I348</f>
        <v>72</v>
      </c>
      <c r="K348" s="16">
        <v>190</v>
      </c>
      <c r="L348" s="1" t="s">
        <v>30</v>
      </c>
      <c r="M348" t="s">
        <v>22</v>
      </c>
      <c r="N348" t="str">
        <f t="shared" si="5"/>
        <v>Gb</v>
      </c>
      <c r="O348" s="8">
        <f>IF(K348&gt;=1,K348,K348*1000)</f>
        <v>190</v>
      </c>
      <c r="P348">
        <f>ABS(H348)</f>
        <v>3</v>
      </c>
      <c r="R348"/>
    </row>
    <row r="349" spans="1:18" x14ac:dyDescent="0.35">
      <c r="A349" t="s">
        <v>837</v>
      </c>
      <c r="B349" s="2">
        <v>46077</v>
      </c>
      <c r="C349" t="s">
        <v>838</v>
      </c>
      <c r="D349" s="3" t="s">
        <v>53</v>
      </c>
      <c r="E349" t="s">
        <v>41</v>
      </c>
      <c r="F349" t="s">
        <v>17</v>
      </c>
      <c r="G349" t="s">
        <v>18</v>
      </c>
      <c r="H349" s="8">
        <v>1</v>
      </c>
      <c r="I349" s="10">
        <v>129</v>
      </c>
      <c r="J349" s="14">
        <f>P349*I349</f>
        <v>129</v>
      </c>
      <c r="K349" s="16">
        <v>520</v>
      </c>
      <c r="L349" s="1" t="s">
        <v>30</v>
      </c>
      <c r="M349" t="s">
        <v>22</v>
      </c>
      <c r="N349" t="str">
        <f t="shared" si="5"/>
        <v>Gb</v>
      </c>
      <c r="O349" s="8">
        <f>IF(K349&gt;=1,K349,K349*1000)</f>
        <v>520</v>
      </c>
      <c r="P349">
        <f>ABS(H349)</f>
        <v>1</v>
      </c>
      <c r="R349"/>
    </row>
    <row r="350" spans="1:18" x14ac:dyDescent="0.35">
      <c r="A350" t="s">
        <v>839</v>
      </c>
      <c r="B350" s="2">
        <v>46165</v>
      </c>
      <c r="C350" t="s">
        <v>840</v>
      </c>
      <c r="D350" s="3" t="s">
        <v>15</v>
      </c>
      <c r="E350" t="s">
        <v>34</v>
      </c>
      <c r="F350" t="s">
        <v>74</v>
      </c>
      <c r="G350" t="s">
        <v>75</v>
      </c>
      <c r="H350" s="8">
        <v>1</v>
      </c>
      <c r="I350" s="10">
        <v>116.1</v>
      </c>
      <c r="J350" s="14">
        <f>P350*I350</f>
        <v>116.1</v>
      </c>
      <c r="K350" s="16">
        <v>0.41</v>
      </c>
      <c r="L350" s="1" t="s">
        <v>30</v>
      </c>
      <c r="M350" t="s">
        <v>22</v>
      </c>
      <c r="N350" t="str">
        <f t="shared" si="5"/>
        <v>France</v>
      </c>
      <c r="O350" s="8">
        <f>IF(K350&gt;=1,K350,K350*1000)</f>
        <v>410</v>
      </c>
      <c r="P350">
        <f>ABS(H350)</f>
        <v>1</v>
      </c>
      <c r="R350"/>
    </row>
    <row r="351" spans="1:18" x14ac:dyDescent="0.35">
      <c r="A351" t="s">
        <v>841</v>
      </c>
      <c r="B351" s="2">
        <v>46105</v>
      </c>
      <c r="C351" t="s">
        <v>842</v>
      </c>
      <c r="D351" s="3" t="s">
        <v>66</v>
      </c>
      <c r="E351" t="s">
        <v>41</v>
      </c>
      <c r="F351" t="s">
        <v>42</v>
      </c>
      <c r="G351" t="s">
        <v>43</v>
      </c>
      <c r="H351" s="8">
        <v>3</v>
      </c>
      <c r="I351" s="10">
        <v>12.5</v>
      </c>
      <c r="J351" s="14">
        <f>P351*I351</f>
        <v>37.5</v>
      </c>
      <c r="K351" s="16">
        <v>190</v>
      </c>
      <c r="L351" s="1" t="s">
        <v>30</v>
      </c>
      <c r="M351" t="s">
        <v>22</v>
      </c>
      <c r="N351" t="str">
        <f t="shared" si="5"/>
        <v>Gb</v>
      </c>
      <c r="O351" s="8">
        <f>IF(K351&gt;=1,K351,K351*1000)</f>
        <v>190</v>
      </c>
      <c r="P351">
        <f>ABS(H351)</f>
        <v>3</v>
      </c>
      <c r="R351"/>
    </row>
    <row r="352" spans="1:18" x14ac:dyDescent="0.35">
      <c r="A352" t="s">
        <v>843</v>
      </c>
      <c r="B352" s="2">
        <v>46120</v>
      </c>
      <c r="C352" t="s">
        <v>844</v>
      </c>
      <c r="D352" s="3" t="s">
        <v>99</v>
      </c>
      <c r="E352" t="s">
        <v>41</v>
      </c>
      <c r="F352" t="s">
        <v>35</v>
      </c>
      <c r="G352" t="s">
        <v>36</v>
      </c>
      <c r="H352" s="8">
        <v>2</v>
      </c>
      <c r="I352" s="10">
        <v>129</v>
      </c>
      <c r="J352" s="14">
        <f>P352*I352</f>
        <v>258</v>
      </c>
      <c r="K352" s="16">
        <v>85</v>
      </c>
      <c r="L352" s="1" t="s">
        <v>30</v>
      </c>
      <c r="M352" t="s">
        <v>22</v>
      </c>
      <c r="N352" t="str">
        <f t="shared" si="5"/>
        <v>United Kingdom</v>
      </c>
      <c r="O352" s="8">
        <f>IF(K352&gt;=1,K352,K352*1000)</f>
        <v>85</v>
      </c>
      <c r="P352">
        <f>ABS(H352)</f>
        <v>2</v>
      </c>
      <c r="R352"/>
    </row>
    <row r="353" spans="1:18" x14ac:dyDescent="0.35">
      <c r="A353" t="s">
        <v>845</v>
      </c>
      <c r="B353" s="2">
        <v>46080</v>
      </c>
      <c r="C353" t="s">
        <v>354</v>
      </c>
      <c r="D353" s="3" t="s">
        <v>66</v>
      </c>
      <c r="E353" t="s">
        <v>34</v>
      </c>
      <c r="F353" t="s">
        <v>47</v>
      </c>
      <c r="G353" t="s">
        <v>48</v>
      </c>
      <c r="H353" s="8">
        <v>2</v>
      </c>
      <c r="I353" s="10">
        <v>21.6</v>
      </c>
      <c r="J353" s="14">
        <f>P353*I353</f>
        <v>43.2</v>
      </c>
      <c r="K353" s="16">
        <v>380</v>
      </c>
      <c r="L353" s="1" t="s">
        <v>30</v>
      </c>
      <c r="M353" t="s">
        <v>58</v>
      </c>
      <c r="N353" t="str">
        <f t="shared" si="5"/>
        <v>Gb</v>
      </c>
      <c r="O353" s="8">
        <f>IF(K353&gt;=1,K353,K353*1000)</f>
        <v>380</v>
      </c>
      <c r="P353">
        <f>ABS(H353)</f>
        <v>2</v>
      </c>
      <c r="R353"/>
    </row>
    <row r="354" spans="1:18" x14ac:dyDescent="0.35">
      <c r="A354" t="s">
        <v>846</v>
      </c>
      <c r="B354" s="2">
        <v>46138</v>
      </c>
      <c r="C354" t="s">
        <v>847</v>
      </c>
      <c r="D354" s="3" t="s">
        <v>116</v>
      </c>
      <c r="E354" t="s">
        <v>41</v>
      </c>
      <c r="F354" t="s">
        <v>89</v>
      </c>
      <c r="G354" t="s">
        <v>90</v>
      </c>
      <c r="H354" s="8">
        <v>-2</v>
      </c>
      <c r="I354" s="10">
        <v>79</v>
      </c>
      <c r="J354" s="14">
        <f>P354*I354</f>
        <v>158</v>
      </c>
      <c r="K354" s="16">
        <v>0.64</v>
      </c>
      <c r="L354" s="1" t="s">
        <v>30</v>
      </c>
      <c r="M354" t="s">
        <v>22</v>
      </c>
      <c r="N354" t="str">
        <f t="shared" si="5"/>
        <v>Germany</v>
      </c>
      <c r="O354" s="8">
        <f>IF(K354&gt;=1,K354,K354*1000)</f>
        <v>640</v>
      </c>
      <c r="P354">
        <f>ABS(H354)</f>
        <v>2</v>
      </c>
      <c r="R354"/>
    </row>
    <row r="355" spans="1:18" x14ac:dyDescent="0.35">
      <c r="A355" t="s">
        <v>849</v>
      </c>
      <c r="B355" s="2">
        <v>46049</v>
      </c>
      <c r="C355" t="s">
        <v>850</v>
      </c>
      <c r="D355" s="3" t="s">
        <v>116</v>
      </c>
      <c r="E355" t="s">
        <v>16</v>
      </c>
      <c r="F355" t="s">
        <v>26</v>
      </c>
      <c r="G355" t="s">
        <v>27</v>
      </c>
      <c r="H355" s="8">
        <v>2</v>
      </c>
      <c r="I355" s="10">
        <v>45</v>
      </c>
      <c r="J355" s="14">
        <f>P355*I355</f>
        <v>90</v>
      </c>
      <c r="K355" s="16">
        <v>520</v>
      </c>
      <c r="L355" s="1" t="s">
        <v>30</v>
      </c>
      <c r="M355" t="s">
        <v>22</v>
      </c>
      <c r="N355" t="str">
        <f t="shared" si="5"/>
        <v>Germany</v>
      </c>
      <c r="O355" s="8">
        <f>IF(K355&gt;=1,K355,K355*1000)</f>
        <v>520</v>
      </c>
      <c r="P355">
        <f>ABS(H355)</f>
        <v>2</v>
      </c>
      <c r="R355"/>
    </row>
    <row r="356" spans="1:18" x14ac:dyDescent="0.35">
      <c r="A356" t="s">
        <v>851</v>
      </c>
      <c r="B356" s="2">
        <v>46098</v>
      </c>
      <c r="C356" t="s">
        <v>852</v>
      </c>
      <c r="D356" s="3" t="s">
        <v>4613</v>
      </c>
      <c r="E356" t="s">
        <v>67</v>
      </c>
      <c r="F356" t="s">
        <v>17</v>
      </c>
      <c r="G356" t="s">
        <v>18</v>
      </c>
      <c r="H356" s="8">
        <v>2</v>
      </c>
      <c r="I356" s="10">
        <v>24</v>
      </c>
      <c r="J356" s="14">
        <f>P356*I356</f>
        <v>48</v>
      </c>
      <c r="K356" s="16">
        <v>520</v>
      </c>
      <c r="L356" s="1" t="s">
        <v>30</v>
      </c>
      <c r="M356" t="s">
        <v>22</v>
      </c>
      <c r="N356" t="str">
        <f t="shared" si="5"/>
        <v>United Kingdom</v>
      </c>
      <c r="O356" s="8">
        <f>IF(K356&gt;=1,K356,K356*1000)</f>
        <v>520</v>
      </c>
      <c r="P356">
        <f>ABS(H356)</f>
        <v>2</v>
      </c>
      <c r="R356"/>
    </row>
    <row r="357" spans="1:18" x14ac:dyDescent="0.35">
      <c r="A357" t="s">
        <v>853</v>
      </c>
      <c r="B357" s="2">
        <v>46036</v>
      </c>
      <c r="C357" t="s">
        <v>854</v>
      </c>
      <c r="D357" s="3" t="s">
        <v>15</v>
      </c>
      <c r="E357" t="s">
        <v>41</v>
      </c>
      <c r="F357" t="s">
        <v>74</v>
      </c>
      <c r="G357" t="s">
        <v>75</v>
      </c>
      <c r="H357" s="8">
        <v>2</v>
      </c>
      <c r="I357" s="10">
        <v>12.5</v>
      </c>
      <c r="J357" s="14">
        <f>P357*I357</f>
        <v>25</v>
      </c>
      <c r="K357" s="16">
        <v>410</v>
      </c>
      <c r="L357" s="1" t="s">
        <v>30</v>
      </c>
      <c r="M357" t="s">
        <v>22</v>
      </c>
      <c r="N357" t="str">
        <f t="shared" si="5"/>
        <v>France</v>
      </c>
      <c r="O357" s="8">
        <f>IF(K357&gt;=1,K357,K357*1000)</f>
        <v>410</v>
      </c>
      <c r="P357">
        <f>ABS(H357)</f>
        <v>2</v>
      </c>
      <c r="R357"/>
    </row>
    <row r="358" spans="1:18" x14ac:dyDescent="0.35">
      <c r="A358" t="s">
        <v>855</v>
      </c>
      <c r="B358" s="2">
        <v>46061</v>
      </c>
      <c r="C358" t="s">
        <v>624</v>
      </c>
      <c r="D358" s="3" t="s">
        <v>46</v>
      </c>
      <c r="E358" t="s">
        <v>16</v>
      </c>
      <c r="F358" t="s">
        <v>83</v>
      </c>
      <c r="G358" t="s">
        <v>84</v>
      </c>
      <c r="H358" s="8">
        <v>3</v>
      </c>
      <c r="I358" s="10">
        <v>80.099999999999994</v>
      </c>
      <c r="J358" s="14">
        <f>P358*I358</f>
        <v>240.29999999999998</v>
      </c>
      <c r="K358" s="16">
        <v>340</v>
      </c>
      <c r="L358" s="1" t="s">
        <v>30</v>
      </c>
      <c r="M358" t="s">
        <v>58</v>
      </c>
      <c r="N358" t="str">
        <f t="shared" si="5"/>
        <v>Ireland</v>
      </c>
      <c r="O358" s="8">
        <f>IF(K358&gt;=1,K358,K358*1000)</f>
        <v>340</v>
      </c>
      <c r="P358">
        <f>ABS(H358)</f>
        <v>3</v>
      </c>
      <c r="R358"/>
    </row>
    <row r="359" spans="1:18" x14ac:dyDescent="0.35">
      <c r="A359" t="s">
        <v>857</v>
      </c>
      <c r="B359" s="2">
        <v>46048</v>
      </c>
      <c r="C359" t="s">
        <v>858</v>
      </c>
      <c r="D359" s="3" t="s">
        <v>66</v>
      </c>
      <c r="E359" t="s">
        <v>34</v>
      </c>
      <c r="F359" t="s">
        <v>83</v>
      </c>
      <c r="G359" t="s">
        <v>84</v>
      </c>
      <c r="H359" s="8">
        <v>1</v>
      </c>
      <c r="I359" s="10">
        <v>129</v>
      </c>
      <c r="J359" s="14">
        <f>P359*I359</f>
        <v>129</v>
      </c>
      <c r="K359" s="16">
        <v>340</v>
      </c>
      <c r="L359" s="1" t="s">
        <v>30</v>
      </c>
      <c r="M359" t="s">
        <v>22</v>
      </c>
      <c r="N359" t="str">
        <f t="shared" si="5"/>
        <v>Gb</v>
      </c>
      <c r="O359" s="8">
        <f>IF(K359&gt;=1,K359,K359*1000)</f>
        <v>340</v>
      </c>
      <c r="P359">
        <f>ABS(H359)</f>
        <v>1</v>
      </c>
      <c r="R359"/>
    </row>
    <row r="360" spans="1:18" x14ac:dyDescent="0.35">
      <c r="A360" t="s">
        <v>859</v>
      </c>
      <c r="B360" s="2">
        <v>46070</v>
      </c>
      <c r="C360" t="s">
        <v>860</v>
      </c>
      <c r="D360" s="3" t="s">
        <v>4613</v>
      </c>
      <c r="E360" t="s">
        <v>25</v>
      </c>
      <c r="F360" t="s">
        <v>42</v>
      </c>
      <c r="G360" t="s">
        <v>43</v>
      </c>
      <c r="H360" s="8">
        <v>3</v>
      </c>
      <c r="I360" s="10">
        <v>12.5</v>
      </c>
      <c r="J360" s="14">
        <f>P360*I360</f>
        <v>37.5</v>
      </c>
      <c r="K360" s="16">
        <v>190</v>
      </c>
      <c r="L360" s="1" t="s">
        <v>21</v>
      </c>
      <c r="M360" t="s">
        <v>22</v>
      </c>
      <c r="N360" t="str">
        <f t="shared" si="5"/>
        <v>United Kingdom</v>
      </c>
      <c r="O360" s="8">
        <f>IF(K360&gt;=1,K360,K360*1000)</f>
        <v>190</v>
      </c>
      <c r="P360">
        <f>ABS(H360)</f>
        <v>3</v>
      </c>
      <c r="R360"/>
    </row>
    <row r="361" spans="1:18" x14ac:dyDescent="0.35">
      <c r="A361" t="s">
        <v>861</v>
      </c>
      <c r="B361" s="2">
        <v>46123</v>
      </c>
      <c r="C361" t="s">
        <v>862</v>
      </c>
      <c r="D361" s="3" t="s">
        <v>99</v>
      </c>
      <c r="E361" t="s">
        <v>67</v>
      </c>
      <c r="F361" t="s">
        <v>42</v>
      </c>
      <c r="G361" t="s">
        <v>43</v>
      </c>
      <c r="H361" s="8">
        <v>2</v>
      </c>
      <c r="I361" s="10">
        <v>129</v>
      </c>
      <c r="J361" s="14">
        <f>P361*I361</f>
        <v>258</v>
      </c>
      <c r="K361" s="16">
        <v>190</v>
      </c>
      <c r="L361" s="1" t="s">
        <v>30</v>
      </c>
      <c r="M361" t="s">
        <v>22</v>
      </c>
      <c r="N361" t="str">
        <f t="shared" si="5"/>
        <v>United Kingdom</v>
      </c>
      <c r="O361" s="8">
        <f>IF(K361&gt;=1,K361,K361*1000)</f>
        <v>190</v>
      </c>
      <c r="P361">
        <f>ABS(H361)</f>
        <v>2</v>
      </c>
      <c r="R361"/>
    </row>
    <row r="362" spans="1:18" x14ac:dyDescent="0.35">
      <c r="A362" t="s">
        <v>863</v>
      </c>
      <c r="B362" s="2" t="s">
        <v>236</v>
      </c>
      <c r="C362" t="s">
        <v>864</v>
      </c>
      <c r="D362" s="3" t="s">
        <v>116</v>
      </c>
      <c r="E362" t="s">
        <v>16</v>
      </c>
      <c r="F362" t="s">
        <v>74</v>
      </c>
      <c r="G362" t="s">
        <v>75</v>
      </c>
      <c r="H362" s="8">
        <v>3</v>
      </c>
      <c r="I362" s="10">
        <v>129</v>
      </c>
      <c r="J362" s="14">
        <f>P362*I362</f>
        <v>387</v>
      </c>
      <c r="K362" s="16">
        <v>410</v>
      </c>
      <c r="L362" s="1" t="s">
        <v>21</v>
      </c>
      <c r="M362" t="s">
        <v>22</v>
      </c>
      <c r="N362" t="str">
        <f t="shared" si="5"/>
        <v>Germany</v>
      </c>
      <c r="O362" s="8">
        <f>IF(K362&gt;=1,K362,K362*1000)</f>
        <v>410</v>
      </c>
      <c r="P362">
        <f>ABS(H362)</f>
        <v>3</v>
      </c>
      <c r="R362"/>
    </row>
    <row r="363" spans="1:18" x14ac:dyDescent="0.35">
      <c r="A363" t="s">
        <v>865</v>
      </c>
      <c r="B363" s="2">
        <v>46127</v>
      </c>
      <c r="C363" t="s">
        <v>866</v>
      </c>
      <c r="D363" s="3" t="s">
        <v>4613</v>
      </c>
      <c r="E363" t="s">
        <v>67</v>
      </c>
      <c r="F363" t="s">
        <v>42</v>
      </c>
      <c r="G363" t="s">
        <v>43</v>
      </c>
      <c r="H363" s="8">
        <v>2</v>
      </c>
      <c r="I363" s="10">
        <v>149</v>
      </c>
      <c r="J363" s="14">
        <f>P363*I363</f>
        <v>298</v>
      </c>
      <c r="K363" s="16">
        <v>190</v>
      </c>
      <c r="L363" s="1" t="s">
        <v>30</v>
      </c>
      <c r="M363" t="s">
        <v>22</v>
      </c>
      <c r="N363" t="str">
        <f t="shared" si="5"/>
        <v>United Kingdom</v>
      </c>
      <c r="O363" s="8">
        <f>IF(K363&gt;=1,K363,K363*1000)</f>
        <v>190</v>
      </c>
      <c r="P363">
        <f>ABS(H363)</f>
        <v>2</v>
      </c>
      <c r="R363"/>
    </row>
    <row r="364" spans="1:18" x14ac:dyDescent="0.35">
      <c r="A364" t="s">
        <v>867</v>
      </c>
      <c r="B364" s="2">
        <v>46061</v>
      </c>
      <c r="C364" t="s">
        <v>868</v>
      </c>
      <c r="D364" s="3" t="s">
        <v>4612</v>
      </c>
      <c r="E364" t="s">
        <v>67</v>
      </c>
      <c r="F364" t="s">
        <v>42</v>
      </c>
      <c r="G364" t="s">
        <v>43</v>
      </c>
      <c r="H364" s="8">
        <v>1</v>
      </c>
      <c r="I364" s="10">
        <v>80.099999999999994</v>
      </c>
      <c r="J364" s="14">
        <f>P364*I364</f>
        <v>80.099999999999994</v>
      </c>
      <c r="K364" s="16">
        <v>190</v>
      </c>
      <c r="L364" s="1" t="s">
        <v>30</v>
      </c>
      <c r="M364" t="s">
        <v>58</v>
      </c>
      <c r="N364" t="str">
        <f t="shared" si="5"/>
        <v>United Kingdom</v>
      </c>
      <c r="O364" s="8">
        <f>IF(K364&gt;=1,K364,K364*1000)</f>
        <v>190</v>
      </c>
      <c r="P364">
        <f>ABS(H364)</f>
        <v>1</v>
      </c>
      <c r="R364"/>
    </row>
    <row r="365" spans="1:18" x14ac:dyDescent="0.35">
      <c r="A365" t="s">
        <v>869</v>
      </c>
      <c r="B365" s="2">
        <v>46151</v>
      </c>
      <c r="C365" t="s">
        <v>870</v>
      </c>
      <c r="D365" s="3" t="s">
        <v>116</v>
      </c>
      <c r="E365" t="s">
        <v>16</v>
      </c>
      <c r="F365" t="s">
        <v>17</v>
      </c>
      <c r="G365" t="s">
        <v>18</v>
      </c>
      <c r="H365" s="8">
        <v>3</v>
      </c>
      <c r="I365" s="10">
        <v>134.1</v>
      </c>
      <c r="J365" s="14">
        <f>P365*I365</f>
        <v>402.29999999999995</v>
      </c>
      <c r="K365" s="16">
        <v>0.52</v>
      </c>
      <c r="L365" s="1" t="s">
        <v>21</v>
      </c>
      <c r="M365" t="s">
        <v>22</v>
      </c>
      <c r="N365" t="str">
        <f t="shared" si="5"/>
        <v>Germany</v>
      </c>
      <c r="O365" s="8">
        <f>IF(K365&gt;=1,K365,K365*1000)</f>
        <v>520</v>
      </c>
      <c r="P365">
        <f>ABS(H365)</f>
        <v>3</v>
      </c>
      <c r="R365"/>
    </row>
    <row r="366" spans="1:18" x14ac:dyDescent="0.35">
      <c r="A366" t="s">
        <v>872</v>
      </c>
      <c r="B366" s="2">
        <v>46050</v>
      </c>
      <c r="C366" t="s">
        <v>873</v>
      </c>
      <c r="D366" s="3" t="s">
        <v>4613</v>
      </c>
      <c r="E366" t="s">
        <v>25</v>
      </c>
      <c r="F366" t="s">
        <v>74</v>
      </c>
      <c r="G366" t="s">
        <v>75</v>
      </c>
      <c r="H366" s="8">
        <v>2</v>
      </c>
      <c r="I366" s="10">
        <v>89</v>
      </c>
      <c r="J366" s="14">
        <f>P366*I366</f>
        <v>178</v>
      </c>
      <c r="K366" s="16">
        <v>410</v>
      </c>
      <c r="L366" s="1" t="s">
        <v>30</v>
      </c>
      <c r="M366" t="s">
        <v>22</v>
      </c>
      <c r="N366" t="str">
        <f t="shared" si="5"/>
        <v>United Kingdom</v>
      </c>
      <c r="O366" s="8">
        <f>IF(K366&gt;=1,K366,K366*1000)</f>
        <v>410</v>
      </c>
      <c r="P366">
        <f>ABS(H366)</f>
        <v>2</v>
      </c>
      <c r="R366"/>
    </row>
    <row r="367" spans="1:18" x14ac:dyDescent="0.35">
      <c r="A367" t="s">
        <v>874</v>
      </c>
      <c r="B367" s="2">
        <v>46039</v>
      </c>
      <c r="C367" t="s">
        <v>875</v>
      </c>
      <c r="D367" s="3" t="s">
        <v>66</v>
      </c>
      <c r="E367" t="s">
        <v>41</v>
      </c>
      <c r="F367" t="s">
        <v>35</v>
      </c>
      <c r="G367" t="s">
        <v>36</v>
      </c>
      <c r="H367" s="8">
        <v>1</v>
      </c>
      <c r="I367" s="10">
        <v>45</v>
      </c>
      <c r="J367" s="14">
        <f>P367*I367</f>
        <v>45</v>
      </c>
      <c r="K367" s="16">
        <v>85</v>
      </c>
      <c r="L367" s="1" t="s">
        <v>30</v>
      </c>
      <c r="M367" t="s">
        <v>22</v>
      </c>
      <c r="N367" t="str">
        <f t="shared" si="5"/>
        <v>Gb</v>
      </c>
      <c r="O367" s="8">
        <f>IF(K367&gt;=1,K367,K367*1000)</f>
        <v>85</v>
      </c>
      <c r="P367">
        <f>ABS(H367)</f>
        <v>1</v>
      </c>
      <c r="R367"/>
    </row>
    <row r="368" spans="1:18" x14ac:dyDescent="0.35">
      <c r="A368" t="s">
        <v>876</v>
      </c>
      <c r="B368" s="2">
        <v>46176</v>
      </c>
      <c r="C368" t="s">
        <v>877</v>
      </c>
      <c r="D368" s="3" t="s">
        <v>15</v>
      </c>
      <c r="E368" t="s">
        <v>41</v>
      </c>
      <c r="F368" t="s">
        <v>74</v>
      </c>
      <c r="G368" t="s">
        <v>75</v>
      </c>
      <c r="H368" s="8">
        <v>1</v>
      </c>
      <c r="I368" s="10">
        <v>79</v>
      </c>
      <c r="J368" s="14">
        <f>P368*I368</f>
        <v>79</v>
      </c>
      <c r="K368" s="16">
        <v>0.41</v>
      </c>
      <c r="L368" s="1" t="s">
        <v>21</v>
      </c>
      <c r="M368" t="s">
        <v>22</v>
      </c>
      <c r="N368" t="str">
        <f t="shared" si="5"/>
        <v>France</v>
      </c>
      <c r="O368" s="8">
        <f>IF(K368&gt;=1,K368,K368*1000)</f>
        <v>410</v>
      </c>
      <c r="P368">
        <f>ABS(H368)</f>
        <v>1</v>
      </c>
      <c r="R368"/>
    </row>
    <row r="369" spans="1:18" x14ac:dyDescent="0.35">
      <c r="A369" t="s">
        <v>878</v>
      </c>
      <c r="B369" s="2">
        <v>46197</v>
      </c>
      <c r="C369" t="s">
        <v>370</v>
      </c>
      <c r="D369" s="3" t="s">
        <v>46</v>
      </c>
      <c r="E369" t="s">
        <v>34</v>
      </c>
      <c r="F369" t="s">
        <v>42</v>
      </c>
      <c r="G369" t="s">
        <v>43</v>
      </c>
      <c r="H369" s="8">
        <v>2</v>
      </c>
      <c r="I369" s="10">
        <v>129</v>
      </c>
      <c r="J369" s="14">
        <f>P369*I369</f>
        <v>258</v>
      </c>
      <c r="K369" s="16">
        <v>0.19</v>
      </c>
      <c r="L369" s="1" t="s">
        <v>21</v>
      </c>
      <c r="M369" t="s">
        <v>22</v>
      </c>
      <c r="N369" t="str">
        <f t="shared" si="5"/>
        <v>Ireland</v>
      </c>
      <c r="O369" s="8">
        <f>IF(K369&gt;=1,K369,K369*1000)</f>
        <v>190</v>
      </c>
      <c r="P369">
        <f>ABS(H369)</f>
        <v>2</v>
      </c>
      <c r="R369"/>
    </row>
    <row r="370" spans="1:18" x14ac:dyDescent="0.35">
      <c r="A370" t="s">
        <v>879</v>
      </c>
      <c r="B370" s="2" t="s">
        <v>880</v>
      </c>
      <c r="C370" t="s">
        <v>881</v>
      </c>
      <c r="D370" s="3" t="s">
        <v>99</v>
      </c>
      <c r="E370" t="s">
        <v>41</v>
      </c>
      <c r="F370" t="s">
        <v>17</v>
      </c>
      <c r="G370" t="s">
        <v>18</v>
      </c>
      <c r="H370" s="8">
        <v>1</v>
      </c>
      <c r="I370" s="10">
        <v>129</v>
      </c>
      <c r="J370" s="14">
        <f>P370*I370</f>
        <v>129</v>
      </c>
      <c r="K370" s="16">
        <v>520</v>
      </c>
      <c r="L370" s="1" t="s">
        <v>30</v>
      </c>
      <c r="M370" t="s">
        <v>22</v>
      </c>
      <c r="N370" t="str">
        <f t="shared" si="5"/>
        <v>United Kingdom</v>
      </c>
      <c r="O370" s="8">
        <f>IF(K370&gt;=1,K370,K370*1000)</f>
        <v>520</v>
      </c>
      <c r="P370">
        <f>ABS(H370)</f>
        <v>1</v>
      </c>
      <c r="R370"/>
    </row>
    <row r="371" spans="1:18" x14ac:dyDescent="0.35">
      <c r="A371" t="s">
        <v>882</v>
      </c>
      <c r="B371" s="2">
        <v>46189</v>
      </c>
      <c r="C371" t="s">
        <v>883</v>
      </c>
      <c r="D371" s="3" t="s">
        <v>99</v>
      </c>
      <c r="E371" t="s">
        <v>67</v>
      </c>
      <c r="F371" t="s">
        <v>26</v>
      </c>
      <c r="G371" t="s">
        <v>27</v>
      </c>
      <c r="H371" s="8">
        <v>2</v>
      </c>
      <c r="I371" s="12" t="s">
        <v>4617</v>
      </c>
      <c r="J371" s="14">
        <f>P371*R371</f>
        <v>90</v>
      </c>
      <c r="K371" s="16">
        <v>0.52</v>
      </c>
      <c r="L371" s="1" t="s">
        <v>21</v>
      </c>
      <c r="M371" t="s">
        <v>22</v>
      </c>
      <c r="N371" t="str">
        <f t="shared" si="5"/>
        <v>United Kingdom</v>
      </c>
      <c r="O371" s="8">
        <f>IF(K371&gt;=1,K371,K371*1000)</f>
        <v>520</v>
      </c>
      <c r="P371">
        <f>ABS(H371)</f>
        <v>2</v>
      </c>
      <c r="Q371" t="str">
        <f>LEFT(I371,3)</f>
        <v>GBP</v>
      </c>
      <c r="R371" s="10" t="str">
        <f>RIGHT(I371,5)</f>
        <v>45,00</v>
      </c>
    </row>
    <row r="372" spans="1:18" x14ac:dyDescent="0.35">
      <c r="A372" t="s">
        <v>884</v>
      </c>
      <c r="B372" s="2">
        <v>46038</v>
      </c>
      <c r="C372" t="s">
        <v>885</v>
      </c>
      <c r="D372" s="3" t="s">
        <v>53</v>
      </c>
      <c r="E372" t="s">
        <v>41</v>
      </c>
      <c r="F372" t="s">
        <v>47</v>
      </c>
      <c r="G372" t="s">
        <v>48</v>
      </c>
      <c r="H372" s="8">
        <v>2</v>
      </c>
      <c r="I372" s="10">
        <v>116.1</v>
      </c>
      <c r="J372" s="14">
        <f>P372*I372</f>
        <v>232.2</v>
      </c>
      <c r="K372" s="16">
        <v>380</v>
      </c>
      <c r="L372" s="1" t="s">
        <v>21</v>
      </c>
      <c r="M372" t="s">
        <v>22</v>
      </c>
      <c r="N372" t="str">
        <f t="shared" si="5"/>
        <v>Gb</v>
      </c>
      <c r="O372" s="8">
        <f>IF(K372&gt;=1,K372,K372*1000)</f>
        <v>380</v>
      </c>
      <c r="P372">
        <f>ABS(H372)</f>
        <v>2</v>
      </c>
      <c r="R372"/>
    </row>
    <row r="373" spans="1:18" x14ac:dyDescent="0.35">
      <c r="A373" t="s">
        <v>887</v>
      </c>
      <c r="B373" s="2" t="s">
        <v>888</v>
      </c>
      <c r="C373" t="s">
        <v>154</v>
      </c>
      <c r="D373" s="3" t="s">
        <v>61</v>
      </c>
      <c r="E373" t="s">
        <v>25</v>
      </c>
      <c r="F373" t="s">
        <v>17</v>
      </c>
      <c r="G373" t="s">
        <v>18</v>
      </c>
      <c r="H373" s="8">
        <v>3</v>
      </c>
      <c r="I373" s="10">
        <v>89</v>
      </c>
      <c r="J373" s="14">
        <f>P373*I373</f>
        <v>267</v>
      </c>
      <c r="K373" s="16">
        <v>520</v>
      </c>
      <c r="L373" s="1" t="s">
        <v>30</v>
      </c>
      <c r="M373" t="s">
        <v>22</v>
      </c>
      <c r="N373" t="str">
        <f t="shared" si="5"/>
        <v>Ireland</v>
      </c>
      <c r="O373" s="8">
        <f>IF(K373&gt;=1,K373,K373*1000)</f>
        <v>520</v>
      </c>
      <c r="P373">
        <f>ABS(H373)</f>
        <v>3</v>
      </c>
      <c r="R373"/>
    </row>
    <row r="374" spans="1:18" x14ac:dyDescent="0.35">
      <c r="A374" t="s">
        <v>889</v>
      </c>
      <c r="B374" s="2">
        <v>46100</v>
      </c>
      <c r="C374" t="s">
        <v>890</v>
      </c>
      <c r="D374" s="3" t="s">
        <v>116</v>
      </c>
      <c r="E374" t="s">
        <v>25</v>
      </c>
      <c r="F374" t="s">
        <v>83</v>
      </c>
      <c r="G374" t="s">
        <v>84</v>
      </c>
      <c r="H374" s="8">
        <v>2</v>
      </c>
      <c r="I374" s="10">
        <v>80.099999999999994</v>
      </c>
      <c r="J374" s="14">
        <f>P374*I374</f>
        <v>160.19999999999999</v>
      </c>
      <c r="K374" s="16">
        <v>340</v>
      </c>
      <c r="L374" s="1" t="s">
        <v>30</v>
      </c>
      <c r="M374" t="s">
        <v>22</v>
      </c>
      <c r="N374" t="str">
        <f t="shared" si="5"/>
        <v>Germany</v>
      </c>
      <c r="O374" s="8">
        <f>IF(K374&gt;=1,K374,K374*1000)</f>
        <v>340</v>
      </c>
      <c r="P374">
        <f>ABS(H374)</f>
        <v>2</v>
      </c>
      <c r="R374"/>
    </row>
    <row r="375" spans="1:18" x14ac:dyDescent="0.35">
      <c r="A375" t="s">
        <v>891</v>
      </c>
      <c r="B375" s="2">
        <v>46331</v>
      </c>
      <c r="C375" t="s">
        <v>892</v>
      </c>
      <c r="D375" s="3" t="s">
        <v>15</v>
      </c>
      <c r="E375" t="s">
        <v>25</v>
      </c>
      <c r="F375" t="s">
        <v>26</v>
      </c>
      <c r="G375" t="s">
        <v>27</v>
      </c>
      <c r="H375" s="8">
        <v>1</v>
      </c>
      <c r="I375" s="10">
        <v>95</v>
      </c>
      <c r="J375" s="14">
        <f>P375*I375</f>
        <v>95</v>
      </c>
      <c r="K375" s="16">
        <v>0.52</v>
      </c>
      <c r="L375" s="1" t="s">
        <v>30</v>
      </c>
      <c r="M375" t="s">
        <v>22</v>
      </c>
      <c r="N375" t="str">
        <f t="shared" si="5"/>
        <v>France</v>
      </c>
      <c r="O375" s="8">
        <f>IF(K375&gt;=1,K375,K375*1000)</f>
        <v>520</v>
      </c>
      <c r="P375">
        <f>ABS(H375)</f>
        <v>1</v>
      </c>
      <c r="R375"/>
    </row>
    <row r="376" spans="1:18" x14ac:dyDescent="0.35">
      <c r="A376" t="s">
        <v>893</v>
      </c>
      <c r="B376" s="2">
        <v>46097</v>
      </c>
      <c r="C376" t="s">
        <v>894</v>
      </c>
      <c r="D376" s="3" t="s">
        <v>4612</v>
      </c>
      <c r="E376" t="s">
        <v>41</v>
      </c>
      <c r="F376" t="s">
        <v>35</v>
      </c>
      <c r="G376" t="s">
        <v>36</v>
      </c>
      <c r="H376" s="8">
        <v>1</v>
      </c>
      <c r="I376" s="12" t="s">
        <v>4637</v>
      </c>
      <c r="J376" s="14">
        <f>P376*R376</f>
        <v>49</v>
      </c>
      <c r="K376" s="16">
        <v>85</v>
      </c>
      <c r="L376" s="1" t="s">
        <v>30</v>
      </c>
      <c r="M376" t="s">
        <v>22</v>
      </c>
      <c r="N376" t="str">
        <f t="shared" si="5"/>
        <v>United Kingdom</v>
      </c>
      <c r="O376" s="8">
        <f>IF(K376&gt;=1,K376,K376*1000)</f>
        <v>85</v>
      </c>
      <c r="P376">
        <f>ABS(H376)</f>
        <v>1</v>
      </c>
      <c r="Q376" t="str">
        <f>LEFT(I376,2)</f>
        <v>Â£</v>
      </c>
      <c r="R376" t="str">
        <f>RIGHT(I376,5)</f>
        <v>49,00</v>
      </c>
    </row>
    <row r="377" spans="1:18" x14ac:dyDescent="0.35">
      <c r="A377" t="s">
        <v>895</v>
      </c>
      <c r="B377" s="2">
        <v>46116</v>
      </c>
      <c r="C377" t="s">
        <v>607</v>
      </c>
      <c r="D377" s="3" t="s">
        <v>61</v>
      </c>
      <c r="E377" t="s">
        <v>34</v>
      </c>
      <c r="F377" t="s">
        <v>17</v>
      </c>
      <c r="G377" t="s">
        <v>18</v>
      </c>
      <c r="H377" s="8">
        <v>1</v>
      </c>
      <c r="I377" s="10">
        <v>45</v>
      </c>
      <c r="J377" s="14">
        <f>P377*I377</f>
        <v>45</v>
      </c>
      <c r="K377" s="16">
        <v>520</v>
      </c>
      <c r="L377" s="1" t="s">
        <v>21</v>
      </c>
      <c r="M377" t="s">
        <v>22</v>
      </c>
      <c r="N377" t="str">
        <f t="shared" si="5"/>
        <v>Ireland</v>
      </c>
      <c r="O377" s="8">
        <f>IF(K377&gt;=1,K377,K377*1000)</f>
        <v>520</v>
      </c>
      <c r="P377">
        <f>ABS(H377)</f>
        <v>1</v>
      </c>
      <c r="R377"/>
    </row>
    <row r="378" spans="1:18" x14ac:dyDescent="0.35">
      <c r="A378" t="s">
        <v>896</v>
      </c>
      <c r="B378" s="2">
        <v>46202</v>
      </c>
      <c r="C378" t="s">
        <v>529</v>
      </c>
      <c r="D378" s="3" t="s">
        <v>4612</v>
      </c>
      <c r="E378" t="s">
        <v>16</v>
      </c>
      <c r="F378" t="s">
        <v>47</v>
      </c>
      <c r="G378" t="s">
        <v>48</v>
      </c>
      <c r="H378" s="8">
        <v>1</v>
      </c>
      <c r="I378" s="10">
        <v>134.1</v>
      </c>
      <c r="J378" s="14">
        <f>P378*I378</f>
        <v>134.1</v>
      </c>
      <c r="K378" s="16">
        <v>0.38</v>
      </c>
      <c r="L378" s="1" t="s">
        <v>30</v>
      </c>
      <c r="M378" t="s">
        <v>22</v>
      </c>
      <c r="N378" t="str">
        <f t="shared" si="5"/>
        <v>United Kingdom</v>
      </c>
      <c r="O378" s="8">
        <f>IF(K378&gt;=1,K378,K378*1000)</f>
        <v>380</v>
      </c>
      <c r="P378">
        <f>ABS(H378)</f>
        <v>1</v>
      </c>
      <c r="R378"/>
    </row>
    <row r="379" spans="1:18" x14ac:dyDescent="0.35">
      <c r="A379" t="s">
        <v>897</v>
      </c>
      <c r="B379" s="2" t="s">
        <v>898</v>
      </c>
      <c r="C379" t="s">
        <v>899</v>
      </c>
      <c r="D379" s="3" t="s">
        <v>4612</v>
      </c>
      <c r="E379" t="s">
        <v>34</v>
      </c>
      <c r="F379" t="s">
        <v>26</v>
      </c>
      <c r="G379" t="s">
        <v>27</v>
      </c>
      <c r="H379" s="8">
        <v>2</v>
      </c>
      <c r="I379" s="10">
        <v>12.5</v>
      </c>
      <c r="J379" s="14">
        <f>P379*I379</f>
        <v>25</v>
      </c>
      <c r="K379" s="16">
        <v>0.52</v>
      </c>
      <c r="L379" s="1" t="s">
        <v>30</v>
      </c>
      <c r="M379" t="s">
        <v>22</v>
      </c>
      <c r="N379" t="str">
        <f t="shared" si="5"/>
        <v>United Kingdom</v>
      </c>
      <c r="O379" s="8">
        <f>IF(K379&gt;=1,K379,K379*1000)</f>
        <v>520</v>
      </c>
      <c r="P379">
        <f>ABS(H379)</f>
        <v>2</v>
      </c>
      <c r="R379"/>
    </row>
    <row r="380" spans="1:18" x14ac:dyDescent="0.35">
      <c r="A380" t="s">
        <v>900</v>
      </c>
      <c r="B380" s="2">
        <v>46098</v>
      </c>
      <c r="C380" t="s">
        <v>901</v>
      </c>
      <c r="D380" s="3" t="s">
        <v>61</v>
      </c>
      <c r="E380" t="s">
        <v>16</v>
      </c>
      <c r="F380" t="s">
        <v>89</v>
      </c>
      <c r="G380" t="s">
        <v>90</v>
      </c>
      <c r="H380" s="8">
        <v>1</v>
      </c>
      <c r="I380" s="10">
        <v>71.099999999999994</v>
      </c>
      <c r="J380" s="14">
        <f>P380*I380</f>
        <v>71.099999999999994</v>
      </c>
      <c r="K380" s="16">
        <v>640</v>
      </c>
      <c r="L380" s="1" t="s">
        <v>30</v>
      </c>
      <c r="M380" t="s">
        <v>22</v>
      </c>
      <c r="N380" t="str">
        <f t="shared" si="5"/>
        <v>Ireland</v>
      </c>
      <c r="O380" s="8">
        <f>IF(K380&gt;=1,K380,K380*1000)</f>
        <v>640</v>
      </c>
      <c r="P380">
        <f>ABS(H380)</f>
        <v>1</v>
      </c>
      <c r="R380"/>
    </row>
    <row r="381" spans="1:18" x14ac:dyDescent="0.35">
      <c r="A381" t="s">
        <v>902</v>
      </c>
      <c r="B381" s="2">
        <v>46045</v>
      </c>
      <c r="C381" t="s">
        <v>903</v>
      </c>
      <c r="D381" s="3" t="s">
        <v>99</v>
      </c>
      <c r="E381" t="s">
        <v>67</v>
      </c>
      <c r="F381" t="s">
        <v>47</v>
      </c>
      <c r="G381" t="s">
        <v>48</v>
      </c>
      <c r="H381" s="8">
        <v>1</v>
      </c>
      <c r="I381" s="10">
        <v>80.099999999999994</v>
      </c>
      <c r="J381" s="14">
        <f>P381*I381</f>
        <v>80.099999999999994</v>
      </c>
      <c r="K381" s="16">
        <v>380</v>
      </c>
      <c r="L381" s="1" t="s">
        <v>30</v>
      </c>
      <c r="M381" t="s">
        <v>22</v>
      </c>
      <c r="N381" t="str">
        <f t="shared" si="5"/>
        <v>United Kingdom</v>
      </c>
      <c r="O381" s="8">
        <f>IF(K381&gt;=1,K381,K381*1000)</f>
        <v>380</v>
      </c>
      <c r="P381">
        <f>ABS(H381)</f>
        <v>1</v>
      </c>
      <c r="R381"/>
    </row>
    <row r="382" spans="1:18" x14ac:dyDescent="0.35">
      <c r="A382" t="s">
        <v>904</v>
      </c>
      <c r="B382" s="2">
        <v>46060</v>
      </c>
      <c r="C382" t="s">
        <v>905</v>
      </c>
      <c r="D382" s="3" t="s">
        <v>116</v>
      </c>
      <c r="E382" t="s">
        <v>16</v>
      </c>
      <c r="F382" t="s">
        <v>35</v>
      </c>
      <c r="G382" t="s">
        <v>36</v>
      </c>
      <c r="H382" s="8">
        <v>-2</v>
      </c>
      <c r="I382" s="10">
        <v>134.1</v>
      </c>
      <c r="J382" s="14">
        <f>P382*I382</f>
        <v>268.2</v>
      </c>
      <c r="K382" s="16">
        <v>8.5000000000000006E-2</v>
      </c>
      <c r="L382" s="1" t="s">
        <v>30</v>
      </c>
      <c r="M382" t="s">
        <v>22</v>
      </c>
      <c r="N382" t="str">
        <f t="shared" si="5"/>
        <v>Germany</v>
      </c>
      <c r="O382" s="8">
        <f>IF(K382&gt;=1,K382,K382*1000)</f>
        <v>85</v>
      </c>
      <c r="P382">
        <f>ABS(H382)</f>
        <v>2</v>
      </c>
      <c r="R382"/>
    </row>
    <row r="383" spans="1:18" x14ac:dyDescent="0.35">
      <c r="A383" t="s">
        <v>907</v>
      </c>
      <c r="B383" s="2">
        <v>46038</v>
      </c>
      <c r="C383" t="s">
        <v>291</v>
      </c>
      <c r="D383" s="3" t="s">
        <v>4613</v>
      </c>
      <c r="E383" t="s">
        <v>41</v>
      </c>
      <c r="F383" t="s">
        <v>35</v>
      </c>
      <c r="G383" t="s">
        <v>36</v>
      </c>
      <c r="H383" s="8">
        <v>1</v>
      </c>
      <c r="I383" s="10">
        <v>40.5</v>
      </c>
      <c r="J383" s="14">
        <f>P383*I383</f>
        <v>40.5</v>
      </c>
      <c r="K383" s="16">
        <v>85</v>
      </c>
      <c r="L383" s="1" t="s">
        <v>30</v>
      </c>
      <c r="M383" t="s">
        <v>22</v>
      </c>
      <c r="N383" t="str">
        <f t="shared" si="5"/>
        <v>United Kingdom</v>
      </c>
      <c r="O383" s="8">
        <f>IF(K383&gt;=1,K383,K383*1000)</f>
        <v>85</v>
      </c>
      <c r="P383">
        <f>ABS(H383)</f>
        <v>1</v>
      </c>
      <c r="R383"/>
    </row>
    <row r="384" spans="1:18" x14ac:dyDescent="0.35">
      <c r="A384" t="s">
        <v>908</v>
      </c>
      <c r="B384" s="2">
        <v>46097</v>
      </c>
      <c r="C384" t="s">
        <v>909</v>
      </c>
      <c r="D384" s="3" t="s">
        <v>15</v>
      </c>
      <c r="E384" t="s">
        <v>34</v>
      </c>
      <c r="F384" t="s">
        <v>17</v>
      </c>
      <c r="G384" t="s">
        <v>18</v>
      </c>
      <c r="H384" s="8">
        <v>2</v>
      </c>
      <c r="I384" s="10">
        <v>11.25</v>
      </c>
      <c r="J384" s="14">
        <f>P384*I384</f>
        <v>22.5</v>
      </c>
      <c r="K384" s="16">
        <v>520</v>
      </c>
      <c r="L384" s="1" t="s">
        <v>30</v>
      </c>
      <c r="M384" t="s">
        <v>22</v>
      </c>
      <c r="N384" t="str">
        <f t="shared" si="5"/>
        <v>France</v>
      </c>
      <c r="O384" s="8">
        <f>IF(K384&gt;=1,K384,K384*1000)</f>
        <v>520</v>
      </c>
      <c r="P384">
        <f>ABS(H384)</f>
        <v>2</v>
      </c>
      <c r="R384"/>
    </row>
    <row r="385" spans="1:18" x14ac:dyDescent="0.35">
      <c r="A385" t="s">
        <v>910</v>
      </c>
      <c r="B385" s="2">
        <v>46134</v>
      </c>
      <c r="C385" t="s">
        <v>911</v>
      </c>
      <c r="D385" s="3" t="s">
        <v>46</v>
      </c>
      <c r="E385" t="s">
        <v>16</v>
      </c>
      <c r="F385" t="s">
        <v>74</v>
      </c>
      <c r="G385" t="s">
        <v>75</v>
      </c>
      <c r="H385" s="8">
        <v>1</v>
      </c>
      <c r="I385" s="10">
        <v>79</v>
      </c>
      <c r="J385" s="14">
        <f>P385*I385</f>
        <v>79</v>
      </c>
      <c r="K385" s="16">
        <v>0.41</v>
      </c>
      <c r="L385" s="1" t="s">
        <v>30</v>
      </c>
      <c r="M385" t="s">
        <v>22</v>
      </c>
      <c r="N385" t="str">
        <f t="shared" si="5"/>
        <v>Ireland</v>
      </c>
      <c r="O385" s="8">
        <f>IF(K385&gt;=1,K385,K385*1000)</f>
        <v>410</v>
      </c>
      <c r="P385">
        <f>ABS(H385)</f>
        <v>1</v>
      </c>
      <c r="R385"/>
    </row>
    <row r="386" spans="1:18" x14ac:dyDescent="0.35">
      <c r="A386" t="s">
        <v>912</v>
      </c>
      <c r="B386" s="2">
        <v>46032</v>
      </c>
      <c r="C386" t="s">
        <v>354</v>
      </c>
      <c r="D386" s="3" t="s">
        <v>99</v>
      </c>
      <c r="E386" t="s">
        <v>16</v>
      </c>
      <c r="F386" t="s">
        <v>74</v>
      </c>
      <c r="G386" t="s">
        <v>75</v>
      </c>
      <c r="H386" s="8">
        <v>1</v>
      </c>
      <c r="I386" s="10">
        <v>116.1</v>
      </c>
      <c r="J386" s="14">
        <f>P386*I386</f>
        <v>116.1</v>
      </c>
      <c r="K386" s="16">
        <v>410</v>
      </c>
      <c r="L386" s="1" t="s">
        <v>30</v>
      </c>
      <c r="M386" t="s">
        <v>22</v>
      </c>
      <c r="N386" t="str">
        <f t="shared" si="5"/>
        <v>United Kingdom</v>
      </c>
      <c r="O386" s="8">
        <f>IF(K386&gt;=1,K386,K386*1000)</f>
        <v>410</v>
      </c>
      <c r="P386">
        <f>ABS(H386)</f>
        <v>1</v>
      </c>
      <c r="R386"/>
    </row>
    <row r="387" spans="1:18" x14ac:dyDescent="0.35">
      <c r="A387" t="s">
        <v>913</v>
      </c>
      <c r="B387" s="2" t="s">
        <v>914</v>
      </c>
      <c r="C387" t="s">
        <v>915</v>
      </c>
      <c r="D387" s="3" t="s">
        <v>53</v>
      </c>
      <c r="E387" t="s">
        <v>16</v>
      </c>
      <c r="F387" t="s">
        <v>83</v>
      </c>
      <c r="G387" t="s">
        <v>84</v>
      </c>
      <c r="H387" s="8">
        <v>1</v>
      </c>
      <c r="I387" s="10">
        <v>21.6</v>
      </c>
      <c r="J387" s="14">
        <f>P387*I387</f>
        <v>21.6</v>
      </c>
      <c r="K387" s="16">
        <v>0.34</v>
      </c>
      <c r="L387" s="1" t="s">
        <v>30</v>
      </c>
      <c r="M387" t="s">
        <v>22</v>
      </c>
      <c r="N387" t="str">
        <f t="shared" ref="N387:N450" si="6">PROPER(TRIM(D387))</f>
        <v>Gb</v>
      </c>
      <c r="O387" s="8">
        <f>IF(K387&gt;=1,K387,K387*1000)</f>
        <v>340</v>
      </c>
      <c r="P387">
        <f>ABS(H387)</f>
        <v>1</v>
      </c>
      <c r="R387"/>
    </row>
    <row r="388" spans="1:18" x14ac:dyDescent="0.35">
      <c r="A388" t="s">
        <v>916</v>
      </c>
      <c r="B388" s="2">
        <v>46025</v>
      </c>
      <c r="C388" t="s">
        <v>752</v>
      </c>
      <c r="D388" s="3" t="s">
        <v>66</v>
      </c>
      <c r="E388" t="s">
        <v>34</v>
      </c>
      <c r="F388" t="s">
        <v>74</v>
      </c>
      <c r="G388" t="s">
        <v>75</v>
      </c>
      <c r="H388" s="8">
        <v>1</v>
      </c>
      <c r="I388" s="10">
        <v>79</v>
      </c>
      <c r="J388" s="14">
        <f>P388*I388</f>
        <v>79</v>
      </c>
      <c r="K388" s="16">
        <v>410</v>
      </c>
      <c r="L388" s="1" t="s">
        <v>30</v>
      </c>
      <c r="M388" t="s">
        <v>22</v>
      </c>
      <c r="N388" t="str">
        <f t="shared" si="6"/>
        <v>Gb</v>
      </c>
      <c r="O388" s="8">
        <f>IF(K388&gt;=1,K388,K388*1000)</f>
        <v>410</v>
      </c>
      <c r="P388">
        <f>ABS(H388)</f>
        <v>1</v>
      </c>
      <c r="R388"/>
    </row>
    <row r="389" spans="1:18" x14ac:dyDescent="0.35">
      <c r="A389" t="s">
        <v>917</v>
      </c>
      <c r="B389" s="2">
        <v>46173</v>
      </c>
      <c r="C389" t="s">
        <v>163</v>
      </c>
      <c r="D389" s="3" t="s">
        <v>4613</v>
      </c>
      <c r="E389" t="s">
        <v>25</v>
      </c>
      <c r="F389" t="s">
        <v>74</v>
      </c>
      <c r="G389" t="s">
        <v>75</v>
      </c>
      <c r="H389" s="8">
        <v>1</v>
      </c>
      <c r="I389" s="10">
        <v>12.5</v>
      </c>
      <c r="J389" s="14">
        <f>P389*I389</f>
        <v>12.5</v>
      </c>
      <c r="K389" s="16">
        <v>0.41</v>
      </c>
      <c r="L389" s="1" t="s">
        <v>30</v>
      </c>
      <c r="M389" t="s">
        <v>22</v>
      </c>
      <c r="N389" t="str">
        <f t="shared" si="6"/>
        <v>United Kingdom</v>
      </c>
      <c r="O389" s="8">
        <f>IF(K389&gt;=1,K389,K389*1000)</f>
        <v>410</v>
      </c>
      <c r="P389">
        <f>ABS(H389)</f>
        <v>1</v>
      </c>
      <c r="R389"/>
    </row>
    <row r="390" spans="1:18" x14ac:dyDescent="0.35">
      <c r="A390" t="s">
        <v>918</v>
      </c>
      <c r="B390" s="2">
        <v>46138</v>
      </c>
      <c r="C390" t="s">
        <v>919</v>
      </c>
      <c r="D390" s="3" t="s">
        <v>4613</v>
      </c>
      <c r="E390" t="s">
        <v>34</v>
      </c>
      <c r="F390" t="s">
        <v>42</v>
      </c>
      <c r="G390" t="s">
        <v>43</v>
      </c>
      <c r="H390" s="8">
        <v>1</v>
      </c>
      <c r="I390" s="12" t="s">
        <v>4638</v>
      </c>
      <c r="J390" s="14">
        <f>P390*R390</f>
        <v>21.6</v>
      </c>
      <c r="K390" s="16">
        <v>0.19</v>
      </c>
      <c r="L390" s="1" t="s">
        <v>30</v>
      </c>
      <c r="M390" t="s">
        <v>22</v>
      </c>
      <c r="N390" t="str">
        <f t="shared" si="6"/>
        <v>United Kingdom</v>
      </c>
      <c r="O390" s="8">
        <f>IF(K390&gt;=1,K390,K390*1000)</f>
        <v>190</v>
      </c>
      <c r="P390">
        <f>ABS(H390)</f>
        <v>1</v>
      </c>
      <c r="Q390" t="str">
        <f>LEFT(I390,2)</f>
        <v>Â£</v>
      </c>
      <c r="R390" t="str">
        <f>RIGHT(I390,5)</f>
        <v>21,60</v>
      </c>
    </row>
    <row r="391" spans="1:18" x14ac:dyDescent="0.35">
      <c r="A391" t="s">
        <v>920</v>
      </c>
      <c r="B391" s="2">
        <v>46031</v>
      </c>
      <c r="C391" t="s">
        <v>921</v>
      </c>
      <c r="D391" s="3" t="s">
        <v>61</v>
      </c>
      <c r="E391" t="s">
        <v>67</v>
      </c>
      <c r="F391" t="s">
        <v>89</v>
      </c>
      <c r="G391" t="s">
        <v>90</v>
      </c>
      <c r="H391" s="8">
        <v>1</v>
      </c>
      <c r="I391" s="10">
        <v>89</v>
      </c>
      <c r="J391" s="14">
        <f>P391*I391</f>
        <v>89</v>
      </c>
      <c r="K391" s="16">
        <v>640</v>
      </c>
      <c r="L391" s="1" t="s">
        <v>30</v>
      </c>
      <c r="M391" t="s">
        <v>22</v>
      </c>
      <c r="N391" t="str">
        <f t="shared" si="6"/>
        <v>Ireland</v>
      </c>
      <c r="O391" s="8">
        <f>IF(K391&gt;=1,K391,K391*1000)</f>
        <v>640</v>
      </c>
      <c r="P391">
        <f>ABS(H391)</f>
        <v>1</v>
      </c>
      <c r="R391"/>
    </row>
    <row r="392" spans="1:18" x14ac:dyDescent="0.35">
      <c r="A392" t="s">
        <v>922</v>
      </c>
      <c r="B392" s="2">
        <v>46029</v>
      </c>
      <c r="C392" t="s">
        <v>923</v>
      </c>
      <c r="D392" s="3" t="s">
        <v>61</v>
      </c>
      <c r="E392" t="s">
        <v>25</v>
      </c>
      <c r="F392" t="s">
        <v>89</v>
      </c>
      <c r="G392" t="s">
        <v>90</v>
      </c>
      <c r="H392" s="8">
        <v>3</v>
      </c>
      <c r="I392" s="10">
        <v>116.1</v>
      </c>
      <c r="J392" s="14">
        <f>P392*I392</f>
        <v>348.29999999999995</v>
      </c>
      <c r="K392" s="16">
        <v>640</v>
      </c>
      <c r="L392" s="1" t="s">
        <v>30</v>
      </c>
      <c r="M392" t="s">
        <v>22</v>
      </c>
      <c r="N392" t="str">
        <f t="shared" si="6"/>
        <v>Ireland</v>
      </c>
      <c r="O392" s="8">
        <f>IF(K392&gt;=1,K392,K392*1000)</f>
        <v>640</v>
      </c>
      <c r="P392">
        <f>ABS(H392)</f>
        <v>3</v>
      </c>
      <c r="R392"/>
    </row>
    <row r="393" spans="1:18" x14ac:dyDescent="0.35">
      <c r="A393" t="s">
        <v>924</v>
      </c>
      <c r="B393" s="2">
        <v>46054</v>
      </c>
      <c r="C393" t="s">
        <v>234</v>
      </c>
      <c r="D393" s="3" t="s">
        <v>4612</v>
      </c>
      <c r="E393" t="s">
        <v>34</v>
      </c>
      <c r="F393" t="s">
        <v>26</v>
      </c>
      <c r="G393" t="s">
        <v>27</v>
      </c>
      <c r="H393" s="8">
        <v>2</v>
      </c>
      <c r="I393" s="10">
        <v>45</v>
      </c>
      <c r="J393" s="14">
        <f>P393*I393</f>
        <v>90</v>
      </c>
      <c r="K393" s="16">
        <v>520</v>
      </c>
      <c r="L393" s="1" t="s">
        <v>30</v>
      </c>
      <c r="M393" t="s">
        <v>22</v>
      </c>
      <c r="N393" t="str">
        <f t="shared" si="6"/>
        <v>United Kingdom</v>
      </c>
      <c r="O393" s="8">
        <f>IF(K393&gt;=1,K393,K393*1000)</f>
        <v>520</v>
      </c>
      <c r="P393">
        <f>ABS(H393)</f>
        <v>2</v>
      </c>
      <c r="R393"/>
    </row>
    <row r="394" spans="1:18" x14ac:dyDescent="0.35">
      <c r="A394" t="s">
        <v>925</v>
      </c>
      <c r="B394" s="2">
        <v>46054</v>
      </c>
      <c r="C394" t="s">
        <v>545</v>
      </c>
      <c r="D394" s="3" t="s">
        <v>116</v>
      </c>
      <c r="E394" t="s">
        <v>16</v>
      </c>
      <c r="F394" t="s">
        <v>35</v>
      </c>
      <c r="G394" t="s">
        <v>36</v>
      </c>
      <c r="H394" s="8">
        <v>1</v>
      </c>
      <c r="I394" s="10">
        <v>71.099999999999994</v>
      </c>
      <c r="J394" s="14">
        <f>P394*I394</f>
        <v>71.099999999999994</v>
      </c>
      <c r="K394" s="16">
        <v>85</v>
      </c>
      <c r="L394" s="1" t="s">
        <v>30</v>
      </c>
      <c r="M394" t="s">
        <v>58</v>
      </c>
      <c r="N394" t="str">
        <f t="shared" si="6"/>
        <v>Germany</v>
      </c>
      <c r="O394" s="8">
        <f>IF(K394&gt;=1,K394,K394*1000)</f>
        <v>85</v>
      </c>
      <c r="P394">
        <f>ABS(H394)</f>
        <v>1</v>
      </c>
      <c r="R394"/>
    </row>
    <row r="395" spans="1:18" x14ac:dyDescent="0.35">
      <c r="A395" t="s">
        <v>926</v>
      </c>
      <c r="B395" s="2">
        <v>46170</v>
      </c>
      <c r="C395" t="s">
        <v>927</v>
      </c>
      <c r="D395" s="3" t="s">
        <v>99</v>
      </c>
      <c r="E395" t="s">
        <v>67</v>
      </c>
      <c r="F395" t="s">
        <v>89</v>
      </c>
      <c r="G395" t="s">
        <v>90</v>
      </c>
      <c r="H395" s="8">
        <v>1</v>
      </c>
      <c r="I395" s="10">
        <v>45</v>
      </c>
      <c r="J395" s="14">
        <f>P395*I395</f>
        <v>45</v>
      </c>
      <c r="K395" s="16">
        <v>0.64</v>
      </c>
      <c r="L395" s="1" t="s">
        <v>30</v>
      </c>
      <c r="M395" t="s">
        <v>22</v>
      </c>
      <c r="N395" t="str">
        <f t="shared" si="6"/>
        <v>United Kingdom</v>
      </c>
      <c r="O395" s="8">
        <f>IF(K395&gt;=1,K395,K395*1000)</f>
        <v>640</v>
      </c>
      <c r="P395">
        <f>ABS(H395)</f>
        <v>1</v>
      </c>
      <c r="R395"/>
    </row>
    <row r="396" spans="1:18" x14ac:dyDescent="0.35">
      <c r="A396" t="s">
        <v>928</v>
      </c>
      <c r="B396" s="2">
        <v>46150</v>
      </c>
      <c r="C396" t="s">
        <v>929</v>
      </c>
      <c r="D396" s="3" t="s">
        <v>99</v>
      </c>
      <c r="E396" t="s">
        <v>16</v>
      </c>
      <c r="F396" t="s">
        <v>42</v>
      </c>
      <c r="G396" t="s">
        <v>43</v>
      </c>
      <c r="H396" s="8">
        <v>1</v>
      </c>
      <c r="I396" s="10">
        <v>24</v>
      </c>
      <c r="J396" s="14">
        <f>P396*I396</f>
        <v>24</v>
      </c>
      <c r="K396" s="16">
        <v>0.19</v>
      </c>
      <c r="L396" s="1" t="s">
        <v>30</v>
      </c>
      <c r="M396" t="s">
        <v>22</v>
      </c>
      <c r="N396" t="str">
        <f t="shared" si="6"/>
        <v>United Kingdom</v>
      </c>
      <c r="O396" s="8">
        <f>IF(K396&gt;=1,K396,K396*1000)</f>
        <v>190</v>
      </c>
      <c r="P396">
        <f>ABS(H396)</f>
        <v>1</v>
      </c>
      <c r="R396"/>
    </row>
    <row r="397" spans="1:18" x14ac:dyDescent="0.35">
      <c r="A397" t="s">
        <v>930</v>
      </c>
      <c r="B397" s="2">
        <v>46031</v>
      </c>
      <c r="C397" t="s">
        <v>340</v>
      </c>
      <c r="D397" s="3" t="s">
        <v>99</v>
      </c>
      <c r="E397" t="s">
        <v>41</v>
      </c>
      <c r="F397" t="s">
        <v>17</v>
      </c>
      <c r="G397" t="s">
        <v>18</v>
      </c>
      <c r="H397" s="8">
        <v>1</v>
      </c>
      <c r="I397" s="10">
        <v>89</v>
      </c>
      <c r="J397" s="14">
        <f>P397*I397</f>
        <v>89</v>
      </c>
      <c r="K397" s="16">
        <v>520</v>
      </c>
      <c r="L397" s="1" t="s">
        <v>30</v>
      </c>
      <c r="M397" t="s">
        <v>22</v>
      </c>
      <c r="N397" t="str">
        <f t="shared" si="6"/>
        <v>United Kingdom</v>
      </c>
      <c r="O397" s="8">
        <f>IF(K397&gt;=1,K397,K397*1000)</f>
        <v>520</v>
      </c>
      <c r="P397">
        <f>ABS(H397)</f>
        <v>1</v>
      </c>
      <c r="R397"/>
    </row>
    <row r="398" spans="1:18" x14ac:dyDescent="0.35">
      <c r="A398" t="s">
        <v>931</v>
      </c>
      <c r="B398" s="2">
        <v>46155</v>
      </c>
      <c r="C398" t="s">
        <v>280</v>
      </c>
      <c r="D398" s="3" t="s">
        <v>4612</v>
      </c>
      <c r="E398" t="s">
        <v>25</v>
      </c>
      <c r="F398" t="s">
        <v>74</v>
      </c>
      <c r="G398" t="s">
        <v>75</v>
      </c>
      <c r="H398" s="8">
        <v>3</v>
      </c>
      <c r="I398" s="10">
        <v>129</v>
      </c>
      <c r="J398" s="14">
        <f>P398*I398</f>
        <v>387</v>
      </c>
      <c r="K398" s="16">
        <v>0.41</v>
      </c>
      <c r="L398" s="1" t="s">
        <v>21</v>
      </c>
      <c r="M398" t="s">
        <v>22</v>
      </c>
      <c r="N398" t="str">
        <f t="shared" si="6"/>
        <v>United Kingdom</v>
      </c>
      <c r="O398" s="8">
        <f>IF(K398&gt;=1,K398,K398*1000)</f>
        <v>410</v>
      </c>
      <c r="P398">
        <f>ABS(H398)</f>
        <v>3</v>
      </c>
      <c r="R398"/>
    </row>
    <row r="399" spans="1:18" x14ac:dyDescent="0.35">
      <c r="A399" t="s">
        <v>932</v>
      </c>
      <c r="B399" s="2">
        <v>46069</v>
      </c>
      <c r="C399" t="s">
        <v>933</v>
      </c>
      <c r="D399" s="3" t="s">
        <v>4612</v>
      </c>
      <c r="E399" t="s">
        <v>41</v>
      </c>
      <c r="F399" t="s">
        <v>83</v>
      </c>
      <c r="G399" t="s">
        <v>84</v>
      </c>
      <c r="H399" s="8">
        <v>1</v>
      </c>
      <c r="I399" s="10">
        <v>24</v>
      </c>
      <c r="J399" s="14">
        <f>P399*I399</f>
        <v>24</v>
      </c>
      <c r="K399" s="16">
        <v>340</v>
      </c>
      <c r="L399" s="1" t="s">
        <v>30</v>
      </c>
      <c r="M399" t="s">
        <v>22</v>
      </c>
      <c r="N399" t="str">
        <f t="shared" si="6"/>
        <v>United Kingdom</v>
      </c>
      <c r="O399" s="8">
        <f>IF(K399&gt;=1,K399,K399*1000)</f>
        <v>340</v>
      </c>
      <c r="P399">
        <f>ABS(H399)</f>
        <v>1</v>
      </c>
      <c r="R399"/>
    </row>
    <row r="400" spans="1:18" x14ac:dyDescent="0.35">
      <c r="A400" t="s">
        <v>934</v>
      </c>
      <c r="B400" s="2" t="s">
        <v>935</v>
      </c>
      <c r="C400" t="s">
        <v>899</v>
      </c>
      <c r="D400" s="3" t="s">
        <v>53</v>
      </c>
      <c r="E400" t="s">
        <v>41</v>
      </c>
      <c r="F400" t="s">
        <v>47</v>
      </c>
      <c r="G400" t="s">
        <v>48</v>
      </c>
      <c r="H400" s="8">
        <v>2</v>
      </c>
      <c r="I400" s="10">
        <v>79</v>
      </c>
      <c r="J400" s="14">
        <f>P400*I400</f>
        <v>158</v>
      </c>
      <c r="K400" s="16">
        <v>380</v>
      </c>
      <c r="L400" s="1" t="s">
        <v>30</v>
      </c>
      <c r="M400" t="s">
        <v>22</v>
      </c>
      <c r="N400" t="str">
        <f t="shared" si="6"/>
        <v>Gb</v>
      </c>
      <c r="O400" s="8">
        <f>IF(K400&gt;=1,K400,K400*1000)</f>
        <v>380</v>
      </c>
      <c r="P400">
        <f>ABS(H400)</f>
        <v>2</v>
      </c>
      <c r="R400"/>
    </row>
    <row r="401" spans="1:18" x14ac:dyDescent="0.35">
      <c r="A401" t="s">
        <v>936</v>
      </c>
      <c r="B401" s="2" t="s">
        <v>937</v>
      </c>
      <c r="C401" t="s">
        <v>938</v>
      </c>
      <c r="D401" s="3" t="s">
        <v>15</v>
      </c>
      <c r="E401" t="s">
        <v>34</v>
      </c>
      <c r="F401" t="s">
        <v>89</v>
      </c>
      <c r="G401" t="s">
        <v>90</v>
      </c>
      <c r="H401" s="8">
        <v>2</v>
      </c>
      <c r="I401" s="10">
        <v>45</v>
      </c>
      <c r="J401" s="14">
        <f>P401*I401</f>
        <v>90</v>
      </c>
      <c r="K401" s="16">
        <v>0.64</v>
      </c>
      <c r="L401" s="1" t="s">
        <v>30</v>
      </c>
      <c r="M401" t="s">
        <v>22</v>
      </c>
      <c r="N401" t="str">
        <f t="shared" si="6"/>
        <v>France</v>
      </c>
      <c r="O401" s="8">
        <f>IF(K401&gt;=1,K401,K401*1000)</f>
        <v>640</v>
      </c>
      <c r="P401">
        <f>ABS(H401)</f>
        <v>2</v>
      </c>
      <c r="R401"/>
    </row>
    <row r="402" spans="1:18" x14ac:dyDescent="0.35">
      <c r="A402" t="s">
        <v>939</v>
      </c>
      <c r="B402" s="2">
        <v>46088</v>
      </c>
      <c r="C402" t="s">
        <v>940</v>
      </c>
      <c r="D402" s="3" t="s">
        <v>4612</v>
      </c>
      <c r="E402" t="s">
        <v>34</v>
      </c>
      <c r="F402" t="s">
        <v>42</v>
      </c>
      <c r="G402" t="s">
        <v>43</v>
      </c>
      <c r="H402" s="8">
        <v>1</v>
      </c>
      <c r="I402" s="10">
        <v>71.099999999999994</v>
      </c>
      <c r="J402" s="14">
        <f>P402*I402</f>
        <v>71.099999999999994</v>
      </c>
      <c r="K402" s="16">
        <v>190</v>
      </c>
      <c r="L402" s="1" t="s">
        <v>21</v>
      </c>
      <c r="M402" t="s">
        <v>22</v>
      </c>
      <c r="N402" t="str">
        <f t="shared" si="6"/>
        <v>United Kingdom</v>
      </c>
      <c r="O402" s="8">
        <f>IF(K402&gt;=1,K402,K402*1000)</f>
        <v>190</v>
      </c>
      <c r="P402">
        <f>ABS(H402)</f>
        <v>1</v>
      </c>
      <c r="R402"/>
    </row>
    <row r="403" spans="1:18" x14ac:dyDescent="0.35">
      <c r="A403" t="s">
        <v>941</v>
      </c>
      <c r="B403" s="2">
        <v>46165</v>
      </c>
      <c r="C403" t="s">
        <v>942</v>
      </c>
      <c r="D403" s="3" t="s">
        <v>53</v>
      </c>
      <c r="E403" t="s">
        <v>41</v>
      </c>
      <c r="F403" t="s">
        <v>35</v>
      </c>
      <c r="G403" t="s">
        <v>36</v>
      </c>
      <c r="H403" s="8">
        <v>1</v>
      </c>
      <c r="I403" s="10">
        <v>149</v>
      </c>
      <c r="J403" s="14">
        <f>P403*I403</f>
        <v>149</v>
      </c>
      <c r="K403" s="16">
        <v>8.5000000000000006E-2</v>
      </c>
      <c r="L403" s="1" t="s">
        <v>30</v>
      </c>
      <c r="M403" t="s">
        <v>58</v>
      </c>
      <c r="N403" t="str">
        <f t="shared" si="6"/>
        <v>Gb</v>
      </c>
      <c r="O403" s="8">
        <f>IF(K403&gt;=1,K403,K403*1000)</f>
        <v>85</v>
      </c>
      <c r="P403">
        <f>ABS(H403)</f>
        <v>1</v>
      </c>
      <c r="R403"/>
    </row>
    <row r="404" spans="1:18" x14ac:dyDescent="0.35">
      <c r="A404" t="s">
        <v>943</v>
      </c>
      <c r="B404" s="2">
        <v>46124</v>
      </c>
      <c r="C404" t="s">
        <v>944</v>
      </c>
      <c r="D404" s="3" t="s">
        <v>4612</v>
      </c>
      <c r="E404" t="s">
        <v>67</v>
      </c>
      <c r="F404" t="s">
        <v>26</v>
      </c>
      <c r="G404" t="s">
        <v>27</v>
      </c>
      <c r="H404" s="8">
        <v>2</v>
      </c>
      <c r="I404" s="10">
        <v>85.5</v>
      </c>
      <c r="J404" s="14">
        <f>P404*I404</f>
        <v>171</v>
      </c>
      <c r="K404" s="16">
        <v>520</v>
      </c>
      <c r="L404" s="1" t="s">
        <v>30</v>
      </c>
      <c r="M404" t="s">
        <v>22</v>
      </c>
      <c r="N404" t="str">
        <f t="shared" si="6"/>
        <v>United Kingdom</v>
      </c>
      <c r="O404" s="8">
        <f>IF(K404&gt;=1,K404,K404*1000)</f>
        <v>520</v>
      </c>
      <c r="P404">
        <f>ABS(H404)</f>
        <v>2</v>
      </c>
      <c r="R404"/>
    </row>
    <row r="405" spans="1:18" x14ac:dyDescent="0.35">
      <c r="A405" t="s">
        <v>946</v>
      </c>
      <c r="B405" s="2">
        <v>46053</v>
      </c>
      <c r="C405" t="s">
        <v>947</v>
      </c>
      <c r="D405" s="3" t="s">
        <v>66</v>
      </c>
      <c r="E405" t="s">
        <v>16</v>
      </c>
      <c r="F405" t="s">
        <v>42</v>
      </c>
      <c r="G405" t="s">
        <v>43</v>
      </c>
      <c r="H405" s="8">
        <v>2</v>
      </c>
      <c r="I405" s="10">
        <v>79</v>
      </c>
      <c r="J405" s="14">
        <f>P405*I405</f>
        <v>158</v>
      </c>
      <c r="K405" s="16">
        <v>190</v>
      </c>
      <c r="L405" s="1" t="s">
        <v>21</v>
      </c>
      <c r="M405" t="s">
        <v>22</v>
      </c>
      <c r="N405" t="str">
        <f t="shared" si="6"/>
        <v>Gb</v>
      </c>
      <c r="O405" s="8">
        <f>IF(K405&gt;=1,K405,K405*1000)</f>
        <v>190</v>
      </c>
      <c r="P405">
        <f>ABS(H405)</f>
        <v>2</v>
      </c>
      <c r="R405"/>
    </row>
    <row r="406" spans="1:18" x14ac:dyDescent="0.35">
      <c r="A406" t="s">
        <v>948</v>
      </c>
      <c r="B406" s="2" t="s">
        <v>949</v>
      </c>
      <c r="C406" t="s">
        <v>950</v>
      </c>
      <c r="D406" s="3" t="s">
        <v>66</v>
      </c>
      <c r="E406" t="s">
        <v>67</v>
      </c>
      <c r="F406" t="s">
        <v>83</v>
      </c>
      <c r="G406" t="s">
        <v>84</v>
      </c>
      <c r="H406" s="8">
        <v>1</v>
      </c>
      <c r="I406" s="10">
        <v>24</v>
      </c>
      <c r="J406" s="14">
        <f>P406*I406</f>
        <v>24</v>
      </c>
      <c r="K406" s="16">
        <v>0.34</v>
      </c>
      <c r="L406" s="1" t="s">
        <v>21</v>
      </c>
      <c r="M406" t="s">
        <v>58</v>
      </c>
      <c r="N406" t="str">
        <f t="shared" si="6"/>
        <v>Gb</v>
      </c>
      <c r="O406" s="8">
        <f>IF(K406&gt;=1,K406,K406*1000)</f>
        <v>340</v>
      </c>
      <c r="P406">
        <f>ABS(H406)</f>
        <v>1</v>
      </c>
      <c r="R406"/>
    </row>
    <row r="407" spans="1:18" x14ac:dyDescent="0.35">
      <c r="A407" t="s">
        <v>951</v>
      </c>
      <c r="B407" s="2">
        <v>46059</v>
      </c>
      <c r="C407" t="s">
        <v>952</v>
      </c>
      <c r="D407" s="3" t="s">
        <v>99</v>
      </c>
      <c r="E407" t="s">
        <v>34</v>
      </c>
      <c r="F407" t="s">
        <v>83</v>
      </c>
      <c r="G407" t="s">
        <v>84</v>
      </c>
      <c r="H407" s="8">
        <v>1</v>
      </c>
      <c r="I407" s="10">
        <v>45</v>
      </c>
      <c r="J407" s="14">
        <f>P407*I407</f>
        <v>45</v>
      </c>
      <c r="K407" s="16">
        <v>340</v>
      </c>
      <c r="L407" s="1" t="s">
        <v>21</v>
      </c>
      <c r="M407" t="s">
        <v>22</v>
      </c>
      <c r="N407" t="str">
        <f t="shared" si="6"/>
        <v>United Kingdom</v>
      </c>
      <c r="O407" s="8">
        <f>IF(K407&gt;=1,K407,K407*1000)</f>
        <v>340</v>
      </c>
      <c r="P407">
        <f>ABS(H407)</f>
        <v>1</v>
      </c>
      <c r="R407"/>
    </row>
    <row r="408" spans="1:18" x14ac:dyDescent="0.35">
      <c r="A408" t="s">
        <v>953</v>
      </c>
      <c r="B408" s="2">
        <v>46167</v>
      </c>
      <c r="C408" t="s">
        <v>828</v>
      </c>
      <c r="D408" s="3" t="s">
        <v>61</v>
      </c>
      <c r="E408" t="s">
        <v>41</v>
      </c>
      <c r="F408" t="s">
        <v>26</v>
      </c>
      <c r="G408" t="s">
        <v>27</v>
      </c>
      <c r="H408" s="8">
        <v>2</v>
      </c>
      <c r="I408" s="10">
        <v>79</v>
      </c>
      <c r="J408" s="14">
        <f>P408*I408</f>
        <v>158</v>
      </c>
      <c r="K408" s="16">
        <v>0.52</v>
      </c>
      <c r="L408" s="1" t="s">
        <v>30</v>
      </c>
      <c r="M408" t="s">
        <v>22</v>
      </c>
      <c r="N408" t="str">
        <f t="shared" si="6"/>
        <v>Ireland</v>
      </c>
      <c r="O408" s="8">
        <f>IF(K408&gt;=1,K408,K408*1000)</f>
        <v>520</v>
      </c>
      <c r="P408">
        <f>ABS(H408)</f>
        <v>2</v>
      </c>
      <c r="R408"/>
    </row>
    <row r="409" spans="1:18" x14ac:dyDescent="0.35">
      <c r="A409" t="s">
        <v>954</v>
      </c>
      <c r="B409" s="2">
        <v>46120</v>
      </c>
      <c r="C409" t="s">
        <v>113</v>
      </c>
      <c r="D409" s="3" t="s">
        <v>99</v>
      </c>
      <c r="E409" t="s">
        <v>34</v>
      </c>
      <c r="F409" t="s">
        <v>26</v>
      </c>
      <c r="G409" t="s">
        <v>27</v>
      </c>
      <c r="H409" s="8">
        <v>1</v>
      </c>
      <c r="I409" s="10">
        <v>79</v>
      </c>
      <c r="J409" s="14">
        <f>P409*I409</f>
        <v>79</v>
      </c>
      <c r="K409" s="16">
        <v>520</v>
      </c>
      <c r="L409" s="1" t="s">
        <v>30</v>
      </c>
      <c r="M409" t="s">
        <v>22</v>
      </c>
      <c r="N409" t="str">
        <f t="shared" si="6"/>
        <v>United Kingdom</v>
      </c>
      <c r="O409" s="8">
        <f>IF(K409&gt;=1,K409,K409*1000)</f>
        <v>520</v>
      </c>
      <c r="P409">
        <f>ABS(H409)</f>
        <v>1</v>
      </c>
      <c r="R409"/>
    </row>
    <row r="410" spans="1:18" x14ac:dyDescent="0.35">
      <c r="A410" t="s">
        <v>955</v>
      </c>
      <c r="B410" s="2" t="s">
        <v>949</v>
      </c>
      <c r="C410" t="s">
        <v>956</v>
      </c>
      <c r="D410" s="3" t="s">
        <v>53</v>
      </c>
      <c r="E410" t="s">
        <v>41</v>
      </c>
      <c r="F410" t="s">
        <v>42</v>
      </c>
      <c r="G410" t="s">
        <v>43</v>
      </c>
      <c r="H410" s="8">
        <v>2</v>
      </c>
      <c r="I410" s="10">
        <v>21.6</v>
      </c>
      <c r="J410" s="14">
        <f>P410*I410</f>
        <v>43.2</v>
      </c>
      <c r="K410" s="16">
        <v>0.19</v>
      </c>
      <c r="L410" s="1" t="s">
        <v>30</v>
      </c>
      <c r="M410" t="s">
        <v>22</v>
      </c>
      <c r="N410" t="str">
        <f t="shared" si="6"/>
        <v>Gb</v>
      </c>
      <c r="O410" s="8">
        <f>IF(K410&gt;=1,K410,K410*1000)</f>
        <v>190</v>
      </c>
      <c r="P410">
        <f>ABS(H410)</f>
        <v>2</v>
      </c>
      <c r="R410"/>
    </row>
    <row r="411" spans="1:18" x14ac:dyDescent="0.35">
      <c r="A411" t="s">
        <v>957</v>
      </c>
      <c r="B411" s="2">
        <v>46142</v>
      </c>
      <c r="C411" t="s">
        <v>55</v>
      </c>
      <c r="D411" s="3" t="s">
        <v>99</v>
      </c>
      <c r="E411" t="s">
        <v>25</v>
      </c>
      <c r="F411" t="s">
        <v>74</v>
      </c>
      <c r="G411" t="s">
        <v>75</v>
      </c>
      <c r="H411" s="8">
        <v>2</v>
      </c>
      <c r="I411" s="10">
        <v>95</v>
      </c>
      <c r="J411" s="14">
        <f>P411*I411</f>
        <v>190</v>
      </c>
      <c r="K411" s="16">
        <v>0.41</v>
      </c>
      <c r="L411" s="1" t="s">
        <v>30</v>
      </c>
      <c r="M411" t="s">
        <v>22</v>
      </c>
      <c r="N411" t="str">
        <f t="shared" si="6"/>
        <v>United Kingdom</v>
      </c>
      <c r="O411" s="8">
        <f>IF(K411&gt;=1,K411,K411*1000)</f>
        <v>410</v>
      </c>
      <c r="P411">
        <f>ABS(H411)</f>
        <v>2</v>
      </c>
      <c r="R411"/>
    </row>
    <row r="412" spans="1:18" x14ac:dyDescent="0.35">
      <c r="A412" t="s">
        <v>958</v>
      </c>
      <c r="B412" s="2">
        <v>46091</v>
      </c>
      <c r="C412" t="s">
        <v>959</v>
      </c>
      <c r="D412" s="3" t="s">
        <v>46</v>
      </c>
      <c r="E412" t="s">
        <v>41</v>
      </c>
      <c r="F412" t="s">
        <v>83</v>
      </c>
      <c r="G412" t="s">
        <v>84</v>
      </c>
      <c r="H412" s="8">
        <v>1</v>
      </c>
      <c r="I412" s="10">
        <v>80.099999999999994</v>
      </c>
      <c r="J412" s="14">
        <f>P412*I412</f>
        <v>80.099999999999994</v>
      </c>
      <c r="K412" s="16">
        <v>340</v>
      </c>
      <c r="L412" s="1" t="s">
        <v>21</v>
      </c>
      <c r="M412" t="s">
        <v>22</v>
      </c>
      <c r="N412" t="str">
        <f t="shared" si="6"/>
        <v>Ireland</v>
      </c>
      <c r="O412" s="8">
        <f>IF(K412&gt;=1,K412,K412*1000)</f>
        <v>340</v>
      </c>
      <c r="P412">
        <f>ABS(H412)</f>
        <v>1</v>
      </c>
      <c r="R412"/>
    </row>
    <row r="413" spans="1:18" x14ac:dyDescent="0.35">
      <c r="A413" t="s">
        <v>960</v>
      </c>
      <c r="B413" s="2">
        <v>46196</v>
      </c>
      <c r="C413" t="s">
        <v>961</v>
      </c>
      <c r="D413" s="3" t="s">
        <v>116</v>
      </c>
      <c r="E413" t="s">
        <v>67</v>
      </c>
      <c r="F413" t="s">
        <v>89</v>
      </c>
      <c r="G413" t="s">
        <v>90</v>
      </c>
      <c r="H413" s="8">
        <v>1</v>
      </c>
      <c r="I413" s="10">
        <v>134.1</v>
      </c>
      <c r="J413" s="14">
        <f>P413*I413</f>
        <v>134.1</v>
      </c>
      <c r="K413" s="16">
        <v>0.64</v>
      </c>
      <c r="L413" s="1" t="s">
        <v>30</v>
      </c>
      <c r="M413" t="s">
        <v>22</v>
      </c>
      <c r="N413" t="str">
        <f t="shared" si="6"/>
        <v>Germany</v>
      </c>
      <c r="O413" s="8">
        <f>IF(K413&gt;=1,K413,K413*1000)</f>
        <v>640</v>
      </c>
      <c r="P413">
        <f>ABS(H413)</f>
        <v>1</v>
      </c>
      <c r="R413"/>
    </row>
    <row r="414" spans="1:18" x14ac:dyDescent="0.35">
      <c r="A414" t="s">
        <v>962</v>
      </c>
      <c r="B414" s="2">
        <v>46081</v>
      </c>
      <c r="C414" t="s">
        <v>537</v>
      </c>
      <c r="D414" s="3" t="s">
        <v>15</v>
      </c>
      <c r="E414" t="s">
        <v>41</v>
      </c>
      <c r="F414" t="s">
        <v>83</v>
      </c>
      <c r="G414" t="s">
        <v>84</v>
      </c>
      <c r="H414" s="8">
        <v>1</v>
      </c>
      <c r="I414" s="12" t="s">
        <v>4634</v>
      </c>
      <c r="J414" s="14">
        <f>P414*R414</f>
        <v>71.099999999999994</v>
      </c>
      <c r="K414" s="16">
        <v>340</v>
      </c>
      <c r="L414" s="1" t="s">
        <v>30</v>
      </c>
      <c r="M414" t="s">
        <v>22</v>
      </c>
      <c r="N414" t="str">
        <f t="shared" si="6"/>
        <v>France</v>
      </c>
      <c r="O414" s="8">
        <f>IF(K414&gt;=1,K414,K414*1000)</f>
        <v>340</v>
      </c>
      <c r="P414">
        <f>ABS(H414)</f>
        <v>1</v>
      </c>
      <c r="Q414" t="str">
        <f>LEFT(I414,3)</f>
        <v>GBP</v>
      </c>
      <c r="R414" s="10" t="str">
        <f>RIGHT(I414,5)</f>
        <v>71,10</v>
      </c>
    </row>
    <row r="415" spans="1:18" x14ac:dyDescent="0.35">
      <c r="A415" t="s">
        <v>963</v>
      </c>
      <c r="B415" s="2">
        <v>46191</v>
      </c>
      <c r="C415" t="s">
        <v>964</v>
      </c>
      <c r="D415" s="3" t="s">
        <v>46</v>
      </c>
      <c r="E415" t="s">
        <v>16</v>
      </c>
      <c r="F415" t="s">
        <v>35</v>
      </c>
      <c r="G415" t="s">
        <v>36</v>
      </c>
      <c r="H415" s="8">
        <v>-2</v>
      </c>
      <c r="I415" s="10">
        <v>95</v>
      </c>
      <c r="J415" s="14">
        <f>P415*I415</f>
        <v>190</v>
      </c>
      <c r="K415" s="16">
        <v>8.5000000000000006E-2</v>
      </c>
      <c r="L415" s="1" t="s">
        <v>30</v>
      </c>
      <c r="M415" t="s">
        <v>22</v>
      </c>
      <c r="N415" t="str">
        <f t="shared" si="6"/>
        <v>Ireland</v>
      </c>
      <c r="O415" s="8">
        <f>IF(K415&gt;=1,K415,K415*1000)</f>
        <v>85</v>
      </c>
      <c r="P415">
        <f>ABS(H415)</f>
        <v>2</v>
      </c>
      <c r="R415"/>
    </row>
    <row r="416" spans="1:18" x14ac:dyDescent="0.35">
      <c r="A416" t="s">
        <v>965</v>
      </c>
      <c r="B416" s="2">
        <v>46116</v>
      </c>
      <c r="C416" t="s">
        <v>966</v>
      </c>
      <c r="D416" s="3" t="s">
        <v>99</v>
      </c>
      <c r="E416" t="s">
        <v>25</v>
      </c>
      <c r="F416" t="s">
        <v>89</v>
      </c>
      <c r="G416" t="s">
        <v>90</v>
      </c>
      <c r="H416" s="8">
        <v>1</v>
      </c>
      <c r="I416" s="10">
        <v>89</v>
      </c>
      <c r="J416" s="14">
        <f>P416*I416</f>
        <v>89</v>
      </c>
      <c r="K416" s="16">
        <v>640</v>
      </c>
      <c r="L416" s="1" t="s">
        <v>30</v>
      </c>
      <c r="M416" t="s">
        <v>22</v>
      </c>
      <c r="N416" t="str">
        <f t="shared" si="6"/>
        <v>United Kingdom</v>
      </c>
      <c r="O416" s="8">
        <f>IF(K416&gt;=1,K416,K416*1000)</f>
        <v>640</v>
      </c>
      <c r="P416">
        <f>ABS(H416)</f>
        <v>1</v>
      </c>
      <c r="R416"/>
    </row>
    <row r="417" spans="1:18" x14ac:dyDescent="0.35">
      <c r="A417" t="s">
        <v>967</v>
      </c>
      <c r="B417" s="2">
        <v>46136</v>
      </c>
      <c r="C417" t="s">
        <v>968</v>
      </c>
      <c r="D417" s="3" t="s">
        <v>53</v>
      </c>
      <c r="E417" t="s">
        <v>67</v>
      </c>
      <c r="F417" t="s">
        <v>47</v>
      </c>
      <c r="G417" t="s">
        <v>48</v>
      </c>
      <c r="H417" s="8">
        <v>2</v>
      </c>
      <c r="I417" s="10">
        <v>45</v>
      </c>
      <c r="J417" s="14">
        <f>P417*I417</f>
        <v>90</v>
      </c>
      <c r="K417" s="16">
        <v>0.38</v>
      </c>
      <c r="L417" s="1" t="s">
        <v>30</v>
      </c>
      <c r="M417" t="s">
        <v>22</v>
      </c>
      <c r="N417" t="str">
        <f t="shared" si="6"/>
        <v>Gb</v>
      </c>
      <c r="O417" s="8">
        <f>IF(K417&gt;=1,K417,K417*1000)</f>
        <v>380</v>
      </c>
      <c r="P417">
        <f>ABS(H417)</f>
        <v>2</v>
      </c>
      <c r="R417"/>
    </row>
    <row r="418" spans="1:18" x14ac:dyDescent="0.35">
      <c r="A418" t="s">
        <v>969</v>
      </c>
      <c r="B418" s="2">
        <v>46147</v>
      </c>
      <c r="C418" t="s">
        <v>219</v>
      </c>
      <c r="D418" s="3" t="s">
        <v>66</v>
      </c>
      <c r="E418" t="s">
        <v>25</v>
      </c>
      <c r="F418" t="s">
        <v>26</v>
      </c>
      <c r="G418" t="s">
        <v>27</v>
      </c>
      <c r="H418" s="8">
        <v>1</v>
      </c>
      <c r="I418" s="10">
        <v>45</v>
      </c>
      <c r="J418" s="14">
        <f>P418*I418</f>
        <v>45</v>
      </c>
      <c r="K418" s="16">
        <v>0.52</v>
      </c>
      <c r="L418" s="1" t="s">
        <v>30</v>
      </c>
      <c r="M418" t="s">
        <v>22</v>
      </c>
      <c r="N418" t="str">
        <f t="shared" si="6"/>
        <v>Gb</v>
      </c>
      <c r="O418" s="8">
        <f>IF(K418&gt;=1,K418,K418*1000)</f>
        <v>520</v>
      </c>
      <c r="P418">
        <f>ABS(H418)</f>
        <v>1</v>
      </c>
      <c r="R418"/>
    </row>
    <row r="419" spans="1:18" x14ac:dyDescent="0.35">
      <c r="A419" t="s">
        <v>970</v>
      </c>
      <c r="B419" s="2">
        <v>46091</v>
      </c>
      <c r="C419" t="s">
        <v>971</v>
      </c>
      <c r="D419" s="3" t="s">
        <v>116</v>
      </c>
      <c r="E419" t="s">
        <v>41</v>
      </c>
      <c r="F419" t="s">
        <v>89</v>
      </c>
      <c r="G419" t="s">
        <v>90</v>
      </c>
      <c r="H419" s="8">
        <v>1</v>
      </c>
      <c r="I419" s="10">
        <v>45</v>
      </c>
      <c r="J419" s="14">
        <f>P419*I419</f>
        <v>45</v>
      </c>
      <c r="K419" s="16">
        <v>640</v>
      </c>
      <c r="L419" s="1" t="s">
        <v>30</v>
      </c>
      <c r="M419" t="s">
        <v>22</v>
      </c>
      <c r="N419" t="str">
        <f t="shared" si="6"/>
        <v>Germany</v>
      </c>
      <c r="O419" s="8">
        <f>IF(K419&gt;=1,K419,K419*1000)</f>
        <v>640</v>
      </c>
      <c r="P419">
        <f>ABS(H419)</f>
        <v>1</v>
      </c>
      <c r="R419"/>
    </row>
    <row r="420" spans="1:18" x14ac:dyDescent="0.35">
      <c r="A420" t="s">
        <v>972</v>
      </c>
      <c r="B420" s="2">
        <v>46067</v>
      </c>
      <c r="C420" t="s">
        <v>340</v>
      </c>
      <c r="D420" s="3" t="s">
        <v>66</v>
      </c>
      <c r="E420" t="s">
        <v>67</v>
      </c>
      <c r="F420" t="s">
        <v>35</v>
      </c>
      <c r="G420" t="s">
        <v>36</v>
      </c>
      <c r="H420" s="8">
        <v>3</v>
      </c>
      <c r="I420" s="10">
        <v>85.5</v>
      </c>
      <c r="J420" s="14">
        <f>P420*I420</f>
        <v>256.5</v>
      </c>
      <c r="K420" s="16">
        <v>85</v>
      </c>
      <c r="L420" s="1" t="s">
        <v>21</v>
      </c>
      <c r="M420" t="s">
        <v>22</v>
      </c>
      <c r="N420" t="str">
        <f t="shared" si="6"/>
        <v>Gb</v>
      </c>
      <c r="O420" s="8">
        <f>IF(K420&gt;=1,K420,K420*1000)</f>
        <v>85</v>
      </c>
      <c r="P420">
        <f>ABS(H420)</f>
        <v>3</v>
      </c>
      <c r="R420"/>
    </row>
    <row r="421" spans="1:18" x14ac:dyDescent="0.35">
      <c r="A421" t="s">
        <v>973</v>
      </c>
      <c r="B421" s="2">
        <v>46168</v>
      </c>
      <c r="C421" t="s">
        <v>441</v>
      </c>
      <c r="D421" s="3" t="s">
        <v>66</v>
      </c>
      <c r="E421" t="s">
        <v>25</v>
      </c>
      <c r="F421" t="s">
        <v>47</v>
      </c>
      <c r="G421" t="s">
        <v>48</v>
      </c>
      <c r="H421" s="8">
        <v>1</v>
      </c>
      <c r="I421" s="10">
        <v>95</v>
      </c>
      <c r="J421" s="14">
        <f>P421*I421</f>
        <v>95</v>
      </c>
      <c r="K421" s="16">
        <v>0.38</v>
      </c>
      <c r="L421" s="1" t="s">
        <v>30</v>
      </c>
      <c r="M421" t="s">
        <v>22</v>
      </c>
      <c r="N421" t="str">
        <f t="shared" si="6"/>
        <v>Gb</v>
      </c>
      <c r="O421" s="8">
        <f>IF(K421&gt;=1,K421,K421*1000)</f>
        <v>380</v>
      </c>
      <c r="P421">
        <f>ABS(H421)</f>
        <v>1</v>
      </c>
      <c r="R421"/>
    </row>
    <row r="422" spans="1:18" x14ac:dyDescent="0.35">
      <c r="A422" t="s">
        <v>974</v>
      </c>
      <c r="B422" s="2">
        <v>46074</v>
      </c>
      <c r="C422" t="s">
        <v>975</v>
      </c>
      <c r="D422" s="3" t="s">
        <v>99</v>
      </c>
      <c r="E422" t="s">
        <v>67</v>
      </c>
      <c r="F422" t="s">
        <v>42</v>
      </c>
      <c r="G422" t="s">
        <v>43</v>
      </c>
      <c r="H422" s="8">
        <v>2</v>
      </c>
      <c r="I422" s="10">
        <v>11.25</v>
      </c>
      <c r="J422" s="14">
        <f>P422*I422</f>
        <v>22.5</v>
      </c>
      <c r="K422" s="16">
        <v>190</v>
      </c>
      <c r="L422" s="1" t="s">
        <v>30</v>
      </c>
      <c r="M422" t="s">
        <v>22</v>
      </c>
      <c r="N422" t="str">
        <f t="shared" si="6"/>
        <v>United Kingdom</v>
      </c>
      <c r="O422" s="8">
        <f>IF(K422&gt;=1,K422,K422*1000)</f>
        <v>190</v>
      </c>
      <c r="P422">
        <f>ABS(H422)</f>
        <v>2</v>
      </c>
      <c r="R422"/>
    </row>
    <row r="423" spans="1:18" x14ac:dyDescent="0.35">
      <c r="A423" t="s">
        <v>976</v>
      </c>
      <c r="B423" s="2">
        <v>46179</v>
      </c>
      <c r="C423" t="s">
        <v>977</v>
      </c>
      <c r="D423" s="3" t="s">
        <v>99</v>
      </c>
      <c r="E423" t="s">
        <v>34</v>
      </c>
      <c r="F423" t="s">
        <v>74</v>
      </c>
      <c r="G423" t="s">
        <v>75</v>
      </c>
      <c r="H423" s="8">
        <v>1</v>
      </c>
      <c r="I423" s="10">
        <v>12.5</v>
      </c>
      <c r="J423" s="14">
        <f>P423*I423</f>
        <v>12.5</v>
      </c>
      <c r="K423" s="16">
        <v>0.41</v>
      </c>
      <c r="L423" s="1" t="s">
        <v>30</v>
      </c>
      <c r="M423" t="s">
        <v>58</v>
      </c>
      <c r="N423" t="str">
        <f t="shared" si="6"/>
        <v>United Kingdom</v>
      </c>
      <c r="O423" s="8">
        <f>IF(K423&gt;=1,K423,K423*1000)</f>
        <v>410</v>
      </c>
      <c r="P423">
        <f>ABS(H423)</f>
        <v>1</v>
      </c>
      <c r="R423"/>
    </row>
    <row r="424" spans="1:18" x14ac:dyDescent="0.35">
      <c r="A424" t="s">
        <v>978</v>
      </c>
      <c r="B424" s="2">
        <v>46268</v>
      </c>
      <c r="C424" t="s">
        <v>979</v>
      </c>
      <c r="D424" s="3" t="s">
        <v>116</v>
      </c>
      <c r="E424" t="s">
        <v>25</v>
      </c>
      <c r="F424" t="s">
        <v>26</v>
      </c>
      <c r="G424" t="s">
        <v>27</v>
      </c>
      <c r="H424" s="8">
        <v>2</v>
      </c>
      <c r="I424" s="10">
        <v>129</v>
      </c>
      <c r="J424" s="14">
        <f>P424*I424</f>
        <v>258</v>
      </c>
      <c r="K424" s="16">
        <v>520</v>
      </c>
      <c r="L424" s="1" t="s">
        <v>21</v>
      </c>
      <c r="M424" t="s">
        <v>22</v>
      </c>
      <c r="N424" t="str">
        <f t="shared" si="6"/>
        <v>Germany</v>
      </c>
      <c r="O424" s="8">
        <f>IF(K424&gt;=1,K424,K424*1000)</f>
        <v>520</v>
      </c>
      <c r="P424">
        <f>ABS(H424)</f>
        <v>2</v>
      </c>
      <c r="R424"/>
    </row>
    <row r="425" spans="1:18" x14ac:dyDescent="0.35">
      <c r="A425" t="s">
        <v>980</v>
      </c>
      <c r="B425" s="2">
        <v>46134</v>
      </c>
      <c r="C425" t="s">
        <v>981</v>
      </c>
      <c r="D425" s="3" t="s">
        <v>99</v>
      </c>
      <c r="E425" t="s">
        <v>34</v>
      </c>
      <c r="F425" t="s">
        <v>17</v>
      </c>
      <c r="G425" t="s">
        <v>18</v>
      </c>
      <c r="H425" s="8">
        <v>1</v>
      </c>
      <c r="I425" s="10">
        <v>149</v>
      </c>
      <c r="J425" s="14">
        <f>P425*I425</f>
        <v>149</v>
      </c>
      <c r="K425" s="16">
        <v>0.52</v>
      </c>
      <c r="L425" s="1" t="s">
        <v>21</v>
      </c>
      <c r="M425" t="s">
        <v>22</v>
      </c>
      <c r="N425" t="str">
        <f t="shared" si="6"/>
        <v>United Kingdom</v>
      </c>
      <c r="O425" s="8">
        <f>IF(K425&gt;=1,K425,K425*1000)</f>
        <v>520</v>
      </c>
      <c r="P425">
        <f>ABS(H425)</f>
        <v>1</v>
      </c>
      <c r="R425"/>
    </row>
    <row r="426" spans="1:18" x14ac:dyDescent="0.35">
      <c r="A426" t="s">
        <v>982</v>
      </c>
      <c r="B426" s="2">
        <v>46101</v>
      </c>
      <c r="C426" t="s">
        <v>983</v>
      </c>
      <c r="D426" s="3" t="s">
        <v>53</v>
      </c>
      <c r="E426" t="s">
        <v>34</v>
      </c>
      <c r="F426" t="s">
        <v>83</v>
      </c>
      <c r="G426" t="s">
        <v>84</v>
      </c>
      <c r="H426" s="8">
        <v>2</v>
      </c>
      <c r="I426" s="10">
        <v>12.5</v>
      </c>
      <c r="J426" s="14">
        <f>P426*I426</f>
        <v>25</v>
      </c>
      <c r="K426" s="16">
        <v>340</v>
      </c>
      <c r="L426" s="1" t="s">
        <v>30</v>
      </c>
      <c r="M426" t="s">
        <v>22</v>
      </c>
      <c r="N426" t="str">
        <f t="shared" si="6"/>
        <v>Gb</v>
      </c>
      <c r="O426" s="8">
        <f>IF(K426&gt;=1,K426,K426*1000)</f>
        <v>340</v>
      </c>
      <c r="P426">
        <f>ABS(H426)</f>
        <v>2</v>
      </c>
      <c r="R426"/>
    </row>
    <row r="427" spans="1:18" x14ac:dyDescent="0.35">
      <c r="A427" t="s">
        <v>984</v>
      </c>
      <c r="B427" s="2">
        <v>46182</v>
      </c>
      <c r="C427" t="s">
        <v>985</v>
      </c>
      <c r="D427" s="3" t="s">
        <v>53</v>
      </c>
      <c r="E427" t="s">
        <v>25</v>
      </c>
      <c r="F427" t="s">
        <v>83</v>
      </c>
      <c r="G427" t="s">
        <v>84</v>
      </c>
      <c r="H427" s="8">
        <v>2</v>
      </c>
      <c r="I427" s="10">
        <v>85.5</v>
      </c>
      <c r="J427" s="14">
        <f>P427*I427</f>
        <v>171</v>
      </c>
      <c r="K427" s="16">
        <v>0.34</v>
      </c>
      <c r="L427" s="1" t="s">
        <v>30</v>
      </c>
      <c r="M427" t="s">
        <v>58</v>
      </c>
      <c r="N427" t="str">
        <f t="shared" si="6"/>
        <v>Gb</v>
      </c>
      <c r="O427" s="8">
        <f>IF(K427&gt;=1,K427,K427*1000)</f>
        <v>340</v>
      </c>
      <c r="P427">
        <f>ABS(H427)</f>
        <v>2</v>
      </c>
      <c r="R427"/>
    </row>
    <row r="428" spans="1:18" x14ac:dyDescent="0.35">
      <c r="A428" t="s">
        <v>986</v>
      </c>
      <c r="B428" s="2">
        <v>46158</v>
      </c>
      <c r="C428" t="s">
        <v>987</v>
      </c>
      <c r="D428" s="3" t="s">
        <v>66</v>
      </c>
      <c r="E428" t="s">
        <v>16</v>
      </c>
      <c r="F428" t="s">
        <v>83</v>
      </c>
      <c r="G428" t="s">
        <v>84</v>
      </c>
      <c r="H428" s="8">
        <v>1</v>
      </c>
      <c r="I428" s="10">
        <v>12.5</v>
      </c>
      <c r="J428" s="14">
        <f>P428*I428</f>
        <v>12.5</v>
      </c>
      <c r="K428" s="16">
        <v>0.34</v>
      </c>
      <c r="L428" s="1" t="s">
        <v>30</v>
      </c>
      <c r="M428" t="s">
        <v>22</v>
      </c>
      <c r="N428" t="str">
        <f t="shared" si="6"/>
        <v>Gb</v>
      </c>
      <c r="O428" s="8">
        <f>IF(K428&gt;=1,K428,K428*1000)</f>
        <v>340</v>
      </c>
      <c r="P428">
        <f>ABS(H428)</f>
        <v>1</v>
      </c>
      <c r="R428"/>
    </row>
    <row r="429" spans="1:18" x14ac:dyDescent="0.35">
      <c r="A429" t="s">
        <v>988</v>
      </c>
      <c r="B429" s="2" t="s">
        <v>989</v>
      </c>
      <c r="C429" t="s">
        <v>990</v>
      </c>
      <c r="D429" s="3" t="s">
        <v>99</v>
      </c>
      <c r="E429" t="s">
        <v>16</v>
      </c>
      <c r="F429" t="s">
        <v>89</v>
      </c>
      <c r="G429" t="s">
        <v>90</v>
      </c>
      <c r="H429" s="8">
        <v>1</v>
      </c>
      <c r="I429" s="10">
        <v>79</v>
      </c>
      <c r="J429" s="14">
        <f>P429*I429</f>
        <v>79</v>
      </c>
      <c r="K429" s="16">
        <v>0.64</v>
      </c>
      <c r="L429" s="1" t="s">
        <v>30</v>
      </c>
      <c r="M429" t="s">
        <v>22</v>
      </c>
      <c r="N429" t="str">
        <f t="shared" si="6"/>
        <v>United Kingdom</v>
      </c>
      <c r="O429" s="8">
        <f>IF(K429&gt;=1,K429,K429*1000)</f>
        <v>640</v>
      </c>
      <c r="P429">
        <f>ABS(H429)</f>
        <v>1</v>
      </c>
      <c r="R429"/>
    </row>
    <row r="430" spans="1:18" x14ac:dyDescent="0.35">
      <c r="A430" t="s">
        <v>991</v>
      </c>
      <c r="B430" s="2">
        <v>46088</v>
      </c>
      <c r="C430" t="s">
        <v>992</v>
      </c>
      <c r="D430" s="3" t="s">
        <v>61</v>
      </c>
      <c r="E430" t="s">
        <v>41</v>
      </c>
      <c r="F430" t="s">
        <v>17</v>
      </c>
      <c r="G430" t="s">
        <v>18</v>
      </c>
      <c r="H430" s="8">
        <v>3</v>
      </c>
      <c r="I430" s="12" t="s">
        <v>4639</v>
      </c>
      <c r="J430" s="14">
        <f>P430*R430</f>
        <v>37.5</v>
      </c>
      <c r="K430" s="16">
        <v>520</v>
      </c>
      <c r="L430" s="1" t="s">
        <v>30</v>
      </c>
      <c r="M430" t="s">
        <v>22</v>
      </c>
      <c r="N430" t="str">
        <f t="shared" si="6"/>
        <v>Ireland</v>
      </c>
      <c r="O430" s="8">
        <f>IF(K430&gt;=1,K430,K430*1000)</f>
        <v>520</v>
      </c>
      <c r="P430">
        <f>ABS(H430)</f>
        <v>3</v>
      </c>
      <c r="Q430" t="str">
        <f>LEFT(I430,2)</f>
        <v>Â£</v>
      </c>
      <c r="R430" t="str">
        <f>RIGHT(I430,5)</f>
        <v>12,50</v>
      </c>
    </row>
    <row r="431" spans="1:18" x14ac:dyDescent="0.35">
      <c r="A431" t="s">
        <v>994</v>
      </c>
      <c r="B431" s="2">
        <v>46117</v>
      </c>
      <c r="C431" t="s">
        <v>783</v>
      </c>
      <c r="D431" s="3" t="s">
        <v>99</v>
      </c>
      <c r="E431" t="s">
        <v>25</v>
      </c>
      <c r="F431" t="s">
        <v>26</v>
      </c>
      <c r="G431" t="s">
        <v>27</v>
      </c>
      <c r="H431" s="8">
        <v>1</v>
      </c>
      <c r="I431" s="10">
        <v>134.1</v>
      </c>
      <c r="J431" s="14">
        <f>P431*I431</f>
        <v>134.1</v>
      </c>
      <c r="K431" s="16">
        <v>520</v>
      </c>
      <c r="L431" s="1" t="s">
        <v>30</v>
      </c>
      <c r="M431" t="s">
        <v>58</v>
      </c>
      <c r="N431" t="str">
        <f t="shared" si="6"/>
        <v>United Kingdom</v>
      </c>
      <c r="O431" s="8">
        <f>IF(K431&gt;=1,K431,K431*1000)</f>
        <v>520</v>
      </c>
      <c r="P431">
        <f>ABS(H431)</f>
        <v>1</v>
      </c>
      <c r="R431"/>
    </row>
    <row r="432" spans="1:18" x14ac:dyDescent="0.35">
      <c r="A432" t="s">
        <v>995</v>
      </c>
      <c r="B432" s="2">
        <v>46130</v>
      </c>
      <c r="C432" t="s">
        <v>996</v>
      </c>
      <c r="D432" s="3" t="s">
        <v>15</v>
      </c>
      <c r="E432" t="s">
        <v>25</v>
      </c>
      <c r="F432" t="s">
        <v>47</v>
      </c>
      <c r="G432" t="s">
        <v>48</v>
      </c>
      <c r="H432" s="8">
        <v>2</v>
      </c>
      <c r="I432" s="10">
        <v>129</v>
      </c>
      <c r="J432" s="14">
        <f>P432*I432</f>
        <v>258</v>
      </c>
      <c r="K432" s="16">
        <v>380</v>
      </c>
      <c r="L432" s="1" t="s">
        <v>21</v>
      </c>
      <c r="M432" t="s">
        <v>22</v>
      </c>
      <c r="N432" t="str">
        <f t="shared" si="6"/>
        <v>France</v>
      </c>
      <c r="O432" s="8">
        <f>IF(K432&gt;=1,K432,K432*1000)</f>
        <v>380</v>
      </c>
      <c r="P432">
        <f>ABS(H432)</f>
        <v>2</v>
      </c>
      <c r="R432"/>
    </row>
    <row r="433" spans="1:18" x14ac:dyDescent="0.35">
      <c r="A433" t="s">
        <v>997</v>
      </c>
      <c r="B433" s="2" t="s">
        <v>998</v>
      </c>
      <c r="C433" t="s">
        <v>696</v>
      </c>
      <c r="D433" s="3" t="s">
        <v>15</v>
      </c>
      <c r="E433" t="s">
        <v>67</v>
      </c>
      <c r="F433" t="s">
        <v>89</v>
      </c>
      <c r="G433" t="s">
        <v>90</v>
      </c>
      <c r="H433" s="8">
        <v>1</v>
      </c>
      <c r="I433" s="12" t="s">
        <v>4628</v>
      </c>
      <c r="J433" s="14">
        <f t="shared" ref="J433:J435" si="7">P433*R433</f>
        <v>40.5</v>
      </c>
      <c r="K433" s="16">
        <v>640</v>
      </c>
      <c r="L433" s="1" t="s">
        <v>30</v>
      </c>
      <c r="M433" t="s">
        <v>22</v>
      </c>
      <c r="N433" t="str">
        <f t="shared" si="6"/>
        <v>France</v>
      </c>
      <c r="O433" s="8">
        <f>IF(K433&gt;=1,K433,K433*1000)</f>
        <v>640</v>
      </c>
      <c r="P433">
        <f>ABS(H433)</f>
        <v>1</v>
      </c>
      <c r="Q433" t="str">
        <f t="shared" ref="Q433:Q435" si="8">LEFT(I433,2)</f>
        <v>Â£</v>
      </c>
      <c r="R433" t="str">
        <f t="shared" ref="R433:R435" si="9">RIGHT(I433,5)</f>
        <v>40,50</v>
      </c>
    </row>
    <row r="434" spans="1:18" x14ac:dyDescent="0.35">
      <c r="A434" t="s">
        <v>999</v>
      </c>
      <c r="B434" s="2" t="s">
        <v>290</v>
      </c>
      <c r="C434" t="s">
        <v>1000</v>
      </c>
      <c r="D434" s="3" t="s">
        <v>53</v>
      </c>
      <c r="E434" t="s">
        <v>34</v>
      </c>
      <c r="F434" t="s">
        <v>17</v>
      </c>
      <c r="G434" t="s">
        <v>18</v>
      </c>
      <c r="H434" s="8">
        <v>3</v>
      </c>
      <c r="I434" s="12" t="s">
        <v>4631</v>
      </c>
      <c r="J434" s="14">
        <f t="shared" si="7"/>
        <v>237</v>
      </c>
      <c r="K434" s="16">
        <v>520</v>
      </c>
      <c r="L434" s="1" t="s">
        <v>30</v>
      </c>
      <c r="M434" t="s">
        <v>22</v>
      </c>
      <c r="N434" t="str">
        <f t="shared" si="6"/>
        <v>Gb</v>
      </c>
      <c r="O434" s="8">
        <f>IF(K434&gt;=1,K434,K434*1000)</f>
        <v>520</v>
      </c>
      <c r="P434">
        <f>ABS(H434)</f>
        <v>3</v>
      </c>
      <c r="Q434" t="str">
        <f t="shared" si="8"/>
        <v>Â£</v>
      </c>
      <c r="R434" t="str">
        <f t="shared" si="9"/>
        <v>79,00</v>
      </c>
    </row>
    <row r="435" spans="1:18" x14ac:dyDescent="0.35">
      <c r="A435" t="s">
        <v>1001</v>
      </c>
      <c r="B435" s="2">
        <v>46200</v>
      </c>
      <c r="C435" t="s">
        <v>214</v>
      </c>
      <c r="D435" s="3" t="s">
        <v>53</v>
      </c>
      <c r="E435" t="s">
        <v>34</v>
      </c>
      <c r="F435" t="s">
        <v>89</v>
      </c>
      <c r="G435" t="s">
        <v>90</v>
      </c>
      <c r="H435" s="8">
        <v>3</v>
      </c>
      <c r="I435" s="12" t="s">
        <v>4640</v>
      </c>
      <c r="J435" s="14">
        <f t="shared" si="7"/>
        <v>87</v>
      </c>
      <c r="K435" s="16">
        <v>0.64</v>
      </c>
      <c r="L435" s="1" t="s">
        <v>30</v>
      </c>
      <c r="M435" t="s">
        <v>22</v>
      </c>
      <c r="N435" t="str">
        <f t="shared" si="6"/>
        <v>Gb</v>
      </c>
      <c r="O435" s="8">
        <f>IF(K435&gt;=1,K435,K435*1000)</f>
        <v>640</v>
      </c>
      <c r="P435">
        <f>ABS(H435)</f>
        <v>3</v>
      </c>
      <c r="Q435" t="str">
        <f t="shared" si="8"/>
        <v>Â£</v>
      </c>
      <c r="R435" t="str">
        <f t="shared" si="9"/>
        <v>29,00</v>
      </c>
    </row>
    <row r="436" spans="1:18" x14ac:dyDescent="0.35">
      <c r="A436" t="s">
        <v>1003</v>
      </c>
      <c r="B436" s="2">
        <v>46056</v>
      </c>
      <c r="C436" t="s">
        <v>1004</v>
      </c>
      <c r="D436" s="3" t="s">
        <v>15</v>
      </c>
      <c r="E436" t="s">
        <v>67</v>
      </c>
      <c r="F436" t="s">
        <v>17</v>
      </c>
      <c r="G436" t="s">
        <v>18</v>
      </c>
      <c r="H436" s="8">
        <v>3</v>
      </c>
      <c r="I436" s="10">
        <v>134.1</v>
      </c>
      <c r="J436" s="14">
        <f>P436*I436</f>
        <v>402.29999999999995</v>
      </c>
      <c r="K436" s="16">
        <v>520</v>
      </c>
      <c r="L436" s="1" t="s">
        <v>30</v>
      </c>
      <c r="M436" t="s">
        <v>58</v>
      </c>
      <c r="N436" t="str">
        <f t="shared" si="6"/>
        <v>France</v>
      </c>
      <c r="O436" s="8">
        <f>IF(K436&gt;=1,K436,K436*1000)</f>
        <v>520</v>
      </c>
      <c r="P436">
        <f>ABS(H436)</f>
        <v>3</v>
      </c>
      <c r="R436"/>
    </row>
    <row r="437" spans="1:18" x14ac:dyDescent="0.35">
      <c r="A437" t="s">
        <v>1005</v>
      </c>
      <c r="B437" s="2">
        <v>46116</v>
      </c>
      <c r="C437" t="s">
        <v>1006</v>
      </c>
      <c r="D437" s="3" t="s">
        <v>4612</v>
      </c>
      <c r="E437" t="s">
        <v>41</v>
      </c>
      <c r="F437" t="s">
        <v>47</v>
      </c>
      <c r="G437" t="s">
        <v>48</v>
      </c>
      <c r="H437" s="8">
        <v>1</v>
      </c>
      <c r="I437" s="10">
        <v>95</v>
      </c>
      <c r="J437" s="14">
        <f>P437*I437</f>
        <v>95</v>
      </c>
      <c r="K437" s="16">
        <v>380</v>
      </c>
      <c r="L437" s="1" t="s">
        <v>21</v>
      </c>
      <c r="M437" t="s">
        <v>22</v>
      </c>
      <c r="N437" t="str">
        <f t="shared" si="6"/>
        <v>United Kingdom</v>
      </c>
      <c r="O437" s="8">
        <f>IF(K437&gt;=1,K437,K437*1000)</f>
        <v>380</v>
      </c>
      <c r="P437">
        <f>ABS(H437)</f>
        <v>1</v>
      </c>
      <c r="R437"/>
    </row>
    <row r="438" spans="1:18" x14ac:dyDescent="0.35">
      <c r="A438" t="s">
        <v>1007</v>
      </c>
      <c r="B438" s="2">
        <v>46072</v>
      </c>
      <c r="C438" t="s">
        <v>1008</v>
      </c>
      <c r="D438" s="3" t="s">
        <v>15</v>
      </c>
      <c r="E438" t="s">
        <v>67</v>
      </c>
      <c r="F438" t="s">
        <v>17</v>
      </c>
      <c r="G438" t="s">
        <v>18</v>
      </c>
      <c r="H438" s="8">
        <v>2</v>
      </c>
      <c r="I438" s="10">
        <v>45</v>
      </c>
      <c r="J438" s="14">
        <f>P438*I438</f>
        <v>90</v>
      </c>
      <c r="K438" s="16">
        <v>520</v>
      </c>
      <c r="L438" s="1" t="s">
        <v>30</v>
      </c>
      <c r="M438" t="s">
        <v>58</v>
      </c>
      <c r="N438" t="str">
        <f t="shared" si="6"/>
        <v>France</v>
      </c>
      <c r="O438" s="8">
        <f>IF(K438&gt;=1,K438,K438*1000)</f>
        <v>520</v>
      </c>
      <c r="P438">
        <f>ABS(H438)</f>
        <v>2</v>
      </c>
      <c r="R438"/>
    </row>
    <row r="439" spans="1:18" x14ac:dyDescent="0.35">
      <c r="A439" t="s">
        <v>1009</v>
      </c>
      <c r="B439" s="2">
        <v>46175</v>
      </c>
      <c r="C439" t="s">
        <v>1010</v>
      </c>
      <c r="D439" s="3" t="s">
        <v>53</v>
      </c>
      <c r="E439" t="s">
        <v>41</v>
      </c>
      <c r="F439" t="s">
        <v>89</v>
      </c>
      <c r="G439" t="s">
        <v>90</v>
      </c>
      <c r="H439" s="8">
        <v>3</v>
      </c>
      <c r="I439" s="10">
        <v>79</v>
      </c>
      <c r="J439" s="14">
        <f>P439*I439</f>
        <v>237</v>
      </c>
      <c r="K439" s="16">
        <v>0.64</v>
      </c>
      <c r="L439" s="1" t="s">
        <v>30</v>
      </c>
      <c r="M439" t="s">
        <v>22</v>
      </c>
      <c r="N439" t="str">
        <f t="shared" si="6"/>
        <v>Gb</v>
      </c>
      <c r="O439" s="8">
        <f>IF(K439&gt;=1,K439,K439*1000)</f>
        <v>640</v>
      </c>
      <c r="P439">
        <f>ABS(H439)</f>
        <v>3</v>
      </c>
      <c r="R439"/>
    </row>
    <row r="440" spans="1:18" x14ac:dyDescent="0.35">
      <c r="A440" t="s">
        <v>1011</v>
      </c>
      <c r="B440" s="2">
        <v>46122</v>
      </c>
      <c r="C440" t="s">
        <v>545</v>
      </c>
      <c r="D440" s="3" t="s">
        <v>116</v>
      </c>
      <c r="E440" t="s">
        <v>67</v>
      </c>
      <c r="F440" t="s">
        <v>17</v>
      </c>
      <c r="G440" t="s">
        <v>18</v>
      </c>
      <c r="H440" s="8">
        <v>3</v>
      </c>
      <c r="I440" s="10">
        <v>134.1</v>
      </c>
      <c r="J440" s="14">
        <f>P440*I440</f>
        <v>402.29999999999995</v>
      </c>
      <c r="K440" s="16">
        <v>520</v>
      </c>
      <c r="L440" s="1" t="s">
        <v>30</v>
      </c>
      <c r="M440" t="s">
        <v>58</v>
      </c>
      <c r="N440" t="str">
        <f t="shared" si="6"/>
        <v>Germany</v>
      </c>
      <c r="O440" s="8">
        <f>IF(K440&gt;=1,K440,K440*1000)</f>
        <v>520</v>
      </c>
      <c r="P440">
        <f>ABS(H440)</f>
        <v>3</v>
      </c>
      <c r="R440"/>
    </row>
    <row r="441" spans="1:18" x14ac:dyDescent="0.35">
      <c r="A441" t="s">
        <v>1012</v>
      </c>
      <c r="B441" s="2">
        <v>46207</v>
      </c>
      <c r="C441" t="s">
        <v>1013</v>
      </c>
      <c r="D441" s="3" t="s">
        <v>99</v>
      </c>
      <c r="E441" t="s">
        <v>41</v>
      </c>
      <c r="F441" t="s">
        <v>35</v>
      </c>
      <c r="G441" t="s">
        <v>36</v>
      </c>
      <c r="H441" s="8">
        <v>1</v>
      </c>
      <c r="I441" s="10">
        <v>24</v>
      </c>
      <c r="J441" s="14">
        <f>P441*I441</f>
        <v>24</v>
      </c>
      <c r="K441" s="16">
        <v>8.5000000000000006E-2</v>
      </c>
      <c r="L441" s="1" t="s">
        <v>30</v>
      </c>
      <c r="M441" t="s">
        <v>58</v>
      </c>
      <c r="N441" t="str">
        <f t="shared" si="6"/>
        <v>United Kingdom</v>
      </c>
      <c r="O441" s="8">
        <f>IF(K441&gt;=1,K441,K441*1000)</f>
        <v>85</v>
      </c>
      <c r="P441">
        <f>ABS(H441)</f>
        <v>1</v>
      </c>
      <c r="R441"/>
    </row>
    <row r="442" spans="1:18" x14ac:dyDescent="0.35">
      <c r="A442" t="s">
        <v>1014</v>
      </c>
      <c r="B442" s="2">
        <v>46061</v>
      </c>
      <c r="C442" t="s">
        <v>208</v>
      </c>
      <c r="D442" s="3" t="s">
        <v>116</v>
      </c>
      <c r="E442" t="s">
        <v>25</v>
      </c>
      <c r="F442" t="s">
        <v>89</v>
      </c>
      <c r="G442" t="s">
        <v>90</v>
      </c>
      <c r="H442" s="8">
        <v>1</v>
      </c>
      <c r="I442" s="10">
        <v>40.5</v>
      </c>
      <c r="J442" s="14">
        <f>P442*I442</f>
        <v>40.5</v>
      </c>
      <c r="K442" s="16">
        <v>640</v>
      </c>
      <c r="L442" s="1" t="s">
        <v>30</v>
      </c>
      <c r="M442" t="s">
        <v>22</v>
      </c>
      <c r="N442" t="str">
        <f t="shared" si="6"/>
        <v>Germany</v>
      </c>
      <c r="O442" s="8">
        <f>IF(K442&gt;=1,K442,K442*1000)</f>
        <v>640</v>
      </c>
      <c r="P442">
        <f>ABS(H442)</f>
        <v>1</v>
      </c>
      <c r="R442"/>
    </row>
    <row r="443" spans="1:18" x14ac:dyDescent="0.35">
      <c r="A443" t="s">
        <v>1015</v>
      </c>
      <c r="B443" s="2">
        <v>46207</v>
      </c>
      <c r="C443" t="s">
        <v>1016</v>
      </c>
      <c r="D443" s="3" t="s">
        <v>99</v>
      </c>
      <c r="E443" t="s">
        <v>41</v>
      </c>
      <c r="F443" t="s">
        <v>83</v>
      </c>
      <c r="G443" t="s">
        <v>84</v>
      </c>
      <c r="H443" s="8">
        <v>2</v>
      </c>
      <c r="I443" s="10">
        <v>40.5</v>
      </c>
      <c r="J443" s="14">
        <f>P443*I443</f>
        <v>81</v>
      </c>
      <c r="K443" s="16">
        <v>0.34</v>
      </c>
      <c r="L443" s="1" t="s">
        <v>30</v>
      </c>
      <c r="M443" t="s">
        <v>22</v>
      </c>
      <c r="N443" t="str">
        <f t="shared" si="6"/>
        <v>United Kingdom</v>
      </c>
      <c r="O443" s="8">
        <f>IF(K443&gt;=1,K443,K443*1000)</f>
        <v>340</v>
      </c>
      <c r="P443">
        <f>ABS(H443)</f>
        <v>2</v>
      </c>
      <c r="R443"/>
    </row>
    <row r="444" spans="1:18" x14ac:dyDescent="0.35">
      <c r="A444" t="s">
        <v>1017</v>
      </c>
      <c r="B444" s="2">
        <v>46075</v>
      </c>
      <c r="C444" t="s">
        <v>750</v>
      </c>
      <c r="D444" s="3" t="s">
        <v>15</v>
      </c>
      <c r="E444" t="s">
        <v>41</v>
      </c>
      <c r="F444" t="s">
        <v>47</v>
      </c>
      <c r="G444" t="s">
        <v>48</v>
      </c>
      <c r="H444" s="8">
        <v>3</v>
      </c>
      <c r="I444" s="10">
        <v>134.1</v>
      </c>
      <c r="J444" s="14">
        <f>P444*I444</f>
        <v>402.29999999999995</v>
      </c>
      <c r="K444" s="16">
        <v>380</v>
      </c>
      <c r="L444" s="1" t="s">
        <v>30</v>
      </c>
      <c r="M444" t="s">
        <v>58</v>
      </c>
      <c r="N444" t="str">
        <f t="shared" si="6"/>
        <v>France</v>
      </c>
      <c r="O444" s="8">
        <f>IF(K444&gt;=1,K444,K444*1000)</f>
        <v>380</v>
      </c>
      <c r="P444">
        <f>ABS(H444)</f>
        <v>3</v>
      </c>
      <c r="R444"/>
    </row>
    <row r="445" spans="1:18" x14ac:dyDescent="0.35">
      <c r="A445" t="s">
        <v>1018</v>
      </c>
      <c r="B445" s="2">
        <v>46127</v>
      </c>
      <c r="C445" t="s">
        <v>1019</v>
      </c>
      <c r="D445" s="3" t="s">
        <v>15</v>
      </c>
      <c r="E445" t="s">
        <v>34</v>
      </c>
      <c r="F445" t="s">
        <v>17</v>
      </c>
      <c r="G445" t="s">
        <v>18</v>
      </c>
      <c r="H445" s="8">
        <v>1</v>
      </c>
      <c r="I445" s="10">
        <v>71.099999999999994</v>
      </c>
      <c r="J445" s="14">
        <f>P445*I445</f>
        <v>71.099999999999994</v>
      </c>
      <c r="K445" s="16">
        <v>520</v>
      </c>
      <c r="L445" s="1" t="s">
        <v>30</v>
      </c>
      <c r="M445" t="s">
        <v>58</v>
      </c>
      <c r="N445" t="str">
        <f t="shared" si="6"/>
        <v>France</v>
      </c>
      <c r="O445" s="8">
        <f>IF(K445&gt;=1,K445,K445*1000)</f>
        <v>520</v>
      </c>
      <c r="P445">
        <f>ABS(H445)</f>
        <v>1</v>
      </c>
      <c r="R445"/>
    </row>
    <row r="446" spans="1:18" x14ac:dyDescent="0.35">
      <c r="A446" t="s">
        <v>1020</v>
      </c>
      <c r="B446" s="2">
        <v>46122</v>
      </c>
      <c r="C446" t="s">
        <v>1021</v>
      </c>
      <c r="D446" s="3" t="s">
        <v>66</v>
      </c>
      <c r="E446" t="s">
        <v>16</v>
      </c>
      <c r="F446" t="s">
        <v>17</v>
      </c>
      <c r="G446" t="s">
        <v>18</v>
      </c>
      <c r="H446" s="8">
        <v>2</v>
      </c>
      <c r="I446" s="10">
        <v>116.1</v>
      </c>
      <c r="J446" s="14">
        <f>P446*I446</f>
        <v>232.2</v>
      </c>
      <c r="K446" s="16">
        <v>520</v>
      </c>
      <c r="L446" s="1" t="s">
        <v>30</v>
      </c>
      <c r="M446" t="s">
        <v>22</v>
      </c>
      <c r="N446" t="str">
        <f t="shared" si="6"/>
        <v>Gb</v>
      </c>
      <c r="O446" s="8">
        <f>IF(K446&gt;=1,K446,K446*1000)</f>
        <v>520</v>
      </c>
      <c r="P446">
        <f>ABS(H446)</f>
        <v>2</v>
      </c>
      <c r="R446"/>
    </row>
    <row r="447" spans="1:18" x14ac:dyDescent="0.35">
      <c r="A447" t="s">
        <v>1022</v>
      </c>
      <c r="B447" s="2">
        <v>46192</v>
      </c>
      <c r="C447" t="s">
        <v>1023</v>
      </c>
      <c r="D447" s="3" t="s">
        <v>99</v>
      </c>
      <c r="E447" t="s">
        <v>34</v>
      </c>
      <c r="F447" t="s">
        <v>26</v>
      </c>
      <c r="G447" t="s">
        <v>27</v>
      </c>
      <c r="H447" s="8">
        <v>1</v>
      </c>
      <c r="I447" s="10">
        <v>71.099999999999994</v>
      </c>
      <c r="J447" s="14">
        <f>P447*I447</f>
        <v>71.099999999999994</v>
      </c>
      <c r="K447" s="16">
        <v>0.52</v>
      </c>
      <c r="L447" s="1" t="s">
        <v>30</v>
      </c>
      <c r="M447" t="s">
        <v>22</v>
      </c>
      <c r="N447" t="str">
        <f t="shared" si="6"/>
        <v>United Kingdom</v>
      </c>
      <c r="O447" s="8">
        <f>IF(K447&gt;=1,K447,K447*1000)</f>
        <v>520</v>
      </c>
      <c r="P447">
        <f>ABS(H447)</f>
        <v>1</v>
      </c>
      <c r="R447"/>
    </row>
    <row r="448" spans="1:18" x14ac:dyDescent="0.35">
      <c r="A448" t="s">
        <v>1024</v>
      </c>
      <c r="B448" s="2" t="s">
        <v>1025</v>
      </c>
      <c r="C448" t="s">
        <v>180</v>
      </c>
      <c r="D448" s="3" t="s">
        <v>46</v>
      </c>
      <c r="E448" t="s">
        <v>16</v>
      </c>
      <c r="F448" t="s">
        <v>83</v>
      </c>
      <c r="G448" t="s">
        <v>84</v>
      </c>
      <c r="H448" s="8">
        <v>1</v>
      </c>
      <c r="I448" s="10">
        <v>79</v>
      </c>
      <c r="J448" s="14">
        <f>P448*I448</f>
        <v>79</v>
      </c>
      <c r="K448" s="16">
        <v>0.34</v>
      </c>
      <c r="L448" s="1" t="s">
        <v>30</v>
      </c>
      <c r="M448" t="s">
        <v>22</v>
      </c>
      <c r="N448" t="str">
        <f t="shared" si="6"/>
        <v>Ireland</v>
      </c>
      <c r="O448" s="8">
        <f>IF(K448&gt;=1,K448,K448*1000)</f>
        <v>340</v>
      </c>
      <c r="P448">
        <f>ABS(H448)</f>
        <v>1</v>
      </c>
      <c r="R448"/>
    </row>
    <row r="449" spans="1:18" x14ac:dyDescent="0.35">
      <c r="A449" t="s">
        <v>1026</v>
      </c>
      <c r="B449" s="2">
        <v>46133</v>
      </c>
      <c r="C449" t="s">
        <v>842</v>
      </c>
      <c r="D449" s="3" t="s">
        <v>15</v>
      </c>
      <c r="E449" t="s">
        <v>16</v>
      </c>
      <c r="F449" t="s">
        <v>17</v>
      </c>
      <c r="G449" t="s">
        <v>18</v>
      </c>
      <c r="H449" s="8">
        <v>3</v>
      </c>
      <c r="I449" s="10">
        <v>79</v>
      </c>
      <c r="J449" s="14">
        <f>P449*I449</f>
        <v>237</v>
      </c>
      <c r="K449" s="16">
        <v>0.52</v>
      </c>
      <c r="L449" s="1" t="s">
        <v>30</v>
      </c>
      <c r="M449" t="s">
        <v>22</v>
      </c>
      <c r="N449" t="str">
        <f t="shared" si="6"/>
        <v>France</v>
      </c>
      <c r="O449" s="8">
        <f>IF(K449&gt;=1,K449,K449*1000)</f>
        <v>520</v>
      </c>
      <c r="P449">
        <f>ABS(H449)</f>
        <v>3</v>
      </c>
      <c r="R449"/>
    </row>
    <row r="450" spans="1:18" x14ac:dyDescent="0.35">
      <c r="A450" t="s">
        <v>1027</v>
      </c>
      <c r="B450" s="2">
        <v>46080</v>
      </c>
      <c r="C450" t="s">
        <v>1028</v>
      </c>
      <c r="D450" s="3" t="s">
        <v>53</v>
      </c>
      <c r="E450" t="s">
        <v>67</v>
      </c>
      <c r="F450" t="s">
        <v>74</v>
      </c>
      <c r="G450" t="s">
        <v>75</v>
      </c>
      <c r="H450" s="8">
        <v>1</v>
      </c>
      <c r="I450" s="10">
        <v>85.5</v>
      </c>
      <c r="J450" s="14">
        <f>P450*I450</f>
        <v>85.5</v>
      </c>
      <c r="K450" s="16">
        <v>410</v>
      </c>
      <c r="L450" s="1" t="s">
        <v>21</v>
      </c>
      <c r="M450" t="s">
        <v>22</v>
      </c>
      <c r="N450" t="str">
        <f t="shared" si="6"/>
        <v>Gb</v>
      </c>
      <c r="O450" s="8">
        <f>IF(K450&gt;=1,K450,K450*1000)</f>
        <v>410</v>
      </c>
      <c r="P450">
        <f>ABS(H450)</f>
        <v>1</v>
      </c>
      <c r="R450"/>
    </row>
    <row r="451" spans="1:18" x14ac:dyDescent="0.35">
      <c r="A451" t="s">
        <v>1029</v>
      </c>
      <c r="B451" s="2">
        <v>46202</v>
      </c>
      <c r="C451" t="s">
        <v>464</v>
      </c>
      <c r="D451" s="3" t="s">
        <v>15</v>
      </c>
      <c r="E451" t="s">
        <v>25</v>
      </c>
      <c r="F451" t="s">
        <v>83</v>
      </c>
      <c r="G451" t="s">
        <v>84</v>
      </c>
      <c r="H451" s="8">
        <v>1</v>
      </c>
      <c r="I451" s="10">
        <v>21.6</v>
      </c>
      <c r="J451" s="14">
        <f>P451*I451</f>
        <v>21.6</v>
      </c>
      <c r="K451" s="16">
        <v>0.34</v>
      </c>
      <c r="L451" s="1" t="s">
        <v>30</v>
      </c>
      <c r="M451" t="s">
        <v>22</v>
      </c>
      <c r="N451" t="str">
        <f t="shared" ref="N451:N514" si="10">PROPER(TRIM(D451))</f>
        <v>France</v>
      </c>
      <c r="O451" s="8">
        <f>IF(K451&gt;=1,K451,K451*1000)</f>
        <v>340</v>
      </c>
      <c r="P451">
        <f>ABS(H451)</f>
        <v>1</v>
      </c>
      <c r="R451"/>
    </row>
    <row r="452" spans="1:18" x14ac:dyDescent="0.35">
      <c r="A452" t="s">
        <v>1030</v>
      </c>
      <c r="B452" s="2">
        <v>46205</v>
      </c>
      <c r="C452" t="s">
        <v>330</v>
      </c>
      <c r="D452" s="3" t="s">
        <v>66</v>
      </c>
      <c r="E452" t="s">
        <v>25</v>
      </c>
      <c r="F452" t="s">
        <v>42</v>
      </c>
      <c r="G452" t="s">
        <v>43</v>
      </c>
      <c r="H452" s="8">
        <v>2</v>
      </c>
      <c r="I452" s="10">
        <v>79</v>
      </c>
      <c r="J452" s="14">
        <f>P452*I452</f>
        <v>158</v>
      </c>
      <c r="K452" s="16">
        <v>0.19</v>
      </c>
      <c r="L452" s="1" t="s">
        <v>30</v>
      </c>
      <c r="M452" t="s">
        <v>58</v>
      </c>
      <c r="N452" t="str">
        <f t="shared" si="10"/>
        <v>Gb</v>
      </c>
      <c r="O452" s="8">
        <f>IF(K452&gt;=1,K452,K452*1000)</f>
        <v>190</v>
      </c>
      <c r="P452">
        <f>ABS(H452)</f>
        <v>2</v>
      </c>
      <c r="R452"/>
    </row>
    <row r="453" spans="1:18" x14ac:dyDescent="0.35">
      <c r="A453" t="s">
        <v>1031</v>
      </c>
      <c r="B453" s="2">
        <v>46041</v>
      </c>
      <c r="C453" t="s">
        <v>1032</v>
      </c>
      <c r="D453" s="3" t="s">
        <v>66</v>
      </c>
      <c r="E453" t="s">
        <v>25</v>
      </c>
      <c r="F453" t="s">
        <v>26</v>
      </c>
      <c r="G453" t="s">
        <v>27</v>
      </c>
      <c r="H453" s="8">
        <v>2</v>
      </c>
      <c r="I453" s="10">
        <v>116.1</v>
      </c>
      <c r="J453" s="14">
        <f>P453*I453</f>
        <v>232.2</v>
      </c>
      <c r="K453" s="16">
        <v>520</v>
      </c>
      <c r="L453" s="1" t="s">
        <v>30</v>
      </c>
      <c r="M453" t="s">
        <v>22</v>
      </c>
      <c r="N453" t="str">
        <f t="shared" si="10"/>
        <v>Gb</v>
      </c>
      <c r="O453" s="8">
        <f>IF(K453&gt;=1,K453,K453*1000)</f>
        <v>520</v>
      </c>
      <c r="P453">
        <f>ABS(H453)</f>
        <v>2</v>
      </c>
      <c r="R453"/>
    </row>
    <row r="454" spans="1:18" x14ac:dyDescent="0.35">
      <c r="A454" t="s">
        <v>1034</v>
      </c>
      <c r="B454" s="2">
        <v>46201</v>
      </c>
      <c r="C454" t="s">
        <v>70</v>
      </c>
      <c r="D454" s="3" t="s">
        <v>53</v>
      </c>
      <c r="E454" t="s">
        <v>67</v>
      </c>
      <c r="F454" t="s">
        <v>26</v>
      </c>
      <c r="G454" t="s">
        <v>27</v>
      </c>
      <c r="H454" s="8">
        <v>1</v>
      </c>
      <c r="I454" s="12" t="s">
        <v>4624</v>
      </c>
      <c r="J454" s="14">
        <f>P454*R454</f>
        <v>24</v>
      </c>
      <c r="K454" s="16">
        <v>0.52</v>
      </c>
      <c r="L454" s="1" t="s">
        <v>30</v>
      </c>
      <c r="M454" t="s">
        <v>22</v>
      </c>
      <c r="N454" t="str">
        <f t="shared" si="10"/>
        <v>Gb</v>
      </c>
      <c r="O454" s="8">
        <f>IF(K454&gt;=1,K454,K454*1000)</f>
        <v>520</v>
      </c>
      <c r="P454">
        <f>ABS(H454)</f>
        <v>1</v>
      </c>
      <c r="Q454" t="str">
        <f>LEFT(I454,2)</f>
        <v>Â£</v>
      </c>
      <c r="R454" t="str">
        <f>RIGHT(I454,5)</f>
        <v>24,00</v>
      </c>
    </row>
    <row r="455" spans="1:18" x14ac:dyDescent="0.35">
      <c r="A455" t="s">
        <v>1035</v>
      </c>
      <c r="B455" s="2">
        <v>46059</v>
      </c>
      <c r="C455" t="s">
        <v>1036</v>
      </c>
      <c r="D455" s="3" t="s">
        <v>46</v>
      </c>
      <c r="E455" t="s">
        <v>34</v>
      </c>
      <c r="F455" t="s">
        <v>42</v>
      </c>
      <c r="G455" t="s">
        <v>43</v>
      </c>
      <c r="H455" s="8">
        <v>1</v>
      </c>
      <c r="I455" s="10">
        <v>12.5</v>
      </c>
      <c r="J455" s="14">
        <f>P455*I455</f>
        <v>12.5</v>
      </c>
      <c r="K455" s="16">
        <v>190</v>
      </c>
      <c r="L455" s="1" t="s">
        <v>21</v>
      </c>
      <c r="M455" t="s">
        <v>22</v>
      </c>
      <c r="N455" t="str">
        <f t="shared" si="10"/>
        <v>Ireland</v>
      </c>
      <c r="O455" s="8">
        <f>IF(K455&gt;=1,K455,K455*1000)</f>
        <v>190</v>
      </c>
      <c r="P455">
        <f>ABS(H455)</f>
        <v>1</v>
      </c>
      <c r="R455"/>
    </row>
    <row r="456" spans="1:18" x14ac:dyDescent="0.35">
      <c r="A456" t="s">
        <v>1037</v>
      </c>
      <c r="B456" s="2">
        <v>46069</v>
      </c>
      <c r="C456" t="s">
        <v>263</v>
      </c>
      <c r="D456" s="3" t="s">
        <v>4613</v>
      </c>
      <c r="E456" t="s">
        <v>16</v>
      </c>
      <c r="F456" t="s">
        <v>89</v>
      </c>
      <c r="G456" t="s">
        <v>90</v>
      </c>
      <c r="H456" s="8">
        <v>1</v>
      </c>
      <c r="I456" s="10">
        <v>79</v>
      </c>
      <c r="J456" s="14">
        <f>P456*I456</f>
        <v>79</v>
      </c>
      <c r="K456" s="16">
        <v>640</v>
      </c>
      <c r="L456" s="1" t="s">
        <v>21</v>
      </c>
      <c r="M456" t="s">
        <v>22</v>
      </c>
      <c r="N456" t="str">
        <f t="shared" si="10"/>
        <v>United Kingdom</v>
      </c>
      <c r="O456" s="8">
        <f>IF(K456&gt;=1,K456,K456*1000)</f>
        <v>640</v>
      </c>
      <c r="P456">
        <f>ABS(H456)</f>
        <v>1</v>
      </c>
      <c r="R456"/>
    </row>
    <row r="457" spans="1:18" x14ac:dyDescent="0.35">
      <c r="A457" t="s">
        <v>1038</v>
      </c>
      <c r="B457" s="2">
        <v>46090</v>
      </c>
      <c r="C457" t="s">
        <v>1039</v>
      </c>
      <c r="D457" s="3" t="s">
        <v>61</v>
      </c>
      <c r="E457" t="s">
        <v>67</v>
      </c>
      <c r="F457" t="s">
        <v>83</v>
      </c>
      <c r="G457" t="s">
        <v>84</v>
      </c>
      <c r="H457" s="8">
        <v>1</v>
      </c>
      <c r="I457" s="10">
        <v>95</v>
      </c>
      <c r="J457" s="14">
        <f>P457*I457</f>
        <v>95</v>
      </c>
      <c r="K457" s="16">
        <v>340</v>
      </c>
      <c r="L457" s="1" t="s">
        <v>30</v>
      </c>
      <c r="M457" t="s">
        <v>22</v>
      </c>
      <c r="N457" t="str">
        <f t="shared" si="10"/>
        <v>Ireland</v>
      </c>
      <c r="O457" s="8">
        <f>IF(K457&gt;=1,K457,K457*1000)</f>
        <v>340</v>
      </c>
      <c r="P457">
        <f>ABS(H457)</f>
        <v>1</v>
      </c>
      <c r="R457"/>
    </row>
    <row r="458" spans="1:18" x14ac:dyDescent="0.35">
      <c r="A458" t="s">
        <v>1040</v>
      </c>
      <c r="B458" s="2">
        <v>46083</v>
      </c>
      <c r="C458" t="s">
        <v>659</v>
      </c>
      <c r="D458" s="3" t="s">
        <v>99</v>
      </c>
      <c r="E458" t="s">
        <v>16</v>
      </c>
      <c r="F458" t="s">
        <v>35</v>
      </c>
      <c r="G458" t="s">
        <v>36</v>
      </c>
      <c r="H458" s="8">
        <v>1</v>
      </c>
      <c r="I458" s="10">
        <v>11.25</v>
      </c>
      <c r="J458" s="14">
        <f>P458*I458</f>
        <v>11.25</v>
      </c>
      <c r="K458" s="16">
        <v>85</v>
      </c>
      <c r="L458" s="1" t="s">
        <v>30</v>
      </c>
      <c r="M458" t="s">
        <v>58</v>
      </c>
      <c r="N458" t="str">
        <f t="shared" si="10"/>
        <v>United Kingdom</v>
      </c>
      <c r="O458" s="8">
        <f>IF(K458&gt;=1,K458,K458*1000)</f>
        <v>85</v>
      </c>
      <c r="P458">
        <f>ABS(H458)</f>
        <v>1</v>
      </c>
      <c r="R458"/>
    </row>
    <row r="459" spans="1:18" x14ac:dyDescent="0.35">
      <c r="A459" t="s">
        <v>1041</v>
      </c>
      <c r="B459" s="2">
        <v>46128</v>
      </c>
      <c r="C459" t="s">
        <v>1042</v>
      </c>
      <c r="D459" s="3" t="s">
        <v>99</v>
      </c>
      <c r="E459" t="s">
        <v>41</v>
      </c>
      <c r="F459" t="s">
        <v>74</v>
      </c>
      <c r="G459" t="s">
        <v>75</v>
      </c>
      <c r="H459" s="8">
        <v>2</v>
      </c>
      <c r="I459" s="10">
        <v>21.6</v>
      </c>
      <c r="J459" s="14">
        <f>P459*I459</f>
        <v>43.2</v>
      </c>
      <c r="K459" s="16">
        <v>410</v>
      </c>
      <c r="L459" s="1" t="s">
        <v>30</v>
      </c>
      <c r="M459" t="s">
        <v>58</v>
      </c>
      <c r="N459" t="str">
        <f t="shared" si="10"/>
        <v>United Kingdom</v>
      </c>
      <c r="O459" s="8">
        <f>IF(K459&gt;=1,K459,K459*1000)</f>
        <v>410</v>
      </c>
      <c r="P459">
        <f>ABS(H459)</f>
        <v>2</v>
      </c>
      <c r="R459"/>
    </row>
    <row r="460" spans="1:18" x14ac:dyDescent="0.35">
      <c r="A460" t="s">
        <v>1043</v>
      </c>
      <c r="B460" s="2">
        <v>46201</v>
      </c>
      <c r="C460" t="s">
        <v>1044</v>
      </c>
      <c r="D460" s="3" t="s">
        <v>66</v>
      </c>
      <c r="E460" t="s">
        <v>25</v>
      </c>
      <c r="F460" t="s">
        <v>89</v>
      </c>
      <c r="G460" t="s">
        <v>90</v>
      </c>
      <c r="H460" s="8">
        <v>1</v>
      </c>
      <c r="I460" s="10">
        <v>79</v>
      </c>
      <c r="J460" s="14">
        <f>P460*I460</f>
        <v>79</v>
      </c>
      <c r="K460" s="16">
        <v>0.64</v>
      </c>
      <c r="L460" s="1" t="s">
        <v>30</v>
      </c>
      <c r="M460" t="s">
        <v>22</v>
      </c>
      <c r="N460" t="str">
        <f t="shared" si="10"/>
        <v>Gb</v>
      </c>
      <c r="O460" s="8">
        <f>IF(K460&gt;=1,K460,K460*1000)</f>
        <v>640</v>
      </c>
      <c r="P460">
        <f>ABS(H460)</f>
        <v>1</v>
      </c>
      <c r="R460"/>
    </row>
    <row r="461" spans="1:18" x14ac:dyDescent="0.35">
      <c r="A461" t="s">
        <v>1045</v>
      </c>
      <c r="B461" s="2">
        <v>46208</v>
      </c>
      <c r="C461" t="s">
        <v>1046</v>
      </c>
      <c r="D461" s="3" t="s">
        <v>4613</v>
      </c>
      <c r="E461" t="s">
        <v>25</v>
      </c>
      <c r="F461" t="s">
        <v>89</v>
      </c>
      <c r="G461" t="s">
        <v>90</v>
      </c>
      <c r="H461" s="8">
        <v>1</v>
      </c>
      <c r="I461" s="10">
        <v>24</v>
      </c>
      <c r="J461" s="14">
        <f>P461*I461</f>
        <v>24</v>
      </c>
      <c r="K461" s="16">
        <v>0.64</v>
      </c>
      <c r="L461" s="1" t="s">
        <v>30</v>
      </c>
      <c r="M461" t="s">
        <v>58</v>
      </c>
      <c r="N461" t="str">
        <f t="shared" si="10"/>
        <v>United Kingdom</v>
      </c>
      <c r="O461" s="8">
        <f>IF(K461&gt;=1,K461,K461*1000)</f>
        <v>640</v>
      </c>
      <c r="P461">
        <f>ABS(H461)</f>
        <v>1</v>
      </c>
      <c r="R461"/>
    </row>
    <row r="462" spans="1:18" x14ac:dyDescent="0.35">
      <c r="A462" t="s">
        <v>1047</v>
      </c>
      <c r="B462" s="2">
        <v>46058</v>
      </c>
      <c r="C462" t="s">
        <v>1048</v>
      </c>
      <c r="D462" s="3" t="s">
        <v>99</v>
      </c>
      <c r="E462" t="s">
        <v>34</v>
      </c>
      <c r="F462" t="s">
        <v>74</v>
      </c>
      <c r="G462" t="s">
        <v>75</v>
      </c>
      <c r="H462" s="8">
        <v>1</v>
      </c>
      <c r="I462" s="10">
        <v>149</v>
      </c>
      <c r="J462" s="14">
        <f>P462*I462</f>
        <v>149</v>
      </c>
      <c r="K462" s="16">
        <v>0.41</v>
      </c>
      <c r="L462" s="1" t="s">
        <v>30</v>
      </c>
      <c r="M462" t="s">
        <v>58</v>
      </c>
      <c r="N462" t="str">
        <f t="shared" si="10"/>
        <v>United Kingdom</v>
      </c>
      <c r="O462" s="8">
        <f>IF(K462&gt;=1,K462,K462*1000)</f>
        <v>410</v>
      </c>
      <c r="P462">
        <f>ABS(H462)</f>
        <v>1</v>
      </c>
      <c r="R462"/>
    </row>
    <row r="463" spans="1:18" x14ac:dyDescent="0.35">
      <c r="A463" t="s">
        <v>1050</v>
      </c>
      <c r="B463" s="2">
        <v>46120</v>
      </c>
      <c r="C463" t="s">
        <v>899</v>
      </c>
      <c r="D463" s="3" t="s">
        <v>61</v>
      </c>
      <c r="E463" t="s">
        <v>67</v>
      </c>
      <c r="F463" t="s">
        <v>83</v>
      </c>
      <c r="G463" t="s">
        <v>84</v>
      </c>
      <c r="H463" s="8">
        <v>1</v>
      </c>
      <c r="I463" s="10">
        <v>24</v>
      </c>
      <c r="J463" s="14">
        <f>P463*I463</f>
        <v>24</v>
      </c>
      <c r="K463" s="16">
        <v>340</v>
      </c>
      <c r="L463" s="1" t="s">
        <v>30</v>
      </c>
      <c r="M463" t="s">
        <v>22</v>
      </c>
      <c r="N463" t="str">
        <f t="shared" si="10"/>
        <v>Ireland</v>
      </c>
      <c r="O463" s="8">
        <f>IF(K463&gt;=1,K463,K463*1000)</f>
        <v>340</v>
      </c>
      <c r="P463">
        <f>ABS(H463)</f>
        <v>1</v>
      </c>
      <c r="R463"/>
    </row>
    <row r="464" spans="1:18" x14ac:dyDescent="0.35">
      <c r="A464" t="s">
        <v>1051</v>
      </c>
      <c r="B464" s="2">
        <v>46070</v>
      </c>
      <c r="C464" t="s">
        <v>1052</v>
      </c>
      <c r="D464" s="3" t="s">
        <v>15</v>
      </c>
      <c r="E464" t="s">
        <v>41</v>
      </c>
      <c r="F464" t="s">
        <v>26</v>
      </c>
      <c r="G464" t="s">
        <v>27</v>
      </c>
      <c r="H464" s="8">
        <v>2</v>
      </c>
      <c r="I464" s="10">
        <v>24</v>
      </c>
      <c r="J464" s="14">
        <f>P464*I464</f>
        <v>48</v>
      </c>
      <c r="K464" s="16">
        <v>520</v>
      </c>
      <c r="L464" s="1" t="s">
        <v>21</v>
      </c>
      <c r="M464" t="s">
        <v>22</v>
      </c>
      <c r="N464" t="str">
        <f t="shared" si="10"/>
        <v>France</v>
      </c>
      <c r="O464" s="8">
        <f>IF(K464&gt;=1,K464,K464*1000)</f>
        <v>520</v>
      </c>
      <c r="P464">
        <f>ABS(H464)</f>
        <v>2</v>
      </c>
      <c r="R464"/>
    </row>
    <row r="465" spans="1:18" x14ac:dyDescent="0.35">
      <c r="A465" t="s">
        <v>1053</v>
      </c>
      <c r="B465" s="2">
        <v>46049</v>
      </c>
      <c r="C465" t="s">
        <v>1054</v>
      </c>
      <c r="D465" s="3" t="s">
        <v>99</v>
      </c>
      <c r="E465" t="s">
        <v>41</v>
      </c>
      <c r="F465" t="s">
        <v>17</v>
      </c>
      <c r="G465" t="s">
        <v>18</v>
      </c>
      <c r="H465" s="8">
        <v>2</v>
      </c>
      <c r="I465" s="10">
        <v>79</v>
      </c>
      <c r="J465" s="14">
        <f>P465*I465</f>
        <v>158</v>
      </c>
      <c r="K465" s="16">
        <v>520</v>
      </c>
      <c r="L465" s="1" t="s">
        <v>30</v>
      </c>
      <c r="M465" t="s">
        <v>22</v>
      </c>
      <c r="N465" t="str">
        <f t="shared" si="10"/>
        <v>United Kingdom</v>
      </c>
      <c r="O465" s="8">
        <f>IF(K465&gt;=1,K465,K465*1000)</f>
        <v>520</v>
      </c>
      <c r="P465">
        <f>ABS(H465)</f>
        <v>2</v>
      </c>
      <c r="R465"/>
    </row>
    <row r="466" spans="1:18" x14ac:dyDescent="0.35">
      <c r="A466" t="s">
        <v>1055</v>
      </c>
      <c r="B466" s="2">
        <v>46050</v>
      </c>
      <c r="C466" t="s">
        <v>256</v>
      </c>
      <c r="D466" s="3" t="s">
        <v>99</v>
      </c>
      <c r="E466" t="s">
        <v>34</v>
      </c>
      <c r="F466" t="s">
        <v>42</v>
      </c>
      <c r="G466" t="s">
        <v>43</v>
      </c>
      <c r="H466" s="8">
        <v>2</v>
      </c>
      <c r="I466" s="10">
        <v>85.5</v>
      </c>
      <c r="J466" s="14">
        <f>P466*I466</f>
        <v>171</v>
      </c>
      <c r="K466" s="16">
        <v>190</v>
      </c>
      <c r="L466" s="1" t="s">
        <v>30</v>
      </c>
      <c r="M466" t="s">
        <v>58</v>
      </c>
      <c r="N466" t="str">
        <f t="shared" si="10"/>
        <v>United Kingdom</v>
      </c>
      <c r="O466" s="8">
        <f>IF(K466&gt;=1,K466,K466*1000)</f>
        <v>190</v>
      </c>
      <c r="P466">
        <f>ABS(H466)</f>
        <v>2</v>
      </c>
      <c r="R466"/>
    </row>
    <row r="467" spans="1:18" x14ac:dyDescent="0.35">
      <c r="A467" t="s">
        <v>1056</v>
      </c>
      <c r="B467" s="2">
        <v>46075</v>
      </c>
      <c r="C467" t="s">
        <v>1057</v>
      </c>
      <c r="D467" s="3" t="s">
        <v>4612</v>
      </c>
      <c r="E467" t="s">
        <v>34</v>
      </c>
      <c r="F467" t="s">
        <v>35</v>
      </c>
      <c r="G467" t="s">
        <v>36</v>
      </c>
      <c r="H467" s="8">
        <v>1</v>
      </c>
      <c r="I467" s="10">
        <v>11.25</v>
      </c>
      <c r="J467" s="14">
        <f>P467*I467</f>
        <v>11.25</v>
      </c>
      <c r="K467" s="16">
        <v>85</v>
      </c>
      <c r="L467" s="1" t="s">
        <v>30</v>
      </c>
      <c r="M467" t="s">
        <v>22</v>
      </c>
      <c r="N467" t="str">
        <f t="shared" si="10"/>
        <v>United Kingdom</v>
      </c>
      <c r="O467" s="8">
        <f>IF(K467&gt;=1,K467,K467*1000)</f>
        <v>85</v>
      </c>
      <c r="P467">
        <f>ABS(H467)</f>
        <v>1</v>
      </c>
      <c r="R467"/>
    </row>
    <row r="468" spans="1:18" x14ac:dyDescent="0.35">
      <c r="A468" t="s">
        <v>1058</v>
      </c>
      <c r="B468" s="2">
        <v>46148</v>
      </c>
      <c r="C468" t="s">
        <v>1059</v>
      </c>
      <c r="D468" s="3" t="s">
        <v>4613</v>
      </c>
      <c r="E468" t="s">
        <v>67</v>
      </c>
      <c r="F468" t="s">
        <v>42</v>
      </c>
      <c r="G468" t="s">
        <v>43</v>
      </c>
      <c r="H468" s="8">
        <v>1</v>
      </c>
      <c r="I468" s="10">
        <v>11.25</v>
      </c>
      <c r="J468" s="14">
        <f>P468*I468</f>
        <v>11.25</v>
      </c>
      <c r="K468" s="16">
        <v>0.19</v>
      </c>
      <c r="L468" s="1" t="s">
        <v>30</v>
      </c>
      <c r="M468" t="s">
        <v>22</v>
      </c>
      <c r="N468" t="str">
        <f t="shared" si="10"/>
        <v>United Kingdom</v>
      </c>
      <c r="O468" s="8">
        <f>IF(K468&gt;=1,K468,K468*1000)</f>
        <v>190</v>
      </c>
      <c r="P468">
        <f>ABS(H468)</f>
        <v>1</v>
      </c>
      <c r="R468"/>
    </row>
    <row r="469" spans="1:18" x14ac:dyDescent="0.35">
      <c r="A469" t="s">
        <v>1060</v>
      </c>
      <c r="B469" s="2">
        <v>46183</v>
      </c>
      <c r="C469" t="s">
        <v>1061</v>
      </c>
      <c r="D469" s="3" t="s">
        <v>99</v>
      </c>
      <c r="E469" t="s">
        <v>34</v>
      </c>
      <c r="F469" t="s">
        <v>74</v>
      </c>
      <c r="G469" t="s">
        <v>75</v>
      </c>
      <c r="H469" s="8">
        <v>2</v>
      </c>
      <c r="I469" s="10">
        <v>71.099999999999994</v>
      </c>
      <c r="J469" s="14">
        <f>P469*I469</f>
        <v>142.19999999999999</v>
      </c>
      <c r="K469" s="16">
        <v>0.41</v>
      </c>
      <c r="L469" s="1" t="s">
        <v>30</v>
      </c>
      <c r="M469" t="s">
        <v>58</v>
      </c>
      <c r="N469" t="str">
        <f t="shared" si="10"/>
        <v>United Kingdom</v>
      </c>
      <c r="O469" s="8">
        <f>IF(K469&gt;=1,K469,K469*1000)</f>
        <v>410</v>
      </c>
      <c r="P469">
        <f>ABS(H469)</f>
        <v>2</v>
      </c>
      <c r="R469"/>
    </row>
    <row r="470" spans="1:18" x14ac:dyDescent="0.35">
      <c r="A470" t="s">
        <v>1062</v>
      </c>
      <c r="B470" s="2" t="s">
        <v>1063</v>
      </c>
      <c r="C470" t="s">
        <v>1064</v>
      </c>
      <c r="D470" s="3" t="s">
        <v>4612</v>
      </c>
      <c r="E470" t="s">
        <v>16</v>
      </c>
      <c r="F470" t="s">
        <v>35</v>
      </c>
      <c r="G470" t="s">
        <v>36</v>
      </c>
      <c r="H470" s="8">
        <v>2</v>
      </c>
      <c r="I470" s="10">
        <v>149</v>
      </c>
      <c r="J470" s="14">
        <f>P470*I470</f>
        <v>298</v>
      </c>
      <c r="K470" s="16">
        <v>85</v>
      </c>
      <c r="L470" s="1" t="s">
        <v>21</v>
      </c>
      <c r="M470" t="s">
        <v>22</v>
      </c>
      <c r="N470" t="str">
        <f t="shared" si="10"/>
        <v>United Kingdom</v>
      </c>
      <c r="O470" s="8">
        <f>IF(K470&gt;=1,K470,K470*1000)</f>
        <v>85</v>
      </c>
      <c r="P470">
        <f>ABS(H470)</f>
        <v>2</v>
      </c>
      <c r="R470"/>
    </row>
    <row r="471" spans="1:18" x14ac:dyDescent="0.35">
      <c r="A471" t="s">
        <v>1065</v>
      </c>
      <c r="B471" s="2">
        <v>46103</v>
      </c>
      <c r="C471" t="s">
        <v>1066</v>
      </c>
      <c r="D471" s="3" t="s">
        <v>15</v>
      </c>
      <c r="E471" t="s">
        <v>16</v>
      </c>
      <c r="F471" t="s">
        <v>17</v>
      </c>
      <c r="G471" t="s">
        <v>18</v>
      </c>
      <c r="H471" s="8">
        <v>2</v>
      </c>
      <c r="I471" s="10">
        <v>129</v>
      </c>
      <c r="J471" s="14">
        <f>P471*I471</f>
        <v>258</v>
      </c>
      <c r="K471" s="16">
        <v>520</v>
      </c>
      <c r="L471" s="1" t="s">
        <v>21</v>
      </c>
      <c r="M471" t="s">
        <v>22</v>
      </c>
      <c r="N471" t="str">
        <f t="shared" si="10"/>
        <v>France</v>
      </c>
      <c r="O471" s="8">
        <f>IF(K471&gt;=1,K471,K471*1000)</f>
        <v>520</v>
      </c>
      <c r="P471">
        <f>ABS(H471)</f>
        <v>2</v>
      </c>
      <c r="R471"/>
    </row>
    <row r="472" spans="1:18" x14ac:dyDescent="0.35">
      <c r="A472" t="s">
        <v>1067</v>
      </c>
      <c r="B472" s="2">
        <v>46134</v>
      </c>
      <c r="C472" t="s">
        <v>1068</v>
      </c>
      <c r="D472" s="3" t="s">
        <v>53</v>
      </c>
      <c r="E472" t="s">
        <v>41</v>
      </c>
      <c r="F472" t="s">
        <v>89</v>
      </c>
      <c r="G472" t="s">
        <v>90</v>
      </c>
      <c r="H472" s="8">
        <v>1</v>
      </c>
      <c r="I472" s="10">
        <v>95</v>
      </c>
      <c r="J472" s="14">
        <f>P472*I472</f>
        <v>95</v>
      </c>
      <c r="K472" s="16">
        <v>0.64</v>
      </c>
      <c r="L472" s="1" t="s">
        <v>30</v>
      </c>
      <c r="M472" t="s">
        <v>22</v>
      </c>
      <c r="N472" t="str">
        <f t="shared" si="10"/>
        <v>Gb</v>
      </c>
      <c r="O472" s="8">
        <f>IF(K472&gt;=1,K472,K472*1000)</f>
        <v>640</v>
      </c>
      <c r="P472">
        <f>ABS(H472)</f>
        <v>1</v>
      </c>
      <c r="R472"/>
    </row>
    <row r="473" spans="1:18" x14ac:dyDescent="0.35">
      <c r="A473" t="s">
        <v>1069</v>
      </c>
      <c r="B473" s="2">
        <v>46156</v>
      </c>
      <c r="C473" t="s">
        <v>1070</v>
      </c>
      <c r="D473" s="3" t="s">
        <v>99</v>
      </c>
      <c r="E473" t="s">
        <v>34</v>
      </c>
      <c r="F473" t="s">
        <v>26</v>
      </c>
      <c r="G473" t="s">
        <v>27</v>
      </c>
      <c r="H473" s="8">
        <v>3</v>
      </c>
      <c r="I473" s="10">
        <v>40.5</v>
      </c>
      <c r="J473" s="14">
        <f>P473*I473</f>
        <v>121.5</v>
      </c>
      <c r="K473" s="16">
        <v>0.52</v>
      </c>
      <c r="L473" s="1" t="s">
        <v>30</v>
      </c>
      <c r="M473" t="s">
        <v>58</v>
      </c>
      <c r="N473" t="str">
        <f t="shared" si="10"/>
        <v>United Kingdom</v>
      </c>
      <c r="O473" s="8">
        <f>IF(K473&gt;=1,K473,K473*1000)</f>
        <v>520</v>
      </c>
      <c r="P473">
        <f>ABS(H473)</f>
        <v>3</v>
      </c>
      <c r="R473"/>
    </row>
    <row r="474" spans="1:18" x14ac:dyDescent="0.35">
      <c r="A474" t="s">
        <v>1071</v>
      </c>
      <c r="B474" s="2">
        <v>46087</v>
      </c>
      <c r="C474" t="s">
        <v>1072</v>
      </c>
      <c r="D474" s="3" t="s">
        <v>53</v>
      </c>
      <c r="E474" t="s">
        <v>25</v>
      </c>
      <c r="F474" t="s">
        <v>89</v>
      </c>
      <c r="G474" t="s">
        <v>90</v>
      </c>
      <c r="H474" s="8">
        <v>2</v>
      </c>
      <c r="I474" s="10">
        <v>71.099999999999994</v>
      </c>
      <c r="J474" s="14">
        <f>P474*I474</f>
        <v>142.19999999999999</v>
      </c>
      <c r="K474" s="16">
        <v>640</v>
      </c>
      <c r="L474" s="1" t="s">
        <v>30</v>
      </c>
      <c r="M474" t="s">
        <v>22</v>
      </c>
      <c r="N474" t="str">
        <f t="shared" si="10"/>
        <v>Gb</v>
      </c>
      <c r="O474" s="8">
        <f>IF(K474&gt;=1,K474,K474*1000)</f>
        <v>640</v>
      </c>
      <c r="P474">
        <f>ABS(H474)</f>
        <v>2</v>
      </c>
      <c r="R474"/>
    </row>
    <row r="475" spans="1:18" x14ac:dyDescent="0.35">
      <c r="A475" t="s">
        <v>1073</v>
      </c>
      <c r="B475" s="2">
        <v>46080</v>
      </c>
      <c r="C475" t="s">
        <v>1074</v>
      </c>
      <c r="D475" s="3" t="s">
        <v>15</v>
      </c>
      <c r="E475" t="s">
        <v>16</v>
      </c>
      <c r="F475" t="s">
        <v>83</v>
      </c>
      <c r="G475" t="s">
        <v>84</v>
      </c>
      <c r="H475" s="8">
        <v>2</v>
      </c>
      <c r="I475" s="12" t="s">
        <v>4632</v>
      </c>
      <c r="J475" s="14">
        <f>P475*R475</f>
        <v>178</v>
      </c>
      <c r="K475" s="16">
        <v>340</v>
      </c>
      <c r="L475" s="1" t="s">
        <v>30</v>
      </c>
      <c r="M475" t="s">
        <v>22</v>
      </c>
      <c r="N475" t="str">
        <f t="shared" si="10"/>
        <v>France</v>
      </c>
      <c r="O475" s="8">
        <f>IF(K475&gt;=1,K475,K475*1000)</f>
        <v>340</v>
      </c>
      <c r="P475">
        <f>ABS(H475)</f>
        <v>2</v>
      </c>
      <c r="Q475" t="str">
        <f>LEFT(I475,3)</f>
        <v>GBP</v>
      </c>
      <c r="R475" s="10" t="str">
        <f>RIGHT(I475,5)</f>
        <v>89,00</v>
      </c>
    </row>
    <row r="476" spans="1:18" x14ac:dyDescent="0.35">
      <c r="A476" t="s">
        <v>1075</v>
      </c>
      <c r="B476" s="2" t="s">
        <v>687</v>
      </c>
      <c r="C476" t="s">
        <v>1076</v>
      </c>
      <c r="D476" s="3" t="s">
        <v>4612</v>
      </c>
      <c r="E476" t="s">
        <v>16</v>
      </c>
      <c r="F476" t="s">
        <v>74</v>
      </c>
      <c r="G476" t="s">
        <v>75</v>
      </c>
      <c r="H476" s="8">
        <v>1</v>
      </c>
      <c r="I476" s="10">
        <v>95</v>
      </c>
      <c r="J476" s="14">
        <f>P476*I476</f>
        <v>95</v>
      </c>
      <c r="K476" s="16">
        <v>410</v>
      </c>
      <c r="L476" s="1" t="s">
        <v>30</v>
      </c>
      <c r="M476" t="s">
        <v>22</v>
      </c>
      <c r="N476" t="str">
        <f t="shared" si="10"/>
        <v>United Kingdom</v>
      </c>
      <c r="O476" s="8">
        <f>IF(K476&gt;=1,K476,K476*1000)</f>
        <v>410</v>
      </c>
      <c r="P476">
        <f>ABS(H476)</f>
        <v>1</v>
      </c>
      <c r="R476"/>
    </row>
    <row r="477" spans="1:18" x14ac:dyDescent="0.35">
      <c r="A477" t="s">
        <v>1077</v>
      </c>
      <c r="B477" s="2">
        <v>46030</v>
      </c>
      <c r="C477" t="s">
        <v>1078</v>
      </c>
      <c r="D477" s="3" t="s">
        <v>99</v>
      </c>
      <c r="E477" t="s">
        <v>16</v>
      </c>
      <c r="F477" t="s">
        <v>83</v>
      </c>
      <c r="G477" t="s">
        <v>84</v>
      </c>
      <c r="H477" s="8">
        <v>1</v>
      </c>
      <c r="I477" s="12" t="s">
        <v>4637</v>
      </c>
      <c r="J477" s="14">
        <f>P477*R477</f>
        <v>49</v>
      </c>
      <c r="K477" s="16">
        <v>340</v>
      </c>
      <c r="L477" s="1" t="s">
        <v>30</v>
      </c>
      <c r="M477" t="s">
        <v>22</v>
      </c>
      <c r="N477" t="str">
        <f t="shared" si="10"/>
        <v>United Kingdom</v>
      </c>
      <c r="O477" s="8">
        <f>IF(K477&gt;=1,K477,K477*1000)</f>
        <v>340</v>
      </c>
      <c r="P477">
        <f>ABS(H477)</f>
        <v>1</v>
      </c>
      <c r="Q477" t="str">
        <f>LEFT(I477,2)</f>
        <v>Â£</v>
      </c>
      <c r="R477" t="str">
        <f>RIGHT(I477,5)</f>
        <v>49,00</v>
      </c>
    </row>
    <row r="478" spans="1:18" x14ac:dyDescent="0.35">
      <c r="A478" t="s">
        <v>1079</v>
      </c>
      <c r="B478" s="2" t="s">
        <v>1080</v>
      </c>
      <c r="C478" t="s">
        <v>1081</v>
      </c>
      <c r="D478" s="3" t="s">
        <v>99</v>
      </c>
      <c r="E478" t="s">
        <v>34</v>
      </c>
      <c r="F478" t="s">
        <v>74</v>
      </c>
      <c r="G478" t="s">
        <v>75</v>
      </c>
      <c r="H478" s="8">
        <v>2</v>
      </c>
      <c r="I478" s="10">
        <v>24</v>
      </c>
      <c r="J478" s="14">
        <f>P478*I478</f>
        <v>48</v>
      </c>
      <c r="K478" s="16">
        <v>0.41</v>
      </c>
      <c r="L478" s="1" t="s">
        <v>30</v>
      </c>
      <c r="M478" t="s">
        <v>22</v>
      </c>
      <c r="N478" t="str">
        <f t="shared" si="10"/>
        <v>United Kingdom</v>
      </c>
      <c r="O478" s="8">
        <f>IF(K478&gt;=1,K478,K478*1000)</f>
        <v>410</v>
      </c>
      <c r="P478">
        <f>ABS(H478)</f>
        <v>2</v>
      </c>
      <c r="R478"/>
    </row>
    <row r="479" spans="1:18" x14ac:dyDescent="0.35">
      <c r="A479" t="s">
        <v>1082</v>
      </c>
      <c r="B479" s="2">
        <v>46099</v>
      </c>
      <c r="C479" t="s">
        <v>1083</v>
      </c>
      <c r="D479" s="3" t="s">
        <v>116</v>
      </c>
      <c r="E479" t="s">
        <v>67</v>
      </c>
      <c r="F479" t="s">
        <v>26</v>
      </c>
      <c r="G479" t="s">
        <v>27</v>
      </c>
      <c r="H479" s="8">
        <v>-2</v>
      </c>
      <c r="I479" s="10">
        <v>24</v>
      </c>
      <c r="J479" s="14">
        <f>P479*I479</f>
        <v>48</v>
      </c>
      <c r="K479" s="16">
        <v>520</v>
      </c>
      <c r="L479" s="1" t="s">
        <v>30</v>
      </c>
      <c r="M479" t="s">
        <v>22</v>
      </c>
      <c r="N479" t="str">
        <f t="shared" si="10"/>
        <v>Germany</v>
      </c>
      <c r="O479" s="8">
        <f>IF(K479&gt;=1,K479,K479*1000)</f>
        <v>520</v>
      </c>
      <c r="P479">
        <f>ABS(H479)</f>
        <v>2</v>
      </c>
      <c r="R479"/>
    </row>
    <row r="480" spans="1:18" x14ac:dyDescent="0.35">
      <c r="A480" t="s">
        <v>1085</v>
      </c>
      <c r="B480" s="2">
        <v>46205</v>
      </c>
      <c r="C480" t="s">
        <v>370</v>
      </c>
      <c r="D480" s="3" t="s">
        <v>99</v>
      </c>
      <c r="E480" t="s">
        <v>67</v>
      </c>
      <c r="F480" t="s">
        <v>89</v>
      </c>
      <c r="G480" t="s">
        <v>90</v>
      </c>
      <c r="H480" s="8">
        <v>1</v>
      </c>
      <c r="I480" s="10">
        <v>95</v>
      </c>
      <c r="J480" s="14">
        <f>P480*I480</f>
        <v>95</v>
      </c>
      <c r="K480" s="16">
        <v>0.64</v>
      </c>
      <c r="L480" s="1" t="s">
        <v>30</v>
      </c>
      <c r="M480" t="s">
        <v>58</v>
      </c>
      <c r="N480" t="str">
        <f t="shared" si="10"/>
        <v>United Kingdom</v>
      </c>
      <c r="O480" s="8">
        <f>IF(K480&gt;=1,K480,K480*1000)</f>
        <v>640</v>
      </c>
      <c r="P480">
        <f>ABS(H480)</f>
        <v>1</v>
      </c>
      <c r="R480"/>
    </row>
    <row r="481" spans="1:18" x14ac:dyDescent="0.35">
      <c r="A481" t="s">
        <v>1086</v>
      </c>
      <c r="B481" s="2">
        <v>46201</v>
      </c>
      <c r="C481" t="s">
        <v>1087</v>
      </c>
      <c r="D481" s="3" t="s">
        <v>99</v>
      </c>
      <c r="E481" t="s">
        <v>16</v>
      </c>
      <c r="F481" t="s">
        <v>17</v>
      </c>
      <c r="G481" t="s">
        <v>18</v>
      </c>
      <c r="H481" s="8">
        <v>1</v>
      </c>
      <c r="I481" s="10">
        <v>95</v>
      </c>
      <c r="J481" s="14">
        <f>P481*I481</f>
        <v>95</v>
      </c>
      <c r="K481" s="16">
        <v>0.52</v>
      </c>
      <c r="L481" s="1" t="s">
        <v>30</v>
      </c>
      <c r="M481" t="s">
        <v>22</v>
      </c>
      <c r="N481" t="str">
        <f t="shared" si="10"/>
        <v>United Kingdom</v>
      </c>
      <c r="O481" s="8">
        <f>IF(K481&gt;=1,K481,K481*1000)</f>
        <v>520</v>
      </c>
      <c r="P481">
        <f>ABS(H481)</f>
        <v>1</v>
      </c>
      <c r="R481"/>
    </row>
    <row r="482" spans="1:18" x14ac:dyDescent="0.35">
      <c r="A482" t="s">
        <v>1088</v>
      </c>
      <c r="B482" s="2">
        <v>46178</v>
      </c>
      <c r="C482" t="s">
        <v>1089</v>
      </c>
      <c r="D482" s="3" t="s">
        <v>116</v>
      </c>
      <c r="E482" t="s">
        <v>67</v>
      </c>
      <c r="F482" t="s">
        <v>89</v>
      </c>
      <c r="G482" t="s">
        <v>90</v>
      </c>
      <c r="H482" s="8">
        <v>3</v>
      </c>
      <c r="I482" s="10">
        <v>12.5</v>
      </c>
      <c r="J482" s="14">
        <f>P482*I482</f>
        <v>37.5</v>
      </c>
      <c r="K482" s="16">
        <v>0.64</v>
      </c>
      <c r="L482" s="1" t="s">
        <v>30</v>
      </c>
      <c r="M482" t="s">
        <v>22</v>
      </c>
      <c r="N482" t="str">
        <f t="shared" si="10"/>
        <v>Germany</v>
      </c>
      <c r="O482" s="8">
        <f>IF(K482&gt;=1,K482,K482*1000)</f>
        <v>640</v>
      </c>
      <c r="P482">
        <f>ABS(H482)</f>
        <v>3</v>
      </c>
      <c r="R482"/>
    </row>
    <row r="483" spans="1:18" x14ac:dyDescent="0.35">
      <c r="A483" t="s">
        <v>1090</v>
      </c>
      <c r="B483" s="2" t="s">
        <v>290</v>
      </c>
      <c r="C483" t="s">
        <v>1091</v>
      </c>
      <c r="D483" s="3" t="s">
        <v>66</v>
      </c>
      <c r="E483" t="s">
        <v>67</v>
      </c>
      <c r="F483" t="s">
        <v>89</v>
      </c>
      <c r="G483" t="s">
        <v>90</v>
      </c>
      <c r="H483" s="8">
        <v>3</v>
      </c>
      <c r="I483" s="10">
        <v>149</v>
      </c>
      <c r="J483" s="14">
        <f>P483*I483</f>
        <v>447</v>
      </c>
      <c r="K483" s="16">
        <v>640</v>
      </c>
      <c r="L483" s="1" t="s">
        <v>21</v>
      </c>
      <c r="M483" t="s">
        <v>22</v>
      </c>
      <c r="N483" t="str">
        <f t="shared" si="10"/>
        <v>Gb</v>
      </c>
      <c r="O483" s="8">
        <f>IF(K483&gt;=1,K483,K483*1000)</f>
        <v>640</v>
      </c>
      <c r="P483">
        <f>ABS(H483)</f>
        <v>3</v>
      </c>
      <c r="R483"/>
    </row>
    <row r="484" spans="1:18" x14ac:dyDescent="0.35">
      <c r="A484" t="s">
        <v>1092</v>
      </c>
      <c r="B484" s="2">
        <v>46129</v>
      </c>
      <c r="C484" t="s">
        <v>1093</v>
      </c>
      <c r="D484" s="3" t="s">
        <v>4613</v>
      </c>
      <c r="E484" t="s">
        <v>16</v>
      </c>
      <c r="F484" t="s">
        <v>35</v>
      </c>
      <c r="G484" t="s">
        <v>36</v>
      </c>
      <c r="H484" s="8">
        <v>1</v>
      </c>
      <c r="I484" s="10">
        <v>79</v>
      </c>
      <c r="J484" s="14">
        <f>P484*I484</f>
        <v>79</v>
      </c>
      <c r="K484" s="16">
        <v>85</v>
      </c>
      <c r="L484" s="1" t="s">
        <v>30</v>
      </c>
      <c r="M484" t="s">
        <v>22</v>
      </c>
      <c r="N484" t="str">
        <f t="shared" si="10"/>
        <v>United Kingdom</v>
      </c>
      <c r="O484" s="8">
        <f>IF(K484&gt;=1,K484,K484*1000)</f>
        <v>85</v>
      </c>
      <c r="P484">
        <f>ABS(H484)</f>
        <v>1</v>
      </c>
      <c r="R484"/>
    </row>
    <row r="485" spans="1:18" x14ac:dyDescent="0.35">
      <c r="A485" t="s">
        <v>1094</v>
      </c>
      <c r="B485" s="2" t="s">
        <v>1095</v>
      </c>
      <c r="C485" t="s">
        <v>492</v>
      </c>
      <c r="D485" s="3" t="s">
        <v>116</v>
      </c>
      <c r="E485" t="s">
        <v>16</v>
      </c>
      <c r="F485" t="s">
        <v>17</v>
      </c>
      <c r="G485" t="s">
        <v>18</v>
      </c>
      <c r="H485" s="8">
        <v>3</v>
      </c>
      <c r="I485" s="12" t="s">
        <v>4621</v>
      </c>
      <c r="J485" s="14">
        <f>P485*R485</f>
        <v>256.5</v>
      </c>
      <c r="K485" s="16">
        <v>520</v>
      </c>
      <c r="L485" s="1" t="s">
        <v>21</v>
      </c>
      <c r="M485" t="s">
        <v>22</v>
      </c>
      <c r="N485" t="str">
        <f t="shared" si="10"/>
        <v>Germany</v>
      </c>
      <c r="O485" s="8">
        <f>IF(K485&gt;=1,K485,K485*1000)</f>
        <v>520</v>
      </c>
      <c r="P485">
        <f>ABS(H485)</f>
        <v>3</v>
      </c>
      <c r="Q485" t="str">
        <f>LEFT(I485,2)</f>
        <v>Â£</v>
      </c>
      <c r="R485" t="str">
        <f>RIGHT(I485,5)</f>
        <v>85,50</v>
      </c>
    </row>
    <row r="486" spans="1:18" x14ac:dyDescent="0.35">
      <c r="A486" t="s">
        <v>1096</v>
      </c>
      <c r="B486" s="2">
        <v>46207</v>
      </c>
      <c r="C486" t="s">
        <v>1097</v>
      </c>
      <c r="D486" s="3" t="s">
        <v>116</v>
      </c>
      <c r="E486" t="s">
        <v>25</v>
      </c>
      <c r="F486" t="s">
        <v>42</v>
      </c>
      <c r="G486" t="s">
        <v>43</v>
      </c>
      <c r="H486" s="8">
        <v>2</v>
      </c>
      <c r="I486" s="10">
        <v>12.5</v>
      </c>
      <c r="J486" s="14">
        <f>P486*I486</f>
        <v>25</v>
      </c>
      <c r="K486" s="16">
        <v>0.19</v>
      </c>
      <c r="L486" s="1" t="s">
        <v>30</v>
      </c>
      <c r="M486" t="s">
        <v>58</v>
      </c>
      <c r="N486" t="str">
        <f t="shared" si="10"/>
        <v>Germany</v>
      </c>
      <c r="O486" s="8">
        <f>IF(K486&gt;=1,K486,K486*1000)</f>
        <v>190</v>
      </c>
      <c r="P486">
        <f>ABS(H486)</f>
        <v>2</v>
      </c>
      <c r="R486"/>
    </row>
    <row r="487" spans="1:18" x14ac:dyDescent="0.35">
      <c r="A487" t="s">
        <v>1098</v>
      </c>
      <c r="B487" s="2">
        <v>46047</v>
      </c>
      <c r="C487" t="s">
        <v>531</v>
      </c>
      <c r="D487" s="3" t="s">
        <v>46</v>
      </c>
      <c r="E487" t="s">
        <v>67</v>
      </c>
      <c r="F487" t="s">
        <v>47</v>
      </c>
      <c r="G487" t="s">
        <v>48</v>
      </c>
      <c r="H487" s="8">
        <v>3</v>
      </c>
      <c r="I487" s="10">
        <v>71.099999999999994</v>
      </c>
      <c r="J487" s="14">
        <f>P487*I487</f>
        <v>213.29999999999998</v>
      </c>
      <c r="K487" s="16">
        <v>380</v>
      </c>
      <c r="L487" s="1" t="s">
        <v>30</v>
      </c>
      <c r="M487" t="s">
        <v>22</v>
      </c>
      <c r="N487" t="str">
        <f t="shared" si="10"/>
        <v>Ireland</v>
      </c>
      <c r="O487" s="8">
        <f>IF(K487&gt;=1,K487,K487*1000)</f>
        <v>380</v>
      </c>
      <c r="P487">
        <f>ABS(H487)</f>
        <v>3</v>
      </c>
      <c r="R487"/>
    </row>
    <row r="488" spans="1:18" x14ac:dyDescent="0.35">
      <c r="A488" t="s">
        <v>1099</v>
      </c>
      <c r="B488" s="2">
        <v>46128</v>
      </c>
      <c r="C488" t="s">
        <v>1048</v>
      </c>
      <c r="D488" s="3" t="s">
        <v>46</v>
      </c>
      <c r="E488" t="s">
        <v>41</v>
      </c>
      <c r="F488" t="s">
        <v>35</v>
      </c>
      <c r="G488" t="s">
        <v>36</v>
      </c>
      <c r="H488" s="8">
        <v>2</v>
      </c>
      <c r="I488" s="10">
        <v>95</v>
      </c>
      <c r="J488" s="14">
        <f>P488*I488</f>
        <v>190</v>
      </c>
      <c r="K488" s="16">
        <v>85</v>
      </c>
      <c r="L488" s="1" t="s">
        <v>30</v>
      </c>
      <c r="M488" t="s">
        <v>22</v>
      </c>
      <c r="N488" t="str">
        <f t="shared" si="10"/>
        <v>Ireland</v>
      </c>
      <c r="O488" s="8">
        <f>IF(K488&gt;=1,K488,K488*1000)</f>
        <v>85</v>
      </c>
      <c r="P488">
        <f>ABS(H488)</f>
        <v>2</v>
      </c>
      <c r="R488"/>
    </row>
    <row r="489" spans="1:18" x14ac:dyDescent="0.35">
      <c r="A489" t="s">
        <v>1100</v>
      </c>
      <c r="B489" s="2">
        <v>46167</v>
      </c>
      <c r="C489" t="s">
        <v>1101</v>
      </c>
      <c r="D489" s="3" t="s">
        <v>99</v>
      </c>
      <c r="E489" t="s">
        <v>34</v>
      </c>
      <c r="F489" t="s">
        <v>89</v>
      </c>
      <c r="G489" t="s">
        <v>90</v>
      </c>
      <c r="H489" s="8">
        <v>1</v>
      </c>
      <c r="I489" s="10">
        <v>89</v>
      </c>
      <c r="J489" s="14">
        <f>P489*I489</f>
        <v>89</v>
      </c>
      <c r="K489" s="16">
        <v>0.64</v>
      </c>
      <c r="L489" s="1" t="s">
        <v>30</v>
      </c>
      <c r="M489" t="s">
        <v>22</v>
      </c>
      <c r="N489" t="str">
        <f t="shared" si="10"/>
        <v>United Kingdom</v>
      </c>
      <c r="O489" s="8">
        <f>IF(K489&gt;=1,K489,K489*1000)</f>
        <v>640</v>
      </c>
      <c r="P489">
        <f>ABS(H489)</f>
        <v>1</v>
      </c>
      <c r="R489"/>
    </row>
    <row r="490" spans="1:18" x14ac:dyDescent="0.35">
      <c r="A490" t="s">
        <v>1102</v>
      </c>
      <c r="B490" s="2">
        <v>46070</v>
      </c>
      <c r="C490" t="s">
        <v>1103</v>
      </c>
      <c r="D490" s="3" t="s">
        <v>4612</v>
      </c>
      <c r="E490" t="s">
        <v>41</v>
      </c>
      <c r="F490" t="s">
        <v>35</v>
      </c>
      <c r="G490" t="s">
        <v>36</v>
      </c>
      <c r="H490" s="8">
        <v>1</v>
      </c>
      <c r="I490" s="10">
        <v>12.5</v>
      </c>
      <c r="J490" s="14">
        <f>P490*I490</f>
        <v>12.5</v>
      </c>
      <c r="K490" s="16">
        <v>85</v>
      </c>
      <c r="L490" s="1" t="s">
        <v>21</v>
      </c>
      <c r="M490" t="s">
        <v>22</v>
      </c>
      <c r="N490" t="str">
        <f t="shared" si="10"/>
        <v>United Kingdom</v>
      </c>
      <c r="O490" s="8">
        <f>IF(K490&gt;=1,K490,K490*1000)</f>
        <v>85</v>
      </c>
      <c r="P490">
        <f>ABS(H490)</f>
        <v>1</v>
      </c>
      <c r="R490"/>
    </row>
    <row r="491" spans="1:18" x14ac:dyDescent="0.35">
      <c r="A491" t="s">
        <v>1104</v>
      </c>
      <c r="B491" s="2">
        <v>46103</v>
      </c>
      <c r="C491" t="s">
        <v>1105</v>
      </c>
      <c r="D491" s="3" t="s">
        <v>4612</v>
      </c>
      <c r="E491" t="s">
        <v>16</v>
      </c>
      <c r="F491" t="s">
        <v>42</v>
      </c>
      <c r="G491" t="s">
        <v>43</v>
      </c>
      <c r="H491" s="8">
        <v>1</v>
      </c>
      <c r="I491" s="10">
        <v>85.5</v>
      </c>
      <c r="J491" s="14">
        <f>P491*I491</f>
        <v>85.5</v>
      </c>
      <c r="K491" s="16">
        <v>190</v>
      </c>
      <c r="L491" s="1" t="s">
        <v>30</v>
      </c>
      <c r="M491" t="s">
        <v>22</v>
      </c>
      <c r="N491" t="str">
        <f t="shared" si="10"/>
        <v>United Kingdom</v>
      </c>
      <c r="O491" s="8">
        <f>IF(K491&gt;=1,K491,K491*1000)</f>
        <v>190</v>
      </c>
      <c r="P491">
        <f>ABS(H491)</f>
        <v>1</v>
      </c>
      <c r="R491"/>
    </row>
    <row r="492" spans="1:18" x14ac:dyDescent="0.35">
      <c r="A492" t="s">
        <v>1106</v>
      </c>
      <c r="B492" s="2">
        <v>46143</v>
      </c>
      <c r="C492" t="s">
        <v>1107</v>
      </c>
      <c r="D492" s="3" t="s">
        <v>61</v>
      </c>
      <c r="E492" t="s">
        <v>34</v>
      </c>
      <c r="F492" t="s">
        <v>35</v>
      </c>
      <c r="G492" t="s">
        <v>36</v>
      </c>
      <c r="H492" s="8">
        <v>2</v>
      </c>
      <c r="I492" s="10">
        <v>45</v>
      </c>
      <c r="J492" s="14">
        <f>P492*I492</f>
        <v>90</v>
      </c>
      <c r="K492" s="16">
        <v>8.5000000000000006E-2</v>
      </c>
      <c r="L492" s="1" t="s">
        <v>30</v>
      </c>
      <c r="M492" t="s">
        <v>22</v>
      </c>
      <c r="N492" t="str">
        <f t="shared" si="10"/>
        <v>Ireland</v>
      </c>
      <c r="O492" s="8">
        <f>IF(K492&gt;=1,K492,K492*1000)</f>
        <v>85</v>
      </c>
      <c r="P492">
        <f>ABS(H492)</f>
        <v>2</v>
      </c>
      <c r="R492"/>
    </row>
    <row r="493" spans="1:18" x14ac:dyDescent="0.35">
      <c r="A493" t="s">
        <v>1108</v>
      </c>
      <c r="B493" s="2">
        <v>46078</v>
      </c>
      <c r="C493" t="s">
        <v>1109</v>
      </c>
      <c r="D493" s="3" t="s">
        <v>99</v>
      </c>
      <c r="E493" t="s">
        <v>25</v>
      </c>
      <c r="F493" t="s">
        <v>35</v>
      </c>
      <c r="G493" t="s">
        <v>36</v>
      </c>
      <c r="H493" s="8">
        <v>2</v>
      </c>
      <c r="I493" s="10">
        <v>89</v>
      </c>
      <c r="J493" s="14">
        <f>P493*I493</f>
        <v>178</v>
      </c>
      <c r="K493" s="16">
        <v>85</v>
      </c>
      <c r="L493" s="1" t="s">
        <v>30</v>
      </c>
      <c r="M493" t="s">
        <v>22</v>
      </c>
      <c r="N493" t="str">
        <f t="shared" si="10"/>
        <v>United Kingdom</v>
      </c>
      <c r="O493" s="8">
        <f>IF(K493&gt;=1,K493,K493*1000)</f>
        <v>85</v>
      </c>
      <c r="P493">
        <f>ABS(H493)</f>
        <v>2</v>
      </c>
      <c r="R493"/>
    </row>
    <row r="494" spans="1:18" x14ac:dyDescent="0.35">
      <c r="A494" t="s">
        <v>1110</v>
      </c>
      <c r="B494" s="2">
        <v>46102</v>
      </c>
      <c r="C494" t="s">
        <v>1111</v>
      </c>
      <c r="D494" s="3" t="s">
        <v>46</v>
      </c>
      <c r="E494" t="s">
        <v>67</v>
      </c>
      <c r="F494" t="s">
        <v>47</v>
      </c>
      <c r="G494" t="s">
        <v>48</v>
      </c>
      <c r="H494" s="8">
        <v>2</v>
      </c>
      <c r="I494" s="10">
        <v>134.1</v>
      </c>
      <c r="J494" s="14">
        <f>P494*I494</f>
        <v>268.2</v>
      </c>
      <c r="K494" s="16">
        <v>380</v>
      </c>
      <c r="L494" s="1" t="s">
        <v>30</v>
      </c>
      <c r="M494" t="s">
        <v>22</v>
      </c>
      <c r="N494" t="str">
        <f t="shared" si="10"/>
        <v>Ireland</v>
      </c>
      <c r="O494" s="8">
        <f>IF(K494&gt;=1,K494,K494*1000)</f>
        <v>380</v>
      </c>
      <c r="P494">
        <f>ABS(H494)</f>
        <v>2</v>
      </c>
      <c r="R494"/>
    </row>
    <row r="495" spans="1:18" x14ac:dyDescent="0.35">
      <c r="A495" t="s">
        <v>1112</v>
      </c>
      <c r="B495" s="2" t="s">
        <v>561</v>
      </c>
      <c r="C495" t="s">
        <v>1113</v>
      </c>
      <c r="D495" s="3" t="s">
        <v>46</v>
      </c>
      <c r="E495" t="s">
        <v>41</v>
      </c>
      <c r="F495" t="s">
        <v>89</v>
      </c>
      <c r="G495" t="s">
        <v>90</v>
      </c>
      <c r="H495" s="8">
        <v>1</v>
      </c>
      <c r="I495" s="10">
        <v>95</v>
      </c>
      <c r="J495" s="14">
        <f>P495*I495</f>
        <v>95</v>
      </c>
      <c r="K495" s="16">
        <v>640</v>
      </c>
      <c r="L495" s="1" t="s">
        <v>30</v>
      </c>
      <c r="M495" t="s">
        <v>22</v>
      </c>
      <c r="N495" t="str">
        <f t="shared" si="10"/>
        <v>Ireland</v>
      </c>
      <c r="O495" s="8">
        <f>IF(K495&gt;=1,K495,K495*1000)</f>
        <v>640</v>
      </c>
      <c r="P495">
        <f>ABS(H495)</f>
        <v>1</v>
      </c>
      <c r="R495"/>
    </row>
    <row r="496" spans="1:18" x14ac:dyDescent="0.35">
      <c r="A496" t="s">
        <v>1114</v>
      </c>
      <c r="B496" s="2">
        <v>46128</v>
      </c>
      <c r="C496" t="s">
        <v>1115</v>
      </c>
      <c r="D496" s="3" t="s">
        <v>4612</v>
      </c>
      <c r="E496" t="s">
        <v>34</v>
      </c>
      <c r="F496" t="s">
        <v>35</v>
      </c>
      <c r="G496" t="s">
        <v>36</v>
      </c>
      <c r="H496" s="8">
        <v>1</v>
      </c>
      <c r="I496" s="10">
        <v>45</v>
      </c>
      <c r="J496" s="14">
        <f>P496*I496</f>
        <v>45</v>
      </c>
      <c r="K496" s="16">
        <v>85</v>
      </c>
      <c r="L496" s="1" t="s">
        <v>30</v>
      </c>
      <c r="M496" t="s">
        <v>22</v>
      </c>
      <c r="N496" t="str">
        <f t="shared" si="10"/>
        <v>United Kingdom</v>
      </c>
      <c r="O496" s="8">
        <f>IF(K496&gt;=1,K496,K496*1000)</f>
        <v>85</v>
      </c>
      <c r="P496">
        <f>ABS(H496)</f>
        <v>1</v>
      </c>
      <c r="R496"/>
    </row>
    <row r="497" spans="1:18" x14ac:dyDescent="0.35">
      <c r="A497" t="s">
        <v>1116</v>
      </c>
      <c r="B497" s="2">
        <v>46158</v>
      </c>
      <c r="C497" t="s">
        <v>1117</v>
      </c>
      <c r="D497" s="3" t="s">
        <v>99</v>
      </c>
      <c r="E497" t="s">
        <v>16</v>
      </c>
      <c r="F497" t="s">
        <v>83</v>
      </c>
      <c r="G497" t="s">
        <v>84</v>
      </c>
      <c r="H497" s="8">
        <v>2</v>
      </c>
      <c r="I497" s="10">
        <v>12.5</v>
      </c>
      <c r="J497" s="14">
        <f>P497*I497</f>
        <v>25</v>
      </c>
      <c r="K497" s="16">
        <v>0.34</v>
      </c>
      <c r="L497" s="1" t="s">
        <v>30</v>
      </c>
      <c r="M497" t="s">
        <v>22</v>
      </c>
      <c r="N497" t="str">
        <f t="shared" si="10"/>
        <v>United Kingdom</v>
      </c>
      <c r="O497" s="8">
        <f>IF(K497&gt;=1,K497,K497*1000)</f>
        <v>340</v>
      </c>
      <c r="P497">
        <f>ABS(H497)</f>
        <v>2</v>
      </c>
      <c r="R497"/>
    </row>
    <row r="498" spans="1:18" x14ac:dyDescent="0.35">
      <c r="A498" t="s">
        <v>1118</v>
      </c>
      <c r="B498" s="2">
        <v>46036</v>
      </c>
      <c r="C498" t="s">
        <v>1119</v>
      </c>
      <c r="D498" s="3" t="s">
        <v>4612</v>
      </c>
      <c r="E498" t="s">
        <v>67</v>
      </c>
      <c r="F498" t="s">
        <v>74</v>
      </c>
      <c r="G498" t="s">
        <v>75</v>
      </c>
      <c r="H498" s="8">
        <v>1</v>
      </c>
      <c r="I498" s="10">
        <v>79</v>
      </c>
      <c r="J498" s="14">
        <f>P498*I498</f>
        <v>79</v>
      </c>
      <c r="K498" s="16">
        <v>410</v>
      </c>
      <c r="L498" s="1" t="s">
        <v>30</v>
      </c>
      <c r="M498" t="s">
        <v>22</v>
      </c>
      <c r="N498" t="str">
        <f t="shared" si="10"/>
        <v>United Kingdom</v>
      </c>
      <c r="O498" s="8">
        <f>IF(K498&gt;=1,K498,K498*1000)</f>
        <v>410</v>
      </c>
      <c r="P498">
        <f>ABS(H498)</f>
        <v>1</v>
      </c>
      <c r="R498"/>
    </row>
    <row r="499" spans="1:18" x14ac:dyDescent="0.35">
      <c r="A499" t="s">
        <v>1120</v>
      </c>
      <c r="B499" s="2">
        <v>46065</v>
      </c>
      <c r="C499" t="s">
        <v>990</v>
      </c>
      <c r="D499" s="3" t="s">
        <v>4612</v>
      </c>
      <c r="E499" t="s">
        <v>67</v>
      </c>
      <c r="F499" t="s">
        <v>35</v>
      </c>
      <c r="G499" t="s">
        <v>36</v>
      </c>
      <c r="H499" s="8">
        <v>2</v>
      </c>
      <c r="I499" s="10">
        <v>40.5</v>
      </c>
      <c r="J499" s="14">
        <f>P499*I499</f>
        <v>81</v>
      </c>
      <c r="K499" s="16">
        <v>85</v>
      </c>
      <c r="L499" s="1" t="s">
        <v>30</v>
      </c>
      <c r="M499" t="s">
        <v>22</v>
      </c>
      <c r="N499" t="str">
        <f t="shared" si="10"/>
        <v>United Kingdom</v>
      </c>
      <c r="O499" s="8">
        <f>IF(K499&gt;=1,K499,K499*1000)</f>
        <v>85</v>
      </c>
      <c r="P499">
        <f>ABS(H499)</f>
        <v>2</v>
      </c>
      <c r="R499"/>
    </row>
    <row r="500" spans="1:18" x14ac:dyDescent="0.35">
      <c r="A500" t="s">
        <v>1121</v>
      </c>
      <c r="B500" s="2">
        <v>46033</v>
      </c>
      <c r="C500" t="s">
        <v>1122</v>
      </c>
      <c r="D500" s="3" t="s">
        <v>4612</v>
      </c>
      <c r="E500" t="s">
        <v>16</v>
      </c>
      <c r="F500" t="s">
        <v>26</v>
      </c>
      <c r="G500" t="s">
        <v>27</v>
      </c>
      <c r="H500" s="8">
        <v>1</v>
      </c>
      <c r="I500" s="10">
        <v>12.5</v>
      </c>
      <c r="J500" s="14">
        <f>P500*I500</f>
        <v>12.5</v>
      </c>
      <c r="K500" s="16">
        <v>520</v>
      </c>
      <c r="L500" s="1" t="s">
        <v>30</v>
      </c>
      <c r="M500" t="s">
        <v>22</v>
      </c>
      <c r="N500" t="str">
        <f t="shared" si="10"/>
        <v>United Kingdom</v>
      </c>
      <c r="O500" s="8">
        <f>IF(K500&gt;=1,K500,K500*1000)</f>
        <v>520</v>
      </c>
      <c r="P500">
        <f>ABS(H500)</f>
        <v>1</v>
      </c>
      <c r="R500"/>
    </row>
    <row r="501" spans="1:18" x14ac:dyDescent="0.35">
      <c r="A501" t="s">
        <v>1123</v>
      </c>
      <c r="B501" s="2">
        <v>46109</v>
      </c>
      <c r="C501" t="s">
        <v>1124</v>
      </c>
      <c r="D501" s="3" t="s">
        <v>116</v>
      </c>
      <c r="E501" t="s">
        <v>16</v>
      </c>
      <c r="F501" t="s">
        <v>74</v>
      </c>
      <c r="G501" t="s">
        <v>75</v>
      </c>
      <c r="H501" s="8">
        <v>1</v>
      </c>
      <c r="I501" s="10">
        <v>45</v>
      </c>
      <c r="J501" s="14">
        <f>P501*I501</f>
        <v>45</v>
      </c>
      <c r="K501" s="16">
        <v>410</v>
      </c>
      <c r="L501" s="1" t="s">
        <v>30</v>
      </c>
      <c r="M501" t="s">
        <v>22</v>
      </c>
      <c r="N501" t="str">
        <f t="shared" si="10"/>
        <v>Germany</v>
      </c>
      <c r="O501" s="8">
        <f>IF(K501&gt;=1,K501,K501*1000)</f>
        <v>410</v>
      </c>
      <c r="P501">
        <f>ABS(H501)</f>
        <v>1</v>
      </c>
      <c r="R501"/>
    </row>
    <row r="502" spans="1:18" x14ac:dyDescent="0.35">
      <c r="A502" t="s">
        <v>1125</v>
      </c>
      <c r="B502" s="2">
        <v>46137</v>
      </c>
      <c r="C502" t="s">
        <v>1126</v>
      </c>
      <c r="D502" s="3" t="s">
        <v>99</v>
      </c>
      <c r="E502" t="s">
        <v>16</v>
      </c>
      <c r="F502" t="s">
        <v>74</v>
      </c>
      <c r="G502" t="s">
        <v>75</v>
      </c>
      <c r="H502" s="8">
        <v>3</v>
      </c>
      <c r="I502" s="10">
        <v>21.6</v>
      </c>
      <c r="J502" s="14">
        <f>P502*I502</f>
        <v>64.800000000000011</v>
      </c>
      <c r="K502" s="16">
        <v>0.41</v>
      </c>
      <c r="L502" s="1" t="s">
        <v>30</v>
      </c>
      <c r="M502" t="s">
        <v>22</v>
      </c>
      <c r="N502" t="str">
        <f t="shared" si="10"/>
        <v>United Kingdom</v>
      </c>
      <c r="O502" s="8">
        <f>IF(K502&gt;=1,K502,K502*1000)</f>
        <v>410</v>
      </c>
      <c r="P502">
        <f>ABS(H502)</f>
        <v>3</v>
      </c>
      <c r="R502"/>
    </row>
    <row r="503" spans="1:18" x14ac:dyDescent="0.35">
      <c r="A503" t="s">
        <v>1127</v>
      </c>
      <c r="B503" s="2">
        <v>46157</v>
      </c>
      <c r="C503" t="s">
        <v>1128</v>
      </c>
      <c r="D503" s="3" t="s">
        <v>4612</v>
      </c>
      <c r="E503" t="s">
        <v>16</v>
      </c>
      <c r="F503" t="s">
        <v>89</v>
      </c>
      <c r="G503" t="s">
        <v>90</v>
      </c>
      <c r="H503" s="8">
        <v>1</v>
      </c>
      <c r="I503" s="12" t="s">
        <v>4637</v>
      </c>
      <c r="J503" s="14">
        <f>P503*R503</f>
        <v>49</v>
      </c>
      <c r="K503" s="16">
        <v>0.64</v>
      </c>
      <c r="L503" s="1" t="s">
        <v>21</v>
      </c>
      <c r="M503" t="s">
        <v>22</v>
      </c>
      <c r="N503" t="str">
        <f t="shared" si="10"/>
        <v>United Kingdom</v>
      </c>
      <c r="O503" s="8">
        <f>IF(K503&gt;=1,K503,K503*1000)</f>
        <v>640</v>
      </c>
      <c r="P503">
        <f>ABS(H503)</f>
        <v>1</v>
      </c>
      <c r="Q503" t="str">
        <f>LEFT(I503,2)</f>
        <v>Â£</v>
      </c>
      <c r="R503" t="str">
        <f>RIGHT(I503,5)</f>
        <v>49,00</v>
      </c>
    </row>
    <row r="504" spans="1:18" x14ac:dyDescent="0.35">
      <c r="A504" t="s">
        <v>1129</v>
      </c>
      <c r="B504" s="2">
        <v>46144</v>
      </c>
      <c r="C504" t="s">
        <v>1130</v>
      </c>
      <c r="D504" s="3" t="s">
        <v>99</v>
      </c>
      <c r="E504" t="s">
        <v>67</v>
      </c>
      <c r="F504" t="s">
        <v>26</v>
      </c>
      <c r="G504" t="s">
        <v>27</v>
      </c>
      <c r="H504" s="8">
        <v>2</v>
      </c>
      <c r="I504" s="10">
        <v>129</v>
      </c>
      <c r="J504" s="14">
        <f>P504*I504</f>
        <v>258</v>
      </c>
      <c r="K504" s="16">
        <v>0.52</v>
      </c>
      <c r="L504" s="1" t="s">
        <v>30</v>
      </c>
      <c r="M504" t="s">
        <v>22</v>
      </c>
      <c r="N504" t="str">
        <f t="shared" si="10"/>
        <v>United Kingdom</v>
      </c>
      <c r="O504" s="8">
        <f>IF(K504&gt;=1,K504,K504*1000)</f>
        <v>520</v>
      </c>
      <c r="P504">
        <f>ABS(H504)</f>
        <v>2</v>
      </c>
      <c r="R504"/>
    </row>
    <row r="505" spans="1:18" x14ac:dyDescent="0.35">
      <c r="A505" t="s">
        <v>1131</v>
      </c>
      <c r="B505" s="2">
        <v>46031</v>
      </c>
      <c r="C505" t="s">
        <v>809</v>
      </c>
      <c r="D505" s="3" t="s">
        <v>99</v>
      </c>
      <c r="E505" t="s">
        <v>67</v>
      </c>
      <c r="F505" t="s">
        <v>26</v>
      </c>
      <c r="G505" t="s">
        <v>27</v>
      </c>
      <c r="H505" s="8">
        <v>1</v>
      </c>
      <c r="I505" s="10">
        <v>89</v>
      </c>
      <c r="J505" s="14">
        <f>P505*I505</f>
        <v>89</v>
      </c>
      <c r="K505" s="16">
        <v>520</v>
      </c>
      <c r="L505" s="1" t="s">
        <v>30</v>
      </c>
      <c r="M505" t="s">
        <v>22</v>
      </c>
      <c r="N505" t="str">
        <f t="shared" si="10"/>
        <v>United Kingdom</v>
      </c>
      <c r="O505" s="8">
        <f>IF(K505&gt;=1,K505,K505*1000)</f>
        <v>520</v>
      </c>
      <c r="P505">
        <f>ABS(H505)</f>
        <v>1</v>
      </c>
      <c r="R505"/>
    </row>
    <row r="506" spans="1:18" x14ac:dyDescent="0.35">
      <c r="A506" t="s">
        <v>1132</v>
      </c>
      <c r="B506" s="2">
        <v>46086</v>
      </c>
      <c r="C506" t="s">
        <v>1133</v>
      </c>
      <c r="D506" s="3" t="s">
        <v>4613</v>
      </c>
      <c r="E506" t="s">
        <v>25</v>
      </c>
      <c r="F506" t="s">
        <v>26</v>
      </c>
      <c r="G506" t="s">
        <v>27</v>
      </c>
      <c r="H506" s="8">
        <v>1</v>
      </c>
      <c r="I506" s="10">
        <v>71.099999999999994</v>
      </c>
      <c r="J506" s="14">
        <f>P506*I506</f>
        <v>71.099999999999994</v>
      </c>
      <c r="K506" s="16">
        <v>520</v>
      </c>
      <c r="L506" s="1" t="s">
        <v>21</v>
      </c>
      <c r="M506" t="s">
        <v>22</v>
      </c>
      <c r="N506" t="str">
        <f t="shared" si="10"/>
        <v>United Kingdom</v>
      </c>
      <c r="O506" s="8">
        <f>IF(K506&gt;=1,K506,K506*1000)</f>
        <v>520</v>
      </c>
      <c r="P506">
        <f>ABS(H506)</f>
        <v>1</v>
      </c>
      <c r="R506"/>
    </row>
    <row r="507" spans="1:18" x14ac:dyDescent="0.35">
      <c r="A507" t="s">
        <v>1134</v>
      </c>
      <c r="B507" s="2">
        <v>46151</v>
      </c>
      <c r="C507" t="s">
        <v>1135</v>
      </c>
      <c r="D507" s="3" t="s">
        <v>4613</v>
      </c>
      <c r="E507" t="s">
        <v>41</v>
      </c>
      <c r="F507" t="s">
        <v>74</v>
      </c>
      <c r="G507" t="s">
        <v>75</v>
      </c>
      <c r="H507" s="8">
        <v>-1</v>
      </c>
      <c r="I507" s="10">
        <v>89</v>
      </c>
      <c r="J507" s="14">
        <f>P507*I507</f>
        <v>89</v>
      </c>
      <c r="K507" s="16">
        <v>0.41</v>
      </c>
      <c r="L507" s="1" t="s">
        <v>21</v>
      </c>
      <c r="M507" t="s">
        <v>22</v>
      </c>
      <c r="N507" t="str">
        <f t="shared" si="10"/>
        <v>United Kingdom</v>
      </c>
      <c r="O507" s="8">
        <f>IF(K507&gt;=1,K507,K507*1000)</f>
        <v>410</v>
      </c>
      <c r="P507">
        <f>ABS(H507)</f>
        <v>1</v>
      </c>
      <c r="R507"/>
    </row>
    <row r="508" spans="1:18" x14ac:dyDescent="0.35">
      <c r="A508" t="s">
        <v>1137</v>
      </c>
      <c r="B508" s="2">
        <v>46149</v>
      </c>
      <c r="C508" t="s">
        <v>1138</v>
      </c>
      <c r="D508" s="3" t="s">
        <v>99</v>
      </c>
      <c r="E508" t="s">
        <v>34</v>
      </c>
      <c r="F508" t="s">
        <v>74</v>
      </c>
      <c r="G508" t="s">
        <v>75</v>
      </c>
      <c r="H508" s="8">
        <v>3</v>
      </c>
      <c r="I508" s="10">
        <v>116.1</v>
      </c>
      <c r="J508" s="14">
        <f>P508*I508</f>
        <v>348.29999999999995</v>
      </c>
      <c r="K508" s="16">
        <v>0.41</v>
      </c>
      <c r="L508" s="1" t="s">
        <v>30</v>
      </c>
      <c r="M508" t="s">
        <v>22</v>
      </c>
      <c r="N508" t="str">
        <f t="shared" si="10"/>
        <v>United Kingdom</v>
      </c>
      <c r="O508" s="8">
        <f>IF(K508&gt;=1,K508,K508*1000)</f>
        <v>410</v>
      </c>
      <c r="P508">
        <f>ABS(H508)</f>
        <v>3</v>
      </c>
      <c r="R508"/>
    </row>
    <row r="509" spans="1:18" x14ac:dyDescent="0.35">
      <c r="A509" t="s">
        <v>1139</v>
      </c>
      <c r="B509" s="2">
        <v>46085</v>
      </c>
      <c r="C509" t="s">
        <v>1140</v>
      </c>
      <c r="D509" s="3" t="s">
        <v>99</v>
      </c>
      <c r="E509" t="s">
        <v>67</v>
      </c>
      <c r="F509" t="s">
        <v>74</v>
      </c>
      <c r="G509" t="s">
        <v>75</v>
      </c>
      <c r="H509" s="8">
        <v>2</v>
      </c>
      <c r="I509" s="10">
        <v>80.099999999999994</v>
      </c>
      <c r="J509" s="14">
        <f>P509*I509</f>
        <v>160.19999999999999</v>
      </c>
      <c r="K509" s="16">
        <v>410</v>
      </c>
      <c r="L509" s="1" t="s">
        <v>21</v>
      </c>
      <c r="M509" t="s">
        <v>58</v>
      </c>
      <c r="N509" t="str">
        <f t="shared" si="10"/>
        <v>United Kingdom</v>
      </c>
      <c r="O509" s="8">
        <f>IF(K509&gt;=1,K509,K509*1000)</f>
        <v>410</v>
      </c>
      <c r="P509">
        <f>ABS(H509)</f>
        <v>2</v>
      </c>
      <c r="R509"/>
    </row>
    <row r="510" spans="1:18" x14ac:dyDescent="0.35">
      <c r="A510" t="s">
        <v>1141</v>
      </c>
      <c r="B510" s="2">
        <v>46055</v>
      </c>
      <c r="C510" t="s">
        <v>1142</v>
      </c>
      <c r="D510" s="3" t="s">
        <v>61</v>
      </c>
      <c r="E510" t="s">
        <v>41</v>
      </c>
      <c r="F510" t="s">
        <v>89</v>
      </c>
      <c r="G510" t="s">
        <v>90</v>
      </c>
      <c r="H510" s="8">
        <v>2</v>
      </c>
      <c r="I510" s="10">
        <v>80.099999999999994</v>
      </c>
      <c r="J510" s="14">
        <f>P510*I510</f>
        <v>160.19999999999999</v>
      </c>
      <c r="K510" s="16">
        <v>640</v>
      </c>
      <c r="L510" s="1" t="s">
        <v>30</v>
      </c>
      <c r="M510" t="s">
        <v>58</v>
      </c>
      <c r="N510" t="str">
        <f t="shared" si="10"/>
        <v>Ireland</v>
      </c>
      <c r="O510" s="8">
        <f>IF(K510&gt;=1,K510,K510*1000)</f>
        <v>640</v>
      </c>
      <c r="P510">
        <f>ABS(H510)</f>
        <v>2</v>
      </c>
      <c r="R510"/>
    </row>
    <row r="511" spans="1:18" x14ac:dyDescent="0.35">
      <c r="A511" t="s">
        <v>1143</v>
      </c>
      <c r="B511" s="2">
        <v>46104</v>
      </c>
      <c r="C511" t="s">
        <v>1144</v>
      </c>
      <c r="D511" s="3" t="s">
        <v>66</v>
      </c>
      <c r="E511" t="s">
        <v>34</v>
      </c>
      <c r="F511" t="s">
        <v>83</v>
      </c>
      <c r="G511" t="s">
        <v>84</v>
      </c>
      <c r="H511" s="8">
        <v>2</v>
      </c>
      <c r="I511" s="10">
        <v>21.6</v>
      </c>
      <c r="J511" s="14">
        <f>P511*I511</f>
        <v>43.2</v>
      </c>
      <c r="K511" s="16">
        <v>340</v>
      </c>
      <c r="L511" s="1" t="s">
        <v>21</v>
      </c>
      <c r="M511" t="s">
        <v>22</v>
      </c>
      <c r="N511" t="str">
        <f t="shared" si="10"/>
        <v>Gb</v>
      </c>
      <c r="O511" s="8">
        <f>IF(K511&gt;=1,K511,K511*1000)</f>
        <v>340</v>
      </c>
      <c r="P511">
        <f>ABS(H511)</f>
        <v>2</v>
      </c>
      <c r="R511"/>
    </row>
    <row r="512" spans="1:18" x14ac:dyDescent="0.35">
      <c r="A512" t="s">
        <v>1145</v>
      </c>
      <c r="B512" s="2">
        <v>46125</v>
      </c>
      <c r="C512" t="s">
        <v>1146</v>
      </c>
      <c r="D512" s="3" t="s">
        <v>4613</v>
      </c>
      <c r="E512" t="s">
        <v>25</v>
      </c>
      <c r="F512" t="s">
        <v>35</v>
      </c>
      <c r="G512" t="s">
        <v>36</v>
      </c>
      <c r="H512" s="8">
        <v>2</v>
      </c>
      <c r="I512" s="10">
        <v>95</v>
      </c>
      <c r="J512" s="14">
        <f>P512*I512</f>
        <v>190</v>
      </c>
      <c r="K512" s="16">
        <v>85</v>
      </c>
      <c r="L512" s="1" t="s">
        <v>21</v>
      </c>
      <c r="M512" t="s">
        <v>58</v>
      </c>
      <c r="N512" t="str">
        <f t="shared" si="10"/>
        <v>United Kingdom</v>
      </c>
      <c r="O512" s="8">
        <f>IF(K512&gt;=1,K512,K512*1000)</f>
        <v>85</v>
      </c>
      <c r="P512">
        <f>ABS(H512)</f>
        <v>2</v>
      </c>
      <c r="R512"/>
    </row>
    <row r="513" spans="1:18" x14ac:dyDescent="0.35">
      <c r="A513" t="s">
        <v>1147</v>
      </c>
      <c r="B513" s="2">
        <v>46048</v>
      </c>
      <c r="C513" t="s">
        <v>126</v>
      </c>
      <c r="D513" s="3" t="s">
        <v>99</v>
      </c>
      <c r="E513" t="s">
        <v>67</v>
      </c>
      <c r="F513" t="s">
        <v>17</v>
      </c>
      <c r="G513" t="s">
        <v>18</v>
      </c>
      <c r="H513" s="8">
        <v>3</v>
      </c>
      <c r="I513" s="10">
        <v>85.5</v>
      </c>
      <c r="J513" s="14">
        <f>P513*I513</f>
        <v>256.5</v>
      </c>
      <c r="K513" s="16">
        <v>520</v>
      </c>
      <c r="L513" s="1" t="s">
        <v>30</v>
      </c>
      <c r="M513" t="s">
        <v>22</v>
      </c>
      <c r="N513" t="str">
        <f t="shared" si="10"/>
        <v>United Kingdom</v>
      </c>
      <c r="O513" s="8">
        <f>IF(K513&gt;=1,K513,K513*1000)</f>
        <v>520</v>
      </c>
      <c r="P513">
        <f>ABS(H513)</f>
        <v>3</v>
      </c>
      <c r="R513"/>
    </row>
    <row r="514" spans="1:18" x14ac:dyDescent="0.35">
      <c r="A514" t="s">
        <v>1148</v>
      </c>
      <c r="B514" s="2">
        <v>46090</v>
      </c>
      <c r="C514" t="s">
        <v>356</v>
      </c>
      <c r="D514" s="3" t="s">
        <v>116</v>
      </c>
      <c r="E514" t="s">
        <v>34</v>
      </c>
      <c r="F514" t="s">
        <v>89</v>
      </c>
      <c r="G514" t="s">
        <v>90</v>
      </c>
      <c r="H514" s="8">
        <v>1</v>
      </c>
      <c r="I514" s="10">
        <v>89</v>
      </c>
      <c r="J514" s="14">
        <f>P514*I514</f>
        <v>89</v>
      </c>
      <c r="K514" s="16">
        <v>640</v>
      </c>
      <c r="L514" s="1" t="s">
        <v>30</v>
      </c>
      <c r="M514" t="s">
        <v>22</v>
      </c>
      <c r="N514" t="str">
        <f t="shared" si="10"/>
        <v>Germany</v>
      </c>
      <c r="O514" s="8">
        <f>IF(K514&gt;=1,K514,K514*1000)</f>
        <v>640</v>
      </c>
      <c r="P514">
        <f>ABS(H514)</f>
        <v>1</v>
      </c>
      <c r="R514"/>
    </row>
    <row r="515" spans="1:18" x14ac:dyDescent="0.35">
      <c r="A515" t="s">
        <v>1149</v>
      </c>
      <c r="B515" s="2">
        <v>46034</v>
      </c>
      <c r="C515" t="s">
        <v>1150</v>
      </c>
      <c r="D515" s="3" t="s">
        <v>4612</v>
      </c>
      <c r="E515" t="s">
        <v>34</v>
      </c>
      <c r="F515" t="s">
        <v>26</v>
      </c>
      <c r="G515" t="s">
        <v>27</v>
      </c>
      <c r="H515" s="8">
        <v>2</v>
      </c>
      <c r="I515" s="12" t="s">
        <v>4617</v>
      </c>
      <c r="J515" s="14">
        <f>P515*R515</f>
        <v>90</v>
      </c>
      <c r="K515" s="16">
        <v>520</v>
      </c>
      <c r="L515" s="1" t="s">
        <v>30</v>
      </c>
      <c r="M515" t="s">
        <v>22</v>
      </c>
      <c r="N515" t="str">
        <f t="shared" ref="N515:N578" si="11">PROPER(TRIM(D515))</f>
        <v>United Kingdom</v>
      </c>
      <c r="O515" s="8">
        <f>IF(K515&gt;=1,K515,K515*1000)</f>
        <v>520</v>
      </c>
      <c r="P515">
        <f>ABS(H515)</f>
        <v>2</v>
      </c>
      <c r="Q515" t="str">
        <f>LEFT(I515,3)</f>
        <v>GBP</v>
      </c>
      <c r="R515" s="10" t="str">
        <f>RIGHT(I515,5)</f>
        <v>45,00</v>
      </c>
    </row>
    <row r="516" spans="1:18" x14ac:dyDescent="0.35">
      <c r="A516" t="s">
        <v>1151</v>
      </c>
      <c r="B516" s="2">
        <v>46085</v>
      </c>
      <c r="C516" t="s">
        <v>1152</v>
      </c>
      <c r="D516" s="3" t="s">
        <v>116</v>
      </c>
      <c r="E516" t="s">
        <v>25</v>
      </c>
      <c r="F516" t="s">
        <v>74</v>
      </c>
      <c r="G516" t="s">
        <v>75</v>
      </c>
      <c r="H516" s="8">
        <v>2</v>
      </c>
      <c r="I516" s="10">
        <v>149</v>
      </c>
      <c r="J516" s="14">
        <f>P516*I516</f>
        <v>298</v>
      </c>
      <c r="K516" s="16">
        <v>410</v>
      </c>
      <c r="L516" s="1" t="s">
        <v>30</v>
      </c>
      <c r="M516" t="s">
        <v>22</v>
      </c>
      <c r="N516" t="str">
        <f t="shared" si="11"/>
        <v>Germany</v>
      </c>
      <c r="O516" s="8">
        <f>IF(K516&gt;=1,K516,K516*1000)</f>
        <v>410</v>
      </c>
      <c r="P516">
        <f>ABS(H516)</f>
        <v>2</v>
      </c>
      <c r="R516"/>
    </row>
    <row r="517" spans="1:18" x14ac:dyDescent="0.35">
      <c r="A517" t="s">
        <v>1153</v>
      </c>
      <c r="B517" s="2">
        <v>46332</v>
      </c>
      <c r="C517" t="s">
        <v>219</v>
      </c>
      <c r="D517" s="3" t="s">
        <v>66</v>
      </c>
      <c r="E517" t="s">
        <v>16</v>
      </c>
      <c r="F517" t="s">
        <v>83</v>
      </c>
      <c r="G517" t="s">
        <v>84</v>
      </c>
      <c r="H517" s="8">
        <v>1</v>
      </c>
      <c r="I517" s="10">
        <v>40.5</v>
      </c>
      <c r="J517" s="14">
        <f>P517*I517</f>
        <v>40.5</v>
      </c>
      <c r="K517" s="16">
        <v>0.34</v>
      </c>
      <c r="L517" s="1" t="s">
        <v>30</v>
      </c>
      <c r="M517" t="s">
        <v>58</v>
      </c>
      <c r="N517" t="str">
        <f t="shared" si="11"/>
        <v>Gb</v>
      </c>
      <c r="O517" s="8">
        <f>IF(K517&gt;=1,K517,K517*1000)</f>
        <v>340</v>
      </c>
      <c r="P517">
        <f>ABS(H517)</f>
        <v>1</v>
      </c>
      <c r="R517"/>
    </row>
    <row r="518" spans="1:18" x14ac:dyDescent="0.35">
      <c r="A518" t="s">
        <v>1154</v>
      </c>
      <c r="B518" s="2">
        <v>46178</v>
      </c>
      <c r="C518" t="s">
        <v>1155</v>
      </c>
      <c r="D518" s="3" t="s">
        <v>53</v>
      </c>
      <c r="E518" t="s">
        <v>25</v>
      </c>
      <c r="F518" t="s">
        <v>47</v>
      </c>
      <c r="G518" t="s">
        <v>48</v>
      </c>
      <c r="H518" s="8">
        <v>3</v>
      </c>
      <c r="I518" s="10">
        <v>95</v>
      </c>
      <c r="J518" s="14">
        <f>P518*I518</f>
        <v>285</v>
      </c>
      <c r="K518" s="16">
        <v>0.38</v>
      </c>
      <c r="L518" s="1" t="s">
        <v>30</v>
      </c>
      <c r="M518" t="s">
        <v>22</v>
      </c>
      <c r="N518" t="str">
        <f t="shared" si="11"/>
        <v>Gb</v>
      </c>
      <c r="O518" s="8">
        <f>IF(K518&gt;=1,K518,K518*1000)</f>
        <v>380</v>
      </c>
      <c r="P518">
        <f>ABS(H518)</f>
        <v>3</v>
      </c>
      <c r="R518"/>
    </row>
    <row r="519" spans="1:18" x14ac:dyDescent="0.35">
      <c r="A519" t="s">
        <v>1156</v>
      </c>
      <c r="B519" s="2" t="s">
        <v>566</v>
      </c>
      <c r="C519" t="s">
        <v>1157</v>
      </c>
      <c r="D519" s="3" t="s">
        <v>4613</v>
      </c>
      <c r="E519" t="s">
        <v>16</v>
      </c>
      <c r="F519" t="s">
        <v>17</v>
      </c>
      <c r="G519" t="s">
        <v>18</v>
      </c>
      <c r="H519" s="8">
        <v>1</v>
      </c>
      <c r="I519" s="10">
        <v>24</v>
      </c>
      <c r="J519" s="14">
        <f>P519*I519</f>
        <v>24</v>
      </c>
      <c r="K519" s="16">
        <v>520</v>
      </c>
      <c r="L519" s="1" t="s">
        <v>30</v>
      </c>
      <c r="M519" t="s">
        <v>58</v>
      </c>
      <c r="N519" t="str">
        <f t="shared" si="11"/>
        <v>United Kingdom</v>
      </c>
      <c r="O519" s="8">
        <f>IF(K519&gt;=1,K519,K519*1000)</f>
        <v>520</v>
      </c>
      <c r="P519">
        <f>ABS(H519)</f>
        <v>1</v>
      </c>
      <c r="R519"/>
    </row>
    <row r="520" spans="1:18" x14ac:dyDescent="0.35">
      <c r="A520" t="s">
        <v>1158</v>
      </c>
      <c r="B520" s="2">
        <v>46174</v>
      </c>
      <c r="C520" t="s">
        <v>1159</v>
      </c>
      <c r="D520" s="3" t="s">
        <v>116</v>
      </c>
      <c r="E520" t="s">
        <v>34</v>
      </c>
      <c r="F520" t="s">
        <v>17</v>
      </c>
      <c r="G520" t="s">
        <v>18</v>
      </c>
      <c r="H520" s="8">
        <v>1</v>
      </c>
      <c r="I520" s="10">
        <v>40.5</v>
      </c>
      <c r="J520" s="14">
        <f>P520*I520</f>
        <v>40.5</v>
      </c>
      <c r="K520" s="16">
        <v>0.52</v>
      </c>
      <c r="L520" s="1" t="s">
        <v>30</v>
      </c>
      <c r="M520" t="s">
        <v>22</v>
      </c>
      <c r="N520" t="str">
        <f t="shared" si="11"/>
        <v>Germany</v>
      </c>
      <c r="O520" s="8">
        <f>IF(K520&gt;=1,K520,K520*1000)</f>
        <v>520</v>
      </c>
      <c r="P520">
        <f>ABS(H520)</f>
        <v>1</v>
      </c>
      <c r="R520"/>
    </row>
    <row r="521" spans="1:18" x14ac:dyDescent="0.35">
      <c r="A521" t="s">
        <v>1160</v>
      </c>
      <c r="B521" s="2">
        <v>46137</v>
      </c>
      <c r="C521" t="s">
        <v>1161</v>
      </c>
      <c r="D521" s="3" t="s">
        <v>116</v>
      </c>
      <c r="E521" t="s">
        <v>67</v>
      </c>
      <c r="F521" t="s">
        <v>83</v>
      </c>
      <c r="G521" t="s">
        <v>84</v>
      </c>
      <c r="H521" s="8">
        <v>1</v>
      </c>
      <c r="I521" s="10">
        <v>21.6</v>
      </c>
      <c r="J521" s="14">
        <f>P521*I521</f>
        <v>21.6</v>
      </c>
      <c r="K521" s="16">
        <v>0.34</v>
      </c>
      <c r="L521" s="1" t="s">
        <v>30</v>
      </c>
      <c r="M521" t="s">
        <v>58</v>
      </c>
      <c r="N521" t="str">
        <f t="shared" si="11"/>
        <v>Germany</v>
      </c>
      <c r="O521" s="8">
        <f>IF(K521&gt;=1,K521,K521*1000)</f>
        <v>340</v>
      </c>
      <c r="P521">
        <f>ABS(H521)</f>
        <v>1</v>
      </c>
      <c r="R521"/>
    </row>
    <row r="522" spans="1:18" x14ac:dyDescent="0.35">
      <c r="A522" t="s">
        <v>1162</v>
      </c>
      <c r="B522" s="2">
        <v>46107</v>
      </c>
      <c r="C522" t="s">
        <v>1163</v>
      </c>
      <c r="D522" s="3" t="s">
        <v>4612</v>
      </c>
      <c r="E522" t="s">
        <v>16</v>
      </c>
      <c r="F522" t="s">
        <v>47</v>
      </c>
      <c r="G522" t="s">
        <v>48</v>
      </c>
      <c r="H522" s="8">
        <v>1</v>
      </c>
      <c r="I522" s="10">
        <v>45</v>
      </c>
      <c r="J522" s="14">
        <f>P522*I522</f>
        <v>45</v>
      </c>
      <c r="K522" s="16">
        <v>380</v>
      </c>
      <c r="L522" s="1" t="s">
        <v>30</v>
      </c>
      <c r="M522" t="s">
        <v>22</v>
      </c>
      <c r="N522" t="str">
        <f t="shared" si="11"/>
        <v>United Kingdom</v>
      </c>
      <c r="O522" s="8">
        <f>IF(K522&gt;=1,K522,K522*1000)</f>
        <v>380</v>
      </c>
      <c r="P522">
        <f>ABS(H522)</f>
        <v>1</v>
      </c>
      <c r="R522"/>
    </row>
    <row r="523" spans="1:18" x14ac:dyDescent="0.35">
      <c r="A523" t="s">
        <v>1164</v>
      </c>
      <c r="B523" s="2">
        <v>46128</v>
      </c>
      <c r="C523" t="s">
        <v>1165</v>
      </c>
      <c r="D523" s="3" t="s">
        <v>99</v>
      </c>
      <c r="E523" t="s">
        <v>67</v>
      </c>
      <c r="F523" t="s">
        <v>26</v>
      </c>
      <c r="G523" t="s">
        <v>27</v>
      </c>
      <c r="H523" s="8">
        <v>2</v>
      </c>
      <c r="I523" s="12" t="s">
        <v>4636</v>
      </c>
      <c r="J523" s="14">
        <f>P523*R523</f>
        <v>178</v>
      </c>
      <c r="K523" s="16">
        <v>520</v>
      </c>
      <c r="L523" s="1" t="s">
        <v>30</v>
      </c>
      <c r="M523" t="s">
        <v>58</v>
      </c>
      <c r="N523" t="str">
        <f t="shared" si="11"/>
        <v>United Kingdom</v>
      </c>
      <c r="O523" s="8">
        <f>IF(K523&gt;=1,K523,K523*1000)</f>
        <v>520</v>
      </c>
      <c r="P523">
        <f>ABS(H523)</f>
        <v>2</v>
      </c>
      <c r="Q523" t="str">
        <f>LEFT(I523,2)</f>
        <v>Â£</v>
      </c>
      <c r="R523" t="str">
        <f>RIGHT(I523,5)</f>
        <v>89,00</v>
      </c>
    </row>
    <row r="524" spans="1:18" x14ac:dyDescent="0.35">
      <c r="A524" t="s">
        <v>1166</v>
      </c>
      <c r="B524" s="2">
        <v>46188</v>
      </c>
      <c r="C524" t="s">
        <v>1101</v>
      </c>
      <c r="D524" s="3" t="s">
        <v>99</v>
      </c>
      <c r="E524" t="s">
        <v>41</v>
      </c>
      <c r="F524" t="s">
        <v>47</v>
      </c>
      <c r="G524" t="s">
        <v>48</v>
      </c>
      <c r="H524" s="8">
        <v>3</v>
      </c>
      <c r="I524" s="10">
        <v>79</v>
      </c>
      <c r="J524" s="14">
        <f>P524*I524</f>
        <v>237</v>
      </c>
      <c r="K524" s="16">
        <v>0.38</v>
      </c>
      <c r="L524" s="1" t="s">
        <v>30</v>
      </c>
      <c r="M524" t="s">
        <v>22</v>
      </c>
      <c r="N524" t="str">
        <f t="shared" si="11"/>
        <v>United Kingdom</v>
      </c>
      <c r="O524" s="8">
        <f>IF(K524&gt;=1,K524,K524*1000)</f>
        <v>380</v>
      </c>
      <c r="P524">
        <f>ABS(H524)</f>
        <v>3</v>
      </c>
      <c r="R524"/>
    </row>
    <row r="525" spans="1:18" x14ac:dyDescent="0.35">
      <c r="A525" t="s">
        <v>1167</v>
      </c>
      <c r="B525" s="2">
        <v>46184</v>
      </c>
      <c r="C525" t="s">
        <v>1168</v>
      </c>
      <c r="D525" s="3" t="s">
        <v>53</v>
      </c>
      <c r="E525" t="s">
        <v>16</v>
      </c>
      <c r="F525" t="s">
        <v>89</v>
      </c>
      <c r="G525" t="s">
        <v>90</v>
      </c>
      <c r="H525" s="8">
        <v>1</v>
      </c>
      <c r="I525" s="10">
        <v>12.5</v>
      </c>
      <c r="J525" s="14">
        <f>P525*I525</f>
        <v>12.5</v>
      </c>
      <c r="K525" s="16">
        <v>0.64</v>
      </c>
      <c r="L525" s="1" t="s">
        <v>21</v>
      </c>
      <c r="M525" t="s">
        <v>22</v>
      </c>
      <c r="N525" t="str">
        <f t="shared" si="11"/>
        <v>Gb</v>
      </c>
      <c r="O525" s="8">
        <f>IF(K525&gt;=1,K525,K525*1000)</f>
        <v>640</v>
      </c>
      <c r="P525">
        <f>ABS(H525)</f>
        <v>1</v>
      </c>
      <c r="R525"/>
    </row>
    <row r="526" spans="1:18" x14ac:dyDescent="0.35">
      <c r="A526" t="s">
        <v>1169</v>
      </c>
      <c r="B526" s="2">
        <v>46163</v>
      </c>
      <c r="C526" t="s">
        <v>1170</v>
      </c>
      <c r="D526" s="3" t="s">
        <v>99</v>
      </c>
      <c r="E526" t="s">
        <v>25</v>
      </c>
      <c r="F526" t="s">
        <v>47</v>
      </c>
      <c r="G526" t="s">
        <v>48</v>
      </c>
      <c r="H526" s="8">
        <v>1</v>
      </c>
      <c r="I526" s="10">
        <v>129</v>
      </c>
      <c r="J526" s="14">
        <f>P526*I526</f>
        <v>129</v>
      </c>
      <c r="K526" s="16">
        <v>0.38</v>
      </c>
      <c r="L526" s="1" t="s">
        <v>21</v>
      </c>
      <c r="M526" t="s">
        <v>58</v>
      </c>
      <c r="N526" t="str">
        <f t="shared" si="11"/>
        <v>United Kingdom</v>
      </c>
      <c r="O526" s="8">
        <f>IF(K526&gt;=1,K526,K526*1000)</f>
        <v>380</v>
      </c>
      <c r="P526">
        <f>ABS(H526)</f>
        <v>1</v>
      </c>
      <c r="R526"/>
    </row>
    <row r="527" spans="1:18" x14ac:dyDescent="0.35">
      <c r="A527" t="s">
        <v>1172</v>
      </c>
      <c r="B527" s="2">
        <v>46038</v>
      </c>
      <c r="C527" t="s">
        <v>1173</v>
      </c>
      <c r="D527" s="3" t="s">
        <v>15</v>
      </c>
      <c r="E527" t="s">
        <v>16</v>
      </c>
      <c r="F527" t="s">
        <v>42</v>
      </c>
      <c r="G527" t="s">
        <v>43</v>
      </c>
      <c r="H527" s="8">
        <v>1</v>
      </c>
      <c r="I527" s="12" t="s">
        <v>4633</v>
      </c>
      <c r="J527" s="14">
        <f>P527*R527</f>
        <v>24</v>
      </c>
      <c r="K527" s="16">
        <v>190</v>
      </c>
      <c r="L527" s="1" t="s">
        <v>30</v>
      </c>
      <c r="M527" t="s">
        <v>22</v>
      </c>
      <c r="N527" t="str">
        <f t="shared" si="11"/>
        <v>France</v>
      </c>
      <c r="O527" s="8">
        <f>IF(K527&gt;=1,K527,K527*1000)</f>
        <v>190</v>
      </c>
      <c r="P527">
        <f>ABS(H527)</f>
        <v>1</v>
      </c>
      <c r="Q527" t="str">
        <f>LEFT(I527,3)</f>
        <v>GBP</v>
      </c>
      <c r="R527" s="10" t="str">
        <f>RIGHT(I527,5)</f>
        <v>24,00</v>
      </c>
    </row>
    <row r="528" spans="1:18" x14ac:dyDescent="0.35">
      <c r="A528" t="s">
        <v>1174</v>
      </c>
      <c r="B528" s="2">
        <v>46178</v>
      </c>
      <c r="C528" t="s">
        <v>1175</v>
      </c>
      <c r="D528" s="3" t="s">
        <v>15</v>
      </c>
      <c r="E528" t="s">
        <v>67</v>
      </c>
      <c r="F528" t="s">
        <v>74</v>
      </c>
      <c r="G528" t="s">
        <v>75</v>
      </c>
      <c r="H528" s="8">
        <v>2</v>
      </c>
      <c r="I528" s="10">
        <v>71.099999999999994</v>
      </c>
      <c r="J528" s="14">
        <f>P528*I528</f>
        <v>142.19999999999999</v>
      </c>
      <c r="K528" s="16">
        <v>0.41</v>
      </c>
      <c r="L528" s="1" t="s">
        <v>21</v>
      </c>
      <c r="M528" t="s">
        <v>22</v>
      </c>
      <c r="N528" t="str">
        <f t="shared" si="11"/>
        <v>France</v>
      </c>
      <c r="O528" s="8">
        <f>IF(K528&gt;=1,K528,K528*1000)</f>
        <v>410</v>
      </c>
      <c r="P528">
        <f>ABS(H528)</f>
        <v>2</v>
      </c>
      <c r="R528"/>
    </row>
    <row r="529" spans="1:18" x14ac:dyDescent="0.35">
      <c r="A529" t="s">
        <v>1176</v>
      </c>
      <c r="B529" s="2">
        <v>46190</v>
      </c>
      <c r="C529" t="s">
        <v>1177</v>
      </c>
      <c r="D529" s="3" t="s">
        <v>116</v>
      </c>
      <c r="E529" t="s">
        <v>67</v>
      </c>
      <c r="F529" t="s">
        <v>26</v>
      </c>
      <c r="G529" t="s">
        <v>27</v>
      </c>
      <c r="H529" s="8">
        <v>3</v>
      </c>
      <c r="I529" s="10">
        <v>24</v>
      </c>
      <c r="J529" s="14">
        <f>P529*I529</f>
        <v>72</v>
      </c>
      <c r="K529" s="16">
        <v>0.52</v>
      </c>
      <c r="L529" s="1" t="s">
        <v>30</v>
      </c>
      <c r="M529" t="s">
        <v>22</v>
      </c>
      <c r="N529" t="str">
        <f t="shared" si="11"/>
        <v>Germany</v>
      </c>
      <c r="O529" s="8">
        <f>IF(K529&gt;=1,K529,K529*1000)</f>
        <v>520</v>
      </c>
      <c r="P529">
        <f>ABS(H529)</f>
        <v>3</v>
      </c>
      <c r="R529"/>
    </row>
    <row r="530" spans="1:18" x14ac:dyDescent="0.35">
      <c r="A530" t="s">
        <v>1178</v>
      </c>
      <c r="B530" s="2">
        <v>46113</v>
      </c>
      <c r="C530" t="s">
        <v>1179</v>
      </c>
      <c r="D530" s="3" t="s">
        <v>53</v>
      </c>
      <c r="E530" t="s">
        <v>34</v>
      </c>
      <c r="F530" t="s">
        <v>83</v>
      </c>
      <c r="G530" t="s">
        <v>84</v>
      </c>
      <c r="H530" s="8">
        <v>3</v>
      </c>
      <c r="I530" s="10">
        <v>24</v>
      </c>
      <c r="J530" s="14">
        <f>P530*I530</f>
        <v>72</v>
      </c>
      <c r="K530" s="16">
        <v>340</v>
      </c>
      <c r="L530" s="1" t="s">
        <v>30</v>
      </c>
      <c r="M530" t="s">
        <v>58</v>
      </c>
      <c r="N530" t="str">
        <f t="shared" si="11"/>
        <v>Gb</v>
      </c>
      <c r="O530" s="8">
        <f>IF(K530&gt;=1,K530,K530*1000)</f>
        <v>340</v>
      </c>
      <c r="P530">
        <f>ABS(H530)</f>
        <v>3</v>
      </c>
      <c r="R530"/>
    </row>
    <row r="531" spans="1:18" x14ac:dyDescent="0.35">
      <c r="A531" t="s">
        <v>1180</v>
      </c>
      <c r="B531" s="2">
        <v>46296</v>
      </c>
      <c r="C531" t="s">
        <v>1181</v>
      </c>
      <c r="D531" s="3" t="s">
        <v>61</v>
      </c>
      <c r="E531" t="s">
        <v>16</v>
      </c>
      <c r="F531" t="s">
        <v>47</v>
      </c>
      <c r="G531" t="s">
        <v>48</v>
      </c>
      <c r="H531" s="8">
        <v>1</v>
      </c>
      <c r="I531" s="10">
        <v>45</v>
      </c>
      <c r="J531" s="14">
        <f>P531*I531</f>
        <v>45</v>
      </c>
      <c r="K531" s="16">
        <v>380</v>
      </c>
      <c r="L531" s="1" t="s">
        <v>30</v>
      </c>
      <c r="M531" t="s">
        <v>58</v>
      </c>
      <c r="N531" t="str">
        <f t="shared" si="11"/>
        <v>Ireland</v>
      </c>
      <c r="O531" s="8">
        <f>IF(K531&gt;=1,K531,K531*1000)</f>
        <v>380</v>
      </c>
      <c r="P531">
        <f>ABS(H531)</f>
        <v>1</v>
      </c>
      <c r="R531"/>
    </row>
    <row r="532" spans="1:18" x14ac:dyDescent="0.35">
      <c r="A532" t="s">
        <v>1182</v>
      </c>
      <c r="B532" s="2">
        <v>46104</v>
      </c>
      <c r="C532" t="s">
        <v>1183</v>
      </c>
      <c r="D532" s="3" t="s">
        <v>99</v>
      </c>
      <c r="E532" t="s">
        <v>34</v>
      </c>
      <c r="F532" t="s">
        <v>89</v>
      </c>
      <c r="G532" t="s">
        <v>90</v>
      </c>
      <c r="H532" s="8">
        <v>1</v>
      </c>
      <c r="I532" s="10">
        <v>45</v>
      </c>
      <c r="J532" s="14">
        <f>P532*I532</f>
        <v>45</v>
      </c>
      <c r="K532" s="16">
        <v>640</v>
      </c>
      <c r="L532" s="1" t="s">
        <v>30</v>
      </c>
      <c r="M532" t="s">
        <v>22</v>
      </c>
      <c r="N532" t="str">
        <f t="shared" si="11"/>
        <v>United Kingdom</v>
      </c>
      <c r="O532" s="8">
        <f>IF(K532&gt;=1,K532,K532*1000)</f>
        <v>640</v>
      </c>
      <c r="P532">
        <f>ABS(H532)</f>
        <v>1</v>
      </c>
      <c r="R532"/>
    </row>
    <row r="533" spans="1:18" x14ac:dyDescent="0.35">
      <c r="A533" t="s">
        <v>1184</v>
      </c>
      <c r="B533" s="2">
        <v>46044</v>
      </c>
      <c r="C533" t="s">
        <v>1185</v>
      </c>
      <c r="D533" s="3" t="s">
        <v>61</v>
      </c>
      <c r="E533" t="s">
        <v>34</v>
      </c>
      <c r="F533" t="s">
        <v>83</v>
      </c>
      <c r="G533" t="s">
        <v>84</v>
      </c>
      <c r="H533" s="8">
        <v>2</v>
      </c>
      <c r="I533" s="10">
        <v>12.5</v>
      </c>
      <c r="J533" s="14">
        <f>P533*I533</f>
        <v>25</v>
      </c>
      <c r="K533" s="16">
        <v>340</v>
      </c>
      <c r="L533" s="1" t="s">
        <v>30</v>
      </c>
      <c r="M533" t="s">
        <v>22</v>
      </c>
      <c r="N533" t="str">
        <f t="shared" si="11"/>
        <v>Ireland</v>
      </c>
      <c r="O533" s="8">
        <f>IF(K533&gt;=1,K533,K533*1000)</f>
        <v>340</v>
      </c>
      <c r="P533">
        <f>ABS(H533)</f>
        <v>2</v>
      </c>
      <c r="R533"/>
    </row>
    <row r="534" spans="1:18" x14ac:dyDescent="0.35">
      <c r="A534" t="s">
        <v>1186</v>
      </c>
      <c r="B534" s="2">
        <v>46054</v>
      </c>
      <c r="C534" t="s">
        <v>1021</v>
      </c>
      <c r="D534" s="3" t="s">
        <v>99</v>
      </c>
      <c r="E534" t="s">
        <v>41</v>
      </c>
      <c r="F534" t="s">
        <v>89</v>
      </c>
      <c r="G534" t="s">
        <v>90</v>
      </c>
      <c r="H534" s="8">
        <v>3</v>
      </c>
      <c r="I534" s="10">
        <v>95</v>
      </c>
      <c r="J534" s="14">
        <f>P534*I534</f>
        <v>285</v>
      </c>
      <c r="K534" s="16">
        <v>640</v>
      </c>
      <c r="L534" s="1" t="s">
        <v>30</v>
      </c>
      <c r="M534" t="s">
        <v>58</v>
      </c>
      <c r="N534" t="str">
        <f t="shared" si="11"/>
        <v>United Kingdom</v>
      </c>
      <c r="O534" s="8">
        <f>IF(K534&gt;=1,K534,K534*1000)</f>
        <v>640</v>
      </c>
      <c r="P534">
        <f>ABS(H534)</f>
        <v>3</v>
      </c>
      <c r="R534"/>
    </row>
    <row r="535" spans="1:18" x14ac:dyDescent="0.35">
      <c r="A535" t="s">
        <v>1188</v>
      </c>
      <c r="B535" s="2">
        <v>46047</v>
      </c>
      <c r="C535" t="s">
        <v>1189</v>
      </c>
      <c r="D535" s="3" t="s">
        <v>99</v>
      </c>
      <c r="E535" t="s">
        <v>34</v>
      </c>
      <c r="F535" t="s">
        <v>74</v>
      </c>
      <c r="G535" t="s">
        <v>75</v>
      </c>
      <c r="H535" s="8">
        <v>1</v>
      </c>
      <c r="I535" s="10">
        <v>24</v>
      </c>
      <c r="J535" s="14">
        <f>P535*I535</f>
        <v>24</v>
      </c>
      <c r="K535" s="16">
        <v>410</v>
      </c>
      <c r="L535" s="1" t="s">
        <v>30</v>
      </c>
      <c r="M535" t="s">
        <v>22</v>
      </c>
      <c r="N535" t="str">
        <f t="shared" si="11"/>
        <v>United Kingdom</v>
      </c>
      <c r="O535" s="8">
        <f>IF(K535&gt;=1,K535,K535*1000)</f>
        <v>410</v>
      </c>
      <c r="P535">
        <f>ABS(H535)</f>
        <v>1</v>
      </c>
      <c r="R535"/>
    </row>
    <row r="536" spans="1:18" x14ac:dyDescent="0.35">
      <c r="A536" t="s">
        <v>1190</v>
      </c>
      <c r="B536" s="2">
        <v>46088</v>
      </c>
      <c r="C536" t="s">
        <v>1191</v>
      </c>
      <c r="D536" s="3" t="s">
        <v>116</v>
      </c>
      <c r="E536" t="s">
        <v>67</v>
      </c>
      <c r="F536" t="s">
        <v>89</v>
      </c>
      <c r="G536" t="s">
        <v>90</v>
      </c>
      <c r="H536" s="8">
        <v>1</v>
      </c>
      <c r="I536" s="10">
        <v>149</v>
      </c>
      <c r="J536" s="14">
        <f>P536*I536</f>
        <v>149</v>
      </c>
      <c r="K536" s="16">
        <v>640</v>
      </c>
      <c r="L536" s="1" t="s">
        <v>30</v>
      </c>
      <c r="M536" t="s">
        <v>58</v>
      </c>
      <c r="N536" t="str">
        <f t="shared" si="11"/>
        <v>Germany</v>
      </c>
      <c r="O536" s="8">
        <f>IF(K536&gt;=1,K536,K536*1000)</f>
        <v>640</v>
      </c>
      <c r="P536">
        <f>ABS(H536)</f>
        <v>1</v>
      </c>
      <c r="R536"/>
    </row>
    <row r="537" spans="1:18" x14ac:dyDescent="0.35">
      <c r="A537" t="s">
        <v>1192</v>
      </c>
      <c r="B537" s="2">
        <v>46080</v>
      </c>
      <c r="C537" t="s">
        <v>1066</v>
      </c>
      <c r="D537" s="3" t="s">
        <v>66</v>
      </c>
      <c r="E537" t="s">
        <v>25</v>
      </c>
      <c r="F537" t="s">
        <v>35</v>
      </c>
      <c r="G537" t="s">
        <v>36</v>
      </c>
      <c r="H537" s="8">
        <v>1</v>
      </c>
      <c r="I537" s="10">
        <v>11.25</v>
      </c>
      <c r="J537" s="14">
        <f>P537*I537</f>
        <v>11.25</v>
      </c>
      <c r="K537" s="16">
        <v>85</v>
      </c>
      <c r="L537" s="1" t="s">
        <v>30</v>
      </c>
      <c r="M537" t="s">
        <v>22</v>
      </c>
      <c r="N537" t="str">
        <f t="shared" si="11"/>
        <v>Gb</v>
      </c>
      <c r="O537" s="8">
        <f>IF(K537&gt;=1,K537,K537*1000)</f>
        <v>85</v>
      </c>
      <c r="P537">
        <f>ABS(H537)</f>
        <v>1</v>
      </c>
      <c r="R537"/>
    </row>
    <row r="538" spans="1:18" x14ac:dyDescent="0.35">
      <c r="A538" t="s">
        <v>1193</v>
      </c>
      <c r="B538" s="2">
        <v>46075</v>
      </c>
      <c r="C538" t="s">
        <v>1194</v>
      </c>
      <c r="D538" s="3" t="s">
        <v>46</v>
      </c>
      <c r="E538" t="s">
        <v>16</v>
      </c>
      <c r="F538" t="s">
        <v>89</v>
      </c>
      <c r="G538" t="s">
        <v>90</v>
      </c>
      <c r="H538" s="8">
        <v>2</v>
      </c>
      <c r="I538" s="10">
        <v>45</v>
      </c>
      <c r="J538" s="14">
        <f>P538*I538</f>
        <v>90</v>
      </c>
      <c r="K538" s="16">
        <v>640</v>
      </c>
      <c r="L538" s="1" t="s">
        <v>30</v>
      </c>
      <c r="M538" t="s">
        <v>22</v>
      </c>
      <c r="N538" t="str">
        <f t="shared" si="11"/>
        <v>Ireland</v>
      </c>
      <c r="O538" s="8">
        <f>IF(K538&gt;=1,K538,K538*1000)</f>
        <v>640</v>
      </c>
      <c r="P538">
        <f>ABS(H538)</f>
        <v>2</v>
      </c>
      <c r="R538"/>
    </row>
    <row r="539" spans="1:18" x14ac:dyDescent="0.35">
      <c r="A539" t="s">
        <v>1195</v>
      </c>
      <c r="B539" s="2">
        <v>46164</v>
      </c>
      <c r="C539" t="s">
        <v>1196</v>
      </c>
      <c r="D539" s="3" t="s">
        <v>4612</v>
      </c>
      <c r="E539" t="s">
        <v>25</v>
      </c>
      <c r="F539" t="s">
        <v>35</v>
      </c>
      <c r="G539" t="s">
        <v>36</v>
      </c>
      <c r="H539" s="8">
        <v>1</v>
      </c>
      <c r="I539" s="10">
        <v>12.5</v>
      </c>
      <c r="J539" s="14">
        <f>P539*I539</f>
        <v>12.5</v>
      </c>
      <c r="K539" s="16">
        <v>8.5000000000000006E-2</v>
      </c>
      <c r="L539" s="1" t="s">
        <v>30</v>
      </c>
      <c r="M539" t="s">
        <v>22</v>
      </c>
      <c r="N539" t="str">
        <f t="shared" si="11"/>
        <v>United Kingdom</v>
      </c>
      <c r="O539" s="8">
        <f>IF(K539&gt;=1,K539,K539*1000)</f>
        <v>85</v>
      </c>
      <c r="P539">
        <f>ABS(H539)</f>
        <v>1</v>
      </c>
      <c r="R539"/>
    </row>
    <row r="540" spans="1:18" x14ac:dyDescent="0.35">
      <c r="A540" t="s">
        <v>1197</v>
      </c>
      <c r="B540" s="2">
        <v>46078</v>
      </c>
      <c r="C540" t="s">
        <v>378</v>
      </c>
      <c r="D540" s="3" t="s">
        <v>66</v>
      </c>
      <c r="E540" t="s">
        <v>67</v>
      </c>
      <c r="F540" t="s">
        <v>74</v>
      </c>
      <c r="G540" t="s">
        <v>75</v>
      </c>
      <c r="H540" s="8">
        <v>2</v>
      </c>
      <c r="I540" s="10">
        <v>11.25</v>
      </c>
      <c r="J540" s="14">
        <f>P540*I540</f>
        <v>22.5</v>
      </c>
      <c r="K540" s="16">
        <v>410</v>
      </c>
      <c r="L540" s="1" t="s">
        <v>21</v>
      </c>
      <c r="M540" t="s">
        <v>58</v>
      </c>
      <c r="N540" t="str">
        <f t="shared" si="11"/>
        <v>Gb</v>
      </c>
      <c r="O540" s="8">
        <f>IF(K540&gt;=1,K540,K540*1000)</f>
        <v>410</v>
      </c>
      <c r="P540">
        <f>ABS(H540)</f>
        <v>2</v>
      </c>
      <c r="R540"/>
    </row>
    <row r="541" spans="1:18" x14ac:dyDescent="0.35">
      <c r="A541" t="s">
        <v>1198</v>
      </c>
      <c r="B541" s="2">
        <v>46071</v>
      </c>
      <c r="C541" t="s">
        <v>1199</v>
      </c>
      <c r="D541" s="3" t="s">
        <v>46</v>
      </c>
      <c r="E541" t="s">
        <v>16</v>
      </c>
      <c r="F541" t="s">
        <v>74</v>
      </c>
      <c r="G541" t="s">
        <v>75</v>
      </c>
      <c r="H541" s="8">
        <v>2</v>
      </c>
      <c r="I541" s="10">
        <v>89</v>
      </c>
      <c r="J541" s="14">
        <f>P541*I541</f>
        <v>178</v>
      </c>
      <c r="K541" s="16">
        <v>410</v>
      </c>
      <c r="L541" s="1" t="s">
        <v>30</v>
      </c>
      <c r="M541" t="s">
        <v>22</v>
      </c>
      <c r="N541" t="str">
        <f t="shared" si="11"/>
        <v>Ireland</v>
      </c>
      <c r="O541" s="8">
        <f>IF(K541&gt;=1,K541,K541*1000)</f>
        <v>410</v>
      </c>
      <c r="P541">
        <f>ABS(H541)</f>
        <v>2</v>
      </c>
      <c r="R541"/>
    </row>
    <row r="542" spans="1:18" x14ac:dyDescent="0.35">
      <c r="A542" t="s">
        <v>1200</v>
      </c>
      <c r="B542" s="2">
        <v>46204</v>
      </c>
      <c r="C542" t="s">
        <v>313</v>
      </c>
      <c r="D542" s="3" t="s">
        <v>4613</v>
      </c>
      <c r="E542" t="s">
        <v>41</v>
      </c>
      <c r="F542" t="s">
        <v>35</v>
      </c>
      <c r="G542" t="s">
        <v>36</v>
      </c>
      <c r="H542" s="8">
        <v>1</v>
      </c>
      <c r="I542" s="10">
        <v>129</v>
      </c>
      <c r="J542" s="14">
        <f>P542*I542</f>
        <v>129</v>
      </c>
      <c r="K542" s="16">
        <v>8.5000000000000006E-2</v>
      </c>
      <c r="L542" s="1" t="s">
        <v>30</v>
      </c>
      <c r="M542" t="s">
        <v>22</v>
      </c>
      <c r="N542" t="str">
        <f t="shared" si="11"/>
        <v>United Kingdom</v>
      </c>
      <c r="O542" s="8">
        <f>IF(K542&gt;=1,K542,K542*1000)</f>
        <v>85</v>
      </c>
      <c r="P542">
        <f>ABS(H542)</f>
        <v>1</v>
      </c>
      <c r="R542"/>
    </row>
    <row r="543" spans="1:18" x14ac:dyDescent="0.35">
      <c r="A543" t="s">
        <v>1201</v>
      </c>
      <c r="B543" s="2">
        <v>46182</v>
      </c>
      <c r="C543" t="s">
        <v>1202</v>
      </c>
      <c r="D543" s="3" t="s">
        <v>53</v>
      </c>
      <c r="E543" t="s">
        <v>25</v>
      </c>
      <c r="F543" t="s">
        <v>35</v>
      </c>
      <c r="G543" t="s">
        <v>36</v>
      </c>
      <c r="H543" s="8">
        <v>2</v>
      </c>
      <c r="I543" s="10">
        <v>89</v>
      </c>
      <c r="J543" s="14">
        <f>P543*I543</f>
        <v>178</v>
      </c>
      <c r="K543" s="16">
        <v>8.5000000000000006E-2</v>
      </c>
      <c r="L543" s="1" t="s">
        <v>30</v>
      </c>
      <c r="M543" t="s">
        <v>22</v>
      </c>
      <c r="N543" t="str">
        <f t="shared" si="11"/>
        <v>Gb</v>
      </c>
      <c r="O543" s="8">
        <f>IF(K543&gt;=1,K543,K543*1000)</f>
        <v>85</v>
      </c>
      <c r="P543">
        <f>ABS(H543)</f>
        <v>2</v>
      </c>
      <c r="R543"/>
    </row>
    <row r="544" spans="1:18" x14ac:dyDescent="0.35">
      <c r="A544" t="s">
        <v>1203</v>
      </c>
      <c r="B544" s="2">
        <v>46093</v>
      </c>
      <c r="C544" t="s">
        <v>1204</v>
      </c>
      <c r="D544" s="3" t="s">
        <v>66</v>
      </c>
      <c r="E544" t="s">
        <v>41</v>
      </c>
      <c r="F544" t="s">
        <v>47</v>
      </c>
      <c r="G544" t="s">
        <v>48</v>
      </c>
      <c r="H544" s="8">
        <v>2</v>
      </c>
      <c r="I544" s="10">
        <v>11.25</v>
      </c>
      <c r="J544" s="14">
        <f>P544*I544</f>
        <v>22.5</v>
      </c>
      <c r="K544" s="16">
        <v>380</v>
      </c>
      <c r="L544" s="1" t="s">
        <v>30</v>
      </c>
      <c r="M544" t="s">
        <v>58</v>
      </c>
      <c r="N544" t="str">
        <f t="shared" si="11"/>
        <v>Gb</v>
      </c>
      <c r="O544" s="8">
        <f>IF(K544&gt;=1,K544,K544*1000)</f>
        <v>380</v>
      </c>
      <c r="P544">
        <f>ABS(H544)</f>
        <v>2</v>
      </c>
      <c r="R544"/>
    </row>
    <row r="545" spans="1:18" x14ac:dyDescent="0.35">
      <c r="A545" t="s">
        <v>1205</v>
      </c>
      <c r="B545" s="2">
        <v>46070</v>
      </c>
      <c r="C545" t="s">
        <v>225</v>
      </c>
      <c r="D545" s="3" t="s">
        <v>4613</v>
      </c>
      <c r="E545" t="s">
        <v>34</v>
      </c>
      <c r="F545" t="s">
        <v>47</v>
      </c>
      <c r="G545" t="s">
        <v>48</v>
      </c>
      <c r="H545" s="8">
        <v>1</v>
      </c>
      <c r="I545" s="10">
        <v>80.099999999999994</v>
      </c>
      <c r="J545" s="14">
        <f>P545*I545</f>
        <v>80.099999999999994</v>
      </c>
      <c r="K545" s="16">
        <v>380</v>
      </c>
      <c r="L545" s="1" t="s">
        <v>30</v>
      </c>
      <c r="M545" t="s">
        <v>22</v>
      </c>
      <c r="N545" t="str">
        <f t="shared" si="11"/>
        <v>United Kingdom</v>
      </c>
      <c r="O545" s="8">
        <f>IF(K545&gt;=1,K545,K545*1000)</f>
        <v>380</v>
      </c>
      <c r="P545">
        <f>ABS(H545)</f>
        <v>1</v>
      </c>
      <c r="R545"/>
    </row>
    <row r="546" spans="1:18" x14ac:dyDescent="0.35">
      <c r="A546" t="s">
        <v>1206</v>
      </c>
      <c r="B546" s="2">
        <v>46080</v>
      </c>
      <c r="C546" t="s">
        <v>1207</v>
      </c>
      <c r="D546" s="3" t="s">
        <v>46</v>
      </c>
      <c r="E546" t="s">
        <v>25</v>
      </c>
      <c r="F546" t="s">
        <v>89</v>
      </c>
      <c r="G546" t="s">
        <v>90</v>
      </c>
      <c r="H546" s="8">
        <v>1</v>
      </c>
      <c r="I546" s="10">
        <v>24</v>
      </c>
      <c r="J546" s="14">
        <f>P546*I546</f>
        <v>24</v>
      </c>
      <c r="K546" s="16">
        <v>640</v>
      </c>
      <c r="L546" s="1" t="s">
        <v>30</v>
      </c>
      <c r="M546" t="s">
        <v>22</v>
      </c>
      <c r="N546" t="str">
        <f t="shared" si="11"/>
        <v>Ireland</v>
      </c>
      <c r="O546" s="8">
        <f>IF(K546&gt;=1,K546,K546*1000)</f>
        <v>640</v>
      </c>
      <c r="P546">
        <f>ABS(H546)</f>
        <v>1</v>
      </c>
      <c r="R546"/>
    </row>
    <row r="547" spans="1:18" x14ac:dyDescent="0.35">
      <c r="A547" t="s">
        <v>1208</v>
      </c>
      <c r="B547" s="2">
        <v>46150</v>
      </c>
      <c r="C547" t="s">
        <v>852</v>
      </c>
      <c r="D547" s="3" t="s">
        <v>46</v>
      </c>
      <c r="E547" t="s">
        <v>16</v>
      </c>
      <c r="F547" t="s">
        <v>42</v>
      </c>
      <c r="G547" t="s">
        <v>43</v>
      </c>
      <c r="H547" s="8">
        <v>2</v>
      </c>
      <c r="I547" s="10">
        <v>89</v>
      </c>
      <c r="J547" s="14">
        <f>P547*I547</f>
        <v>178</v>
      </c>
      <c r="K547" s="16">
        <v>0.19</v>
      </c>
      <c r="L547" s="1" t="s">
        <v>21</v>
      </c>
      <c r="M547" t="s">
        <v>58</v>
      </c>
      <c r="N547" t="str">
        <f t="shared" si="11"/>
        <v>Ireland</v>
      </c>
      <c r="O547" s="8">
        <f>IF(K547&gt;=1,K547,K547*1000)</f>
        <v>190</v>
      </c>
      <c r="P547">
        <f>ABS(H547)</f>
        <v>2</v>
      </c>
      <c r="R547"/>
    </row>
    <row r="548" spans="1:18" x14ac:dyDescent="0.35">
      <c r="A548" t="s">
        <v>1209</v>
      </c>
      <c r="B548" s="2">
        <v>46183</v>
      </c>
      <c r="C548" t="s">
        <v>1210</v>
      </c>
      <c r="D548" s="3" t="s">
        <v>99</v>
      </c>
      <c r="E548" t="s">
        <v>67</v>
      </c>
      <c r="F548" t="s">
        <v>89</v>
      </c>
      <c r="G548" t="s">
        <v>90</v>
      </c>
      <c r="H548" s="8">
        <v>2</v>
      </c>
      <c r="I548" s="10">
        <v>40.5</v>
      </c>
      <c r="J548" s="14">
        <f>P548*I548</f>
        <v>81</v>
      </c>
      <c r="K548" s="16">
        <v>0.64</v>
      </c>
      <c r="L548" s="1" t="s">
        <v>21</v>
      </c>
      <c r="M548" t="s">
        <v>22</v>
      </c>
      <c r="N548" t="str">
        <f t="shared" si="11"/>
        <v>United Kingdom</v>
      </c>
      <c r="O548" s="8">
        <f>IF(K548&gt;=1,K548,K548*1000)</f>
        <v>640</v>
      </c>
      <c r="P548">
        <f>ABS(H548)</f>
        <v>2</v>
      </c>
      <c r="R548"/>
    </row>
    <row r="549" spans="1:18" x14ac:dyDescent="0.35">
      <c r="A549" t="s">
        <v>1211</v>
      </c>
      <c r="B549" s="2">
        <v>46117</v>
      </c>
      <c r="C549" t="s">
        <v>1212</v>
      </c>
      <c r="D549" s="3" t="s">
        <v>4612</v>
      </c>
      <c r="E549" t="s">
        <v>41</v>
      </c>
      <c r="F549" t="s">
        <v>35</v>
      </c>
      <c r="G549" t="s">
        <v>36</v>
      </c>
      <c r="H549" s="8">
        <v>1</v>
      </c>
      <c r="I549" s="12" t="s">
        <v>4641</v>
      </c>
      <c r="J549" s="14">
        <f>P549*R549</f>
        <v>49</v>
      </c>
      <c r="K549" s="16">
        <v>85</v>
      </c>
      <c r="L549" s="1" t="s">
        <v>30</v>
      </c>
      <c r="M549" t="s">
        <v>58</v>
      </c>
      <c r="N549" t="str">
        <f t="shared" si="11"/>
        <v>United Kingdom</v>
      </c>
      <c r="O549" s="8">
        <f>IF(K549&gt;=1,K549,K549*1000)</f>
        <v>85</v>
      </c>
      <c r="P549">
        <f>ABS(H549)</f>
        <v>1</v>
      </c>
      <c r="Q549" t="str">
        <f>LEFT(I549,3)</f>
        <v>GBP</v>
      </c>
      <c r="R549" s="10" t="str">
        <f>RIGHT(I549,5)</f>
        <v>49,00</v>
      </c>
    </row>
    <row r="550" spans="1:18" x14ac:dyDescent="0.35">
      <c r="A550" t="s">
        <v>1214</v>
      </c>
      <c r="B550" s="2">
        <v>46054</v>
      </c>
      <c r="C550" t="s">
        <v>1215</v>
      </c>
      <c r="D550" s="3" t="s">
        <v>61</v>
      </c>
      <c r="E550" t="s">
        <v>25</v>
      </c>
      <c r="F550" t="s">
        <v>89</v>
      </c>
      <c r="G550" t="s">
        <v>90</v>
      </c>
      <c r="H550" s="8">
        <v>2</v>
      </c>
      <c r="I550" s="10">
        <v>129</v>
      </c>
      <c r="J550" s="14">
        <f>P550*I550</f>
        <v>258</v>
      </c>
      <c r="K550" s="16">
        <v>640</v>
      </c>
      <c r="L550" s="1" t="s">
        <v>21</v>
      </c>
      <c r="M550" t="s">
        <v>22</v>
      </c>
      <c r="N550" t="str">
        <f t="shared" si="11"/>
        <v>Ireland</v>
      </c>
      <c r="O550" s="8">
        <f>IF(K550&gt;=1,K550,K550*1000)</f>
        <v>640</v>
      </c>
      <c r="P550">
        <f>ABS(H550)</f>
        <v>2</v>
      </c>
      <c r="R550"/>
    </row>
    <row r="551" spans="1:18" x14ac:dyDescent="0.35">
      <c r="A551" t="s">
        <v>1216</v>
      </c>
      <c r="B551" s="2">
        <v>46088</v>
      </c>
      <c r="C551" t="s">
        <v>1217</v>
      </c>
      <c r="D551" s="3" t="s">
        <v>53</v>
      </c>
      <c r="E551" t="s">
        <v>25</v>
      </c>
      <c r="F551" t="s">
        <v>17</v>
      </c>
      <c r="G551" t="s">
        <v>18</v>
      </c>
      <c r="H551" s="8">
        <v>2</v>
      </c>
      <c r="I551" s="12" t="s">
        <v>4636</v>
      </c>
      <c r="J551" s="14">
        <f>P551*R551</f>
        <v>178</v>
      </c>
      <c r="K551" s="16">
        <v>520</v>
      </c>
      <c r="L551" s="1" t="s">
        <v>21</v>
      </c>
      <c r="M551" t="s">
        <v>58</v>
      </c>
      <c r="N551" t="str">
        <f t="shared" si="11"/>
        <v>Gb</v>
      </c>
      <c r="O551" s="8">
        <f>IF(K551&gt;=1,K551,K551*1000)</f>
        <v>520</v>
      </c>
      <c r="P551">
        <f>ABS(H551)</f>
        <v>2</v>
      </c>
      <c r="Q551" t="str">
        <f>LEFT(I551,2)</f>
        <v>Â£</v>
      </c>
      <c r="R551" t="str">
        <f>RIGHT(I551,5)</f>
        <v>89,00</v>
      </c>
    </row>
    <row r="552" spans="1:18" x14ac:dyDescent="0.35">
      <c r="A552" t="s">
        <v>1218</v>
      </c>
      <c r="B552" s="2">
        <v>46100</v>
      </c>
      <c r="C552" t="s">
        <v>1219</v>
      </c>
      <c r="D552" s="3" t="s">
        <v>4613</v>
      </c>
      <c r="E552" t="s">
        <v>41</v>
      </c>
      <c r="F552" t="s">
        <v>17</v>
      </c>
      <c r="G552" t="s">
        <v>18</v>
      </c>
      <c r="H552" s="8">
        <v>2</v>
      </c>
      <c r="I552" s="10">
        <v>12.5</v>
      </c>
      <c r="J552" s="14">
        <f>P552*I552</f>
        <v>25</v>
      </c>
      <c r="K552" s="16">
        <v>520</v>
      </c>
      <c r="L552" s="1" t="s">
        <v>21</v>
      </c>
      <c r="M552" t="s">
        <v>22</v>
      </c>
      <c r="N552" t="str">
        <f t="shared" si="11"/>
        <v>United Kingdom</v>
      </c>
      <c r="O552" s="8">
        <f>IF(K552&gt;=1,K552,K552*1000)</f>
        <v>520</v>
      </c>
      <c r="P552">
        <f>ABS(H552)</f>
        <v>2</v>
      </c>
      <c r="R552"/>
    </row>
    <row r="553" spans="1:18" x14ac:dyDescent="0.35">
      <c r="A553" t="s">
        <v>1220</v>
      </c>
      <c r="B553" s="2">
        <v>46165</v>
      </c>
      <c r="C553" t="s">
        <v>1221</v>
      </c>
      <c r="D553" s="3" t="s">
        <v>4613</v>
      </c>
      <c r="E553" t="s">
        <v>16</v>
      </c>
      <c r="F553" t="s">
        <v>17</v>
      </c>
      <c r="G553" t="s">
        <v>18</v>
      </c>
      <c r="H553" s="8">
        <v>-1</v>
      </c>
      <c r="I553" s="10">
        <v>89</v>
      </c>
      <c r="J553" s="14">
        <f>P553*I553</f>
        <v>89</v>
      </c>
      <c r="K553" s="16">
        <v>0.52</v>
      </c>
      <c r="L553" s="1" t="s">
        <v>30</v>
      </c>
      <c r="M553" t="s">
        <v>22</v>
      </c>
      <c r="N553" t="str">
        <f t="shared" si="11"/>
        <v>United Kingdom</v>
      </c>
      <c r="O553" s="8">
        <f>IF(K553&gt;=1,K553,K553*1000)</f>
        <v>520</v>
      </c>
      <c r="P553">
        <f>ABS(H553)</f>
        <v>1</v>
      </c>
      <c r="R553"/>
    </row>
    <row r="554" spans="1:18" x14ac:dyDescent="0.35">
      <c r="A554" t="s">
        <v>1222</v>
      </c>
      <c r="B554" s="2">
        <v>46144</v>
      </c>
      <c r="C554" t="s">
        <v>1223</v>
      </c>
      <c r="D554" s="3" t="s">
        <v>53</v>
      </c>
      <c r="E554" t="s">
        <v>25</v>
      </c>
      <c r="F554" t="s">
        <v>83</v>
      </c>
      <c r="G554" t="s">
        <v>84</v>
      </c>
      <c r="H554" s="8">
        <v>2</v>
      </c>
      <c r="I554" s="10">
        <v>40.5</v>
      </c>
      <c r="J554" s="14">
        <f>P554*I554</f>
        <v>81</v>
      </c>
      <c r="K554" s="16">
        <v>0.34</v>
      </c>
      <c r="L554" s="1" t="s">
        <v>30</v>
      </c>
      <c r="M554" t="s">
        <v>22</v>
      </c>
      <c r="N554" t="str">
        <f t="shared" si="11"/>
        <v>Gb</v>
      </c>
      <c r="O554" s="8">
        <f>IF(K554&gt;=1,K554,K554*1000)</f>
        <v>340</v>
      </c>
      <c r="P554">
        <f>ABS(H554)</f>
        <v>2</v>
      </c>
      <c r="R554"/>
    </row>
    <row r="555" spans="1:18" x14ac:dyDescent="0.35">
      <c r="A555" t="s">
        <v>1224</v>
      </c>
      <c r="B555" s="2">
        <v>46359</v>
      </c>
      <c r="C555" t="s">
        <v>1076</v>
      </c>
      <c r="D555" s="3" t="s">
        <v>4612</v>
      </c>
      <c r="E555" t="s">
        <v>41</v>
      </c>
      <c r="F555" t="s">
        <v>47</v>
      </c>
      <c r="G555" t="s">
        <v>48</v>
      </c>
      <c r="H555" s="8">
        <v>3</v>
      </c>
      <c r="I555" s="10">
        <v>95</v>
      </c>
      <c r="J555" s="14">
        <f>P555*I555</f>
        <v>285</v>
      </c>
      <c r="K555" s="16">
        <v>380</v>
      </c>
      <c r="L555" s="1" t="s">
        <v>30</v>
      </c>
      <c r="M555" t="s">
        <v>58</v>
      </c>
      <c r="N555" t="str">
        <f t="shared" si="11"/>
        <v>United Kingdom</v>
      </c>
      <c r="O555" s="8">
        <f>IF(K555&gt;=1,K555,K555*1000)</f>
        <v>380</v>
      </c>
      <c r="P555">
        <f>ABS(H555)</f>
        <v>3</v>
      </c>
      <c r="R555"/>
    </row>
    <row r="556" spans="1:18" x14ac:dyDescent="0.35">
      <c r="A556" t="s">
        <v>1226</v>
      </c>
      <c r="B556" s="2">
        <v>46116</v>
      </c>
      <c r="C556" t="s">
        <v>1227</v>
      </c>
      <c r="D556" s="3" t="s">
        <v>66</v>
      </c>
      <c r="E556" t="s">
        <v>34</v>
      </c>
      <c r="F556" t="s">
        <v>47</v>
      </c>
      <c r="G556" t="s">
        <v>48</v>
      </c>
      <c r="H556" s="8">
        <v>1</v>
      </c>
      <c r="I556" s="10">
        <v>95</v>
      </c>
      <c r="J556" s="14">
        <f>P556*I556</f>
        <v>95</v>
      </c>
      <c r="K556" s="16">
        <v>380</v>
      </c>
      <c r="L556" s="1" t="s">
        <v>30</v>
      </c>
      <c r="M556" t="s">
        <v>58</v>
      </c>
      <c r="N556" t="str">
        <f t="shared" si="11"/>
        <v>Gb</v>
      </c>
      <c r="O556" s="8">
        <f>IF(K556&gt;=1,K556,K556*1000)</f>
        <v>380</v>
      </c>
      <c r="P556">
        <f>ABS(H556)</f>
        <v>1</v>
      </c>
      <c r="R556"/>
    </row>
    <row r="557" spans="1:18" x14ac:dyDescent="0.35">
      <c r="A557" t="s">
        <v>1228</v>
      </c>
      <c r="B557" s="2">
        <v>46136</v>
      </c>
      <c r="C557" t="s">
        <v>1229</v>
      </c>
      <c r="D557" s="3" t="s">
        <v>46</v>
      </c>
      <c r="E557" t="s">
        <v>67</v>
      </c>
      <c r="F557" t="s">
        <v>42</v>
      </c>
      <c r="G557" t="s">
        <v>43</v>
      </c>
      <c r="H557" s="8">
        <v>1</v>
      </c>
      <c r="I557" s="10">
        <v>21.6</v>
      </c>
      <c r="J557" s="14">
        <f>P557*I557</f>
        <v>21.6</v>
      </c>
      <c r="K557" s="16">
        <v>0.19</v>
      </c>
      <c r="L557" s="1" t="s">
        <v>30</v>
      </c>
      <c r="M557" t="s">
        <v>22</v>
      </c>
      <c r="N557" t="str">
        <f t="shared" si="11"/>
        <v>Ireland</v>
      </c>
      <c r="O557" s="8">
        <f>IF(K557&gt;=1,K557,K557*1000)</f>
        <v>190</v>
      </c>
      <c r="P557">
        <f>ABS(H557)</f>
        <v>1</v>
      </c>
      <c r="R557"/>
    </row>
    <row r="558" spans="1:18" x14ac:dyDescent="0.35">
      <c r="A558" t="s">
        <v>1230</v>
      </c>
      <c r="B558" s="2">
        <v>46186</v>
      </c>
      <c r="C558" t="s">
        <v>1231</v>
      </c>
      <c r="D558" s="3" t="s">
        <v>116</v>
      </c>
      <c r="E558" t="s">
        <v>34</v>
      </c>
      <c r="F558" t="s">
        <v>35</v>
      </c>
      <c r="G558" t="s">
        <v>36</v>
      </c>
      <c r="H558" s="8">
        <v>1</v>
      </c>
      <c r="I558" s="10">
        <v>79</v>
      </c>
      <c r="J558" s="14">
        <f>P558*I558</f>
        <v>79</v>
      </c>
      <c r="K558" s="16">
        <v>8.5000000000000006E-2</v>
      </c>
      <c r="L558" s="1" t="s">
        <v>21</v>
      </c>
      <c r="M558" t="s">
        <v>22</v>
      </c>
      <c r="N558" t="str">
        <f t="shared" si="11"/>
        <v>Germany</v>
      </c>
      <c r="O558" s="8">
        <f>IF(K558&gt;=1,K558,K558*1000)</f>
        <v>85</v>
      </c>
      <c r="P558">
        <f>ABS(H558)</f>
        <v>1</v>
      </c>
      <c r="R558"/>
    </row>
    <row r="559" spans="1:18" x14ac:dyDescent="0.35">
      <c r="A559" t="s">
        <v>1232</v>
      </c>
      <c r="B559" s="2">
        <v>46080</v>
      </c>
      <c r="C559" t="s">
        <v>1233</v>
      </c>
      <c r="D559" s="3" t="s">
        <v>66</v>
      </c>
      <c r="E559" t="s">
        <v>34</v>
      </c>
      <c r="F559" t="s">
        <v>26</v>
      </c>
      <c r="G559" t="s">
        <v>27</v>
      </c>
      <c r="H559" s="8">
        <v>1</v>
      </c>
      <c r="I559" s="10">
        <v>95</v>
      </c>
      <c r="J559" s="14">
        <f>P559*I559</f>
        <v>95</v>
      </c>
      <c r="K559" s="16">
        <v>520</v>
      </c>
      <c r="L559" s="1" t="s">
        <v>21</v>
      </c>
      <c r="M559" t="s">
        <v>58</v>
      </c>
      <c r="N559" t="str">
        <f t="shared" si="11"/>
        <v>Gb</v>
      </c>
      <c r="O559" s="8">
        <f>IF(K559&gt;=1,K559,K559*1000)</f>
        <v>520</v>
      </c>
      <c r="P559">
        <f>ABS(H559)</f>
        <v>1</v>
      </c>
      <c r="R559"/>
    </row>
    <row r="560" spans="1:18" x14ac:dyDescent="0.35">
      <c r="A560" t="s">
        <v>1234</v>
      </c>
      <c r="B560" s="2">
        <v>46191</v>
      </c>
      <c r="C560" t="s">
        <v>1235</v>
      </c>
      <c r="D560" s="3" t="s">
        <v>53</v>
      </c>
      <c r="E560" t="s">
        <v>34</v>
      </c>
      <c r="F560" t="s">
        <v>26</v>
      </c>
      <c r="G560" t="s">
        <v>27</v>
      </c>
      <c r="H560" s="8">
        <v>2</v>
      </c>
      <c r="I560" s="10">
        <v>95</v>
      </c>
      <c r="J560" s="14">
        <f>P560*I560</f>
        <v>190</v>
      </c>
      <c r="K560" s="16">
        <v>0.52</v>
      </c>
      <c r="L560" s="1" t="s">
        <v>30</v>
      </c>
      <c r="M560" t="s">
        <v>22</v>
      </c>
      <c r="N560" t="str">
        <f t="shared" si="11"/>
        <v>Gb</v>
      </c>
      <c r="O560" s="8">
        <f>IF(K560&gt;=1,K560,K560*1000)</f>
        <v>520</v>
      </c>
      <c r="P560">
        <f>ABS(H560)</f>
        <v>2</v>
      </c>
      <c r="R560"/>
    </row>
    <row r="561" spans="1:18" x14ac:dyDescent="0.35">
      <c r="A561" t="s">
        <v>1236</v>
      </c>
      <c r="B561" s="2">
        <v>46120</v>
      </c>
      <c r="C561" t="s">
        <v>1237</v>
      </c>
      <c r="D561" s="3" t="s">
        <v>116</v>
      </c>
      <c r="E561" t="s">
        <v>41</v>
      </c>
      <c r="F561" t="s">
        <v>74</v>
      </c>
      <c r="G561" t="s">
        <v>75</v>
      </c>
      <c r="H561" s="8">
        <v>2</v>
      </c>
      <c r="I561" s="10">
        <v>79</v>
      </c>
      <c r="J561" s="14">
        <f>P561*I561</f>
        <v>158</v>
      </c>
      <c r="K561" s="16">
        <v>410</v>
      </c>
      <c r="L561" s="1" t="s">
        <v>30</v>
      </c>
      <c r="M561" t="s">
        <v>22</v>
      </c>
      <c r="N561" t="str">
        <f t="shared" si="11"/>
        <v>Germany</v>
      </c>
      <c r="O561" s="8">
        <f>IF(K561&gt;=1,K561,K561*1000)</f>
        <v>410</v>
      </c>
      <c r="P561">
        <f>ABS(H561)</f>
        <v>2</v>
      </c>
      <c r="R561"/>
    </row>
    <row r="562" spans="1:18" x14ac:dyDescent="0.35">
      <c r="A562" t="s">
        <v>1238</v>
      </c>
      <c r="B562" s="2">
        <v>46170</v>
      </c>
      <c r="C562" t="s">
        <v>1239</v>
      </c>
      <c r="D562" s="3" t="s">
        <v>15</v>
      </c>
      <c r="E562" t="s">
        <v>16</v>
      </c>
      <c r="F562" t="s">
        <v>47</v>
      </c>
      <c r="G562" t="s">
        <v>48</v>
      </c>
      <c r="H562" s="8">
        <v>2</v>
      </c>
      <c r="I562" s="12" t="s">
        <v>4629</v>
      </c>
      <c r="J562" s="14">
        <f>P562*R562</f>
        <v>68.2</v>
      </c>
      <c r="K562" s="16">
        <v>0.38</v>
      </c>
      <c r="L562" s="1" t="s">
        <v>30</v>
      </c>
      <c r="M562" t="s">
        <v>22</v>
      </c>
      <c r="N562" t="str">
        <f t="shared" si="11"/>
        <v>France</v>
      </c>
      <c r="O562" s="8">
        <f>IF(K562&gt;=1,K562,K562*1000)</f>
        <v>380</v>
      </c>
      <c r="P562">
        <f>ABS(H562)</f>
        <v>2</v>
      </c>
      <c r="Q562" t="str">
        <f>LEFT(I562,3)</f>
        <v>GBP</v>
      </c>
      <c r="R562" s="10" t="str">
        <f>RIGHT(I562,5)</f>
        <v>34,10</v>
      </c>
    </row>
    <row r="563" spans="1:18" x14ac:dyDescent="0.35">
      <c r="A563" t="s">
        <v>1240</v>
      </c>
      <c r="B563" s="2">
        <v>46175</v>
      </c>
      <c r="C563" t="s">
        <v>1241</v>
      </c>
      <c r="D563" s="3" t="s">
        <v>61</v>
      </c>
      <c r="E563" t="s">
        <v>41</v>
      </c>
      <c r="F563" t="s">
        <v>83</v>
      </c>
      <c r="G563" t="s">
        <v>84</v>
      </c>
      <c r="H563" s="8">
        <v>1</v>
      </c>
      <c r="I563" s="10">
        <v>149</v>
      </c>
      <c r="J563" s="14">
        <f>P563*I563</f>
        <v>149</v>
      </c>
      <c r="K563" s="16">
        <v>0.34</v>
      </c>
      <c r="L563" s="1" t="s">
        <v>30</v>
      </c>
      <c r="M563" t="s">
        <v>58</v>
      </c>
      <c r="N563" t="str">
        <f t="shared" si="11"/>
        <v>Ireland</v>
      </c>
      <c r="O563" s="8">
        <f>IF(K563&gt;=1,K563,K563*1000)</f>
        <v>340</v>
      </c>
      <c r="P563">
        <f>ABS(H563)</f>
        <v>1</v>
      </c>
      <c r="R563"/>
    </row>
    <row r="564" spans="1:18" x14ac:dyDescent="0.35">
      <c r="A564" t="s">
        <v>1242</v>
      </c>
      <c r="B564" s="2">
        <v>46132</v>
      </c>
      <c r="C564" t="s">
        <v>1243</v>
      </c>
      <c r="D564" s="3" t="s">
        <v>15</v>
      </c>
      <c r="E564" t="s">
        <v>16</v>
      </c>
      <c r="F564" t="s">
        <v>42</v>
      </c>
      <c r="G564" t="s">
        <v>43</v>
      </c>
      <c r="H564" s="8">
        <v>1</v>
      </c>
      <c r="I564" s="10">
        <v>45</v>
      </c>
      <c r="J564" s="14">
        <f>P564*I564</f>
        <v>45</v>
      </c>
      <c r="K564" s="16">
        <v>0.19</v>
      </c>
      <c r="L564" s="1" t="s">
        <v>30</v>
      </c>
      <c r="M564" t="s">
        <v>58</v>
      </c>
      <c r="N564" t="str">
        <f t="shared" si="11"/>
        <v>France</v>
      </c>
      <c r="O564" s="8">
        <f>IF(K564&gt;=1,K564,K564*1000)</f>
        <v>190</v>
      </c>
      <c r="P564">
        <f>ABS(H564)</f>
        <v>1</v>
      </c>
      <c r="R564"/>
    </row>
    <row r="565" spans="1:18" x14ac:dyDescent="0.35">
      <c r="A565" t="s">
        <v>1245</v>
      </c>
      <c r="B565" s="2">
        <v>46141</v>
      </c>
      <c r="C565" t="s">
        <v>1246</v>
      </c>
      <c r="D565" s="3" t="s">
        <v>116</v>
      </c>
      <c r="E565" t="s">
        <v>41</v>
      </c>
      <c r="F565" t="s">
        <v>83</v>
      </c>
      <c r="G565" t="s">
        <v>84</v>
      </c>
      <c r="H565" s="8">
        <v>-1</v>
      </c>
      <c r="I565" s="10">
        <v>89</v>
      </c>
      <c r="J565" s="14">
        <f>P565*I565</f>
        <v>89</v>
      </c>
      <c r="K565" s="16">
        <v>0.34</v>
      </c>
      <c r="L565" s="1" t="s">
        <v>30</v>
      </c>
      <c r="M565" t="s">
        <v>22</v>
      </c>
      <c r="N565" t="str">
        <f t="shared" si="11"/>
        <v>Germany</v>
      </c>
      <c r="O565" s="8">
        <f>IF(K565&gt;=1,K565,K565*1000)</f>
        <v>340</v>
      </c>
      <c r="P565">
        <f>ABS(H565)</f>
        <v>1</v>
      </c>
      <c r="R565"/>
    </row>
    <row r="566" spans="1:18" x14ac:dyDescent="0.35">
      <c r="A566" t="s">
        <v>1247</v>
      </c>
      <c r="B566" s="2">
        <v>46170</v>
      </c>
      <c r="C566" t="s">
        <v>1248</v>
      </c>
      <c r="D566" s="3" t="s">
        <v>15</v>
      </c>
      <c r="E566" t="s">
        <v>25</v>
      </c>
      <c r="F566" t="s">
        <v>47</v>
      </c>
      <c r="G566" t="s">
        <v>48</v>
      </c>
      <c r="H566" s="8">
        <v>1</v>
      </c>
      <c r="I566" s="10">
        <v>129</v>
      </c>
      <c r="J566" s="14">
        <f>P566*I566</f>
        <v>129</v>
      </c>
      <c r="K566" s="16">
        <v>0.38</v>
      </c>
      <c r="L566" s="1" t="s">
        <v>30</v>
      </c>
      <c r="M566" t="s">
        <v>22</v>
      </c>
      <c r="N566" t="str">
        <f t="shared" si="11"/>
        <v>France</v>
      </c>
      <c r="O566" s="8">
        <f>IF(K566&gt;=1,K566,K566*1000)</f>
        <v>380</v>
      </c>
      <c r="P566">
        <f>ABS(H566)</f>
        <v>1</v>
      </c>
      <c r="R566"/>
    </row>
    <row r="567" spans="1:18" x14ac:dyDescent="0.35">
      <c r="A567" t="s">
        <v>1249</v>
      </c>
      <c r="B567" s="2">
        <v>46092</v>
      </c>
      <c r="C567" t="s">
        <v>1250</v>
      </c>
      <c r="D567" s="3" t="s">
        <v>4613</v>
      </c>
      <c r="E567" t="s">
        <v>16</v>
      </c>
      <c r="F567" t="s">
        <v>83</v>
      </c>
      <c r="G567" t="s">
        <v>84</v>
      </c>
      <c r="H567" s="8">
        <v>1</v>
      </c>
      <c r="I567" s="10">
        <v>45</v>
      </c>
      <c r="J567" s="14">
        <f>P567*I567</f>
        <v>45</v>
      </c>
      <c r="K567" s="16">
        <v>340</v>
      </c>
      <c r="L567" s="1" t="s">
        <v>30</v>
      </c>
      <c r="M567" t="s">
        <v>22</v>
      </c>
      <c r="N567" t="str">
        <f t="shared" si="11"/>
        <v>United Kingdom</v>
      </c>
      <c r="O567" s="8">
        <f>IF(K567&gt;=1,K567,K567*1000)</f>
        <v>340</v>
      </c>
      <c r="P567">
        <f>ABS(H567)</f>
        <v>1</v>
      </c>
      <c r="R567"/>
    </row>
    <row r="568" spans="1:18" x14ac:dyDescent="0.35">
      <c r="A568" t="s">
        <v>1251</v>
      </c>
      <c r="B568" s="2">
        <v>46114</v>
      </c>
      <c r="C568" t="s">
        <v>1252</v>
      </c>
      <c r="D568" s="3" t="s">
        <v>99</v>
      </c>
      <c r="E568" t="s">
        <v>16</v>
      </c>
      <c r="F568" t="s">
        <v>26</v>
      </c>
      <c r="G568" t="s">
        <v>27</v>
      </c>
      <c r="H568" s="8">
        <v>2</v>
      </c>
      <c r="I568" s="10">
        <v>21.6</v>
      </c>
      <c r="J568" s="14">
        <f>P568*I568</f>
        <v>43.2</v>
      </c>
      <c r="K568" s="16">
        <v>520</v>
      </c>
      <c r="L568" s="1" t="s">
        <v>30</v>
      </c>
      <c r="M568" t="s">
        <v>22</v>
      </c>
      <c r="N568" t="str">
        <f t="shared" si="11"/>
        <v>United Kingdom</v>
      </c>
      <c r="O568" s="8">
        <f>IF(K568&gt;=1,K568,K568*1000)</f>
        <v>520</v>
      </c>
      <c r="P568">
        <f>ABS(H568)</f>
        <v>2</v>
      </c>
      <c r="R568"/>
    </row>
    <row r="569" spans="1:18" x14ac:dyDescent="0.35">
      <c r="A569" t="s">
        <v>1253</v>
      </c>
      <c r="B569" s="2">
        <v>46170</v>
      </c>
      <c r="C569" t="s">
        <v>1254</v>
      </c>
      <c r="D569" s="3" t="s">
        <v>4613</v>
      </c>
      <c r="E569" t="s">
        <v>16</v>
      </c>
      <c r="F569" t="s">
        <v>74</v>
      </c>
      <c r="G569" t="s">
        <v>75</v>
      </c>
      <c r="H569" s="8">
        <v>1</v>
      </c>
      <c r="I569" s="10">
        <v>12.5</v>
      </c>
      <c r="J569" s="14">
        <f>P569*I569</f>
        <v>12.5</v>
      </c>
      <c r="K569" s="16">
        <v>0.41</v>
      </c>
      <c r="L569" s="1" t="s">
        <v>30</v>
      </c>
      <c r="M569" t="s">
        <v>22</v>
      </c>
      <c r="N569" t="str">
        <f t="shared" si="11"/>
        <v>United Kingdom</v>
      </c>
      <c r="O569" s="8">
        <f>IF(K569&gt;=1,K569,K569*1000)</f>
        <v>410</v>
      </c>
      <c r="P569">
        <f>ABS(H569)</f>
        <v>1</v>
      </c>
      <c r="R569"/>
    </row>
    <row r="570" spans="1:18" x14ac:dyDescent="0.35">
      <c r="A570" t="s">
        <v>1255</v>
      </c>
      <c r="B570" s="2">
        <v>46186</v>
      </c>
      <c r="C570" t="s">
        <v>1256</v>
      </c>
      <c r="D570" s="3" t="s">
        <v>66</v>
      </c>
      <c r="E570" t="s">
        <v>16</v>
      </c>
      <c r="F570" t="s">
        <v>83</v>
      </c>
      <c r="G570" t="s">
        <v>84</v>
      </c>
      <c r="H570" s="8">
        <v>2</v>
      </c>
      <c r="I570" s="10">
        <v>71.099999999999994</v>
      </c>
      <c r="J570" s="14">
        <f>P570*I570</f>
        <v>142.19999999999999</v>
      </c>
      <c r="K570" s="16">
        <v>0.34</v>
      </c>
      <c r="L570" s="1" t="s">
        <v>30</v>
      </c>
      <c r="M570" t="s">
        <v>22</v>
      </c>
      <c r="N570" t="str">
        <f t="shared" si="11"/>
        <v>Gb</v>
      </c>
      <c r="O570" s="8">
        <f>IF(K570&gt;=1,K570,K570*1000)</f>
        <v>340</v>
      </c>
      <c r="P570">
        <f>ABS(H570)</f>
        <v>2</v>
      </c>
      <c r="R570"/>
    </row>
    <row r="571" spans="1:18" x14ac:dyDescent="0.35">
      <c r="A571" t="s">
        <v>1257</v>
      </c>
      <c r="B571" s="2">
        <v>46071</v>
      </c>
      <c r="C571" t="s">
        <v>1258</v>
      </c>
      <c r="D571" s="3" t="s">
        <v>53</v>
      </c>
      <c r="E571" t="s">
        <v>25</v>
      </c>
      <c r="F571" t="s">
        <v>74</v>
      </c>
      <c r="G571" t="s">
        <v>75</v>
      </c>
      <c r="H571" s="8">
        <v>1</v>
      </c>
      <c r="I571" s="10">
        <v>79</v>
      </c>
      <c r="J571" s="14">
        <f>P571*I571</f>
        <v>79</v>
      </c>
      <c r="K571" s="16">
        <v>410</v>
      </c>
      <c r="L571" s="1" t="s">
        <v>30</v>
      </c>
      <c r="M571" t="s">
        <v>22</v>
      </c>
      <c r="N571" t="str">
        <f t="shared" si="11"/>
        <v>Gb</v>
      </c>
      <c r="O571" s="8">
        <f>IF(K571&gt;=1,K571,K571*1000)</f>
        <v>410</v>
      </c>
      <c r="P571">
        <f>ABS(H571)</f>
        <v>1</v>
      </c>
      <c r="R571"/>
    </row>
    <row r="572" spans="1:18" x14ac:dyDescent="0.35">
      <c r="A572" t="s">
        <v>1259</v>
      </c>
      <c r="B572" s="2">
        <v>46146</v>
      </c>
      <c r="C572" t="s">
        <v>1260</v>
      </c>
      <c r="D572" s="3" t="s">
        <v>4613</v>
      </c>
      <c r="E572" t="s">
        <v>67</v>
      </c>
      <c r="F572" t="s">
        <v>17</v>
      </c>
      <c r="G572" t="s">
        <v>18</v>
      </c>
      <c r="H572" s="8">
        <v>1</v>
      </c>
      <c r="I572" s="12" t="s">
        <v>4624</v>
      </c>
      <c r="J572" s="14">
        <f>P572*R572</f>
        <v>24</v>
      </c>
      <c r="K572" s="16">
        <v>0.52</v>
      </c>
      <c r="L572" s="1" t="s">
        <v>30</v>
      </c>
      <c r="M572" t="s">
        <v>58</v>
      </c>
      <c r="N572" t="str">
        <f t="shared" si="11"/>
        <v>United Kingdom</v>
      </c>
      <c r="O572" s="8">
        <f>IF(K572&gt;=1,K572,K572*1000)</f>
        <v>520</v>
      </c>
      <c r="P572">
        <f>ABS(H572)</f>
        <v>1</v>
      </c>
      <c r="Q572" t="str">
        <f>LEFT(I572,2)</f>
        <v>Â£</v>
      </c>
      <c r="R572" t="str">
        <f>RIGHT(I572,5)</f>
        <v>24,00</v>
      </c>
    </row>
    <row r="573" spans="1:18" x14ac:dyDescent="0.35">
      <c r="A573" t="s">
        <v>1261</v>
      </c>
      <c r="B573" s="2">
        <v>46041</v>
      </c>
      <c r="C573" t="s">
        <v>790</v>
      </c>
      <c r="D573" s="3" t="s">
        <v>53</v>
      </c>
      <c r="E573" t="s">
        <v>41</v>
      </c>
      <c r="F573" t="s">
        <v>83</v>
      </c>
      <c r="G573" t="s">
        <v>84</v>
      </c>
      <c r="H573" s="8">
        <v>1</v>
      </c>
      <c r="I573" s="10">
        <v>21.6</v>
      </c>
      <c r="J573" s="14">
        <f>P573*I573</f>
        <v>21.6</v>
      </c>
      <c r="K573" s="16">
        <v>340</v>
      </c>
      <c r="L573" s="1" t="s">
        <v>30</v>
      </c>
      <c r="M573" t="s">
        <v>22</v>
      </c>
      <c r="N573" t="str">
        <f t="shared" si="11"/>
        <v>Gb</v>
      </c>
      <c r="O573" s="8">
        <f>IF(K573&gt;=1,K573,K573*1000)</f>
        <v>340</v>
      </c>
      <c r="P573">
        <f>ABS(H573)</f>
        <v>1</v>
      </c>
      <c r="R573"/>
    </row>
    <row r="574" spans="1:18" x14ac:dyDescent="0.35">
      <c r="A574" t="s">
        <v>1263</v>
      </c>
      <c r="B574" s="2">
        <v>46036</v>
      </c>
      <c r="C574" t="s">
        <v>1264</v>
      </c>
      <c r="D574" s="3" t="s">
        <v>4612</v>
      </c>
      <c r="E574" t="s">
        <v>67</v>
      </c>
      <c r="F574" t="s">
        <v>74</v>
      </c>
      <c r="G574" t="s">
        <v>75</v>
      </c>
      <c r="H574" s="8">
        <v>1</v>
      </c>
      <c r="I574" s="10">
        <v>95</v>
      </c>
      <c r="J574" s="14">
        <f>P574*I574</f>
        <v>95</v>
      </c>
      <c r="K574" s="16">
        <v>410</v>
      </c>
      <c r="L574" s="1" t="s">
        <v>30</v>
      </c>
      <c r="M574" t="s">
        <v>58</v>
      </c>
      <c r="N574" t="str">
        <f t="shared" si="11"/>
        <v>United Kingdom</v>
      </c>
      <c r="O574" s="8">
        <f>IF(K574&gt;=1,K574,K574*1000)</f>
        <v>410</v>
      </c>
      <c r="P574">
        <f>ABS(H574)</f>
        <v>1</v>
      </c>
      <c r="R574"/>
    </row>
    <row r="575" spans="1:18" x14ac:dyDescent="0.35">
      <c r="A575" t="s">
        <v>1265</v>
      </c>
      <c r="B575" s="2">
        <v>46113</v>
      </c>
      <c r="C575" t="s">
        <v>1266</v>
      </c>
      <c r="D575" s="3" t="s">
        <v>99</v>
      </c>
      <c r="E575" t="s">
        <v>16</v>
      </c>
      <c r="F575" t="s">
        <v>47</v>
      </c>
      <c r="G575" t="s">
        <v>48</v>
      </c>
      <c r="H575" s="8">
        <v>2</v>
      </c>
      <c r="I575" s="10">
        <v>80.099999999999994</v>
      </c>
      <c r="J575" s="14">
        <f>P575*I575</f>
        <v>160.19999999999999</v>
      </c>
      <c r="K575" s="16">
        <v>380</v>
      </c>
      <c r="L575" s="1" t="s">
        <v>30</v>
      </c>
      <c r="M575" t="s">
        <v>22</v>
      </c>
      <c r="N575" t="str">
        <f t="shared" si="11"/>
        <v>United Kingdom</v>
      </c>
      <c r="O575" s="8">
        <f>IF(K575&gt;=1,K575,K575*1000)</f>
        <v>380</v>
      </c>
      <c r="P575">
        <f>ABS(H575)</f>
        <v>2</v>
      </c>
      <c r="R575"/>
    </row>
    <row r="576" spans="1:18" x14ac:dyDescent="0.35">
      <c r="A576" t="s">
        <v>1267</v>
      </c>
      <c r="B576" s="2" t="s">
        <v>1268</v>
      </c>
      <c r="C576" t="s">
        <v>1269</v>
      </c>
      <c r="D576" s="3" t="s">
        <v>53</v>
      </c>
      <c r="E576" t="s">
        <v>25</v>
      </c>
      <c r="F576" t="s">
        <v>74</v>
      </c>
      <c r="G576" t="s">
        <v>75</v>
      </c>
      <c r="H576" s="8">
        <v>1</v>
      </c>
      <c r="I576" s="10">
        <v>149</v>
      </c>
      <c r="J576" s="14">
        <f>P576*I576</f>
        <v>149</v>
      </c>
      <c r="K576" s="16">
        <v>410</v>
      </c>
      <c r="L576" s="1" t="s">
        <v>30</v>
      </c>
      <c r="M576" t="s">
        <v>58</v>
      </c>
      <c r="N576" t="str">
        <f t="shared" si="11"/>
        <v>Gb</v>
      </c>
      <c r="O576" s="8">
        <f>IF(K576&gt;=1,K576,K576*1000)</f>
        <v>410</v>
      </c>
      <c r="P576">
        <f>ABS(H576)</f>
        <v>1</v>
      </c>
      <c r="R576"/>
    </row>
    <row r="577" spans="1:18" x14ac:dyDescent="0.35">
      <c r="A577" t="s">
        <v>1271</v>
      </c>
      <c r="B577" s="2">
        <v>46067</v>
      </c>
      <c r="C577" t="s">
        <v>1272</v>
      </c>
      <c r="D577" s="3" t="s">
        <v>53</v>
      </c>
      <c r="E577" t="s">
        <v>16</v>
      </c>
      <c r="F577" t="s">
        <v>89</v>
      </c>
      <c r="G577" t="s">
        <v>90</v>
      </c>
      <c r="H577" s="8">
        <v>2</v>
      </c>
      <c r="I577" s="10">
        <v>11.25</v>
      </c>
      <c r="J577" s="14">
        <f>P577*I577</f>
        <v>22.5</v>
      </c>
      <c r="K577" s="16">
        <v>640</v>
      </c>
      <c r="L577" s="1" t="s">
        <v>21</v>
      </c>
      <c r="M577" t="s">
        <v>22</v>
      </c>
      <c r="N577" t="str">
        <f t="shared" si="11"/>
        <v>Gb</v>
      </c>
      <c r="O577" s="8">
        <f>IF(K577&gt;=1,K577,K577*1000)</f>
        <v>640</v>
      </c>
      <c r="P577">
        <f>ABS(H577)</f>
        <v>2</v>
      </c>
      <c r="R577"/>
    </row>
    <row r="578" spans="1:18" x14ac:dyDescent="0.35">
      <c r="A578" t="s">
        <v>1273</v>
      </c>
      <c r="B578" s="2" t="s">
        <v>1274</v>
      </c>
      <c r="C578" t="s">
        <v>1275</v>
      </c>
      <c r="D578" s="3" t="s">
        <v>116</v>
      </c>
      <c r="E578" t="s">
        <v>25</v>
      </c>
      <c r="F578" t="s">
        <v>35</v>
      </c>
      <c r="G578" t="s">
        <v>36</v>
      </c>
      <c r="H578" s="8">
        <v>3</v>
      </c>
      <c r="I578" s="10">
        <v>149</v>
      </c>
      <c r="J578" s="14">
        <f>P578*I578</f>
        <v>447</v>
      </c>
      <c r="K578" s="16">
        <v>8.5000000000000006E-2</v>
      </c>
      <c r="L578" s="1" t="s">
        <v>30</v>
      </c>
      <c r="M578" t="s">
        <v>22</v>
      </c>
      <c r="N578" t="str">
        <f t="shared" si="11"/>
        <v>Germany</v>
      </c>
      <c r="O578" s="8">
        <f>IF(K578&gt;=1,K578,K578*1000)</f>
        <v>85</v>
      </c>
      <c r="P578">
        <f>ABS(H578)</f>
        <v>3</v>
      </c>
      <c r="R578"/>
    </row>
    <row r="579" spans="1:18" x14ac:dyDescent="0.35">
      <c r="A579" t="s">
        <v>1276</v>
      </c>
      <c r="B579" s="2">
        <v>46105</v>
      </c>
      <c r="C579" t="s">
        <v>1277</v>
      </c>
      <c r="D579" s="3" t="s">
        <v>99</v>
      </c>
      <c r="E579" t="s">
        <v>41</v>
      </c>
      <c r="F579" t="s">
        <v>17</v>
      </c>
      <c r="G579" t="s">
        <v>18</v>
      </c>
      <c r="H579" s="8">
        <v>1</v>
      </c>
      <c r="I579" s="10">
        <v>116.1</v>
      </c>
      <c r="J579" s="14">
        <f>P579*I579</f>
        <v>116.1</v>
      </c>
      <c r="K579" s="16">
        <v>520</v>
      </c>
      <c r="L579" s="1" t="s">
        <v>30</v>
      </c>
      <c r="M579" t="s">
        <v>58</v>
      </c>
      <c r="N579" t="str">
        <f t="shared" ref="N579:N642" si="12">PROPER(TRIM(D579))</f>
        <v>United Kingdom</v>
      </c>
      <c r="O579" s="8">
        <f>IF(K579&gt;=1,K579,K579*1000)</f>
        <v>520</v>
      </c>
      <c r="P579">
        <f>ABS(H579)</f>
        <v>1</v>
      </c>
      <c r="R579"/>
    </row>
    <row r="580" spans="1:18" x14ac:dyDescent="0.35">
      <c r="A580" t="s">
        <v>1278</v>
      </c>
      <c r="B580" s="2">
        <v>46197</v>
      </c>
      <c r="C580" t="s">
        <v>234</v>
      </c>
      <c r="D580" s="3" t="s">
        <v>116</v>
      </c>
      <c r="E580" t="s">
        <v>25</v>
      </c>
      <c r="F580" t="s">
        <v>42</v>
      </c>
      <c r="G580" t="s">
        <v>43</v>
      </c>
      <c r="H580" s="8">
        <v>1</v>
      </c>
      <c r="I580" s="12" t="s">
        <v>4631</v>
      </c>
      <c r="J580" s="14">
        <f>P580*R580</f>
        <v>79</v>
      </c>
      <c r="K580" s="16">
        <v>0.19</v>
      </c>
      <c r="L580" s="1" t="s">
        <v>30</v>
      </c>
      <c r="M580" t="s">
        <v>22</v>
      </c>
      <c r="N580" t="str">
        <f t="shared" si="12"/>
        <v>Germany</v>
      </c>
      <c r="O580" s="8">
        <f>IF(K580&gt;=1,K580,K580*1000)</f>
        <v>190</v>
      </c>
      <c r="P580">
        <f>ABS(H580)</f>
        <v>1</v>
      </c>
      <c r="Q580" t="str">
        <f>LEFT(I580,2)</f>
        <v>Â£</v>
      </c>
      <c r="R580" t="str">
        <f>RIGHT(I580,5)</f>
        <v>79,00</v>
      </c>
    </row>
    <row r="581" spans="1:18" x14ac:dyDescent="0.35">
      <c r="A581" t="s">
        <v>1279</v>
      </c>
      <c r="B581" s="2">
        <v>46045</v>
      </c>
      <c r="C581" t="s">
        <v>1280</v>
      </c>
      <c r="D581" s="3" t="s">
        <v>66</v>
      </c>
      <c r="E581" t="s">
        <v>67</v>
      </c>
      <c r="F581" t="s">
        <v>89</v>
      </c>
      <c r="G581" t="s">
        <v>90</v>
      </c>
      <c r="H581" s="8">
        <v>2</v>
      </c>
      <c r="I581" s="10">
        <v>89</v>
      </c>
      <c r="J581" s="14">
        <f>P581*I581</f>
        <v>178</v>
      </c>
      <c r="K581" s="16">
        <v>640</v>
      </c>
      <c r="L581" s="1" t="s">
        <v>21</v>
      </c>
      <c r="M581" t="s">
        <v>22</v>
      </c>
      <c r="N581" t="str">
        <f t="shared" si="12"/>
        <v>Gb</v>
      </c>
      <c r="O581" s="8">
        <f>IF(K581&gt;=1,K581,K581*1000)</f>
        <v>640</v>
      </c>
      <c r="P581">
        <f>ABS(H581)</f>
        <v>2</v>
      </c>
      <c r="R581"/>
    </row>
    <row r="582" spans="1:18" x14ac:dyDescent="0.35">
      <c r="A582" t="s">
        <v>1281</v>
      </c>
      <c r="B582" s="2">
        <v>46069</v>
      </c>
      <c r="C582" t="s">
        <v>555</v>
      </c>
      <c r="D582" s="3" t="s">
        <v>53</v>
      </c>
      <c r="E582" t="s">
        <v>25</v>
      </c>
      <c r="F582" t="s">
        <v>35</v>
      </c>
      <c r="G582" t="s">
        <v>36</v>
      </c>
      <c r="H582" s="8">
        <v>2</v>
      </c>
      <c r="I582" s="12" t="s">
        <v>4642</v>
      </c>
      <c r="J582" s="14">
        <f>P582*R582</f>
        <v>43.2</v>
      </c>
      <c r="K582" s="16">
        <v>85</v>
      </c>
      <c r="L582" s="1" t="s">
        <v>21</v>
      </c>
      <c r="M582" t="s">
        <v>22</v>
      </c>
      <c r="N582" t="str">
        <f t="shared" si="12"/>
        <v>Gb</v>
      </c>
      <c r="O582" s="8">
        <f>IF(K582&gt;=1,K582,K582*1000)</f>
        <v>85</v>
      </c>
      <c r="P582">
        <f>ABS(H582)</f>
        <v>2</v>
      </c>
      <c r="Q582" t="str">
        <f>LEFT(I582,3)</f>
        <v>GBP</v>
      </c>
      <c r="R582" s="10" t="str">
        <f>RIGHT(I582,5)</f>
        <v>21,60</v>
      </c>
    </row>
    <row r="583" spans="1:18" x14ac:dyDescent="0.35">
      <c r="A583" t="s">
        <v>1283</v>
      </c>
      <c r="B583" s="2">
        <v>46064</v>
      </c>
      <c r="C583" t="s">
        <v>139</v>
      </c>
      <c r="D583" s="3" t="s">
        <v>116</v>
      </c>
      <c r="E583" t="s">
        <v>25</v>
      </c>
      <c r="F583" t="s">
        <v>42</v>
      </c>
      <c r="G583" t="s">
        <v>43</v>
      </c>
      <c r="H583" s="8">
        <v>2</v>
      </c>
      <c r="I583" s="10">
        <v>24</v>
      </c>
      <c r="J583" s="14">
        <f>P583*I583</f>
        <v>48</v>
      </c>
      <c r="K583" s="16">
        <v>190</v>
      </c>
      <c r="L583" s="1" t="s">
        <v>30</v>
      </c>
      <c r="M583" t="s">
        <v>58</v>
      </c>
      <c r="N583" t="str">
        <f t="shared" si="12"/>
        <v>Germany</v>
      </c>
      <c r="O583" s="8">
        <f>IF(K583&gt;=1,K583,K583*1000)</f>
        <v>190</v>
      </c>
      <c r="P583">
        <f>ABS(H583)</f>
        <v>2</v>
      </c>
      <c r="R583"/>
    </row>
    <row r="584" spans="1:18" x14ac:dyDescent="0.35">
      <c r="A584" t="s">
        <v>1284</v>
      </c>
      <c r="B584" s="2">
        <v>46081</v>
      </c>
      <c r="C584" t="s">
        <v>1285</v>
      </c>
      <c r="D584" s="3" t="s">
        <v>4613</v>
      </c>
      <c r="E584" t="s">
        <v>41</v>
      </c>
      <c r="F584" t="s">
        <v>17</v>
      </c>
      <c r="G584" t="s">
        <v>18</v>
      </c>
      <c r="H584" s="8">
        <v>2</v>
      </c>
      <c r="I584" s="12" t="s">
        <v>4632</v>
      </c>
      <c r="J584" s="14">
        <f>P584*R584</f>
        <v>178</v>
      </c>
      <c r="K584" s="16">
        <v>520</v>
      </c>
      <c r="L584" s="1" t="s">
        <v>30</v>
      </c>
      <c r="M584" t="s">
        <v>58</v>
      </c>
      <c r="N584" t="str">
        <f t="shared" si="12"/>
        <v>United Kingdom</v>
      </c>
      <c r="O584" s="8">
        <f>IF(K584&gt;=1,K584,K584*1000)</f>
        <v>520</v>
      </c>
      <c r="P584">
        <f>ABS(H584)</f>
        <v>2</v>
      </c>
      <c r="Q584" t="str">
        <f>LEFT(I584,3)</f>
        <v>GBP</v>
      </c>
      <c r="R584" s="10" t="str">
        <f>RIGHT(I584,5)</f>
        <v>89,00</v>
      </c>
    </row>
    <row r="585" spans="1:18" x14ac:dyDescent="0.35">
      <c r="A585" t="s">
        <v>1286</v>
      </c>
      <c r="B585" s="2">
        <v>46134</v>
      </c>
      <c r="C585" t="s">
        <v>1287</v>
      </c>
      <c r="D585" s="3" t="s">
        <v>4612</v>
      </c>
      <c r="E585" t="s">
        <v>16</v>
      </c>
      <c r="F585" t="s">
        <v>35</v>
      </c>
      <c r="G585" t="s">
        <v>36</v>
      </c>
      <c r="H585" s="8">
        <v>2</v>
      </c>
      <c r="I585" s="10">
        <v>95</v>
      </c>
      <c r="J585" s="14">
        <f>P585*I585</f>
        <v>190</v>
      </c>
      <c r="K585" s="16">
        <v>8.5000000000000006E-2</v>
      </c>
      <c r="L585" s="1" t="s">
        <v>30</v>
      </c>
      <c r="M585" t="s">
        <v>22</v>
      </c>
      <c r="N585" t="str">
        <f t="shared" si="12"/>
        <v>United Kingdom</v>
      </c>
      <c r="O585" s="8">
        <f>IF(K585&gt;=1,K585,K585*1000)</f>
        <v>85</v>
      </c>
      <c r="P585">
        <f>ABS(H585)</f>
        <v>2</v>
      </c>
      <c r="R585"/>
    </row>
    <row r="586" spans="1:18" x14ac:dyDescent="0.35">
      <c r="A586" t="s">
        <v>1288</v>
      </c>
      <c r="B586" s="2">
        <v>46092</v>
      </c>
      <c r="C586" t="s">
        <v>1289</v>
      </c>
      <c r="D586" s="3" t="s">
        <v>99</v>
      </c>
      <c r="E586" t="s">
        <v>67</v>
      </c>
      <c r="F586" t="s">
        <v>83</v>
      </c>
      <c r="G586" t="s">
        <v>84</v>
      </c>
      <c r="H586" s="8">
        <v>1</v>
      </c>
      <c r="I586" s="10">
        <v>95</v>
      </c>
      <c r="J586" s="14">
        <f>P586*I586</f>
        <v>95</v>
      </c>
      <c r="K586" s="16">
        <v>340</v>
      </c>
      <c r="L586" s="1" t="s">
        <v>30</v>
      </c>
      <c r="M586" t="s">
        <v>22</v>
      </c>
      <c r="N586" t="str">
        <f t="shared" si="12"/>
        <v>United Kingdom</v>
      </c>
      <c r="O586" s="8">
        <f>IF(K586&gt;=1,K586,K586*1000)</f>
        <v>340</v>
      </c>
      <c r="P586">
        <f>ABS(H586)</f>
        <v>1</v>
      </c>
      <c r="R586"/>
    </row>
    <row r="587" spans="1:18" x14ac:dyDescent="0.35">
      <c r="A587" t="s">
        <v>1290</v>
      </c>
      <c r="B587" s="2" t="s">
        <v>1291</v>
      </c>
      <c r="C587" t="s">
        <v>1292</v>
      </c>
      <c r="D587" s="3" t="s">
        <v>66</v>
      </c>
      <c r="E587" t="s">
        <v>41</v>
      </c>
      <c r="F587" t="s">
        <v>74</v>
      </c>
      <c r="G587" t="s">
        <v>75</v>
      </c>
      <c r="H587" s="8">
        <v>3</v>
      </c>
      <c r="I587" s="10">
        <v>79</v>
      </c>
      <c r="J587" s="14">
        <f>P587*I587</f>
        <v>237</v>
      </c>
      <c r="K587" s="16">
        <v>0.41</v>
      </c>
      <c r="L587" s="1" t="s">
        <v>30</v>
      </c>
      <c r="M587" t="s">
        <v>22</v>
      </c>
      <c r="N587" t="str">
        <f t="shared" si="12"/>
        <v>Gb</v>
      </c>
      <c r="O587" s="8">
        <f>IF(K587&gt;=1,K587,K587*1000)</f>
        <v>410</v>
      </c>
      <c r="P587">
        <f>ABS(H587)</f>
        <v>3</v>
      </c>
      <c r="R587"/>
    </row>
    <row r="588" spans="1:18" x14ac:dyDescent="0.35">
      <c r="A588" t="s">
        <v>1293</v>
      </c>
      <c r="B588" s="2" t="s">
        <v>1294</v>
      </c>
      <c r="C588" t="s">
        <v>1260</v>
      </c>
      <c r="D588" s="3" t="s">
        <v>116</v>
      </c>
      <c r="E588" t="s">
        <v>34</v>
      </c>
      <c r="F588" t="s">
        <v>42</v>
      </c>
      <c r="G588" t="s">
        <v>43</v>
      </c>
      <c r="H588" s="8">
        <v>2</v>
      </c>
      <c r="I588" s="10">
        <v>40.5</v>
      </c>
      <c r="J588" s="14">
        <f>P588*I588</f>
        <v>81</v>
      </c>
      <c r="K588" s="16">
        <v>0.19</v>
      </c>
      <c r="L588" s="1" t="s">
        <v>30</v>
      </c>
      <c r="M588" t="s">
        <v>22</v>
      </c>
      <c r="N588" t="str">
        <f t="shared" si="12"/>
        <v>Germany</v>
      </c>
      <c r="O588" s="8">
        <f>IF(K588&gt;=1,K588,K588*1000)</f>
        <v>190</v>
      </c>
      <c r="P588">
        <f>ABS(H588)</f>
        <v>2</v>
      </c>
      <c r="R588"/>
    </row>
    <row r="589" spans="1:18" x14ac:dyDescent="0.35">
      <c r="A589" t="s">
        <v>1295</v>
      </c>
      <c r="B589" s="2">
        <v>46192</v>
      </c>
      <c r="C589" t="s">
        <v>1296</v>
      </c>
      <c r="D589" s="3" t="s">
        <v>15</v>
      </c>
      <c r="E589" t="s">
        <v>34</v>
      </c>
      <c r="F589" t="s">
        <v>83</v>
      </c>
      <c r="G589" t="s">
        <v>84</v>
      </c>
      <c r="H589" s="8">
        <v>3</v>
      </c>
      <c r="I589" s="10">
        <v>149</v>
      </c>
      <c r="J589" s="14">
        <f>P589*I589</f>
        <v>447</v>
      </c>
      <c r="K589" s="16">
        <v>0.34</v>
      </c>
      <c r="L589" s="1" t="s">
        <v>21</v>
      </c>
      <c r="M589" t="s">
        <v>22</v>
      </c>
      <c r="N589" t="str">
        <f t="shared" si="12"/>
        <v>France</v>
      </c>
      <c r="O589" s="8">
        <f>IF(K589&gt;=1,K589,K589*1000)</f>
        <v>340</v>
      </c>
      <c r="P589">
        <f>ABS(H589)</f>
        <v>3</v>
      </c>
      <c r="R589"/>
    </row>
    <row r="590" spans="1:18" x14ac:dyDescent="0.35">
      <c r="A590" t="s">
        <v>1297</v>
      </c>
      <c r="B590" s="2">
        <v>46140</v>
      </c>
      <c r="C590" t="s">
        <v>1298</v>
      </c>
      <c r="D590" s="3" t="s">
        <v>4613</v>
      </c>
      <c r="E590" t="s">
        <v>67</v>
      </c>
      <c r="F590" t="s">
        <v>35</v>
      </c>
      <c r="G590" t="s">
        <v>36</v>
      </c>
      <c r="H590" s="8">
        <v>3</v>
      </c>
      <c r="I590" s="10">
        <v>79</v>
      </c>
      <c r="J590" s="14">
        <f>P590*I590</f>
        <v>237</v>
      </c>
      <c r="K590" s="16">
        <v>8.5000000000000006E-2</v>
      </c>
      <c r="L590" s="1" t="s">
        <v>30</v>
      </c>
      <c r="M590" t="s">
        <v>22</v>
      </c>
      <c r="N590" t="str">
        <f t="shared" si="12"/>
        <v>United Kingdom</v>
      </c>
      <c r="O590" s="8">
        <f>IF(K590&gt;=1,K590,K590*1000)</f>
        <v>85</v>
      </c>
      <c r="P590">
        <f>ABS(H590)</f>
        <v>3</v>
      </c>
      <c r="R590"/>
    </row>
    <row r="591" spans="1:18" x14ac:dyDescent="0.35">
      <c r="A591" t="s">
        <v>1299</v>
      </c>
      <c r="B591" s="2">
        <v>46082</v>
      </c>
      <c r="C591" t="s">
        <v>1300</v>
      </c>
      <c r="D591" s="3" t="s">
        <v>99</v>
      </c>
      <c r="E591" t="s">
        <v>25</v>
      </c>
      <c r="F591" t="s">
        <v>89</v>
      </c>
      <c r="G591" t="s">
        <v>90</v>
      </c>
      <c r="H591" s="8">
        <v>3</v>
      </c>
      <c r="I591" s="10">
        <v>11.25</v>
      </c>
      <c r="J591" s="14">
        <f>P591*I591</f>
        <v>33.75</v>
      </c>
      <c r="K591" s="16">
        <v>640</v>
      </c>
      <c r="L591" s="1" t="s">
        <v>30</v>
      </c>
      <c r="M591" t="s">
        <v>58</v>
      </c>
      <c r="N591" t="str">
        <f t="shared" si="12"/>
        <v>United Kingdom</v>
      </c>
      <c r="O591" s="8">
        <f>IF(K591&gt;=1,K591,K591*1000)</f>
        <v>640</v>
      </c>
      <c r="P591">
        <f>ABS(H591)</f>
        <v>3</v>
      </c>
      <c r="R591"/>
    </row>
    <row r="592" spans="1:18" x14ac:dyDescent="0.35">
      <c r="A592" t="s">
        <v>1301</v>
      </c>
      <c r="B592" s="2">
        <v>46058</v>
      </c>
      <c r="C592" t="s">
        <v>1302</v>
      </c>
      <c r="D592" s="3" t="s">
        <v>4612</v>
      </c>
      <c r="E592" t="s">
        <v>34</v>
      </c>
      <c r="F592" t="s">
        <v>42</v>
      </c>
      <c r="G592" t="s">
        <v>43</v>
      </c>
      <c r="H592" s="8">
        <v>3</v>
      </c>
      <c r="I592" s="10">
        <v>79</v>
      </c>
      <c r="J592" s="14">
        <f>P592*I592</f>
        <v>237</v>
      </c>
      <c r="K592" s="16">
        <v>190</v>
      </c>
      <c r="L592" s="1" t="s">
        <v>30</v>
      </c>
      <c r="M592" t="s">
        <v>58</v>
      </c>
      <c r="N592" t="str">
        <f t="shared" si="12"/>
        <v>United Kingdom</v>
      </c>
      <c r="O592" s="8">
        <f>IF(K592&gt;=1,K592,K592*1000)</f>
        <v>190</v>
      </c>
      <c r="P592">
        <f>ABS(H592)</f>
        <v>3</v>
      </c>
      <c r="R592"/>
    </row>
    <row r="593" spans="1:18" x14ac:dyDescent="0.35">
      <c r="A593" t="s">
        <v>1303</v>
      </c>
      <c r="B593" s="2">
        <v>46173</v>
      </c>
      <c r="C593" t="s">
        <v>199</v>
      </c>
      <c r="D593" s="3" t="s">
        <v>4613</v>
      </c>
      <c r="E593" t="s">
        <v>16</v>
      </c>
      <c r="F593" t="s">
        <v>42</v>
      </c>
      <c r="G593" t="s">
        <v>43</v>
      </c>
      <c r="H593" s="8">
        <v>2</v>
      </c>
      <c r="I593" s="10">
        <v>116.1</v>
      </c>
      <c r="J593" s="14">
        <f>P593*I593</f>
        <v>232.2</v>
      </c>
      <c r="K593" s="16">
        <v>0.19</v>
      </c>
      <c r="L593" s="1" t="s">
        <v>30</v>
      </c>
      <c r="M593" t="s">
        <v>22</v>
      </c>
      <c r="N593" t="str">
        <f t="shared" si="12"/>
        <v>United Kingdom</v>
      </c>
      <c r="O593" s="8">
        <f>IF(K593&gt;=1,K593,K593*1000)</f>
        <v>190</v>
      </c>
      <c r="P593">
        <f>ABS(H593)</f>
        <v>2</v>
      </c>
      <c r="R593"/>
    </row>
    <row r="594" spans="1:18" x14ac:dyDescent="0.35">
      <c r="A594" t="s">
        <v>1304</v>
      </c>
      <c r="B594" s="2">
        <v>46047</v>
      </c>
      <c r="C594" t="s">
        <v>1305</v>
      </c>
      <c r="D594" s="3" t="s">
        <v>99</v>
      </c>
      <c r="E594" t="s">
        <v>67</v>
      </c>
      <c r="F594" t="s">
        <v>35</v>
      </c>
      <c r="G594" t="s">
        <v>36</v>
      </c>
      <c r="H594" s="8">
        <v>1</v>
      </c>
      <c r="I594" s="10">
        <v>89</v>
      </c>
      <c r="J594" s="14">
        <f>P594*I594</f>
        <v>89</v>
      </c>
      <c r="K594" s="16">
        <v>85</v>
      </c>
      <c r="L594" s="1" t="s">
        <v>30</v>
      </c>
      <c r="M594" t="s">
        <v>58</v>
      </c>
      <c r="N594" t="str">
        <f t="shared" si="12"/>
        <v>United Kingdom</v>
      </c>
      <c r="O594" s="8">
        <f>IF(K594&gt;=1,K594,K594*1000)</f>
        <v>85</v>
      </c>
      <c r="P594">
        <f>ABS(H594)</f>
        <v>1</v>
      </c>
      <c r="R594"/>
    </row>
    <row r="595" spans="1:18" x14ac:dyDescent="0.35">
      <c r="A595" t="s">
        <v>1306</v>
      </c>
      <c r="B595" s="2">
        <v>46063</v>
      </c>
      <c r="C595" t="s">
        <v>923</v>
      </c>
      <c r="D595" s="3" t="s">
        <v>4613</v>
      </c>
      <c r="E595" t="s">
        <v>41</v>
      </c>
      <c r="F595" t="s">
        <v>35</v>
      </c>
      <c r="G595" t="s">
        <v>36</v>
      </c>
      <c r="H595" s="8">
        <v>2</v>
      </c>
      <c r="I595" s="10">
        <v>79</v>
      </c>
      <c r="J595" s="14">
        <f>P595*I595</f>
        <v>158</v>
      </c>
      <c r="K595" s="16">
        <v>85</v>
      </c>
      <c r="L595" s="1" t="s">
        <v>30</v>
      </c>
      <c r="M595" t="s">
        <v>22</v>
      </c>
      <c r="N595" t="str">
        <f t="shared" si="12"/>
        <v>United Kingdom</v>
      </c>
      <c r="O595" s="8">
        <f>IF(K595&gt;=1,K595,K595*1000)</f>
        <v>85</v>
      </c>
      <c r="P595">
        <f>ABS(H595)</f>
        <v>2</v>
      </c>
      <c r="R595"/>
    </row>
    <row r="596" spans="1:18" x14ac:dyDescent="0.35">
      <c r="A596" t="s">
        <v>1307</v>
      </c>
      <c r="B596" s="2">
        <v>46203</v>
      </c>
      <c r="C596" t="s">
        <v>870</v>
      </c>
      <c r="D596" s="3" t="s">
        <v>46</v>
      </c>
      <c r="E596" t="s">
        <v>25</v>
      </c>
      <c r="F596" t="s">
        <v>42</v>
      </c>
      <c r="G596" t="s">
        <v>43</v>
      </c>
      <c r="H596" s="8">
        <v>1</v>
      </c>
      <c r="I596" s="12" t="s">
        <v>4632</v>
      </c>
      <c r="J596" s="14">
        <f>P596*R596</f>
        <v>89</v>
      </c>
      <c r="K596" s="16">
        <v>0.19</v>
      </c>
      <c r="L596" s="1" t="s">
        <v>30</v>
      </c>
      <c r="M596" t="s">
        <v>58</v>
      </c>
      <c r="N596" t="str">
        <f t="shared" si="12"/>
        <v>Ireland</v>
      </c>
      <c r="O596" s="8">
        <f>IF(K596&gt;=1,K596,K596*1000)</f>
        <v>190</v>
      </c>
      <c r="P596">
        <f>ABS(H596)</f>
        <v>1</v>
      </c>
      <c r="Q596" t="str">
        <f>LEFT(I596,3)</f>
        <v>GBP</v>
      </c>
      <c r="R596" s="10" t="str">
        <f>RIGHT(I596,5)</f>
        <v>89,00</v>
      </c>
    </row>
    <row r="597" spans="1:18" x14ac:dyDescent="0.35">
      <c r="A597" t="s">
        <v>1308</v>
      </c>
      <c r="B597" s="2">
        <v>46047</v>
      </c>
      <c r="C597" t="s">
        <v>1305</v>
      </c>
      <c r="D597" s="3" t="s">
        <v>116</v>
      </c>
      <c r="E597" t="s">
        <v>67</v>
      </c>
      <c r="F597" t="s">
        <v>83</v>
      </c>
      <c r="G597" t="s">
        <v>84</v>
      </c>
      <c r="H597" s="8">
        <v>3</v>
      </c>
      <c r="I597" s="10">
        <v>134.1</v>
      </c>
      <c r="J597" s="14">
        <f>P597*I597</f>
        <v>402.29999999999995</v>
      </c>
      <c r="K597" s="16">
        <v>340</v>
      </c>
      <c r="L597" s="1" t="s">
        <v>30</v>
      </c>
      <c r="M597" t="s">
        <v>58</v>
      </c>
      <c r="N597" t="str">
        <f t="shared" si="12"/>
        <v>Germany</v>
      </c>
      <c r="O597" s="8">
        <f>IF(K597&gt;=1,K597,K597*1000)</f>
        <v>340</v>
      </c>
      <c r="P597">
        <f>ABS(H597)</f>
        <v>3</v>
      </c>
      <c r="R597"/>
    </row>
    <row r="598" spans="1:18" x14ac:dyDescent="0.35">
      <c r="A598" t="s">
        <v>1309</v>
      </c>
      <c r="B598" s="2" t="s">
        <v>259</v>
      </c>
      <c r="C598" t="s">
        <v>1310</v>
      </c>
      <c r="D598" s="3" t="s">
        <v>99</v>
      </c>
      <c r="E598" t="s">
        <v>25</v>
      </c>
      <c r="F598" t="s">
        <v>83</v>
      </c>
      <c r="G598" t="s">
        <v>84</v>
      </c>
      <c r="H598" s="8">
        <v>2</v>
      </c>
      <c r="I598" s="10">
        <v>45</v>
      </c>
      <c r="J598" s="14">
        <f>P598*I598</f>
        <v>90</v>
      </c>
      <c r="K598" s="16">
        <v>0.34</v>
      </c>
      <c r="L598" s="1" t="s">
        <v>21</v>
      </c>
      <c r="M598" t="s">
        <v>22</v>
      </c>
      <c r="N598" t="str">
        <f t="shared" si="12"/>
        <v>United Kingdom</v>
      </c>
      <c r="O598" s="8">
        <f>IF(K598&gt;=1,K598,K598*1000)</f>
        <v>340</v>
      </c>
      <c r="P598">
        <f>ABS(H598)</f>
        <v>2</v>
      </c>
      <c r="R598"/>
    </row>
    <row r="599" spans="1:18" x14ac:dyDescent="0.35">
      <c r="A599" t="s">
        <v>1311</v>
      </c>
      <c r="B599" s="2">
        <v>46093</v>
      </c>
      <c r="C599" t="s">
        <v>1312</v>
      </c>
      <c r="D599" s="3" t="s">
        <v>4612</v>
      </c>
      <c r="E599" t="s">
        <v>67</v>
      </c>
      <c r="F599" t="s">
        <v>26</v>
      </c>
      <c r="G599" t="s">
        <v>27</v>
      </c>
      <c r="H599" s="8">
        <v>2</v>
      </c>
      <c r="I599" s="10">
        <v>24</v>
      </c>
      <c r="J599" s="14">
        <f>P599*I599</f>
        <v>48</v>
      </c>
      <c r="K599" s="16">
        <v>520</v>
      </c>
      <c r="L599" s="1" t="s">
        <v>30</v>
      </c>
      <c r="M599" t="s">
        <v>22</v>
      </c>
      <c r="N599" t="str">
        <f t="shared" si="12"/>
        <v>United Kingdom</v>
      </c>
      <c r="O599" s="8">
        <f>IF(K599&gt;=1,K599,K599*1000)</f>
        <v>520</v>
      </c>
      <c r="P599">
        <f>ABS(H599)</f>
        <v>2</v>
      </c>
      <c r="R599"/>
    </row>
    <row r="600" spans="1:18" x14ac:dyDescent="0.35">
      <c r="A600" t="s">
        <v>1313</v>
      </c>
      <c r="B600" s="2">
        <v>46114</v>
      </c>
      <c r="C600" t="s">
        <v>1314</v>
      </c>
      <c r="D600" s="3" t="s">
        <v>99</v>
      </c>
      <c r="E600" t="s">
        <v>41</v>
      </c>
      <c r="F600" t="s">
        <v>74</v>
      </c>
      <c r="G600" t="s">
        <v>75</v>
      </c>
      <c r="H600" s="8">
        <v>1</v>
      </c>
      <c r="I600" s="10">
        <v>40.5</v>
      </c>
      <c r="J600" s="14">
        <f>P600*I600</f>
        <v>40.5</v>
      </c>
      <c r="K600" s="16">
        <v>410</v>
      </c>
      <c r="L600" s="1" t="s">
        <v>30</v>
      </c>
      <c r="M600" t="s">
        <v>22</v>
      </c>
      <c r="N600" t="str">
        <f t="shared" si="12"/>
        <v>United Kingdom</v>
      </c>
      <c r="O600" s="8">
        <f>IF(K600&gt;=1,K600,K600*1000)</f>
        <v>410</v>
      </c>
      <c r="P600">
        <f>ABS(H600)</f>
        <v>1</v>
      </c>
      <c r="R600"/>
    </row>
    <row r="601" spans="1:18" x14ac:dyDescent="0.35">
      <c r="A601" t="s">
        <v>1315</v>
      </c>
      <c r="B601" s="2">
        <v>46329</v>
      </c>
      <c r="C601" t="s">
        <v>1122</v>
      </c>
      <c r="D601" s="3" t="s">
        <v>99</v>
      </c>
      <c r="E601" t="s">
        <v>16</v>
      </c>
      <c r="F601" t="s">
        <v>74</v>
      </c>
      <c r="G601" t="s">
        <v>75</v>
      </c>
      <c r="H601" s="8">
        <v>2</v>
      </c>
      <c r="I601" s="10">
        <v>149</v>
      </c>
      <c r="J601" s="14">
        <f>P601*I601</f>
        <v>298</v>
      </c>
      <c r="K601" s="16">
        <v>410</v>
      </c>
      <c r="L601" s="1" t="s">
        <v>21</v>
      </c>
      <c r="M601" t="s">
        <v>22</v>
      </c>
      <c r="N601" t="str">
        <f t="shared" si="12"/>
        <v>United Kingdom</v>
      </c>
      <c r="O601" s="8">
        <f>IF(K601&gt;=1,K601,K601*1000)</f>
        <v>410</v>
      </c>
      <c r="P601">
        <f>ABS(H601)</f>
        <v>2</v>
      </c>
      <c r="R601"/>
    </row>
    <row r="602" spans="1:18" x14ac:dyDescent="0.35">
      <c r="A602" t="s">
        <v>1316</v>
      </c>
      <c r="B602" s="2">
        <v>46033</v>
      </c>
      <c r="C602" t="s">
        <v>1317</v>
      </c>
      <c r="D602" s="3" t="s">
        <v>4612</v>
      </c>
      <c r="E602" t="s">
        <v>41</v>
      </c>
      <c r="F602" t="s">
        <v>74</v>
      </c>
      <c r="G602" t="s">
        <v>75</v>
      </c>
      <c r="H602" s="8">
        <v>2</v>
      </c>
      <c r="I602" s="10">
        <v>21.6</v>
      </c>
      <c r="J602" s="14">
        <f>P602*I602</f>
        <v>43.2</v>
      </c>
      <c r="K602" s="16">
        <v>410</v>
      </c>
      <c r="L602" s="1" t="s">
        <v>30</v>
      </c>
      <c r="M602" t="s">
        <v>22</v>
      </c>
      <c r="N602" t="str">
        <f t="shared" si="12"/>
        <v>United Kingdom</v>
      </c>
      <c r="O602" s="8">
        <f>IF(K602&gt;=1,K602,K602*1000)</f>
        <v>410</v>
      </c>
      <c r="P602">
        <f>ABS(H602)</f>
        <v>2</v>
      </c>
      <c r="R602"/>
    </row>
    <row r="603" spans="1:18" x14ac:dyDescent="0.35">
      <c r="A603" t="s">
        <v>1318</v>
      </c>
      <c r="B603" s="2">
        <v>46197</v>
      </c>
      <c r="C603" t="s">
        <v>1319</v>
      </c>
      <c r="D603" s="3" t="s">
        <v>61</v>
      </c>
      <c r="E603" t="s">
        <v>34</v>
      </c>
      <c r="F603" t="s">
        <v>42</v>
      </c>
      <c r="G603" t="s">
        <v>43</v>
      </c>
      <c r="H603" s="8">
        <v>2</v>
      </c>
      <c r="I603" s="10">
        <v>116.1</v>
      </c>
      <c r="J603" s="14">
        <f>P603*I603</f>
        <v>232.2</v>
      </c>
      <c r="K603" s="16">
        <v>0.19</v>
      </c>
      <c r="L603" s="1" t="s">
        <v>30</v>
      </c>
      <c r="M603" t="s">
        <v>22</v>
      </c>
      <c r="N603" t="str">
        <f t="shared" si="12"/>
        <v>Ireland</v>
      </c>
      <c r="O603" s="8">
        <f>IF(K603&gt;=1,K603,K603*1000)</f>
        <v>190</v>
      </c>
      <c r="P603">
        <f>ABS(H603)</f>
        <v>2</v>
      </c>
      <c r="R603"/>
    </row>
    <row r="604" spans="1:18" x14ac:dyDescent="0.35">
      <c r="A604" t="s">
        <v>1320</v>
      </c>
      <c r="B604" s="2">
        <v>46054</v>
      </c>
      <c r="C604" t="s">
        <v>1321</v>
      </c>
      <c r="D604" s="3" t="s">
        <v>53</v>
      </c>
      <c r="E604" t="s">
        <v>34</v>
      </c>
      <c r="F604" t="s">
        <v>89</v>
      </c>
      <c r="G604" t="s">
        <v>90</v>
      </c>
      <c r="H604" s="8">
        <v>-1</v>
      </c>
      <c r="I604" s="10">
        <v>11.25</v>
      </c>
      <c r="J604" s="14">
        <f>P604*I604</f>
        <v>11.25</v>
      </c>
      <c r="K604" s="16">
        <v>640</v>
      </c>
      <c r="L604" s="1" t="s">
        <v>30</v>
      </c>
      <c r="M604" t="s">
        <v>22</v>
      </c>
      <c r="N604" t="str">
        <f t="shared" si="12"/>
        <v>Gb</v>
      </c>
      <c r="O604" s="8">
        <f>IF(K604&gt;=1,K604,K604*1000)</f>
        <v>640</v>
      </c>
      <c r="P604">
        <f>ABS(H604)</f>
        <v>1</v>
      </c>
      <c r="R604"/>
    </row>
    <row r="605" spans="1:18" x14ac:dyDescent="0.35">
      <c r="A605" t="s">
        <v>1323</v>
      </c>
      <c r="B605" s="2">
        <v>46035</v>
      </c>
      <c r="C605" t="s">
        <v>1324</v>
      </c>
      <c r="D605" s="3" t="s">
        <v>66</v>
      </c>
      <c r="E605" t="s">
        <v>16</v>
      </c>
      <c r="F605" t="s">
        <v>35</v>
      </c>
      <c r="G605" t="s">
        <v>36</v>
      </c>
      <c r="H605" s="8">
        <v>2</v>
      </c>
      <c r="I605" s="10">
        <v>129</v>
      </c>
      <c r="J605" s="14">
        <f>P605*I605</f>
        <v>258</v>
      </c>
      <c r="K605" s="16">
        <v>85</v>
      </c>
      <c r="L605" s="1" t="s">
        <v>30</v>
      </c>
      <c r="M605" t="s">
        <v>22</v>
      </c>
      <c r="N605" t="str">
        <f t="shared" si="12"/>
        <v>Gb</v>
      </c>
      <c r="O605" s="8">
        <f>IF(K605&gt;=1,K605,K605*1000)</f>
        <v>85</v>
      </c>
      <c r="P605">
        <f>ABS(H605)</f>
        <v>2</v>
      </c>
      <c r="R605"/>
    </row>
    <row r="606" spans="1:18" x14ac:dyDescent="0.35">
      <c r="A606" t="s">
        <v>1325</v>
      </c>
      <c r="B606" s="2">
        <v>46202</v>
      </c>
      <c r="C606" t="s">
        <v>1189</v>
      </c>
      <c r="D606" s="3" t="s">
        <v>46</v>
      </c>
      <c r="E606" t="s">
        <v>16</v>
      </c>
      <c r="F606" t="s">
        <v>83</v>
      </c>
      <c r="G606" t="s">
        <v>84</v>
      </c>
      <c r="H606" s="8">
        <v>2</v>
      </c>
      <c r="I606" s="10">
        <v>45</v>
      </c>
      <c r="J606" s="14">
        <f>P606*I606</f>
        <v>90</v>
      </c>
      <c r="K606" s="16">
        <v>0.34</v>
      </c>
      <c r="L606" s="1" t="s">
        <v>21</v>
      </c>
      <c r="M606" t="s">
        <v>22</v>
      </c>
      <c r="N606" t="str">
        <f t="shared" si="12"/>
        <v>Ireland</v>
      </c>
      <c r="O606" s="8">
        <f>IF(K606&gt;=1,K606,K606*1000)</f>
        <v>340</v>
      </c>
      <c r="P606">
        <f>ABS(H606)</f>
        <v>2</v>
      </c>
      <c r="R606"/>
    </row>
    <row r="607" spans="1:18" x14ac:dyDescent="0.35">
      <c r="A607" t="s">
        <v>1326</v>
      </c>
      <c r="B607" s="2">
        <v>46078</v>
      </c>
      <c r="C607" t="s">
        <v>852</v>
      </c>
      <c r="D607" s="3" t="s">
        <v>4612</v>
      </c>
      <c r="E607" t="s">
        <v>16</v>
      </c>
      <c r="F607" t="s">
        <v>26</v>
      </c>
      <c r="G607" t="s">
        <v>27</v>
      </c>
      <c r="H607" s="8">
        <v>2</v>
      </c>
      <c r="I607" s="10">
        <v>85.5</v>
      </c>
      <c r="J607" s="14">
        <f>P607*I607</f>
        <v>171</v>
      </c>
      <c r="K607" s="16">
        <v>520</v>
      </c>
      <c r="L607" s="1" t="s">
        <v>30</v>
      </c>
      <c r="M607" t="s">
        <v>58</v>
      </c>
      <c r="N607" t="str">
        <f t="shared" si="12"/>
        <v>United Kingdom</v>
      </c>
      <c r="O607" s="8">
        <f>IF(K607&gt;=1,K607,K607*1000)</f>
        <v>520</v>
      </c>
      <c r="P607">
        <f>ABS(H607)</f>
        <v>2</v>
      </c>
      <c r="R607"/>
    </row>
    <row r="608" spans="1:18" x14ac:dyDescent="0.35">
      <c r="A608" t="s">
        <v>1327</v>
      </c>
      <c r="B608" s="2">
        <v>46100</v>
      </c>
      <c r="C608" t="s">
        <v>1133</v>
      </c>
      <c r="D608" s="3" t="s">
        <v>99</v>
      </c>
      <c r="E608" t="s">
        <v>67</v>
      </c>
      <c r="F608" t="s">
        <v>26</v>
      </c>
      <c r="G608" t="s">
        <v>27</v>
      </c>
      <c r="H608" s="8">
        <v>2</v>
      </c>
      <c r="I608" s="10">
        <v>79</v>
      </c>
      <c r="J608" s="14">
        <f>P608*I608</f>
        <v>158</v>
      </c>
      <c r="K608" s="16">
        <v>520</v>
      </c>
      <c r="L608" s="1" t="s">
        <v>30</v>
      </c>
      <c r="M608" t="s">
        <v>22</v>
      </c>
      <c r="N608" t="str">
        <f t="shared" si="12"/>
        <v>United Kingdom</v>
      </c>
      <c r="O608" s="8">
        <f>IF(K608&gt;=1,K608,K608*1000)</f>
        <v>520</v>
      </c>
      <c r="P608">
        <f>ABS(H608)</f>
        <v>2</v>
      </c>
      <c r="R608"/>
    </row>
    <row r="609" spans="1:18" x14ac:dyDescent="0.35">
      <c r="A609" t="s">
        <v>1328</v>
      </c>
      <c r="B609" s="2">
        <v>46199</v>
      </c>
      <c r="C609" t="s">
        <v>1329</v>
      </c>
      <c r="D609" s="3" t="s">
        <v>4613</v>
      </c>
      <c r="E609" t="s">
        <v>41</v>
      </c>
      <c r="F609" t="s">
        <v>35</v>
      </c>
      <c r="G609" t="s">
        <v>36</v>
      </c>
      <c r="H609" s="8">
        <v>1</v>
      </c>
      <c r="I609" s="10">
        <v>24</v>
      </c>
      <c r="J609" s="14">
        <f>P609*I609</f>
        <v>24</v>
      </c>
      <c r="K609" s="16">
        <v>8.5000000000000006E-2</v>
      </c>
      <c r="L609" s="1" t="s">
        <v>30</v>
      </c>
      <c r="M609" t="s">
        <v>58</v>
      </c>
      <c r="N609" t="str">
        <f t="shared" si="12"/>
        <v>United Kingdom</v>
      </c>
      <c r="O609" s="8">
        <f>IF(K609&gt;=1,K609,K609*1000)</f>
        <v>85</v>
      </c>
      <c r="P609">
        <f>ABS(H609)</f>
        <v>1</v>
      </c>
      <c r="R609"/>
    </row>
    <row r="610" spans="1:18" x14ac:dyDescent="0.35">
      <c r="A610" t="s">
        <v>1330</v>
      </c>
      <c r="B610" s="2">
        <v>46144</v>
      </c>
      <c r="C610" t="s">
        <v>1179</v>
      </c>
      <c r="D610" s="3" t="s">
        <v>99</v>
      </c>
      <c r="E610" t="s">
        <v>16</v>
      </c>
      <c r="F610" t="s">
        <v>47</v>
      </c>
      <c r="G610" t="s">
        <v>48</v>
      </c>
      <c r="H610" s="8">
        <v>3</v>
      </c>
      <c r="I610" s="10">
        <v>95</v>
      </c>
      <c r="J610" s="14">
        <f>P610*I610</f>
        <v>285</v>
      </c>
      <c r="K610" s="16">
        <v>0.38</v>
      </c>
      <c r="L610" s="1" t="s">
        <v>30</v>
      </c>
      <c r="M610" t="s">
        <v>22</v>
      </c>
      <c r="N610" t="str">
        <f t="shared" si="12"/>
        <v>United Kingdom</v>
      </c>
      <c r="O610" s="8">
        <f>IF(K610&gt;=1,K610,K610*1000)</f>
        <v>380</v>
      </c>
      <c r="P610">
        <f>ABS(H610)</f>
        <v>3</v>
      </c>
      <c r="R610"/>
    </row>
    <row r="611" spans="1:18" x14ac:dyDescent="0.35">
      <c r="A611" t="s">
        <v>1331</v>
      </c>
      <c r="B611" s="2">
        <v>46037</v>
      </c>
      <c r="C611" t="s">
        <v>1332</v>
      </c>
      <c r="D611" s="3" t="s">
        <v>99</v>
      </c>
      <c r="E611" t="s">
        <v>41</v>
      </c>
      <c r="F611" t="s">
        <v>47</v>
      </c>
      <c r="G611" t="s">
        <v>48</v>
      </c>
      <c r="H611" s="8">
        <v>1</v>
      </c>
      <c r="I611" s="10">
        <v>89</v>
      </c>
      <c r="J611" s="14">
        <f>P611*I611</f>
        <v>89</v>
      </c>
      <c r="K611" s="16">
        <v>380</v>
      </c>
      <c r="L611" s="1" t="s">
        <v>21</v>
      </c>
      <c r="M611" t="s">
        <v>22</v>
      </c>
      <c r="N611" t="str">
        <f t="shared" si="12"/>
        <v>United Kingdom</v>
      </c>
      <c r="O611" s="8">
        <f>IF(K611&gt;=1,K611,K611*1000)</f>
        <v>380</v>
      </c>
      <c r="P611">
        <f>ABS(H611)</f>
        <v>1</v>
      </c>
      <c r="R611"/>
    </row>
    <row r="612" spans="1:18" x14ac:dyDescent="0.35">
      <c r="A612" t="s">
        <v>1333</v>
      </c>
      <c r="B612" s="2">
        <v>46101</v>
      </c>
      <c r="C612" t="s">
        <v>574</v>
      </c>
      <c r="D612" s="3" t="s">
        <v>99</v>
      </c>
      <c r="E612" t="s">
        <v>34</v>
      </c>
      <c r="F612" t="s">
        <v>89</v>
      </c>
      <c r="G612" t="s">
        <v>90</v>
      </c>
      <c r="H612" s="8">
        <v>2</v>
      </c>
      <c r="I612" s="10">
        <v>80.099999999999994</v>
      </c>
      <c r="J612" s="14">
        <f>P612*I612</f>
        <v>160.19999999999999</v>
      </c>
      <c r="K612" s="16">
        <v>640</v>
      </c>
      <c r="L612" s="1" t="s">
        <v>30</v>
      </c>
      <c r="M612" t="s">
        <v>22</v>
      </c>
      <c r="N612" t="str">
        <f t="shared" si="12"/>
        <v>United Kingdom</v>
      </c>
      <c r="O612" s="8">
        <f>IF(K612&gt;=1,K612,K612*1000)</f>
        <v>640</v>
      </c>
      <c r="P612">
        <f>ABS(H612)</f>
        <v>2</v>
      </c>
      <c r="R612"/>
    </row>
    <row r="613" spans="1:18" x14ac:dyDescent="0.35">
      <c r="A613" t="s">
        <v>1334</v>
      </c>
      <c r="B613" s="2">
        <v>46029</v>
      </c>
      <c r="C613" t="s">
        <v>1335</v>
      </c>
      <c r="D613" s="3" t="s">
        <v>4612</v>
      </c>
      <c r="E613" t="s">
        <v>25</v>
      </c>
      <c r="F613" t="s">
        <v>74</v>
      </c>
      <c r="G613" t="s">
        <v>75</v>
      </c>
      <c r="H613" s="8">
        <v>1</v>
      </c>
      <c r="I613" s="10">
        <v>134.1</v>
      </c>
      <c r="J613" s="14">
        <f>P613*I613</f>
        <v>134.1</v>
      </c>
      <c r="K613" s="16">
        <v>410</v>
      </c>
      <c r="L613" s="1" t="s">
        <v>30</v>
      </c>
      <c r="M613" t="s">
        <v>22</v>
      </c>
      <c r="N613" t="str">
        <f t="shared" si="12"/>
        <v>United Kingdom</v>
      </c>
      <c r="O613" s="8">
        <f>IF(K613&gt;=1,K613,K613*1000)</f>
        <v>410</v>
      </c>
      <c r="P613">
        <f>ABS(H613)</f>
        <v>1</v>
      </c>
      <c r="R613"/>
    </row>
    <row r="614" spans="1:18" x14ac:dyDescent="0.35">
      <c r="A614" t="s">
        <v>1337</v>
      </c>
      <c r="B614" s="2">
        <v>46059</v>
      </c>
      <c r="C614" t="s">
        <v>1338</v>
      </c>
      <c r="D614" s="3" t="s">
        <v>15</v>
      </c>
      <c r="E614" t="s">
        <v>34</v>
      </c>
      <c r="F614" t="s">
        <v>35</v>
      </c>
      <c r="G614" t="s">
        <v>36</v>
      </c>
      <c r="H614" s="8">
        <v>1</v>
      </c>
      <c r="I614" s="10">
        <v>79</v>
      </c>
      <c r="J614" s="14">
        <f>P614*I614</f>
        <v>79</v>
      </c>
      <c r="K614" s="16">
        <v>8.5000000000000006E-2</v>
      </c>
      <c r="L614" s="1" t="s">
        <v>30</v>
      </c>
      <c r="M614" t="s">
        <v>22</v>
      </c>
      <c r="N614" t="str">
        <f t="shared" si="12"/>
        <v>France</v>
      </c>
      <c r="O614" s="8">
        <f>IF(K614&gt;=1,K614,K614*1000)</f>
        <v>85</v>
      </c>
      <c r="P614">
        <f>ABS(H614)</f>
        <v>1</v>
      </c>
      <c r="R614"/>
    </row>
    <row r="615" spans="1:18" x14ac:dyDescent="0.35">
      <c r="A615" t="s">
        <v>1339</v>
      </c>
      <c r="B615" s="2">
        <v>46174</v>
      </c>
      <c r="C615" t="s">
        <v>1340</v>
      </c>
      <c r="D615" s="3" t="s">
        <v>116</v>
      </c>
      <c r="E615" t="s">
        <v>25</v>
      </c>
      <c r="F615" t="s">
        <v>47</v>
      </c>
      <c r="G615" t="s">
        <v>48</v>
      </c>
      <c r="H615" s="8">
        <v>3</v>
      </c>
      <c r="I615" s="10">
        <v>95</v>
      </c>
      <c r="J615" s="14">
        <f>P615*I615</f>
        <v>285</v>
      </c>
      <c r="K615" s="16">
        <v>380</v>
      </c>
      <c r="L615" s="1" t="s">
        <v>30</v>
      </c>
      <c r="M615" t="s">
        <v>58</v>
      </c>
      <c r="N615" t="str">
        <f t="shared" si="12"/>
        <v>Germany</v>
      </c>
      <c r="O615" s="8">
        <f>IF(K615&gt;=1,K615,K615*1000)</f>
        <v>380</v>
      </c>
      <c r="P615">
        <f>ABS(H615)</f>
        <v>3</v>
      </c>
      <c r="R615"/>
    </row>
    <row r="616" spans="1:18" x14ac:dyDescent="0.35">
      <c r="A616" t="s">
        <v>1341</v>
      </c>
      <c r="B616" s="2">
        <v>46138</v>
      </c>
      <c r="C616" t="s">
        <v>1342</v>
      </c>
      <c r="D616" s="3" t="s">
        <v>4613</v>
      </c>
      <c r="E616" t="s">
        <v>41</v>
      </c>
      <c r="F616" t="s">
        <v>74</v>
      </c>
      <c r="G616" t="s">
        <v>75</v>
      </c>
      <c r="H616" s="8">
        <v>3</v>
      </c>
      <c r="I616" s="10">
        <v>24</v>
      </c>
      <c r="J616" s="14">
        <f>P616*I616</f>
        <v>72</v>
      </c>
      <c r="K616" s="16">
        <v>0.41</v>
      </c>
      <c r="L616" s="1" t="s">
        <v>30</v>
      </c>
      <c r="M616" t="s">
        <v>22</v>
      </c>
      <c r="N616" t="str">
        <f t="shared" si="12"/>
        <v>United Kingdom</v>
      </c>
      <c r="O616" s="8">
        <f>IF(K616&gt;=1,K616,K616*1000)</f>
        <v>410</v>
      </c>
      <c r="P616">
        <f>ABS(H616)</f>
        <v>3</v>
      </c>
      <c r="R616"/>
    </row>
    <row r="617" spans="1:18" x14ac:dyDescent="0.35">
      <c r="A617" t="s">
        <v>1343</v>
      </c>
      <c r="B617" s="2">
        <v>46145</v>
      </c>
      <c r="C617" t="s">
        <v>547</v>
      </c>
      <c r="D617" s="3" t="s">
        <v>4613</v>
      </c>
      <c r="E617" t="s">
        <v>34</v>
      </c>
      <c r="F617" t="s">
        <v>42</v>
      </c>
      <c r="G617" t="s">
        <v>43</v>
      </c>
      <c r="H617" s="8">
        <v>1</v>
      </c>
      <c r="I617" s="12" t="s">
        <v>4643</v>
      </c>
      <c r="J617" s="14">
        <f>P617*R617</f>
        <v>11.25</v>
      </c>
      <c r="K617" s="16">
        <v>0.19</v>
      </c>
      <c r="L617" s="1" t="s">
        <v>30</v>
      </c>
      <c r="M617" t="s">
        <v>22</v>
      </c>
      <c r="N617" t="str">
        <f t="shared" si="12"/>
        <v>United Kingdom</v>
      </c>
      <c r="O617" s="8">
        <f>IF(K617&gt;=1,K617,K617*1000)</f>
        <v>190</v>
      </c>
      <c r="P617">
        <f>ABS(H617)</f>
        <v>1</v>
      </c>
      <c r="Q617" t="str">
        <f>LEFT(I617,3)</f>
        <v>GBP</v>
      </c>
      <c r="R617" s="10" t="str">
        <f>RIGHT(I617,5)</f>
        <v>11,25</v>
      </c>
    </row>
    <row r="618" spans="1:18" x14ac:dyDescent="0.35">
      <c r="A618" t="s">
        <v>1345</v>
      </c>
      <c r="B618" s="2" t="s">
        <v>935</v>
      </c>
      <c r="C618" t="s">
        <v>1346</v>
      </c>
      <c r="D618" s="3" t="s">
        <v>99</v>
      </c>
      <c r="E618" t="s">
        <v>25</v>
      </c>
      <c r="F618" t="s">
        <v>83</v>
      </c>
      <c r="G618" t="s">
        <v>84</v>
      </c>
      <c r="H618" s="8">
        <v>3</v>
      </c>
      <c r="I618" s="10">
        <v>89</v>
      </c>
      <c r="J618" s="14">
        <f>P618*I618</f>
        <v>267</v>
      </c>
      <c r="K618" s="16">
        <v>340</v>
      </c>
      <c r="L618" s="1" t="s">
        <v>30</v>
      </c>
      <c r="M618" t="s">
        <v>58</v>
      </c>
      <c r="N618" t="str">
        <f t="shared" si="12"/>
        <v>United Kingdom</v>
      </c>
      <c r="O618" s="8">
        <f>IF(K618&gt;=1,K618,K618*1000)</f>
        <v>340</v>
      </c>
      <c r="P618">
        <f>ABS(H618)</f>
        <v>3</v>
      </c>
      <c r="R618"/>
    </row>
    <row r="619" spans="1:18" x14ac:dyDescent="0.35">
      <c r="A619" t="s">
        <v>1348</v>
      </c>
      <c r="B619" s="2">
        <v>46047</v>
      </c>
      <c r="C619" t="s">
        <v>1349</v>
      </c>
      <c r="D619" s="3" t="s">
        <v>15</v>
      </c>
      <c r="E619" t="s">
        <v>67</v>
      </c>
      <c r="F619" t="s">
        <v>47</v>
      </c>
      <c r="G619" t="s">
        <v>48</v>
      </c>
      <c r="H619" s="8">
        <v>2</v>
      </c>
      <c r="I619" s="10">
        <v>11.25</v>
      </c>
      <c r="J619" s="14">
        <f>P619*I619</f>
        <v>22.5</v>
      </c>
      <c r="K619" s="16">
        <v>380</v>
      </c>
      <c r="L619" s="1" t="s">
        <v>30</v>
      </c>
      <c r="M619" t="s">
        <v>22</v>
      </c>
      <c r="N619" t="str">
        <f t="shared" si="12"/>
        <v>France</v>
      </c>
      <c r="O619" s="8">
        <f>IF(K619&gt;=1,K619,K619*1000)</f>
        <v>380</v>
      </c>
      <c r="P619">
        <f>ABS(H619)</f>
        <v>2</v>
      </c>
      <c r="R619"/>
    </row>
    <row r="620" spans="1:18" x14ac:dyDescent="0.35">
      <c r="A620" t="s">
        <v>1350</v>
      </c>
      <c r="B620" s="2">
        <v>46038</v>
      </c>
      <c r="C620" t="s">
        <v>1351</v>
      </c>
      <c r="D620" s="3" t="s">
        <v>15</v>
      </c>
      <c r="E620" t="s">
        <v>16</v>
      </c>
      <c r="F620" t="s">
        <v>47</v>
      </c>
      <c r="G620" t="s">
        <v>48</v>
      </c>
      <c r="H620" s="8">
        <v>3</v>
      </c>
      <c r="I620" s="10">
        <v>11.25</v>
      </c>
      <c r="J620" s="14">
        <f>P620*I620</f>
        <v>33.75</v>
      </c>
      <c r="K620" s="16">
        <v>380</v>
      </c>
      <c r="L620" s="1" t="s">
        <v>30</v>
      </c>
      <c r="M620" t="s">
        <v>58</v>
      </c>
      <c r="N620" t="str">
        <f t="shared" si="12"/>
        <v>France</v>
      </c>
      <c r="O620" s="8">
        <f>IF(K620&gt;=1,K620,K620*1000)</f>
        <v>380</v>
      </c>
      <c r="P620">
        <f>ABS(H620)</f>
        <v>3</v>
      </c>
      <c r="R620"/>
    </row>
    <row r="621" spans="1:18" x14ac:dyDescent="0.35">
      <c r="A621" t="s">
        <v>1353</v>
      </c>
      <c r="B621" s="2">
        <v>46079</v>
      </c>
      <c r="C621" t="s">
        <v>1354</v>
      </c>
      <c r="D621" s="3" t="s">
        <v>53</v>
      </c>
      <c r="E621" t="s">
        <v>67</v>
      </c>
      <c r="F621" t="s">
        <v>89</v>
      </c>
      <c r="G621" t="s">
        <v>90</v>
      </c>
      <c r="H621" s="8">
        <v>1</v>
      </c>
      <c r="I621" s="10">
        <v>11.25</v>
      </c>
      <c r="J621" s="14">
        <f>P621*I621</f>
        <v>11.25</v>
      </c>
      <c r="K621" s="16">
        <v>640</v>
      </c>
      <c r="L621" s="1" t="s">
        <v>21</v>
      </c>
      <c r="M621" t="s">
        <v>58</v>
      </c>
      <c r="N621" t="str">
        <f t="shared" si="12"/>
        <v>Gb</v>
      </c>
      <c r="O621" s="8">
        <f>IF(K621&gt;=1,K621,K621*1000)</f>
        <v>640</v>
      </c>
      <c r="P621">
        <f>ABS(H621)</f>
        <v>1</v>
      </c>
      <c r="R621"/>
    </row>
    <row r="622" spans="1:18" x14ac:dyDescent="0.35">
      <c r="A622" t="s">
        <v>1355</v>
      </c>
      <c r="B622" s="2">
        <v>46208</v>
      </c>
      <c r="C622" t="s">
        <v>1356</v>
      </c>
      <c r="D622" s="3" t="s">
        <v>99</v>
      </c>
      <c r="E622" t="s">
        <v>67</v>
      </c>
      <c r="F622" t="s">
        <v>89</v>
      </c>
      <c r="G622" t="s">
        <v>90</v>
      </c>
      <c r="H622" s="8">
        <v>3</v>
      </c>
      <c r="I622" s="10">
        <v>12.5</v>
      </c>
      <c r="J622" s="14">
        <f>P622*I622</f>
        <v>37.5</v>
      </c>
      <c r="K622" s="16">
        <v>0.64</v>
      </c>
      <c r="L622" s="1" t="s">
        <v>30</v>
      </c>
      <c r="M622" t="s">
        <v>22</v>
      </c>
      <c r="N622" t="str">
        <f t="shared" si="12"/>
        <v>United Kingdom</v>
      </c>
      <c r="O622" s="8">
        <f>IF(K622&gt;=1,K622,K622*1000)</f>
        <v>640</v>
      </c>
      <c r="P622">
        <f>ABS(H622)</f>
        <v>3</v>
      </c>
      <c r="R622"/>
    </row>
    <row r="623" spans="1:18" x14ac:dyDescent="0.35">
      <c r="A623" t="s">
        <v>1357</v>
      </c>
      <c r="B623" s="2">
        <v>46103</v>
      </c>
      <c r="C623" t="s">
        <v>1358</v>
      </c>
      <c r="D623" s="3" t="s">
        <v>99</v>
      </c>
      <c r="E623" t="s">
        <v>16</v>
      </c>
      <c r="F623" t="s">
        <v>42</v>
      </c>
      <c r="G623" t="s">
        <v>43</v>
      </c>
      <c r="H623" s="8">
        <v>1</v>
      </c>
      <c r="I623" s="10">
        <v>89</v>
      </c>
      <c r="J623" s="14">
        <f>P623*I623</f>
        <v>89</v>
      </c>
      <c r="K623" s="16">
        <v>190</v>
      </c>
      <c r="L623" s="1" t="s">
        <v>30</v>
      </c>
      <c r="M623" t="s">
        <v>58</v>
      </c>
      <c r="N623" t="str">
        <f t="shared" si="12"/>
        <v>United Kingdom</v>
      </c>
      <c r="O623" s="8">
        <f>IF(K623&gt;=1,K623,K623*1000)</f>
        <v>190</v>
      </c>
      <c r="P623">
        <f>ABS(H623)</f>
        <v>1</v>
      </c>
      <c r="R623"/>
    </row>
    <row r="624" spans="1:18" x14ac:dyDescent="0.35">
      <c r="A624" t="s">
        <v>1359</v>
      </c>
      <c r="B624" s="2">
        <v>46047</v>
      </c>
      <c r="C624" t="s">
        <v>1360</v>
      </c>
      <c r="D624" s="3" t="s">
        <v>4613</v>
      </c>
      <c r="E624" t="s">
        <v>41</v>
      </c>
      <c r="F624" t="s">
        <v>74</v>
      </c>
      <c r="G624" t="s">
        <v>75</v>
      </c>
      <c r="H624" s="8">
        <v>2</v>
      </c>
      <c r="I624" s="10">
        <v>85.5</v>
      </c>
      <c r="J624" s="14">
        <f>P624*I624</f>
        <v>171</v>
      </c>
      <c r="K624" s="16">
        <v>410</v>
      </c>
      <c r="L624" s="1" t="s">
        <v>30</v>
      </c>
      <c r="M624" t="s">
        <v>22</v>
      </c>
      <c r="N624" t="str">
        <f t="shared" si="12"/>
        <v>United Kingdom</v>
      </c>
      <c r="O624" s="8">
        <f>IF(K624&gt;=1,K624,K624*1000)</f>
        <v>410</v>
      </c>
      <c r="P624">
        <f>ABS(H624)</f>
        <v>2</v>
      </c>
      <c r="R624"/>
    </row>
    <row r="625" spans="1:18" x14ac:dyDescent="0.35">
      <c r="A625" t="s">
        <v>1361</v>
      </c>
      <c r="B625" s="2">
        <v>46150</v>
      </c>
      <c r="C625" t="s">
        <v>1362</v>
      </c>
      <c r="D625" s="3" t="s">
        <v>15</v>
      </c>
      <c r="E625" t="s">
        <v>67</v>
      </c>
      <c r="F625" t="s">
        <v>89</v>
      </c>
      <c r="G625" t="s">
        <v>90</v>
      </c>
      <c r="H625" s="8">
        <v>1</v>
      </c>
      <c r="I625" s="10">
        <v>116.1</v>
      </c>
      <c r="J625" s="14">
        <f>P625*I625</f>
        <v>116.1</v>
      </c>
      <c r="K625" s="16">
        <v>0.64</v>
      </c>
      <c r="L625" s="1" t="s">
        <v>21</v>
      </c>
      <c r="M625" t="s">
        <v>22</v>
      </c>
      <c r="N625" t="str">
        <f t="shared" si="12"/>
        <v>France</v>
      </c>
      <c r="O625" s="8">
        <f>IF(K625&gt;=1,K625,K625*1000)</f>
        <v>640</v>
      </c>
      <c r="P625">
        <f>ABS(H625)</f>
        <v>1</v>
      </c>
      <c r="R625"/>
    </row>
    <row r="626" spans="1:18" x14ac:dyDescent="0.35">
      <c r="A626" t="s">
        <v>1363</v>
      </c>
      <c r="B626" s="2">
        <v>46064</v>
      </c>
      <c r="C626" t="s">
        <v>1364</v>
      </c>
      <c r="D626" s="3" t="s">
        <v>4613</v>
      </c>
      <c r="E626" t="s">
        <v>41</v>
      </c>
      <c r="F626" t="s">
        <v>83</v>
      </c>
      <c r="G626" t="s">
        <v>84</v>
      </c>
      <c r="H626" s="8">
        <v>2</v>
      </c>
      <c r="I626" s="10">
        <v>40.5</v>
      </c>
      <c r="J626" s="14">
        <f>P626*I626</f>
        <v>81</v>
      </c>
      <c r="K626" s="16">
        <v>340</v>
      </c>
      <c r="L626" s="1" t="s">
        <v>30</v>
      </c>
      <c r="M626" t="s">
        <v>22</v>
      </c>
      <c r="N626" t="str">
        <f t="shared" si="12"/>
        <v>United Kingdom</v>
      </c>
      <c r="O626" s="8">
        <f>IF(K626&gt;=1,K626,K626*1000)</f>
        <v>340</v>
      </c>
      <c r="P626">
        <f>ABS(H626)</f>
        <v>2</v>
      </c>
      <c r="R626"/>
    </row>
    <row r="627" spans="1:18" x14ac:dyDescent="0.35">
      <c r="A627" t="s">
        <v>1365</v>
      </c>
      <c r="B627" s="2">
        <v>46176</v>
      </c>
      <c r="C627" t="s">
        <v>919</v>
      </c>
      <c r="D627" s="3" t="s">
        <v>116</v>
      </c>
      <c r="E627" t="s">
        <v>67</v>
      </c>
      <c r="F627" t="s">
        <v>89</v>
      </c>
      <c r="G627" t="s">
        <v>90</v>
      </c>
      <c r="H627" s="8">
        <v>2</v>
      </c>
      <c r="I627" s="10">
        <v>85.5</v>
      </c>
      <c r="J627" s="14">
        <f>P627*I627</f>
        <v>171</v>
      </c>
      <c r="K627" s="16">
        <v>0.64</v>
      </c>
      <c r="L627" s="1" t="s">
        <v>30</v>
      </c>
      <c r="M627" t="s">
        <v>58</v>
      </c>
      <c r="N627" t="str">
        <f t="shared" si="12"/>
        <v>Germany</v>
      </c>
      <c r="O627" s="8">
        <f>IF(K627&gt;=1,K627,K627*1000)</f>
        <v>640</v>
      </c>
      <c r="P627">
        <f>ABS(H627)</f>
        <v>2</v>
      </c>
      <c r="R627"/>
    </row>
    <row r="628" spans="1:18" x14ac:dyDescent="0.35">
      <c r="A628" t="s">
        <v>1366</v>
      </c>
      <c r="B628" s="2">
        <v>46061</v>
      </c>
      <c r="C628" t="s">
        <v>1367</v>
      </c>
      <c r="D628" s="3" t="s">
        <v>116</v>
      </c>
      <c r="E628" t="s">
        <v>41</v>
      </c>
      <c r="F628" t="s">
        <v>17</v>
      </c>
      <c r="G628" t="s">
        <v>18</v>
      </c>
      <c r="H628" s="8">
        <v>1</v>
      </c>
      <c r="I628" s="10">
        <v>11.25</v>
      </c>
      <c r="J628" s="14">
        <f>P628*I628</f>
        <v>11.25</v>
      </c>
      <c r="K628" s="16">
        <v>520</v>
      </c>
      <c r="L628" s="1" t="s">
        <v>30</v>
      </c>
      <c r="M628" t="s">
        <v>58</v>
      </c>
      <c r="N628" t="str">
        <f t="shared" si="12"/>
        <v>Germany</v>
      </c>
      <c r="O628" s="8">
        <f>IF(K628&gt;=1,K628,K628*1000)</f>
        <v>520</v>
      </c>
      <c r="P628">
        <f>ABS(H628)</f>
        <v>1</v>
      </c>
      <c r="R628"/>
    </row>
    <row r="629" spans="1:18" x14ac:dyDescent="0.35">
      <c r="A629" t="s">
        <v>1368</v>
      </c>
      <c r="B629" s="2">
        <v>46136</v>
      </c>
      <c r="C629" t="s">
        <v>1369</v>
      </c>
      <c r="D629" s="3" t="s">
        <v>46</v>
      </c>
      <c r="E629" t="s">
        <v>34</v>
      </c>
      <c r="F629" t="s">
        <v>89</v>
      </c>
      <c r="G629" t="s">
        <v>90</v>
      </c>
      <c r="H629" s="8">
        <v>2</v>
      </c>
      <c r="I629" s="12" t="s">
        <v>4621</v>
      </c>
      <c r="J629" s="14">
        <f>P629*R629</f>
        <v>171</v>
      </c>
      <c r="K629" s="16">
        <v>0.64</v>
      </c>
      <c r="L629" s="1" t="s">
        <v>21</v>
      </c>
      <c r="M629" t="s">
        <v>58</v>
      </c>
      <c r="N629" t="str">
        <f t="shared" si="12"/>
        <v>Ireland</v>
      </c>
      <c r="O629" s="8">
        <f>IF(K629&gt;=1,K629,K629*1000)</f>
        <v>640</v>
      </c>
      <c r="P629">
        <f>ABS(H629)</f>
        <v>2</v>
      </c>
      <c r="Q629" t="str">
        <f>LEFT(I629,2)</f>
        <v>Â£</v>
      </c>
      <c r="R629" t="str">
        <f>RIGHT(I629,5)</f>
        <v>85,50</v>
      </c>
    </row>
    <row r="630" spans="1:18" x14ac:dyDescent="0.35">
      <c r="A630" t="s">
        <v>1370</v>
      </c>
      <c r="B630" s="2" t="s">
        <v>629</v>
      </c>
      <c r="C630" t="s">
        <v>741</v>
      </c>
      <c r="D630" s="3" t="s">
        <v>66</v>
      </c>
      <c r="E630" t="s">
        <v>67</v>
      </c>
      <c r="F630" t="s">
        <v>35</v>
      </c>
      <c r="G630" t="s">
        <v>36</v>
      </c>
      <c r="H630" s="8">
        <v>1</v>
      </c>
      <c r="I630" s="10">
        <v>21.6</v>
      </c>
      <c r="J630" s="14">
        <f>P630*I630</f>
        <v>21.6</v>
      </c>
      <c r="K630" s="16">
        <v>85</v>
      </c>
      <c r="L630" s="1" t="s">
        <v>30</v>
      </c>
      <c r="M630" t="s">
        <v>58</v>
      </c>
      <c r="N630" t="str">
        <f t="shared" si="12"/>
        <v>Gb</v>
      </c>
      <c r="O630" s="8">
        <f>IF(K630&gt;=1,K630,K630*1000)</f>
        <v>85</v>
      </c>
      <c r="P630">
        <f>ABS(H630)</f>
        <v>1</v>
      </c>
      <c r="R630"/>
    </row>
    <row r="631" spans="1:18" x14ac:dyDescent="0.35">
      <c r="A631" t="s">
        <v>1371</v>
      </c>
      <c r="B631" s="2">
        <v>46097</v>
      </c>
      <c r="C631" t="s">
        <v>1372</v>
      </c>
      <c r="D631" s="3" t="s">
        <v>4613</v>
      </c>
      <c r="E631" t="s">
        <v>34</v>
      </c>
      <c r="F631" t="s">
        <v>35</v>
      </c>
      <c r="G631" t="s">
        <v>36</v>
      </c>
      <c r="H631" s="8">
        <v>2</v>
      </c>
      <c r="I631" s="10">
        <v>45</v>
      </c>
      <c r="J631" s="14">
        <f>P631*I631</f>
        <v>90</v>
      </c>
      <c r="K631" s="16">
        <v>85</v>
      </c>
      <c r="L631" s="1" t="s">
        <v>30</v>
      </c>
      <c r="M631" t="s">
        <v>22</v>
      </c>
      <c r="N631" t="str">
        <f t="shared" si="12"/>
        <v>United Kingdom</v>
      </c>
      <c r="O631" s="8">
        <f>IF(K631&gt;=1,K631,K631*1000)</f>
        <v>85</v>
      </c>
      <c r="P631">
        <f>ABS(H631)</f>
        <v>2</v>
      </c>
      <c r="R631"/>
    </row>
    <row r="632" spans="1:18" x14ac:dyDescent="0.35">
      <c r="A632" t="s">
        <v>1373</v>
      </c>
      <c r="B632" s="2" t="s">
        <v>1374</v>
      </c>
      <c r="C632" t="s">
        <v>1375</v>
      </c>
      <c r="D632" s="3" t="s">
        <v>61</v>
      </c>
      <c r="E632" t="s">
        <v>41</v>
      </c>
      <c r="F632" t="s">
        <v>42</v>
      </c>
      <c r="G632" t="s">
        <v>43</v>
      </c>
      <c r="H632" s="8">
        <v>3</v>
      </c>
      <c r="I632" s="10">
        <v>24</v>
      </c>
      <c r="J632" s="14">
        <f>P632*I632</f>
        <v>72</v>
      </c>
      <c r="K632" s="16">
        <v>0.19</v>
      </c>
      <c r="L632" s="1" t="s">
        <v>30</v>
      </c>
      <c r="M632" t="s">
        <v>58</v>
      </c>
      <c r="N632" t="str">
        <f t="shared" si="12"/>
        <v>Ireland</v>
      </c>
      <c r="O632" s="8">
        <f>IF(K632&gt;=1,K632,K632*1000)</f>
        <v>190</v>
      </c>
      <c r="P632">
        <f>ABS(H632)</f>
        <v>3</v>
      </c>
      <c r="R632"/>
    </row>
    <row r="633" spans="1:18" x14ac:dyDescent="0.35">
      <c r="A633" t="s">
        <v>1376</v>
      </c>
      <c r="B633" s="2">
        <v>46206</v>
      </c>
      <c r="C633" t="s">
        <v>1377</v>
      </c>
      <c r="D633" s="3" t="s">
        <v>61</v>
      </c>
      <c r="E633" t="s">
        <v>25</v>
      </c>
      <c r="F633" t="s">
        <v>42</v>
      </c>
      <c r="G633" t="s">
        <v>43</v>
      </c>
      <c r="H633" s="8">
        <v>3</v>
      </c>
      <c r="I633" s="10">
        <v>12.5</v>
      </c>
      <c r="J633" s="14">
        <f>P633*I633</f>
        <v>37.5</v>
      </c>
      <c r="K633" s="16">
        <v>0.19</v>
      </c>
      <c r="L633" s="1" t="s">
        <v>21</v>
      </c>
      <c r="M633" t="s">
        <v>22</v>
      </c>
      <c r="N633" t="str">
        <f t="shared" si="12"/>
        <v>Ireland</v>
      </c>
      <c r="O633" s="8">
        <f>IF(K633&gt;=1,K633,K633*1000)</f>
        <v>190</v>
      </c>
      <c r="P633">
        <f>ABS(H633)</f>
        <v>3</v>
      </c>
      <c r="R633"/>
    </row>
    <row r="634" spans="1:18" x14ac:dyDescent="0.35">
      <c r="A634" t="s">
        <v>1378</v>
      </c>
      <c r="B634" s="2">
        <v>46266</v>
      </c>
      <c r="C634" t="s">
        <v>1379</v>
      </c>
      <c r="D634" s="3" t="s">
        <v>4612</v>
      </c>
      <c r="E634" t="s">
        <v>25</v>
      </c>
      <c r="F634" t="s">
        <v>89</v>
      </c>
      <c r="G634" t="s">
        <v>90</v>
      </c>
      <c r="H634" s="8">
        <v>2</v>
      </c>
      <c r="I634" s="10">
        <v>149</v>
      </c>
      <c r="J634" s="14">
        <f>P634*I634</f>
        <v>298</v>
      </c>
      <c r="K634" s="16">
        <v>640</v>
      </c>
      <c r="L634" s="1" t="s">
        <v>21</v>
      </c>
      <c r="M634" t="s">
        <v>22</v>
      </c>
      <c r="N634" t="str">
        <f t="shared" si="12"/>
        <v>United Kingdom</v>
      </c>
      <c r="O634" s="8">
        <f>IF(K634&gt;=1,K634,K634*1000)</f>
        <v>640</v>
      </c>
      <c r="P634">
        <f>ABS(H634)</f>
        <v>2</v>
      </c>
      <c r="R634"/>
    </row>
    <row r="635" spans="1:18" x14ac:dyDescent="0.35">
      <c r="A635" t="s">
        <v>1381</v>
      </c>
      <c r="B635" s="2">
        <v>46115</v>
      </c>
      <c r="C635" t="s">
        <v>1382</v>
      </c>
      <c r="D635" s="3" t="s">
        <v>53</v>
      </c>
      <c r="E635" t="s">
        <v>41</v>
      </c>
      <c r="F635" t="s">
        <v>74</v>
      </c>
      <c r="G635" t="s">
        <v>75</v>
      </c>
      <c r="H635" s="8">
        <v>1</v>
      </c>
      <c r="I635" s="10">
        <v>24</v>
      </c>
      <c r="J635" s="14">
        <f>P635*I635</f>
        <v>24</v>
      </c>
      <c r="K635" s="16">
        <v>410</v>
      </c>
      <c r="L635" s="1" t="s">
        <v>30</v>
      </c>
      <c r="M635" t="s">
        <v>58</v>
      </c>
      <c r="N635" t="str">
        <f t="shared" si="12"/>
        <v>Gb</v>
      </c>
      <c r="O635" s="8">
        <f>IF(K635&gt;=1,K635,K635*1000)</f>
        <v>410</v>
      </c>
      <c r="P635">
        <f>ABS(H635)</f>
        <v>1</v>
      </c>
      <c r="R635"/>
    </row>
    <row r="636" spans="1:18" x14ac:dyDescent="0.35">
      <c r="A636" t="s">
        <v>1383</v>
      </c>
      <c r="B636" s="2">
        <v>46191</v>
      </c>
      <c r="C636" t="s">
        <v>794</v>
      </c>
      <c r="D636" s="3" t="s">
        <v>4613</v>
      </c>
      <c r="E636" t="s">
        <v>25</v>
      </c>
      <c r="F636" t="s">
        <v>47</v>
      </c>
      <c r="G636" t="s">
        <v>48</v>
      </c>
      <c r="H636" s="8">
        <v>1</v>
      </c>
      <c r="I636" s="10">
        <v>149</v>
      </c>
      <c r="J636" s="14">
        <f>P636*I636</f>
        <v>149</v>
      </c>
      <c r="K636" s="16">
        <v>0.38</v>
      </c>
      <c r="L636" s="1" t="s">
        <v>30</v>
      </c>
      <c r="M636" t="s">
        <v>22</v>
      </c>
      <c r="N636" t="str">
        <f t="shared" si="12"/>
        <v>United Kingdom</v>
      </c>
      <c r="O636" s="8">
        <f>IF(K636&gt;=1,K636,K636*1000)</f>
        <v>380</v>
      </c>
      <c r="P636">
        <f>ABS(H636)</f>
        <v>1</v>
      </c>
      <c r="R636"/>
    </row>
    <row r="637" spans="1:18" x14ac:dyDescent="0.35">
      <c r="A637" t="s">
        <v>1384</v>
      </c>
      <c r="B637" s="2">
        <v>46113</v>
      </c>
      <c r="C637" t="s">
        <v>1385</v>
      </c>
      <c r="D637" s="3" t="s">
        <v>53</v>
      </c>
      <c r="E637" t="s">
        <v>16</v>
      </c>
      <c r="F637" t="s">
        <v>42</v>
      </c>
      <c r="G637" t="s">
        <v>43</v>
      </c>
      <c r="H637" s="8">
        <v>1</v>
      </c>
      <c r="I637" s="10">
        <v>149</v>
      </c>
      <c r="J637" s="14">
        <f>P637*I637</f>
        <v>149</v>
      </c>
      <c r="K637" s="16">
        <v>190</v>
      </c>
      <c r="L637" s="1" t="s">
        <v>30</v>
      </c>
      <c r="M637" t="s">
        <v>22</v>
      </c>
      <c r="N637" t="str">
        <f t="shared" si="12"/>
        <v>Gb</v>
      </c>
      <c r="O637" s="8">
        <f>IF(K637&gt;=1,K637,K637*1000)</f>
        <v>190</v>
      </c>
      <c r="P637">
        <f>ABS(H637)</f>
        <v>1</v>
      </c>
      <c r="R637"/>
    </row>
    <row r="638" spans="1:18" x14ac:dyDescent="0.35">
      <c r="A638" t="s">
        <v>1386</v>
      </c>
      <c r="B638" s="2">
        <v>46129</v>
      </c>
      <c r="C638" t="s">
        <v>1387</v>
      </c>
      <c r="D638" s="3" t="s">
        <v>99</v>
      </c>
      <c r="E638" t="s">
        <v>67</v>
      </c>
      <c r="F638" t="s">
        <v>47</v>
      </c>
      <c r="G638" t="s">
        <v>48</v>
      </c>
      <c r="H638" s="8">
        <v>2</v>
      </c>
      <c r="I638" s="10">
        <v>12.5</v>
      </c>
      <c r="J638" s="14">
        <f>P638*I638</f>
        <v>25</v>
      </c>
      <c r="K638" s="16">
        <v>380</v>
      </c>
      <c r="L638" s="1" t="s">
        <v>21</v>
      </c>
      <c r="M638" t="s">
        <v>58</v>
      </c>
      <c r="N638" t="str">
        <f t="shared" si="12"/>
        <v>United Kingdom</v>
      </c>
      <c r="O638" s="8">
        <f>IF(K638&gt;=1,K638,K638*1000)</f>
        <v>380</v>
      </c>
      <c r="P638">
        <f>ABS(H638)</f>
        <v>2</v>
      </c>
      <c r="R638"/>
    </row>
    <row r="639" spans="1:18" x14ac:dyDescent="0.35">
      <c r="A639" t="s">
        <v>1388</v>
      </c>
      <c r="B639" s="2">
        <v>46148</v>
      </c>
      <c r="C639" t="s">
        <v>611</v>
      </c>
      <c r="D639" s="3" t="s">
        <v>4613</v>
      </c>
      <c r="E639" t="s">
        <v>25</v>
      </c>
      <c r="F639" t="s">
        <v>42</v>
      </c>
      <c r="G639" t="s">
        <v>43</v>
      </c>
      <c r="H639" s="8">
        <v>2</v>
      </c>
      <c r="I639" s="10">
        <v>129</v>
      </c>
      <c r="J639" s="14">
        <f>P639*I639</f>
        <v>258</v>
      </c>
      <c r="K639" s="16">
        <v>0.19</v>
      </c>
      <c r="L639" s="1" t="s">
        <v>30</v>
      </c>
      <c r="M639" t="s">
        <v>22</v>
      </c>
      <c r="N639" t="str">
        <f t="shared" si="12"/>
        <v>United Kingdom</v>
      </c>
      <c r="O639" s="8">
        <f>IF(K639&gt;=1,K639,K639*1000)</f>
        <v>190</v>
      </c>
      <c r="P639">
        <f>ABS(H639)</f>
        <v>2</v>
      </c>
      <c r="R639"/>
    </row>
    <row r="640" spans="1:18" x14ac:dyDescent="0.35">
      <c r="A640" t="s">
        <v>1389</v>
      </c>
      <c r="B640" s="2">
        <v>46095</v>
      </c>
      <c r="C640" t="s">
        <v>1390</v>
      </c>
      <c r="D640" s="3" t="s">
        <v>66</v>
      </c>
      <c r="E640" t="s">
        <v>34</v>
      </c>
      <c r="F640" t="s">
        <v>83</v>
      </c>
      <c r="G640" t="s">
        <v>84</v>
      </c>
      <c r="H640" s="8">
        <v>2</v>
      </c>
      <c r="I640" s="10">
        <v>79</v>
      </c>
      <c r="J640" s="14">
        <f>P640*I640</f>
        <v>158</v>
      </c>
      <c r="K640" s="16">
        <v>340</v>
      </c>
      <c r="L640" s="1" t="s">
        <v>30</v>
      </c>
      <c r="M640" t="s">
        <v>22</v>
      </c>
      <c r="N640" t="str">
        <f t="shared" si="12"/>
        <v>Gb</v>
      </c>
      <c r="O640" s="8">
        <f>IF(K640&gt;=1,K640,K640*1000)</f>
        <v>340</v>
      </c>
      <c r="P640">
        <f>ABS(H640)</f>
        <v>2</v>
      </c>
      <c r="R640"/>
    </row>
    <row r="641" spans="1:18" x14ac:dyDescent="0.35">
      <c r="A641" t="s">
        <v>1391</v>
      </c>
      <c r="B641" s="2">
        <v>46055</v>
      </c>
      <c r="C641" t="s">
        <v>1392</v>
      </c>
      <c r="D641" s="3" t="s">
        <v>99</v>
      </c>
      <c r="E641" t="s">
        <v>41</v>
      </c>
      <c r="F641" t="s">
        <v>47</v>
      </c>
      <c r="G641" t="s">
        <v>48</v>
      </c>
      <c r="H641" s="8">
        <v>1</v>
      </c>
      <c r="I641" s="10">
        <v>95</v>
      </c>
      <c r="J641" s="14">
        <f>P641*I641</f>
        <v>95</v>
      </c>
      <c r="K641" s="16">
        <v>380</v>
      </c>
      <c r="L641" s="1" t="s">
        <v>30</v>
      </c>
      <c r="M641" t="s">
        <v>22</v>
      </c>
      <c r="N641" t="str">
        <f t="shared" si="12"/>
        <v>United Kingdom</v>
      </c>
      <c r="O641" s="8">
        <f>IF(K641&gt;=1,K641,K641*1000)</f>
        <v>380</v>
      </c>
      <c r="P641">
        <f>ABS(H641)</f>
        <v>1</v>
      </c>
      <c r="R641"/>
    </row>
    <row r="642" spans="1:18" x14ac:dyDescent="0.35">
      <c r="A642" t="s">
        <v>1393</v>
      </c>
      <c r="B642" s="2">
        <v>46031</v>
      </c>
      <c r="C642" t="s">
        <v>1394</v>
      </c>
      <c r="D642" s="3" t="s">
        <v>4612</v>
      </c>
      <c r="E642" t="s">
        <v>25</v>
      </c>
      <c r="F642" t="s">
        <v>74</v>
      </c>
      <c r="G642" t="s">
        <v>75</v>
      </c>
      <c r="H642" s="8">
        <v>2</v>
      </c>
      <c r="I642" s="12" t="s">
        <v>4628</v>
      </c>
      <c r="J642" s="14">
        <f>P642*R642</f>
        <v>81</v>
      </c>
      <c r="K642" s="16">
        <v>410</v>
      </c>
      <c r="L642" s="1" t="s">
        <v>30</v>
      </c>
      <c r="M642" t="s">
        <v>22</v>
      </c>
      <c r="N642" t="str">
        <f t="shared" si="12"/>
        <v>United Kingdom</v>
      </c>
      <c r="O642" s="8">
        <f>IF(K642&gt;=1,K642,K642*1000)</f>
        <v>410</v>
      </c>
      <c r="P642">
        <f>ABS(H642)</f>
        <v>2</v>
      </c>
      <c r="Q642" t="str">
        <f>LEFT(I642,2)</f>
        <v>Â£</v>
      </c>
      <c r="R642" t="str">
        <f>RIGHT(I642,5)</f>
        <v>40,50</v>
      </c>
    </row>
    <row r="643" spans="1:18" x14ac:dyDescent="0.35">
      <c r="A643" t="s">
        <v>1395</v>
      </c>
      <c r="B643" s="2">
        <v>46115</v>
      </c>
      <c r="C643" t="s">
        <v>147</v>
      </c>
      <c r="D643" s="3" t="s">
        <v>46</v>
      </c>
      <c r="E643" t="s">
        <v>16</v>
      </c>
      <c r="F643" t="s">
        <v>83</v>
      </c>
      <c r="G643" t="s">
        <v>84</v>
      </c>
      <c r="H643" s="8">
        <v>2</v>
      </c>
      <c r="I643" s="10">
        <v>89</v>
      </c>
      <c r="J643" s="14">
        <f>P643*I643</f>
        <v>178</v>
      </c>
      <c r="K643" s="16">
        <v>340</v>
      </c>
      <c r="L643" s="1" t="s">
        <v>21</v>
      </c>
      <c r="M643" t="s">
        <v>22</v>
      </c>
      <c r="N643" t="str">
        <f t="shared" ref="N643:N706" si="13">PROPER(TRIM(D643))</f>
        <v>Ireland</v>
      </c>
      <c r="O643" s="8">
        <f>IF(K643&gt;=1,K643,K643*1000)</f>
        <v>340</v>
      </c>
      <c r="P643">
        <f>ABS(H643)</f>
        <v>2</v>
      </c>
      <c r="R643"/>
    </row>
    <row r="644" spans="1:18" x14ac:dyDescent="0.35">
      <c r="A644" t="s">
        <v>1396</v>
      </c>
      <c r="B644" s="2">
        <v>46136</v>
      </c>
      <c r="C644" t="s">
        <v>1367</v>
      </c>
      <c r="D644" s="3" t="s">
        <v>66</v>
      </c>
      <c r="E644" t="s">
        <v>25</v>
      </c>
      <c r="F644" t="s">
        <v>17</v>
      </c>
      <c r="G644" t="s">
        <v>18</v>
      </c>
      <c r="H644" s="8">
        <v>2</v>
      </c>
      <c r="I644" s="10">
        <v>116.1</v>
      </c>
      <c r="J644" s="14">
        <f>P644*I644</f>
        <v>232.2</v>
      </c>
      <c r="K644" s="16">
        <v>0.52</v>
      </c>
      <c r="L644" s="1" t="s">
        <v>30</v>
      </c>
      <c r="M644" t="s">
        <v>22</v>
      </c>
      <c r="N644" t="str">
        <f t="shared" si="13"/>
        <v>Gb</v>
      </c>
      <c r="O644" s="8">
        <f>IF(K644&gt;=1,K644,K644*1000)</f>
        <v>520</v>
      </c>
      <c r="P644">
        <f>ABS(H644)</f>
        <v>2</v>
      </c>
      <c r="R644"/>
    </row>
    <row r="645" spans="1:18" x14ac:dyDescent="0.35">
      <c r="A645" t="s">
        <v>1397</v>
      </c>
      <c r="B645" s="2" t="s">
        <v>1398</v>
      </c>
      <c r="C645" t="s">
        <v>1399</v>
      </c>
      <c r="D645" s="3" t="s">
        <v>61</v>
      </c>
      <c r="E645" t="s">
        <v>34</v>
      </c>
      <c r="F645" t="s">
        <v>89</v>
      </c>
      <c r="G645" t="s">
        <v>90</v>
      </c>
      <c r="H645" s="8">
        <v>1</v>
      </c>
      <c r="I645" s="10">
        <v>95</v>
      </c>
      <c r="J645" s="14">
        <f>P645*I645</f>
        <v>95</v>
      </c>
      <c r="K645" s="16">
        <v>640</v>
      </c>
      <c r="L645" s="1" t="s">
        <v>30</v>
      </c>
      <c r="M645" t="s">
        <v>58</v>
      </c>
      <c r="N645" t="str">
        <f t="shared" si="13"/>
        <v>Ireland</v>
      </c>
      <c r="O645" s="8">
        <f>IF(K645&gt;=1,K645,K645*1000)</f>
        <v>640</v>
      </c>
      <c r="P645">
        <f>ABS(H645)</f>
        <v>1</v>
      </c>
      <c r="R645"/>
    </row>
    <row r="646" spans="1:18" x14ac:dyDescent="0.35">
      <c r="A646" t="s">
        <v>1400</v>
      </c>
      <c r="B646" s="2">
        <v>46040</v>
      </c>
      <c r="C646" t="s">
        <v>1401</v>
      </c>
      <c r="D646" s="3" t="s">
        <v>61</v>
      </c>
      <c r="E646" t="s">
        <v>25</v>
      </c>
      <c r="F646" t="s">
        <v>47</v>
      </c>
      <c r="G646" t="s">
        <v>48</v>
      </c>
      <c r="H646" s="8">
        <v>3</v>
      </c>
      <c r="I646" s="10">
        <v>89</v>
      </c>
      <c r="J646" s="14">
        <f>P646*I646</f>
        <v>267</v>
      </c>
      <c r="K646" s="16">
        <v>380</v>
      </c>
      <c r="L646" s="1" t="s">
        <v>21</v>
      </c>
      <c r="M646" t="s">
        <v>58</v>
      </c>
      <c r="N646" t="str">
        <f t="shared" si="13"/>
        <v>Ireland</v>
      </c>
      <c r="O646" s="8">
        <f>IF(K646&gt;=1,K646,K646*1000)</f>
        <v>380</v>
      </c>
      <c r="P646">
        <f>ABS(H646)</f>
        <v>3</v>
      </c>
      <c r="R646"/>
    </row>
    <row r="647" spans="1:18" x14ac:dyDescent="0.35">
      <c r="A647" t="s">
        <v>1402</v>
      </c>
      <c r="B647" s="2">
        <v>46109</v>
      </c>
      <c r="C647" t="s">
        <v>1403</v>
      </c>
      <c r="D647" s="3" t="s">
        <v>99</v>
      </c>
      <c r="E647" t="s">
        <v>41</v>
      </c>
      <c r="F647" t="s">
        <v>35</v>
      </c>
      <c r="G647" t="s">
        <v>36</v>
      </c>
      <c r="H647" s="8">
        <v>-1</v>
      </c>
      <c r="I647" s="10">
        <v>95</v>
      </c>
      <c r="J647" s="14">
        <f>P647*I647</f>
        <v>95</v>
      </c>
      <c r="K647" s="16">
        <v>85</v>
      </c>
      <c r="L647" s="1" t="s">
        <v>30</v>
      </c>
      <c r="M647" t="s">
        <v>22</v>
      </c>
      <c r="N647" t="str">
        <f t="shared" si="13"/>
        <v>United Kingdom</v>
      </c>
      <c r="O647" s="8">
        <f>IF(K647&gt;=1,K647,K647*1000)</f>
        <v>85</v>
      </c>
      <c r="P647">
        <f>ABS(H647)</f>
        <v>1</v>
      </c>
      <c r="R647"/>
    </row>
    <row r="648" spans="1:18" x14ac:dyDescent="0.35">
      <c r="A648" t="s">
        <v>1405</v>
      </c>
      <c r="B648" s="2">
        <v>46163</v>
      </c>
      <c r="C648" t="s">
        <v>1356</v>
      </c>
      <c r="D648" s="3" t="s">
        <v>4613</v>
      </c>
      <c r="E648" t="s">
        <v>16</v>
      </c>
      <c r="F648" t="s">
        <v>89</v>
      </c>
      <c r="G648" t="s">
        <v>90</v>
      </c>
      <c r="H648" s="8">
        <v>1</v>
      </c>
      <c r="I648" s="10">
        <v>71.099999999999994</v>
      </c>
      <c r="J648" s="14">
        <f>P648*I648</f>
        <v>71.099999999999994</v>
      </c>
      <c r="K648" s="16">
        <v>0.64</v>
      </c>
      <c r="L648" s="1" t="s">
        <v>30</v>
      </c>
      <c r="M648" t="s">
        <v>22</v>
      </c>
      <c r="N648" t="str">
        <f t="shared" si="13"/>
        <v>United Kingdom</v>
      </c>
      <c r="O648" s="8">
        <f>IF(K648&gt;=1,K648,K648*1000)</f>
        <v>640</v>
      </c>
      <c r="P648">
        <f>ABS(H648)</f>
        <v>1</v>
      </c>
      <c r="R648"/>
    </row>
    <row r="649" spans="1:18" x14ac:dyDescent="0.35">
      <c r="A649" t="s">
        <v>1406</v>
      </c>
      <c r="B649" s="2">
        <v>46097</v>
      </c>
      <c r="C649" t="s">
        <v>1407</v>
      </c>
      <c r="D649" s="3" t="s">
        <v>4613</v>
      </c>
      <c r="E649" t="s">
        <v>67</v>
      </c>
      <c r="F649" t="s">
        <v>35</v>
      </c>
      <c r="G649" t="s">
        <v>36</v>
      </c>
      <c r="H649" s="8">
        <v>2</v>
      </c>
      <c r="I649" s="10">
        <v>85.5</v>
      </c>
      <c r="J649" s="14">
        <f>P649*I649</f>
        <v>171</v>
      </c>
      <c r="K649" s="16">
        <v>85</v>
      </c>
      <c r="L649" s="1" t="s">
        <v>30</v>
      </c>
      <c r="M649" t="s">
        <v>22</v>
      </c>
      <c r="N649" t="str">
        <f t="shared" si="13"/>
        <v>United Kingdom</v>
      </c>
      <c r="O649" s="8">
        <f>IF(K649&gt;=1,K649,K649*1000)</f>
        <v>85</v>
      </c>
      <c r="P649">
        <f>ABS(H649)</f>
        <v>2</v>
      </c>
      <c r="R649"/>
    </row>
    <row r="650" spans="1:18" x14ac:dyDescent="0.35">
      <c r="A650" t="s">
        <v>1408</v>
      </c>
      <c r="B650" s="2">
        <v>46056</v>
      </c>
      <c r="C650" t="s">
        <v>1409</v>
      </c>
      <c r="D650" s="3" t="s">
        <v>46</v>
      </c>
      <c r="E650" t="s">
        <v>16</v>
      </c>
      <c r="F650" t="s">
        <v>89</v>
      </c>
      <c r="G650" t="s">
        <v>90</v>
      </c>
      <c r="H650" s="8">
        <v>2</v>
      </c>
      <c r="I650" s="10">
        <v>149</v>
      </c>
      <c r="J650" s="14">
        <f>P650*I650</f>
        <v>298</v>
      </c>
      <c r="K650" s="16">
        <v>640</v>
      </c>
      <c r="L650" s="1" t="s">
        <v>21</v>
      </c>
      <c r="M650" t="s">
        <v>22</v>
      </c>
      <c r="N650" t="str">
        <f t="shared" si="13"/>
        <v>Ireland</v>
      </c>
      <c r="O650" s="8">
        <f>IF(K650&gt;=1,K650,K650*1000)</f>
        <v>640</v>
      </c>
      <c r="P650">
        <f>ABS(H650)</f>
        <v>2</v>
      </c>
      <c r="R650"/>
    </row>
    <row r="651" spans="1:18" x14ac:dyDescent="0.35">
      <c r="A651" t="s">
        <v>1410</v>
      </c>
      <c r="B651" s="2">
        <v>46091</v>
      </c>
      <c r="C651" t="s">
        <v>1411</v>
      </c>
      <c r="D651" s="3" t="s">
        <v>61</v>
      </c>
      <c r="E651" t="s">
        <v>67</v>
      </c>
      <c r="F651" t="s">
        <v>35</v>
      </c>
      <c r="G651" t="s">
        <v>36</v>
      </c>
      <c r="H651" s="8">
        <v>2</v>
      </c>
      <c r="I651" s="10">
        <v>95</v>
      </c>
      <c r="J651" s="14">
        <f>P651*I651</f>
        <v>190</v>
      </c>
      <c r="K651" s="16">
        <v>85</v>
      </c>
      <c r="L651" s="1" t="s">
        <v>30</v>
      </c>
      <c r="M651" t="s">
        <v>22</v>
      </c>
      <c r="N651" t="str">
        <f t="shared" si="13"/>
        <v>Ireland</v>
      </c>
      <c r="O651" s="8">
        <f>IF(K651&gt;=1,K651,K651*1000)</f>
        <v>85</v>
      </c>
      <c r="P651">
        <f>ABS(H651)</f>
        <v>2</v>
      </c>
      <c r="R651"/>
    </row>
    <row r="652" spans="1:18" x14ac:dyDescent="0.35">
      <c r="A652" t="s">
        <v>1412</v>
      </c>
      <c r="B652" s="2">
        <v>46029</v>
      </c>
      <c r="C652" t="s">
        <v>990</v>
      </c>
      <c r="D652" s="3" t="s">
        <v>4612</v>
      </c>
      <c r="E652" t="s">
        <v>34</v>
      </c>
      <c r="F652" t="s">
        <v>35</v>
      </c>
      <c r="G652" t="s">
        <v>36</v>
      </c>
      <c r="H652" s="8">
        <v>3</v>
      </c>
      <c r="I652" s="10">
        <v>129</v>
      </c>
      <c r="J652" s="14">
        <f>P652*I652</f>
        <v>387</v>
      </c>
      <c r="K652" s="16">
        <v>85</v>
      </c>
      <c r="L652" s="1" t="s">
        <v>30</v>
      </c>
      <c r="M652" t="s">
        <v>22</v>
      </c>
      <c r="N652" t="str">
        <f t="shared" si="13"/>
        <v>United Kingdom</v>
      </c>
      <c r="O652" s="8">
        <f>IF(K652&gt;=1,K652,K652*1000)</f>
        <v>85</v>
      </c>
      <c r="P652">
        <f>ABS(H652)</f>
        <v>3</v>
      </c>
      <c r="R652"/>
    </row>
    <row r="653" spans="1:18" x14ac:dyDescent="0.35">
      <c r="A653" t="s">
        <v>1413</v>
      </c>
      <c r="B653" s="2" t="s">
        <v>1414</v>
      </c>
      <c r="C653" t="s">
        <v>1415</v>
      </c>
      <c r="D653" s="3" t="s">
        <v>4612</v>
      </c>
      <c r="E653" t="s">
        <v>25</v>
      </c>
      <c r="F653" t="s">
        <v>83</v>
      </c>
      <c r="G653" t="s">
        <v>84</v>
      </c>
      <c r="H653" s="8">
        <v>1</v>
      </c>
      <c r="I653" s="12" t="s">
        <v>4627</v>
      </c>
      <c r="J653" s="14">
        <f>P653*R653</f>
        <v>95</v>
      </c>
      <c r="K653" s="16">
        <v>0.34</v>
      </c>
      <c r="L653" s="1" t="s">
        <v>21</v>
      </c>
      <c r="M653" t="s">
        <v>58</v>
      </c>
      <c r="N653" t="str">
        <f t="shared" si="13"/>
        <v>United Kingdom</v>
      </c>
      <c r="O653" s="8">
        <f>IF(K653&gt;=1,K653,K653*1000)</f>
        <v>340</v>
      </c>
      <c r="P653">
        <f>ABS(H653)</f>
        <v>1</v>
      </c>
      <c r="Q653" t="str">
        <f>LEFT(I653,3)</f>
        <v>GBP</v>
      </c>
      <c r="R653" s="10" t="str">
        <f>RIGHT(I653,5)</f>
        <v>95,00</v>
      </c>
    </row>
    <row r="654" spans="1:18" x14ac:dyDescent="0.35">
      <c r="A654" t="s">
        <v>1416</v>
      </c>
      <c r="B654" s="2">
        <v>46026</v>
      </c>
      <c r="C654" t="s">
        <v>1417</v>
      </c>
      <c r="D654" s="3" t="s">
        <v>46</v>
      </c>
      <c r="E654" t="s">
        <v>16</v>
      </c>
      <c r="F654" t="s">
        <v>26</v>
      </c>
      <c r="G654" t="s">
        <v>27</v>
      </c>
      <c r="H654" s="8">
        <v>1</v>
      </c>
      <c r="I654" s="10">
        <v>24</v>
      </c>
      <c r="J654" s="14">
        <f>P654*I654</f>
        <v>24</v>
      </c>
      <c r="K654" s="16">
        <v>520</v>
      </c>
      <c r="L654" s="1" t="s">
        <v>30</v>
      </c>
      <c r="M654" t="s">
        <v>22</v>
      </c>
      <c r="N654" t="str">
        <f t="shared" si="13"/>
        <v>Ireland</v>
      </c>
      <c r="O654" s="8">
        <f>IF(K654&gt;=1,K654,K654*1000)</f>
        <v>520</v>
      </c>
      <c r="P654">
        <f>ABS(H654)</f>
        <v>1</v>
      </c>
      <c r="R654"/>
    </row>
    <row r="655" spans="1:18" x14ac:dyDescent="0.35">
      <c r="A655" t="s">
        <v>1418</v>
      </c>
      <c r="B655" s="2">
        <v>46133</v>
      </c>
      <c r="C655" t="s">
        <v>1028</v>
      </c>
      <c r="D655" s="3" t="s">
        <v>53</v>
      </c>
      <c r="E655" t="s">
        <v>67</v>
      </c>
      <c r="F655" t="s">
        <v>17</v>
      </c>
      <c r="G655" t="s">
        <v>18</v>
      </c>
      <c r="H655" s="8">
        <v>1</v>
      </c>
      <c r="I655" s="12" t="s">
        <v>4644</v>
      </c>
      <c r="J655" s="14">
        <f>P655*R655</f>
        <v>79</v>
      </c>
      <c r="K655" s="16">
        <v>0.52</v>
      </c>
      <c r="L655" s="1" t="s">
        <v>30</v>
      </c>
      <c r="M655" t="s">
        <v>22</v>
      </c>
      <c r="N655" t="str">
        <f t="shared" si="13"/>
        <v>Gb</v>
      </c>
      <c r="O655" s="8">
        <f>IF(K655&gt;=1,K655,K655*1000)</f>
        <v>520</v>
      </c>
      <c r="P655">
        <f>ABS(H655)</f>
        <v>1</v>
      </c>
      <c r="Q655" t="str">
        <f>LEFT(I655,3)</f>
        <v>GBP</v>
      </c>
      <c r="R655" s="10" t="str">
        <f>RIGHT(I655,5)</f>
        <v>79,00</v>
      </c>
    </row>
    <row r="656" spans="1:18" x14ac:dyDescent="0.35">
      <c r="A656" t="s">
        <v>1420</v>
      </c>
      <c r="B656" s="2" t="s">
        <v>1294</v>
      </c>
      <c r="C656" t="s">
        <v>996</v>
      </c>
      <c r="D656" s="3" t="s">
        <v>99</v>
      </c>
      <c r="E656" t="s">
        <v>67</v>
      </c>
      <c r="F656" t="s">
        <v>42</v>
      </c>
      <c r="G656" t="s">
        <v>43</v>
      </c>
      <c r="H656" s="8">
        <v>1</v>
      </c>
      <c r="I656" s="10">
        <v>149</v>
      </c>
      <c r="J656" s="14">
        <f>P656*I656</f>
        <v>149</v>
      </c>
      <c r="K656" s="16">
        <v>0.19</v>
      </c>
      <c r="L656" s="1" t="s">
        <v>30</v>
      </c>
      <c r="M656" t="s">
        <v>22</v>
      </c>
      <c r="N656" t="str">
        <f t="shared" si="13"/>
        <v>United Kingdom</v>
      </c>
      <c r="O656" s="8">
        <f>IF(K656&gt;=1,K656,K656*1000)</f>
        <v>190</v>
      </c>
      <c r="P656">
        <f>ABS(H656)</f>
        <v>1</v>
      </c>
      <c r="R656"/>
    </row>
    <row r="657" spans="1:18" x14ac:dyDescent="0.35">
      <c r="A657" t="s">
        <v>1421</v>
      </c>
      <c r="B657" s="2">
        <v>46171</v>
      </c>
      <c r="C657" t="s">
        <v>1422</v>
      </c>
      <c r="D657" s="3" t="s">
        <v>4613</v>
      </c>
      <c r="E657" t="s">
        <v>34</v>
      </c>
      <c r="F657" t="s">
        <v>74</v>
      </c>
      <c r="G657" t="s">
        <v>75</v>
      </c>
      <c r="H657" s="8">
        <v>2</v>
      </c>
      <c r="I657" s="10">
        <v>89</v>
      </c>
      <c r="J657" s="14">
        <f>P657*I657</f>
        <v>178</v>
      </c>
      <c r="K657" s="16">
        <v>0.41</v>
      </c>
      <c r="L657" s="1" t="s">
        <v>30</v>
      </c>
      <c r="M657" t="s">
        <v>22</v>
      </c>
      <c r="N657" t="str">
        <f t="shared" si="13"/>
        <v>United Kingdom</v>
      </c>
      <c r="O657" s="8">
        <f>IF(K657&gt;=1,K657,K657*1000)</f>
        <v>410</v>
      </c>
      <c r="P657">
        <f>ABS(H657)</f>
        <v>2</v>
      </c>
      <c r="R657"/>
    </row>
    <row r="658" spans="1:18" x14ac:dyDescent="0.35">
      <c r="A658" t="s">
        <v>1423</v>
      </c>
      <c r="B658" s="2">
        <v>46149</v>
      </c>
      <c r="C658" t="s">
        <v>1424</v>
      </c>
      <c r="D658" s="3" t="s">
        <v>99</v>
      </c>
      <c r="E658" t="s">
        <v>41</v>
      </c>
      <c r="F658" t="s">
        <v>47</v>
      </c>
      <c r="G658" t="s">
        <v>48</v>
      </c>
      <c r="H658" s="8">
        <v>1</v>
      </c>
      <c r="I658" s="10">
        <v>40.5</v>
      </c>
      <c r="J658" s="14">
        <f>P658*I658</f>
        <v>40.5</v>
      </c>
      <c r="K658" s="16">
        <v>0.38</v>
      </c>
      <c r="L658" s="1" t="s">
        <v>30</v>
      </c>
      <c r="M658" t="s">
        <v>22</v>
      </c>
      <c r="N658" t="str">
        <f t="shared" si="13"/>
        <v>United Kingdom</v>
      </c>
      <c r="O658" s="8">
        <f>IF(K658&gt;=1,K658,K658*1000)</f>
        <v>380</v>
      </c>
      <c r="P658">
        <f>ABS(H658)</f>
        <v>1</v>
      </c>
      <c r="R658"/>
    </row>
    <row r="659" spans="1:18" x14ac:dyDescent="0.35">
      <c r="A659" t="s">
        <v>1426</v>
      </c>
      <c r="B659" s="2">
        <v>46121</v>
      </c>
      <c r="C659" t="s">
        <v>543</v>
      </c>
      <c r="D659" s="3" t="s">
        <v>4613</v>
      </c>
      <c r="E659" t="s">
        <v>67</v>
      </c>
      <c r="F659" t="s">
        <v>74</v>
      </c>
      <c r="G659" t="s">
        <v>75</v>
      </c>
      <c r="H659" s="8">
        <v>1</v>
      </c>
      <c r="I659" s="10">
        <v>79</v>
      </c>
      <c r="J659" s="14">
        <f>P659*I659</f>
        <v>79</v>
      </c>
      <c r="K659" s="16">
        <v>410</v>
      </c>
      <c r="L659" s="1" t="s">
        <v>30</v>
      </c>
      <c r="M659" t="s">
        <v>22</v>
      </c>
      <c r="N659" t="str">
        <f t="shared" si="13"/>
        <v>United Kingdom</v>
      </c>
      <c r="O659" s="8">
        <f>IF(K659&gt;=1,K659,K659*1000)</f>
        <v>410</v>
      </c>
      <c r="P659">
        <f>ABS(H659)</f>
        <v>1</v>
      </c>
      <c r="R659"/>
    </row>
    <row r="660" spans="1:18" x14ac:dyDescent="0.35">
      <c r="A660" t="s">
        <v>1427</v>
      </c>
      <c r="B660" s="2">
        <v>46190</v>
      </c>
      <c r="C660" t="s">
        <v>1428</v>
      </c>
      <c r="D660" s="3" t="s">
        <v>46</v>
      </c>
      <c r="E660" t="s">
        <v>34</v>
      </c>
      <c r="F660" t="s">
        <v>89</v>
      </c>
      <c r="G660" t="s">
        <v>90</v>
      </c>
      <c r="H660" s="8">
        <v>1</v>
      </c>
      <c r="I660" s="12" t="s">
        <v>4625</v>
      </c>
      <c r="J660" s="14">
        <f>P660*R660</f>
        <v>71.099999999999994</v>
      </c>
      <c r="K660" s="16">
        <v>0.64</v>
      </c>
      <c r="L660" s="1" t="s">
        <v>30</v>
      </c>
      <c r="M660" t="s">
        <v>22</v>
      </c>
      <c r="N660" t="str">
        <f t="shared" si="13"/>
        <v>Ireland</v>
      </c>
      <c r="O660" s="8">
        <f>IF(K660&gt;=1,K660,K660*1000)</f>
        <v>640</v>
      </c>
      <c r="P660">
        <f>ABS(H660)</f>
        <v>1</v>
      </c>
      <c r="Q660" t="str">
        <f>LEFT(I660,2)</f>
        <v>Â£</v>
      </c>
      <c r="R660" t="str">
        <f>RIGHT(I660,5)</f>
        <v>71,10</v>
      </c>
    </row>
    <row r="661" spans="1:18" x14ac:dyDescent="0.35">
      <c r="A661" t="s">
        <v>1429</v>
      </c>
      <c r="B661" s="2" t="s">
        <v>1430</v>
      </c>
      <c r="C661" t="s">
        <v>1431</v>
      </c>
      <c r="D661" s="3" t="s">
        <v>99</v>
      </c>
      <c r="E661" t="s">
        <v>16</v>
      </c>
      <c r="F661" t="s">
        <v>17</v>
      </c>
      <c r="G661" t="s">
        <v>18</v>
      </c>
      <c r="H661" s="8">
        <v>1</v>
      </c>
      <c r="I661" s="10">
        <v>12.5</v>
      </c>
      <c r="J661" s="14">
        <f>P661*I661</f>
        <v>12.5</v>
      </c>
      <c r="K661" s="16">
        <v>0.52</v>
      </c>
      <c r="L661" s="1" t="s">
        <v>21</v>
      </c>
      <c r="M661" t="s">
        <v>22</v>
      </c>
      <c r="N661" t="str">
        <f t="shared" si="13"/>
        <v>United Kingdom</v>
      </c>
      <c r="O661" s="8">
        <f>IF(K661&gt;=1,K661,K661*1000)</f>
        <v>520</v>
      </c>
      <c r="P661">
        <f>ABS(H661)</f>
        <v>1</v>
      </c>
      <c r="R661"/>
    </row>
    <row r="662" spans="1:18" x14ac:dyDescent="0.35">
      <c r="A662" t="s">
        <v>1432</v>
      </c>
      <c r="B662" s="2">
        <v>46062</v>
      </c>
      <c r="C662" t="s">
        <v>1433</v>
      </c>
      <c r="D662" s="3" t="s">
        <v>15</v>
      </c>
      <c r="E662" t="s">
        <v>16</v>
      </c>
      <c r="F662" t="s">
        <v>89</v>
      </c>
      <c r="G662" t="s">
        <v>90</v>
      </c>
      <c r="H662" s="8">
        <v>1</v>
      </c>
      <c r="I662" s="10">
        <v>95</v>
      </c>
      <c r="J662" s="14">
        <f>P662*I662</f>
        <v>95</v>
      </c>
      <c r="K662" s="16">
        <v>640</v>
      </c>
      <c r="L662" s="1" t="s">
        <v>21</v>
      </c>
      <c r="M662" t="s">
        <v>22</v>
      </c>
      <c r="N662" t="str">
        <f t="shared" si="13"/>
        <v>France</v>
      </c>
      <c r="O662" s="8">
        <f>IF(K662&gt;=1,K662,K662*1000)</f>
        <v>640</v>
      </c>
      <c r="P662">
        <f>ABS(H662)</f>
        <v>1</v>
      </c>
      <c r="R662"/>
    </row>
    <row r="663" spans="1:18" x14ac:dyDescent="0.35">
      <c r="A663" t="s">
        <v>1434</v>
      </c>
      <c r="B663" s="2">
        <v>46105</v>
      </c>
      <c r="C663" t="s">
        <v>1435</v>
      </c>
      <c r="D663" s="3" t="s">
        <v>4612</v>
      </c>
      <c r="E663" t="s">
        <v>16</v>
      </c>
      <c r="F663" t="s">
        <v>89</v>
      </c>
      <c r="G663" t="s">
        <v>90</v>
      </c>
      <c r="H663" s="8">
        <v>2</v>
      </c>
      <c r="I663" s="10">
        <v>89</v>
      </c>
      <c r="J663" s="14">
        <f>P663*I663</f>
        <v>178</v>
      </c>
      <c r="K663" s="16">
        <v>640</v>
      </c>
      <c r="L663" s="1" t="s">
        <v>21</v>
      </c>
      <c r="M663" t="s">
        <v>22</v>
      </c>
      <c r="N663" t="str">
        <f t="shared" si="13"/>
        <v>United Kingdom</v>
      </c>
      <c r="O663" s="8">
        <f>IF(K663&gt;=1,K663,K663*1000)</f>
        <v>640</v>
      </c>
      <c r="P663">
        <f>ABS(H663)</f>
        <v>2</v>
      </c>
      <c r="R663"/>
    </row>
    <row r="664" spans="1:18" x14ac:dyDescent="0.35">
      <c r="A664" t="s">
        <v>1436</v>
      </c>
      <c r="B664" s="2">
        <v>46131</v>
      </c>
      <c r="C664" t="s">
        <v>1437</v>
      </c>
      <c r="D664" s="3" t="s">
        <v>53</v>
      </c>
      <c r="E664" t="s">
        <v>67</v>
      </c>
      <c r="F664" t="s">
        <v>74</v>
      </c>
      <c r="G664" t="s">
        <v>75</v>
      </c>
      <c r="H664" s="8">
        <v>1</v>
      </c>
      <c r="I664" s="10">
        <v>129</v>
      </c>
      <c r="J664" s="14">
        <f>P664*I664</f>
        <v>129</v>
      </c>
      <c r="K664" s="16">
        <v>410</v>
      </c>
      <c r="L664" s="1" t="s">
        <v>30</v>
      </c>
      <c r="M664" t="s">
        <v>22</v>
      </c>
      <c r="N664" t="str">
        <f t="shared" si="13"/>
        <v>Gb</v>
      </c>
      <c r="O664" s="8">
        <f>IF(K664&gt;=1,K664,K664*1000)</f>
        <v>410</v>
      </c>
      <c r="P664">
        <f>ABS(H664)</f>
        <v>1</v>
      </c>
      <c r="R664"/>
    </row>
    <row r="665" spans="1:18" x14ac:dyDescent="0.35">
      <c r="A665" t="s">
        <v>1438</v>
      </c>
      <c r="B665" s="2" t="s">
        <v>1439</v>
      </c>
      <c r="C665" t="s">
        <v>1440</v>
      </c>
      <c r="D665" s="3" t="s">
        <v>61</v>
      </c>
      <c r="E665" t="s">
        <v>16</v>
      </c>
      <c r="F665" t="s">
        <v>47</v>
      </c>
      <c r="G665" t="s">
        <v>48</v>
      </c>
      <c r="H665" s="8">
        <v>2</v>
      </c>
      <c r="I665" s="10">
        <v>12.5</v>
      </c>
      <c r="J665" s="14">
        <f>P665*I665</f>
        <v>25</v>
      </c>
      <c r="K665" s="16">
        <v>380</v>
      </c>
      <c r="L665" s="1" t="s">
        <v>21</v>
      </c>
      <c r="M665" t="s">
        <v>22</v>
      </c>
      <c r="N665" t="str">
        <f t="shared" si="13"/>
        <v>Ireland</v>
      </c>
      <c r="O665" s="8">
        <f>IF(K665&gt;=1,K665,K665*1000)</f>
        <v>380</v>
      </c>
      <c r="P665">
        <f>ABS(H665)</f>
        <v>2</v>
      </c>
      <c r="R665"/>
    </row>
    <row r="666" spans="1:18" x14ac:dyDescent="0.35">
      <c r="A666" t="s">
        <v>1441</v>
      </c>
      <c r="B666" s="2">
        <v>46128</v>
      </c>
      <c r="C666" t="s">
        <v>1442</v>
      </c>
      <c r="D666" s="3" t="s">
        <v>99</v>
      </c>
      <c r="E666" t="s">
        <v>34</v>
      </c>
      <c r="F666" t="s">
        <v>47</v>
      </c>
      <c r="G666" t="s">
        <v>48</v>
      </c>
      <c r="H666" s="8">
        <v>3</v>
      </c>
      <c r="I666" s="10">
        <v>21.6</v>
      </c>
      <c r="J666" s="14">
        <f>P666*I666</f>
        <v>64.800000000000011</v>
      </c>
      <c r="K666" s="16">
        <v>380</v>
      </c>
      <c r="L666" s="1" t="s">
        <v>21</v>
      </c>
      <c r="M666" t="s">
        <v>22</v>
      </c>
      <c r="N666" t="str">
        <f t="shared" si="13"/>
        <v>United Kingdom</v>
      </c>
      <c r="O666" s="8">
        <f>IF(K666&gt;=1,K666,K666*1000)</f>
        <v>380</v>
      </c>
      <c r="P666">
        <f>ABS(H666)</f>
        <v>3</v>
      </c>
      <c r="R666"/>
    </row>
    <row r="667" spans="1:18" x14ac:dyDescent="0.35">
      <c r="A667" t="s">
        <v>1443</v>
      </c>
      <c r="B667" s="2">
        <v>46087</v>
      </c>
      <c r="C667" t="s">
        <v>1335</v>
      </c>
      <c r="D667" s="3" t="s">
        <v>4613</v>
      </c>
      <c r="E667" t="s">
        <v>34</v>
      </c>
      <c r="F667" t="s">
        <v>47</v>
      </c>
      <c r="G667" t="s">
        <v>48</v>
      </c>
      <c r="H667" s="8">
        <v>1</v>
      </c>
      <c r="I667" s="12" t="s">
        <v>4631</v>
      </c>
      <c r="J667" s="14">
        <f>P667*R667</f>
        <v>79</v>
      </c>
      <c r="K667" s="16">
        <v>380</v>
      </c>
      <c r="L667" s="1" t="s">
        <v>30</v>
      </c>
      <c r="M667" t="s">
        <v>22</v>
      </c>
      <c r="N667" t="str">
        <f t="shared" si="13"/>
        <v>United Kingdom</v>
      </c>
      <c r="O667" s="8">
        <f>IF(K667&gt;=1,K667,K667*1000)</f>
        <v>380</v>
      </c>
      <c r="P667">
        <f>ABS(H667)</f>
        <v>1</v>
      </c>
      <c r="Q667" t="str">
        <f>LEFT(I667,2)</f>
        <v>Â£</v>
      </c>
      <c r="R667" t="str">
        <f>RIGHT(I667,5)</f>
        <v>79,00</v>
      </c>
    </row>
    <row r="668" spans="1:18" x14ac:dyDescent="0.35">
      <c r="A668" t="s">
        <v>1444</v>
      </c>
      <c r="B668" s="2">
        <v>46178</v>
      </c>
      <c r="C668" t="s">
        <v>1356</v>
      </c>
      <c r="D668" s="3" t="s">
        <v>61</v>
      </c>
      <c r="E668" t="s">
        <v>67</v>
      </c>
      <c r="F668" t="s">
        <v>47</v>
      </c>
      <c r="G668" t="s">
        <v>48</v>
      </c>
      <c r="H668" s="8">
        <v>1</v>
      </c>
      <c r="I668" s="10">
        <v>89</v>
      </c>
      <c r="J668" s="14">
        <f>P668*I668</f>
        <v>89</v>
      </c>
      <c r="K668" s="16">
        <v>0.38</v>
      </c>
      <c r="L668" s="1" t="s">
        <v>30</v>
      </c>
      <c r="M668" t="s">
        <v>22</v>
      </c>
      <c r="N668" t="str">
        <f t="shared" si="13"/>
        <v>Ireland</v>
      </c>
      <c r="O668" s="8">
        <f>IF(K668&gt;=1,K668,K668*1000)</f>
        <v>380</v>
      </c>
      <c r="P668">
        <f>ABS(H668)</f>
        <v>1</v>
      </c>
      <c r="R668"/>
    </row>
    <row r="669" spans="1:18" x14ac:dyDescent="0.35">
      <c r="A669" t="s">
        <v>1446</v>
      </c>
      <c r="B669" s="2">
        <v>46142</v>
      </c>
      <c r="C669" t="s">
        <v>1447</v>
      </c>
      <c r="D669" s="3" t="s">
        <v>4613</v>
      </c>
      <c r="E669" t="s">
        <v>67</v>
      </c>
      <c r="F669" t="s">
        <v>42</v>
      </c>
      <c r="G669" t="s">
        <v>43</v>
      </c>
      <c r="H669" s="8">
        <v>1</v>
      </c>
      <c r="I669" s="10">
        <v>40.5</v>
      </c>
      <c r="J669" s="14">
        <f>P669*I669</f>
        <v>40.5</v>
      </c>
      <c r="K669" s="16">
        <v>0.19</v>
      </c>
      <c r="L669" s="1" t="s">
        <v>30</v>
      </c>
      <c r="M669" t="s">
        <v>58</v>
      </c>
      <c r="N669" t="str">
        <f t="shared" si="13"/>
        <v>United Kingdom</v>
      </c>
      <c r="O669" s="8">
        <f>IF(K669&gt;=1,K669,K669*1000)</f>
        <v>190</v>
      </c>
      <c r="P669">
        <f>ABS(H669)</f>
        <v>1</v>
      </c>
      <c r="R669"/>
    </row>
    <row r="670" spans="1:18" x14ac:dyDescent="0.35">
      <c r="A670" t="s">
        <v>1448</v>
      </c>
      <c r="B670" s="2">
        <v>46047</v>
      </c>
      <c r="C670" t="s">
        <v>1449</v>
      </c>
      <c r="D670" s="3" t="s">
        <v>99</v>
      </c>
      <c r="E670" t="s">
        <v>16</v>
      </c>
      <c r="F670" t="s">
        <v>42</v>
      </c>
      <c r="G670" t="s">
        <v>43</v>
      </c>
      <c r="H670" s="8">
        <v>1</v>
      </c>
      <c r="I670" s="10">
        <v>149</v>
      </c>
      <c r="J670" s="14">
        <f>P670*I670</f>
        <v>149</v>
      </c>
      <c r="K670" s="16">
        <v>190</v>
      </c>
      <c r="L670" s="1" t="s">
        <v>30</v>
      </c>
      <c r="M670" t="s">
        <v>22</v>
      </c>
      <c r="N670" t="str">
        <f t="shared" si="13"/>
        <v>United Kingdom</v>
      </c>
      <c r="O670" s="8">
        <f>IF(K670&gt;=1,K670,K670*1000)</f>
        <v>190</v>
      </c>
      <c r="P670">
        <f>ABS(H670)</f>
        <v>1</v>
      </c>
      <c r="R670"/>
    </row>
    <row r="671" spans="1:18" x14ac:dyDescent="0.35">
      <c r="A671" t="s">
        <v>1450</v>
      </c>
      <c r="B671" s="2">
        <v>46127</v>
      </c>
      <c r="C671" t="s">
        <v>1451</v>
      </c>
      <c r="D671" s="3" t="s">
        <v>46</v>
      </c>
      <c r="E671" t="s">
        <v>41</v>
      </c>
      <c r="F671" t="s">
        <v>26</v>
      </c>
      <c r="G671" t="s">
        <v>27</v>
      </c>
      <c r="H671" s="8">
        <v>1</v>
      </c>
      <c r="I671" s="10">
        <v>95</v>
      </c>
      <c r="J671" s="14">
        <f>P671*I671</f>
        <v>95</v>
      </c>
      <c r="K671" s="16">
        <v>520</v>
      </c>
      <c r="L671" s="1" t="s">
        <v>21</v>
      </c>
      <c r="M671" t="s">
        <v>22</v>
      </c>
      <c r="N671" t="str">
        <f t="shared" si="13"/>
        <v>Ireland</v>
      </c>
      <c r="O671" s="8">
        <f>IF(K671&gt;=1,K671,K671*1000)</f>
        <v>520</v>
      </c>
      <c r="P671">
        <f>ABS(H671)</f>
        <v>1</v>
      </c>
      <c r="R671"/>
    </row>
    <row r="672" spans="1:18" x14ac:dyDescent="0.35">
      <c r="A672" t="s">
        <v>1452</v>
      </c>
      <c r="B672" s="2">
        <v>46185</v>
      </c>
      <c r="C672" t="s">
        <v>1227</v>
      </c>
      <c r="D672" s="3" t="s">
        <v>46</v>
      </c>
      <c r="E672" t="s">
        <v>25</v>
      </c>
      <c r="F672" t="s">
        <v>17</v>
      </c>
      <c r="G672" t="s">
        <v>18</v>
      </c>
      <c r="H672" s="8">
        <v>2</v>
      </c>
      <c r="I672" s="10">
        <v>149</v>
      </c>
      <c r="J672" s="14">
        <f>P672*I672</f>
        <v>298</v>
      </c>
      <c r="K672" s="16">
        <v>0.52</v>
      </c>
      <c r="L672" s="1" t="s">
        <v>21</v>
      </c>
      <c r="M672" t="s">
        <v>22</v>
      </c>
      <c r="N672" t="str">
        <f t="shared" si="13"/>
        <v>Ireland</v>
      </c>
      <c r="O672" s="8">
        <f>IF(K672&gt;=1,K672,K672*1000)</f>
        <v>520</v>
      </c>
      <c r="P672">
        <f>ABS(H672)</f>
        <v>2</v>
      </c>
      <c r="R672"/>
    </row>
    <row r="673" spans="1:18" x14ac:dyDescent="0.35">
      <c r="A673" t="s">
        <v>1453</v>
      </c>
      <c r="B673" s="2">
        <v>46155</v>
      </c>
      <c r="C673" t="s">
        <v>1454</v>
      </c>
      <c r="D673" s="3" t="s">
        <v>15</v>
      </c>
      <c r="E673" t="s">
        <v>16</v>
      </c>
      <c r="F673" t="s">
        <v>47</v>
      </c>
      <c r="G673" t="s">
        <v>48</v>
      </c>
      <c r="H673" s="8">
        <v>2</v>
      </c>
      <c r="I673" s="10">
        <v>79</v>
      </c>
      <c r="J673" s="14">
        <f>P673*I673</f>
        <v>158</v>
      </c>
      <c r="K673" s="16">
        <v>0.38</v>
      </c>
      <c r="L673" s="1" t="s">
        <v>30</v>
      </c>
      <c r="M673" t="s">
        <v>22</v>
      </c>
      <c r="N673" t="str">
        <f t="shared" si="13"/>
        <v>France</v>
      </c>
      <c r="O673" s="8">
        <f>IF(K673&gt;=1,K673,K673*1000)</f>
        <v>380</v>
      </c>
      <c r="P673">
        <f>ABS(H673)</f>
        <v>2</v>
      </c>
      <c r="R673"/>
    </row>
    <row r="674" spans="1:18" x14ac:dyDescent="0.35">
      <c r="A674" t="s">
        <v>1455</v>
      </c>
      <c r="B674" s="2">
        <v>46117</v>
      </c>
      <c r="C674" t="s">
        <v>337</v>
      </c>
      <c r="D674" s="3" t="s">
        <v>99</v>
      </c>
      <c r="E674" t="s">
        <v>16</v>
      </c>
      <c r="F674" t="s">
        <v>47</v>
      </c>
      <c r="G674" t="s">
        <v>48</v>
      </c>
      <c r="H674" s="8">
        <v>1</v>
      </c>
      <c r="I674" s="10">
        <v>79</v>
      </c>
      <c r="J674" s="14">
        <f>P674*I674</f>
        <v>79</v>
      </c>
      <c r="K674" s="16">
        <v>380</v>
      </c>
      <c r="L674" s="1" t="s">
        <v>30</v>
      </c>
      <c r="M674" t="s">
        <v>22</v>
      </c>
      <c r="N674" t="str">
        <f t="shared" si="13"/>
        <v>United Kingdom</v>
      </c>
      <c r="O674" s="8">
        <f>IF(K674&gt;=1,K674,K674*1000)</f>
        <v>380</v>
      </c>
      <c r="P674">
        <f>ABS(H674)</f>
        <v>1</v>
      </c>
      <c r="R674"/>
    </row>
    <row r="675" spans="1:18" x14ac:dyDescent="0.35">
      <c r="A675" t="s">
        <v>1456</v>
      </c>
      <c r="B675" s="2">
        <v>46107</v>
      </c>
      <c r="C675" t="s">
        <v>1457</v>
      </c>
      <c r="D675" s="3" t="s">
        <v>99</v>
      </c>
      <c r="E675" t="s">
        <v>67</v>
      </c>
      <c r="F675" t="s">
        <v>35</v>
      </c>
      <c r="G675" t="s">
        <v>36</v>
      </c>
      <c r="H675" s="8">
        <v>1</v>
      </c>
      <c r="I675" s="12" t="s">
        <v>4636</v>
      </c>
      <c r="J675" s="14">
        <f>P675*R675</f>
        <v>89</v>
      </c>
      <c r="K675" s="16">
        <v>85</v>
      </c>
      <c r="L675" s="1" t="s">
        <v>30</v>
      </c>
      <c r="M675" t="s">
        <v>22</v>
      </c>
      <c r="N675" t="str">
        <f t="shared" si="13"/>
        <v>United Kingdom</v>
      </c>
      <c r="O675" s="8">
        <f>IF(K675&gt;=1,K675,K675*1000)</f>
        <v>85</v>
      </c>
      <c r="P675">
        <f>ABS(H675)</f>
        <v>1</v>
      </c>
      <c r="Q675" t="str">
        <f>LEFT(I675,2)</f>
        <v>Â£</v>
      </c>
      <c r="R675" t="str">
        <f>RIGHT(I675,5)</f>
        <v>89,00</v>
      </c>
    </row>
    <row r="676" spans="1:18" x14ac:dyDescent="0.35">
      <c r="A676" t="s">
        <v>1458</v>
      </c>
      <c r="B676" s="2">
        <v>46075</v>
      </c>
      <c r="C676" t="s">
        <v>1459</v>
      </c>
      <c r="D676" s="3" t="s">
        <v>4613</v>
      </c>
      <c r="E676" t="s">
        <v>16</v>
      </c>
      <c r="F676" t="s">
        <v>89</v>
      </c>
      <c r="G676" t="s">
        <v>90</v>
      </c>
      <c r="H676" s="8">
        <v>1</v>
      </c>
      <c r="I676" s="10">
        <v>79</v>
      </c>
      <c r="J676" s="14">
        <f>P676*I676</f>
        <v>79</v>
      </c>
      <c r="K676" s="16">
        <v>640</v>
      </c>
      <c r="L676" s="1" t="s">
        <v>30</v>
      </c>
      <c r="M676" t="s">
        <v>22</v>
      </c>
      <c r="N676" t="str">
        <f t="shared" si="13"/>
        <v>United Kingdom</v>
      </c>
      <c r="O676" s="8">
        <f>IF(K676&gt;=1,K676,K676*1000)</f>
        <v>640</v>
      </c>
      <c r="P676">
        <f>ABS(H676)</f>
        <v>1</v>
      </c>
      <c r="R676"/>
    </row>
    <row r="677" spans="1:18" x14ac:dyDescent="0.35">
      <c r="A677" t="s">
        <v>1460</v>
      </c>
      <c r="B677" s="2">
        <v>46074</v>
      </c>
      <c r="C677" t="s">
        <v>1461</v>
      </c>
      <c r="D677" s="3" t="s">
        <v>99</v>
      </c>
      <c r="E677" t="s">
        <v>67</v>
      </c>
      <c r="F677" t="s">
        <v>89</v>
      </c>
      <c r="G677" t="s">
        <v>90</v>
      </c>
      <c r="H677" s="8">
        <v>3</v>
      </c>
      <c r="I677" s="10">
        <v>71.099999999999994</v>
      </c>
      <c r="J677" s="14">
        <f>P677*I677</f>
        <v>213.29999999999998</v>
      </c>
      <c r="K677" s="16">
        <v>640</v>
      </c>
      <c r="L677" s="1" t="s">
        <v>30</v>
      </c>
      <c r="M677" t="s">
        <v>58</v>
      </c>
      <c r="N677" t="str">
        <f t="shared" si="13"/>
        <v>United Kingdom</v>
      </c>
      <c r="O677" s="8">
        <f>IF(K677&gt;=1,K677,K677*1000)</f>
        <v>640</v>
      </c>
      <c r="P677">
        <f>ABS(H677)</f>
        <v>3</v>
      </c>
      <c r="R677"/>
    </row>
    <row r="678" spans="1:18" x14ac:dyDescent="0.35">
      <c r="A678" t="s">
        <v>1462</v>
      </c>
      <c r="B678" s="2">
        <v>46139</v>
      </c>
      <c r="C678" t="s">
        <v>1463</v>
      </c>
      <c r="D678" s="3" t="s">
        <v>53</v>
      </c>
      <c r="E678" t="s">
        <v>67</v>
      </c>
      <c r="F678" t="s">
        <v>26</v>
      </c>
      <c r="G678" t="s">
        <v>27</v>
      </c>
      <c r="H678" s="8">
        <v>3</v>
      </c>
      <c r="I678" s="10">
        <v>80.099999999999994</v>
      </c>
      <c r="J678" s="14">
        <f>P678*I678</f>
        <v>240.29999999999998</v>
      </c>
      <c r="K678" s="16">
        <v>0.52</v>
      </c>
      <c r="L678" s="1" t="s">
        <v>30</v>
      </c>
      <c r="M678" t="s">
        <v>58</v>
      </c>
      <c r="N678" t="str">
        <f t="shared" si="13"/>
        <v>Gb</v>
      </c>
      <c r="O678" s="8">
        <f>IF(K678&gt;=1,K678,K678*1000)</f>
        <v>520</v>
      </c>
      <c r="P678">
        <f>ABS(H678)</f>
        <v>3</v>
      </c>
      <c r="R678"/>
    </row>
    <row r="679" spans="1:18" x14ac:dyDescent="0.35">
      <c r="A679" t="s">
        <v>1464</v>
      </c>
      <c r="B679" s="2">
        <v>46169</v>
      </c>
      <c r="C679" t="s">
        <v>1465</v>
      </c>
      <c r="D679" s="3" t="s">
        <v>46</v>
      </c>
      <c r="E679" t="s">
        <v>34</v>
      </c>
      <c r="F679" t="s">
        <v>89</v>
      </c>
      <c r="G679" t="s">
        <v>90</v>
      </c>
      <c r="H679" s="8">
        <v>1</v>
      </c>
      <c r="I679" s="10">
        <v>89</v>
      </c>
      <c r="J679" s="14">
        <f>P679*I679</f>
        <v>89</v>
      </c>
      <c r="K679" s="16">
        <v>0.64</v>
      </c>
      <c r="L679" s="1" t="s">
        <v>30</v>
      </c>
      <c r="M679" t="s">
        <v>22</v>
      </c>
      <c r="N679" t="str">
        <f t="shared" si="13"/>
        <v>Ireland</v>
      </c>
      <c r="O679" s="8">
        <f>IF(K679&gt;=1,K679,K679*1000)</f>
        <v>640</v>
      </c>
      <c r="P679">
        <f>ABS(H679)</f>
        <v>1</v>
      </c>
      <c r="R679"/>
    </row>
    <row r="680" spans="1:18" x14ac:dyDescent="0.35">
      <c r="A680" t="s">
        <v>1466</v>
      </c>
      <c r="B680" s="2">
        <v>46099</v>
      </c>
      <c r="C680" t="s">
        <v>1467</v>
      </c>
      <c r="D680" s="3" t="s">
        <v>99</v>
      </c>
      <c r="E680" t="s">
        <v>67</v>
      </c>
      <c r="F680" t="s">
        <v>42</v>
      </c>
      <c r="G680" t="s">
        <v>43</v>
      </c>
      <c r="H680" s="8">
        <v>2</v>
      </c>
      <c r="I680" s="10">
        <v>129</v>
      </c>
      <c r="J680" s="14">
        <f>P680*I680</f>
        <v>258</v>
      </c>
      <c r="K680" s="16">
        <v>190</v>
      </c>
      <c r="L680" s="1" t="s">
        <v>21</v>
      </c>
      <c r="M680" t="s">
        <v>58</v>
      </c>
      <c r="N680" t="str">
        <f t="shared" si="13"/>
        <v>United Kingdom</v>
      </c>
      <c r="O680" s="8">
        <f>IF(K680&gt;=1,K680,K680*1000)</f>
        <v>190</v>
      </c>
      <c r="P680">
        <f>ABS(H680)</f>
        <v>2</v>
      </c>
      <c r="R680"/>
    </row>
    <row r="681" spans="1:18" x14ac:dyDescent="0.35">
      <c r="A681" t="s">
        <v>1468</v>
      </c>
      <c r="B681" s="2">
        <v>46037</v>
      </c>
      <c r="C681" t="s">
        <v>847</v>
      </c>
      <c r="D681" s="3" t="s">
        <v>61</v>
      </c>
      <c r="E681" t="s">
        <v>41</v>
      </c>
      <c r="F681" t="s">
        <v>17</v>
      </c>
      <c r="G681" t="s">
        <v>18</v>
      </c>
      <c r="H681" s="8">
        <v>1</v>
      </c>
      <c r="I681" s="10">
        <v>80.099999999999994</v>
      </c>
      <c r="J681" s="14">
        <f>P681*I681</f>
        <v>80.099999999999994</v>
      </c>
      <c r="K681" s="16">
        <v>520</v>
      </c>
      <c r="L681" s="1" t="s">
        <v>30</v>
      </c>
      <c r="M681" t="s">
        <v>22</v>
      </c>
      <c r="N681" t="str">
        <f t="shared" si="13"/>
        <v>Ireland</v>
      </c>
      <c r="O681" s="8">
        <f>IF(K681&gt;=1,K681,K681*1000)</f>
        <v>520</v>
      </c>
      <c r="P681">
        <f>ABS(H681)</f>
        <v>1</v>
      </c>
      <c r="R681"/>
    </row>
    <row r="682" spans="1:18" x14ac:dyDescent="0.35">
      <c r="A682" t="s">
        <v>1469</v>
      </c>
      <c r="B682" s="2">
        <v>46270</v>
      </c>
      <c r="C682" t="s">
        <v>445</v>
      </c>
      <c r="D682" s="3" t="s">
        <v>15</v>
      </c>
      <c r="E682" t="s">
        <v>41</v>
      </c>
      <c r="F682" t="s">
        <v>47</v>
      </c>
      <c r="G682" t="s">
        <v>48</v>
      </c>
      <c r="H682" s="8">
        <v>1</v>
      </c>
      <c r="I682" s="10">
        <v>40.5</v>
      </c>
      <c r="J682" s="14">
        <f>P682*I682</f>
        <v>40.5</v>
      </c>
      <c r="K682" s="16">
        <v>0.38</v>
      </c>
      <c r="L682" s="1" t="s">
        <v>30</v>
      </c>
      <c r="M682" t="s">
        <v>22</v>
      </c>
      <c r="N682" t="str">
        <f t="shared" si="13"/>
        <v>France</v>
      </c>
      <c r="O682" s="8">
        <f>IF(K682&gt;=1,K682,K682*1000)</f>
        <v>380</v>
      </c>
      <c r="P682">
        <f>ABS(H682)</f>
        <v>1</v>
      </c>
      <c r="R682"/>
    </row>
    <row r="683" spans="1:18" x14ac:dyDescent="0.35">
      <c r="A683" t="s">
        <v>1470</v>
      </c>
      <c r="B683" s="2">
        <v>46092</v>
      </c>
      <c r="C683" t="s">
        <v>1471</v>
      </c>
      <c r="D683" s="3" t="s">
        <v>99</v>
      </c>
      <c r="E683" t="s">
        <v>41</v>
      </c>
      <c r="F683" t="s">
        <v>47</v>
      </c>
      <c r="G683" t="s">
        <v>48</v>
      </c>
      <c r="H683" s="8">
        <v>1</v>
      </c>
      <c r="I683" s="10">
        <v>89</v>
      </c>
      <c r="J683" s="14">
        <f>P683*I683</f>
        <v>89</v>
      </c>
      <c r="K683" s="16">
        <v>380</v>
      </c>
      <c r="L683" s="1" t="s">
        <v>21</v>
      </c>
      <c r="M683" t="s">
        <v>22</v>
      </c>
      <c r="N683" t="str">
        <f t="shared" si="13"/>
        <v>United Kingdom</v>
      </c>
      <c r="O683" s="8">
        <f>IF(K683&gt;=1,K683,K683*1000)</f>
        <v>380</v>
      </c>
      <c r="P683">
        <f>ABS(H683)</f>
        <v>1</v>
      </c>
      <c r="R683"/>
    </row>
    <row r="684" spans="1:18" x14ac:dyDescent="0.35">
      <c r="A684" t="s">
        <v>1472</v>
      </c>
      <c r="B684" s="2">
        <v>46140</v>
      </c>
      <c r="C684" t="s">
        <v>1473</v>
      </c>
      <c r="D684" s="3" t="s">
        <v>15</v>
      </c>
      <c r="E684" t="s">
        <v>16</v>
      </c>
      <c r="F684" t="s">
        <v>47</v>
      </c>
      <c r="G684" t="s">
        <v>48</v>
      </c>
      <c r="H684" s="8">
        <v>3</v>
      </c>
      <c r="I684" s="10">
        <v>12.5</v>
      </c>
      <c r="J684" s="14">
        <f>P684*I684</f>
        <v>37.5</v>
      </c>
      <c r="K684" s="16">
        <v>0.38</v>
      </c>
      <c r="L684" s="1" t="s">
        <v>30</v>
      </c>
      <c r="M684" t="s">
        <v>22</v>
      </c>
      <c r="N684" t="str">
        <f t="shared" si="13"/>
        <v>France</v>
      </c>
      <c r="O684" s="8">
        <f>IF(K684&gt;=1,K684,K684*1000)</f>
        <v>380</v>
      </c>
      <c r="P684">
        <f>ABS(H684)</f>
        <v>3</v>
      </c>
      <c r="R684"/>
    </row>
    <row r="685" spans="1:18" x14ac:dyDescent="0.35">
      <c r="A685" t="s">
        <v>1474</v>
      </c>
      <c r="B685" s="2">
        <v>46144</v>
      </c>
      <c r="C685" t="s">
        <v>755</v>
      </c>
      <c r="D685" s="3" t="s">
        <v>99</v>
      </c>
      <c r="E685" t="s">
        <v>41</v>
      </c>
      <c r="F685" t="s">
        <v>26</v>
      </c>
      <c r="G685" t="s">
        <v>27</v>
      </c>
      <c r="H685" s="8">
        <v>2</v>
      </c>
      <c r="I685" s="10">
        <v>116.1</v>
      </c>
      <c r="J685" s="14">
        <f>P685*I685</f>
        <v>232.2</v>
      </c>
      <c r="K685" s="16">
        <v>520</v>
      </c>
      <c r="L685" s="1" t="s">
        <v>30</v>
      </c>
      <c r="M685" t="s">
        <v>22</v>
      </c>
      <c r="N685" t="str">
        <f t="shared" si="13"/>
        <v>United Kingdom</v>
      </c>
      <c r="O685" s="8">
        <f>IF(K685&gt;=1,K685,K685*1000)</f>
        <v>520</v>
      </c>
      <c r="P685">
        <f>ABS(H685)</f>
        <v>2</v>
      </c>
      <c r="R685"/>
    </row>
    <row r="686" spans="1:18" x14ac:dyDescent="0.35">
      <c r="A686" t="s">
        <v>1475</v>
      </c>
      <c r="B686" s="2">
        <v>46162</v>
      </c>
      <c r="C686" t="s">
        <v>1476</v>
      </c>
      <c r="D686" s="3" t="s">
        <v>15</v>
      </c>
      <c r="E686" t="s">
        <v>25</v>
      </c>
      <c r="F686" t="s">
        <v>26</v>
      </c>
      <c r="G686" t="s">
        <v>27</v>
      </c>
      <c r="H686" s="8">
        <v>2</v>
      </c>
      <c r="I686" s="10">
        <v>134.1</v>
      </c>
      <c r="J686" s="14">
        <f>P686*I686</f>
        <v>268.2</v>
      </c>
      <c r="K686" s="16">
        <v>0.52</v>
      </c>
      <c r="L686" s="1" t="s">
        <v>30</v>
      </c>
      <c r="M686" t="s">
        <v>22</v>
      </c>
      <c r="N686" t="str">
        <f t="shared" si="13"/>
        <v>France</v>
      </c>
      <c r="O686" s="8">
        <f>IF(K686&gt;=1,K686,K686*1000)</f>
        <v>520</v>
      </c>
      <c r="P686">
        <f>ABS(H686)</f>
        <v>2</v>
      </c>
      <c r="R686"/>
    </row>
    <row r="687" spans="1:18" x14ac:dyDescent="0.35">
      <c r="A687" t="s">
        <v>1477</v>
      </c>
      <c r="B687" s="2">
        <v>46126</v>
      </c>
      <c r="C687" t="s">
        <v>1478</v>
      </c>
      <c r="D687" s="3" t="s">
        <v>66</v>
      </c>
      <c r="E687" t="s">
        <v>41</v>
      </c>
      <c r="F687" t="s">
        <v>42</v>
      </c>
      <c r="G687" t="s">
        <v>43</v>
      </c>
      <c r="H687" s="8">
        <v>1</v>
      </c>
      <c r="I687" s="10">
        <v>12.5</v>
      </c>
      <c r="J687" s="14">
        <f>P687*I687</f>
        <v>12.5</v>
      </c>
      <c r="K687" s="16">
        <v>190</v>
      </c>
      <c r="L687" s="1" t="s">
        <v>30</v>
      </c>
      <c r="M687" t="s">
        <v>22</v>
      </c>
      <c r="N687" t="str">
        <f t="shared" si="13"/>
        <v>Gb</v>
      </c>
      <c r="O687" s="8">
        <f>IF(K687&gt;=1,K687,K687*1000)</f>
        <v>190</v>
      </c>
      <c r="P687">
        <f>ABS(H687)</f>
        <v>1</v>
      </c>
      <c r="R687"/>
    </row>
    <row r="688" spans="1:18" x14ac:dyDescent="0.35">
      <c r="A688" t="s">
        <v>1479</v>
      </c>
      <c r="B688" s="2">
        <v>46177</v>
      </c>
      <c r="C688" t="s">
        <v>1480</v>
      </c>
      <c r="D688" s="3" t="s">
        <v>53</v>
      </c>
      <c r="E688" t="s">
        <v>41</v>
      </c>
      <c r="F688" t="s">
        <v>35</v>
      </c>
      <c r="G688" t="s">
        <v>36</v>
      </c>
      <c r="H688" s="8">
        <v>1</v>
      </c>
      <c r="I688" s="10">
        <v>89</v>
      </c>
      <c r="J688" s="14">
        <f>P688*I688</f>
        <v>89</v>
      </c>
      <c r="K688" s="16">
        <v>85</v>
      </c>
      <c r="L688" s="1" t="s">
        <v>21</v>
      </c>
      <c r="M688" t="s">
        <v>22</v>
      </c>
      <c r="N688" t="str">
        <f t="shared" si="13"/>
        <v>Gb</v>
      </c>
      <c r="O688" s="8">
        <f>IF(K688&gt;=1,K688,K688*1000)</f>
        <v>85</v>
      </c>
      <c r="P688">
        <f>ABS(H688)</f>
        <v>1</v>
      </c>
      <c r="R688"/>
    </row>
    <row r="689" spans="1:18" x14ac:dyDescent="0.35">
      <c r="A689" t="s">
        <v>1481</v>
      </c>
      <c r="B689" s="2">
        <v>46146</v>
      </c>
      <c r="C689" t="s">
        <v>1482</v>
      </c>
      <c r="D689" s="3" t="s">
        <v>116</v>
      </c>
      <c r="E689" t="s">
        <v>25</v>
      </c>
      <c r="F689" t="s">
        <v>26</v>
      </c>
      <c r="G689" t="s">
        <v>27</v>
      </c>
      <c r="H689" s="8">
        <v>1</v>
      </c>
      <c r="I689" s="10">
        <v>45</v>
      </c>
      <c r="J689" s="14">
        <f>P689*I689</f>
        <v>45</v>
      </c>
      <c r="K689" s="16">
        <v>0.52</v>
      </c>
      <c r="L689" s="1" t="s">
        <v>30</v>
      </c>
      <c r="M689" t="s">
        <v>22</v>
      </c>
      <c r="N689" t="str">
        <f t="shared" si="13"/>
        <v>Germany</v>
      </c>
      <c r="O689" s="8">
        <f>IF(K689&gt;=1,K689,K689*1000)</f>
        <v>520</v>
      </c>
      <c r="P689">
        <f>ABS(H689)</f>
        <v>1</v>
      </c>
      <c r="R689"/>
    </row>
    <row r="690" spans="1:18" x14ac:dyDescent="0.35">
      <c r="A690" t="s">
        <v>1483</v>
      </c>
      <c r="B690" s="2">
        <v>46140</v>
      </c>
      <c r="C690" t="s">
        <v>1484</v>
      </c>
      <c r="D690" s="3" t="s">
        <v>61</v>
      </c>
      <c r="E690" t="s">
        <v>34</v>
      </c>
      <c r="F690" t="s">
        <v>35</v>
      </c>
      <c r="G690" t="s">
        <v>36</v>
      </c>
      <c r="H690" s="8">
        <v>1</v>
      </c>
      <c r="I690" s="10">
        <v>24</v>
      </c>
      <c r="J690" s="14">
        <f>P690*I690</f>
        <v>24</v>
      </c>
      <c r="K690" s="16">
        <v>8.5000000000000006E-2</v>
      </c>
      <c r="L690" s="1" t="s">
        <v>21</v>
      </c>
      <c r="M690" t="s">
        <v>58</v>
      </c>
      <c r="N690" t="str">
        <f t="shared" si="13"/>
        <v>Ireland</v>
      </c>
      <c r="O690" s="8">
        <f>IF(K690&gt;=1,K690,K690*1000)</f>
        <v>85</v>
      </c>
      <c r="P690">
        <f>ABS(H690)</f>
        <v>1</v>
      </c>
      <c r="R690"/>
    </row>
    <row r="691" spans="1:18" x14ac:dyDescent="0.35">
      <c r="A691" t="s">
        <v>1485</v>
      </c>
      <c r="B691" s="2">
        <v>46163</v>
      </c>
      <c r="C691" t="s">
        <v>1486</v>
      </c>
      <c r="D691" s="3" t="s">
        <v>4613</v>
      </c>
      <c r="E691" t="s">
        <v>41</v>
      </c>
      <c r="F691" t="s">
        <v>47</v>
      </c>
      <c r="G691" t="s">
        <v>48</v>
      </c>
      <c r="H691" s="8">
        <v>-1</v>
      </c>
      <c r="I691" s="10">
        <v>12.5</v>
      </c>
      <c r="J691" s="14">
        <f>P691*I691</f>
        <v>12.5</v>
      </c>
      <c r="K691" s="16">
        <v>0.38</v>
      </c>
      <c r="L691" s="1" t="s">
        <v>21</v>
      </c>
      <c r="M691" t="s">
        <v>22</v>
      </c>
      <c r="N691" t="str">
        <f t="shared" si="13"/>
        <v>United Kingdom</v>
      </c>
      <c r="O691" s="8">
        <f>IF(K691&gt;=1,K691,K691*1000)</f>
        <v>380</v>
      </c>
      <c r="P691">
        <f>ABS(H691)</f>
        <v>1</v>
      </c>
      <c r="R691"/>
    </row>
    <row r="692" spans="1:18" x14ac:dyDescent="0.35">
      <c r="A692" t="s">
        <v>1487</v>
      </c>
      <c r="B692" s="2">
        <v>46095</v>
      </c>
      <c r="C692" t="s">
        <v>1488</v>
      </c>
      <c r="D692" s="3" t="s">
        <v>99</v>
      </c>
      <c r="E692" t="s">
        <v>34</v>
      </c>
      <c r="F692" t="s">
        <v>89</v>
      </c>
      <c r="G692" t="s">
        <v>90</v>
      </c>
      <c r="H692" s="8">
        <v>2</v>
      </c>
      <c r="I692" s="10">
        <v>45</v>
      </c>
      <c r="J692" s="14">
        <f>P692*I692</f>
        <v>90</v>
      </c>
      <c r="K692" s="16">
        <v>640</v>
      </c>
      <c r="L692" s="1" t="s">
        <v>30</v>
      </c>
      <c r="M692" t="s">
        <v>22</v>
      </c>
      <c r="N692" t="str">
        <f t="shared" si="13"/>
        <v>United Kingdom</v>
      </c>
      <c r="O692" s="8">
        <f>IF(K692&gt;=1,K692,K692*1000)</f>
        <v>640</v>
      </c>
      <c r="P692">
        <f>ABS(H692)</f>
        <v>2</v>
      </c>
      <c r="R692"/>
    </row>
    <row r="693" spans="1:18" x14ac:dyDescent="0.35">
      <c r="A693" t="s">
        <v>1489</v>
      </c>
      <c r="B693" s="2">
        <v>46194</v>
      </c>
      <c r="C693" t="s">
        <v>1377</v>
      </c>
      <c r="D693" s="3" t="s">
        <v>4612</v>
      </c>
      <c r="E693" t="s">
        <v>34</v>
      </c>
      <c r="F693" t="s">
        <v>83</v>
      </c>
      <c r="G693" t="s">
        <v>84</v>
      </c>
      <c r="H693" s="8">
        <v>1</v>
      </c>
      <c r="I693" s="10">
        <v>80.099999999999994</v>
      </c>
      <c r="J693" s="14">
        <f>P693*I693</f>
        <v>80.099999999999994</v>
      </c>
      <c r="K693" s="16">
        <v>0.34</v>
      </c>
      <c r="L693" s="1" t="s">
        <v>30</v>
      </c>
      <c r="M693" t="s">
        <v>22</v>
      </c>
      <c r="N693" t="str">
        <f t="shared" si="13"/>
        <v>United Kingdom</v>
      </c>
      <c r="O693" s="8">
        <f>IF(K693&gt;=1,K693,K693*1000)</f>
        <v>340</v>
      </c>
      <c r="P693">
        <f>ABS(H693)</f>
        <v>1</v>
      </c>
      <c r="R693"/>
    </row>
    <row r="694" spans="1:18" x14ac:dyDescent="0.35">
      <c r="A694" t="s">
        <v>1490</v>
      </c>
      <c r="B694" s="2" t="s">
        <v>629</v>
      </c>
      <c r="C694" t="s">
        <v>1491</v>
      </c>
      <c r="D694" s="3" t="s">
        <v>15</v>
      </c>
      <c r="E694" t="s">
        <v>16</v>
      </c>
      <c r="F694" t="s">
        <v>47</v>
      </c>
      <c r="G694" t="s">
        <v>48</v>
      </c>
      <c r="H694" s="8">
        <v>2</v>
      </c>
      <c r="I694" s="10">
        <v>89</v>
      </c>
      <c r="J694" s="14">
        <f>P694*I694</f>
        <v>178</v>
      </c>
      <c r="K694" s="16">
        <v>380</v>
      </c>
      <c r="L694" s="1" t="s">
        <v>30</v>
      </c>
      <c r="M694" t="s">
        <v>58</v>
      </c>
      <c r="N694" t="str">
        <f t="shared" si="13"/>
        <v>France</v>
      </c>
      <c r="O694" s="8">
        <f>IF(K694&gt;=1,K694,K694*1000)</f>
        <v>380</v>
      </c>
      <c r="P694">
        <f>ABS(H694)</f>
        <v>2</v>
      </c>
      <c r="R694"/>
    </row>
    <row r="695" spans="1:18" x14ac:dyDescent="0.35">
      <c r="A695" t="s">
        <v>1492</v>
      </c>
      <c r="B695" s="2">
        <v>46106</v>
      </c>
      <c r="C695" t="s">
        <v>1486</v>
      </c>
      <c r="D695" s="3" t="s">
        <v>53</v>
      </c>
      <c r="E695" t="s">
        <v>16</v>
      </c>
      <c r="F695" t="s">
        <v>26</v>
      </c>
      <c r="G695" t="s">
        <v>27</v>
      </c>
      <c r="H695" s="8">
        <v>1</v>
      </c>
      <c r="I695" s="12" t="s">
        <v>4644</v>
      </c>
      <c r="J695" s="14">
        <f>P695*R695</f>
        <v>79</v>
      </c>
      <c r="K695" s="16">
        <v>520</v>
      </c>
      <c r="L695" s="1" t="s">
        <v>30</v>
      </c>
      <c r="M695" t="s">
        <v>58</v>
      </c>
      <c r="N695" t="str">
        <f t="shared" si="13"/>
        <v>Gb</v>
      </c>
      <c r="O695" s="8">
        <f>IF(K695&gt;=1,K695,K695*1000)</f>
        <v>520</v>
      </c>
      <c r="P695">
        <f>ABS(H695)</f>
        <v>1</v>
      </c>
      <c r="Q695" t="str">
        <f>LEFT(I695,3)</f>
        <v>GBP</v>
      </c>
      <c r="R695" s="10" t="str">
        <f>RIGHT(I695,5)</f>
        <v>79,00</v>
      </c>
    </row>
    <row r="696" spans="1:18" x14ac:dyDescent="0.35">
      <c r="A696" t="s">
        <v>1493</v>
      </c>
      <c r="B696" s="2">
        <v>46082</v>
      </c>
      <c r="C696" t="s">
        <v>1494</v>
      </c>
      <c r="D696" s="3" t="s">
        <v>4613</v>
      </c>
      <c r="E696" t="s">
        <v>41</v>
      </c>
      <c r="F696" t="s">
        <v>83</v>
      </c>
      <c r="G696" t="s">
        <v>84</v>
      </c>
      <c r="H696" s="8">
        <v>1</v>
      </c>
      <c r="I696" s="10">
        <v>24</v>
      </c>
      <c r="J696" s="14">
        <f>P696*I696</f>
        <v>24</v>
      </c>
      <c r="K696" s="16">
        <v>340</v>
      </c>
      <c r="L696" s="1" t="s">
        <v>30</v>
      </c>
      <c r="M696" t="s">
        <v>22</v>
      </c>
      <c r="N696" t="str">
        <f t="shared" si="13"/>
        <v>United Kingdom</v>
      </c>
      <c r="O696" s="8">
        <f>IF(K696&gt;=1,K696,K696*1000)</f>
        <v>340</v>
      </c>
      <c r="P696">
        <f>ABS(H696)</f>
        <v>1</v>
      </c>
      <c r="R696"/>
    </row>
    <row r="697" spans="1:18" x14ac:dyDescent="0.35">
      <c r="A697" t="s">
        <v>1495</v>
      </c>
      <c r="B697" s="2">
        <v>46056</v>
      </c>
      <c r="C697" t="s">
        <v>1496</v>
      </c>
      <c r="D697" s="3" t="s">
        <v>66</v>
      </c>
      <c r="E697" t="s">
        <v>34</v>
      </c>
      <c r="F697" t="s">
        <v>26</v>
      </c>
      <c r="G697" t="s">
        <v>27</v>
      </c>
      <c r="H697" s="8">
        <v>1</v>
      </c>
      <c r="I697" s="10">
        <v>21.6</v>
      </c>
      <c r="J697" s="14">
        <f>P697*I697</f>
        <v>21.6</v>
      </c>
      <c r="K697" s="16">
        <v>520</v>
      </c>
      <c r="L697" s="1" t="s">
        <v>30</v>
      </c>
      <c r="M697" t="s">
        <v>58</v>
      </c>
      <c r="N697" t="str">
        <f t="shared" si="13"/>
        <v>Gb</v>
      </c>
      <c r="O697" s="8">
        <f>IF(K697&gt;=1,K697,K697*1000)</f>
        <v>520</v>
      </c>
      <c r="P697">
        <f>ABS(H697)</f>
        <v>1</v>
      </c>
      <c r="R697"/>
    </row>
    <row r="698" spans="1:18" x14ac:dyDescent="0.35">
      <c r="A698" t="s">
        <v>1498</v>
      </c>
      <c r="B698" s="2">
        <v>46154</v>
      </c>
      <c r="C698" t="s">
        <v>490</v>
      </c>
      <c r="D698" s="3" t="s">
        <v>66</v>
      </c>
      <c r="E698" t="s">
        <v>41</v>
      </c>
      <c r="F698" t="s">
        <v>89</v>
      </c>
      <c r="G698" t="s">
        <v>90</v>
      </c>
      <c r="H698" s="8">
        <v>2</v>
      </c>
      <c r="I698" s="10">
        <v>95</v>
      </c>
      <c r="J698" s="14">
        <f>P698*I698</f>
        <v>190</v>
      </c>
      <c r="K698" s="16">
        <v>0.64</v>
      </c>
      <c r="L698" s="1" t="s">
        <v>21</v>
      </c>
      <c r="M698" t="s">
        <v>22</v>
      </c>
      <c r="N698" t="str">
        <f t="shared" si="13"/>
        <v>Gb</v>
      </c>
      <c r="O698" s="8">
        <f>IF(K698&gt;=1,K698,K698*1000)</f>
        <v>640</v>
      </c>
      <c r="P698">
        <f>ABS(H698)</f>
        <v>2</v>
      </c>
      <c r="R698"/>
    </row>
    <row r="699" spans="1:18" x14ac:dyDescent="0.35">
      <c r="A699" t="s">
        <v>1499</v>
      </c>
      <c r="B699" s="2">
        <v>46073</v>
      </c>
      <c r="C699" t="s">
        <v>1500</v>
      </c>
      <c r="D699" s="3" t="s">
        <v>99</v>
      </c>
      <c r="E699" t="s">
        <v>41</v>
      </c>
      <c r="F699" t="s">
        <v>74</v>
      </c>
      <c r="G699" t="s">
        <v>75</v>
      </c>
      <c r="H699" s="8">
        <v>1</v>
      </c>
      <c r="I699" s="10">
        <v>79</v>
      </c>
      <c r="J699" s="14">
        <f>P699*I699</f>
        <v>79</v>
      </c>
      <c r="K699" s="16">
        <v>410</v>
      </c>
      <c r="L699" s="1" t="s">
        <v>30</v>
      </c>
      <c r="M699" t="s">
        <v>22</v>
      </c>
      <c r="N699" t="str">
        <f t="shared" si="13"/>
        <v>United Kingdom</v>
      </c>
      <c r="O699" s="8">
        <f>IF(K699&gt;=1,K699,K699*1000)</f>
        <v>410</v>
      </c>
      <c r="P699">
        <f>ABS(H699)</f>
        <v>1</v>
      </c>
      <c r="R699"/>
    </row>
    <row r="700" spans="1:18" x14ac:dyDescent="0.35">
      <c r="A700" t="s">
        <v>1501</v>
      </c>
      <c r="B700" s="2">
        <v>46087</v>
      </c>
      <c r="C700" t="s">
        <v>1502</v>
      </c>
      <c r="D700" s="3" t="s">
        <v>99</v>
      </c>
      <c r="E700" t="s">
        <v>16</v>
      </c>
      <c r="F700" t="s">
        <v>35</v>
      </c>
      <c r="G700" t="s">
        <v>36</v>
      </c>
      <c r="H700" s="8">
        <v>1</v>
      </c>
      <c r="I700" s="10">
        <v>24</v>
      </c>
      <c r="J700" s="14">
        <f>P700*I700</f>
        <v>24</v>
      </c>
      <c r="K700" s="16">
        <v>85</v>
      </c>
      <c r="L700" s="1" t="s">
        <v>30</v>
      </c>
      <c r="M700" t="s">
        <v>22</v>
      </c>
      <c r="N700" t="str">
        <f t="shared" si="13"/>
        <v>United Kingdom</v>
      </c>
      <c r="O700" s="8">
        <f>IF(K700&gt;=1,K700,K700*1000)</f>
        <v>85</v>
      </c>
      <c r="P700">
        <f>ABS(H700)</f>
        <v>1</v>
      </c>
      <c r="R700"/>
    </row>
    <row r="701" spans="1:18" x14ac:dyDescent="0.35">
      <c r="A701" t="s">
        <v>1503</v>
      </c>
      <c r="B701" s="2">
        <v>46056</v>
      </c>
      <c r="C701" t="s">
        <v>1504</v>
      </c>
      <c r="D701" s="3" t="s">
        <v>53</v>
      </c>
      <c r="E701" t="s">
        <v>34</v>
      </c>
      <c r="F701" t="s">
        <v>74</v>
      </c>
      <c r="G701" t="s">
        <v>75</v>
      </c>
      <c r="H701" s="8">
        <v>2</v>
      </c>
      <c r="I701" s="10">
        <v>45</v>
      </c>
      <c r="J701" s="14">
        <f>P701*I701</f>
        <v>90</v>
      </c>
      <c r="K701" s="16">
        <v>410</v>
      </c>
      <c r="L701" s="1" t="s">
        <v>30</v>
      </c>
      <c r="M701" t="s">
        <v>58</v>
      </c>
      <c r="N701" t="str">
        <f t="shared" si="13"/>
        <v>Gb</v>
      </c>
      <c r="O701" s="8">
        <f>IF(K701&gt;=1,K701,K701*1000)</f>
        <v>410</v>
      </c>
      <c r="P701">
        <f>ABS(H701)</f>
        <v>2</v>
      </c>
      <c r="R701"/>
    </row>
    <row r="702" spans="1:18" x14ac:dyDescent="0.35">
      <c r="A702" t="s">
        <v>1505</v>
      </c>
      <c r="B702" s="2">
        <v>46176</v>
      </c>
      <c r="C702" t="s">
        <v>1506</v>
      </c>
      <c r="D702" s="3" t="s">
        <v>66</v>
      </c>
      <c r="E702" t="s">
        <v>41</v>
      </c>
      <c r="F702" t="s">
        <v>74</v>
      </c>
      <c r="G702" t="s">
        <v>75</v>
      </c>
      <c r="H702" s="8">
        <v>1</v>
      </c>
      <c r="I702" s="10">
        <v>80.099999999999994</v>
      </c>
      <c r="J702" s="14">
        <f>P702*I702</f>
        <v>80.099999999999994</v>
      </c>
      <c r="K702" s="16">
        <v>0.41</v>
      </c>
      <c r="L702" s="1" t="s">
        <v>30</v>
      </c>
      <c r="M702" t="s">
        <v>22</v>
      </c>
      <c r="N702" t="str">
        <f t="shared" si="13"/>
        <v>Gb</v>
      </c>
      <c r="O702" s="8">
        <f>IF(K702&gt;=1,K702,K702*1000)</f>
        <v>410</v>
      </c>
      <c r="P702">
        <f>ABS(H702)</f>
        <v>1</v>
      </c>
      <c r="R702"/>
    </row>
    <row r="703" spans="1:18" x14ac:dyDescent="0.35">
      <c r="A703" t="s">
        <v>1507</v>
      </c>
      <c r="B703" s="2">
        <v>46174</v>
      </c>
      <c r="C703" t="s">
        <v>1237</v>
      </c>
      <c r="D703" s="3" t="s">
        <v>99</v>
      </c>
      <c r="E703" t="s">
        <v>34</v>
      </c>
      <c r="F703" t="s">
        <v>89</v>
      </c>
      <c r="G703" t="s">
        <v>90</v>
      </c>
      <c r="H703" s="8">
        <v>2</v>
      </c>
      <c r="I703" s="12" t="s">
        <v>4645</v>
      </c>
      <c r="J703" s="14">
        <f>P703*R703</f>
        <v>81</v>
      </c>
      <c r="K703" s="16">
        <v>0.64</v>
      </c>
      <c r="L703" s="1" t="s">
        <v>21</v>
      </c>
      <c r="M703" t="s">
        <v>22</v>
      </c>
      <c r="N703" t="str">
        <f t="shared" si="13"/>
        <v>United Kingdom</v>
      </c>
      <c r="O703" s="8">
        <f>IF(K703&gt;=1,K703,K703*1000)</f>
        <v>640</v>
      </c>
      <c r="P703">
        <f>ABS(H703)</f>
        <v>2</v>
      </c>
      <c r="Q703" t="str">
        <f>LEFT(I703,3)</f>
        <v>GBP</v>
      </c>
      <c r="R703" s="10" t="str">
        <f>RIGHT(I703,5)</f>
        <v>40,50</v>
      </c>
    </row>
    <row r="704" spans="1:18" x14ac:dyDescent="0.35">
      <c r="A704" t="s">
        <v>1509</v>
      </c>
      <c r="B704" s="2">
        <v>46092</v>
      </c>
      <c r="C704" t="s">
        <v>32</v>
      </c>
      <c r="D704" s="3" t="s">
        <v>46</v>
      </c>
      <c r="E704" t="s">
        <v>25</v>
      </c>
      <c r="F704" t="s">
        <v>83</v>
      </c>
      <c r="G704" t="s">
        <v>84</v>
      </c>
      <c r="H704" s="8">
        <v>2</v>
      </c>
      <c r="I704" s="10">
        <v>95</v>
      </c>
      <c r="J704" s="14">
        <f>P704*I704</f>
        <v>190</v>
      </c>
      <c r="K704" s="16">
        <v>340</v>
      </c>
      <c r="L704" s="1" t="s">
        <v>30</v>
      </c>
      <c r="M704" t="s">
        <v>58</v>
      </c>
      <c r="N704" t="str">
        <f t="shared" si="13"/>
        <v>Ireland</v>
      </c>
      <c r="O704" s="8">
        <f>IF(K704&gt;=1,K704,K704*1000)</f>
        <v>340</v>
      </c>
      <c r="P704">
        <f>ABS(H704)</f>
        <v>2</v>
      </c>
      <c r="R704"/>
    </row>
    <row r="705" spans="1:18" x14ac:dyDescent="0.35">
      <c r="A705" t="s">
        <v>1510</v>
      </c>
      <c r="B705" s="2">
        <v>46052</v>
      </c>
      <c r="C705" t="s">
        <v>1422</v>
      </c>
      <c r="D705" s="3" t="s">
        <v>4613</v>
      </c>
      <c r="E705" t="s">
        <v>34</v>
      </c>
      <c r="F705" t="s">
        <v>74</v>
      </c>
      <c r="G705" t="s">
        <v>75</v>
      </c>
      <c r="H705" s="8">
        <v>1</v>
      </c>
      <c r="I705" s="10">
        <v>116.1</v>
      </c>
      <c r="J705" s="14">
        <f>P705*I705</f>
        <v>116.1</v>
      </c>
      <c r="K705" s="16">
        <v>410</v>
      </c>
      <c r="L705" s="1" t="s">
        <v>21</v>
      </c>
      <c r="M705" t="s">
        <v>58</v>
      </c>
      <c r="N705" t="str">
        <f t="shared" si="13"/>
        <v>United Kingdom</v>
      </c>
      <c r="O705" s="8">
        <f>IF(K705&gt;=1,K705,K705*1000)</f>
        <v>410</v>
      </c>
      <c r="P705">
        <f>ABS(H705)</f>
        <v>1</v>
      </c>
      <c r="R705"/>
    </row>
    <row r="706" spans="1:18" x14ac:dyDescent="0.35">
      <c r="A706" t="s">
        <v>1511</v>
      </c>
      <c r="B706" s="2">
        <v>46175</v>
      </c>
      <c r="C706" t="s">
        <v>1512</v>
      </c>
      <c r="D706" s="3" t="s">
        <v>53</v>
      </c>
      <c r="E706" t="s">
        <v>16</v>
      </c>
      <c r="F706" t="s">
        <v>26</v>
      </c>
      <c r="G706" t="s">
        <v>27</v>
      </c>
      <c r="H706" s="8">
        <v>2</v>
      </c>
      <c r="I706" s="10">
        <v>129</v>
      </c>
      <c r="J706" s="14">
        <f>P706*I706</f>
        <v>258</v>
      </c>
      <c r="K706" s="16">
        <v>520</v>
      </c>
      <c r="L706" s="1" t="s">
        <v>30</v>
      </c>
      <c r="M706" t="s">
        <v>22</v>
      </c>
      <c r="N706" t="str">
        <f t="shared" si="13"/>
        <v>Gb</v>
      </c>
      <c r="O706" s="8">
        <f>IF(K706&gt;=1,K706,K706*1000)</f>
        <v>520</v>
      </c>
      <c r="P706">
        <f>ABS(H706)</f>
        <v>2</v>
      </c>
      <c r="R706"/>
    </row>
    <row r="707" spans="1:18" x14ac:dyDescent="0.35">
      <c r="A707" t="s">
        <v>1513</v>
      </c>
      <c r="B707" s="2">
        <v>46236</v>
      </c>
      <c r="C707" t="s">
        <v>1514</v>
      </c>
      <c r="D707" s="3" t="s">
        <v>4612</v>
      </c>
      <c r="E707" t="s">
        <v>25</v>
      </c>
      <c r="F707" t="s">
        <v>47</v>
      </c>
      <c r="G707" t="s">
        <v>48</v>
      </c>
      <c r="H707" s="8">
        <v>1</v>
      </c>
      <c r="I707" s="10">
        <v>12.5</v>
      </c>
      <c r="J707" s="14">
        <f>P707*I707</f>
        <v>12.5</v>
      </c>
      <c r="K707" s="16">
        <v>380</v>
      </c>
      <c r="L707" s="1" t="s">
        <v>21</v>
      </c>
      <c r="M707" t="s">
        <v>22</v>
      </c>
      <c r="N707" t="str">
        <f t="shared" ref="N707:N770" si="14">PROPER(TRIM(D707))</f>
        <v>United Kingdom</v>
      </c>
      <c r="O707" s="8">
        <f>IF(K707&gt;=1,K707,K707*1000)</f>
        <v>380</v>
      </c>
      <c r="P707">
        <f>ABS(H707)</f>
        <v>1</v>
      </c>
      <c r="R707"/>
    </row>
    <row r="708" spans="1:18" x14ac:dyDescent="0.35">
      <c r="A708" t="s">
        <v>1515</v>
      </c>
      <c r="B708" s="2">
        <v>46114</v>
      </c>
      <c r="C708" t="s">
        <v>1272</v>
      </c>
      <c r="D708" s="3" t="s">
        <v>99</v>
      </c>
      <c r="E708" t="s">
        <v>67</v>
      </c>
      <c r="F708" t="s">
        <v>35</v>
      </c>
      <c r="G708" t="s">
        <v>36</v>
      </c>
      <c r="H708" s="8">
        <v>2</v>
      </c>
      <c r="I708" s="10">
        <v>134.1</v>
      </c>
      <c r="J708" s="14">
        <f>P708*I708</f>
        <v>268.2</v>
      </c>
      <c r="K708" s="16">
        <v>85</v>
      </c>
      <c r="L708" s="1" t="s">
        <v>21</v>
      </c>
      <c r="M708" t="s">
        <v>22</v>
      </c>
      <c r="N708" t="str">
        <f t="shared" si="14"/>
        <v>United Kingdom</v>
      </c>
      <c r="O708" s="8">
        <f>IF(K708&gt;=1,K708,K708*1000)</f>
        <v>85</v>
      </c>
      <c r="P708">
        <f>ABS(H708)</f>
        <v>2</v>
      </c>
      <c r="R708"/>
    </row>
    <row r="709" spans="1:18" x14ac:dyDescent="0.35">
      <c r="A709" t="s">
        <v>1516</v>
      </c>
      <c r="B709" s="2">
        <v>46136</v>
      </c>
      <c r="C709" t="s">
        <v>1517</v>
      </c>
      <c r="D709" s="3" t="s">
        <v>53</v>
      </c>
      <c r="E709" t="s">
        <v>16</v>
      </c>
      <c r="F709" t="s">
        <v>47</v>
      </c>
      <c r="G709" t="s">
        <v>48</v>
      </c>
      <c r="H709" s="8">
        <v>-2</v>
      </c>
      <c r="I709" s="10">
        <v>129</v>
      </c>
      <c r="J709" s="14">
        <f>P709*I709</f>
        <v>258</v>
      </c>
      <c r="K709" s="16">
        <v>0.38</v>
      </c>
      <c r="L709" s="1" t="s">
        <v>21</v>
      </c>
      <c r="M709" t="s">
        <v>22</v>
      </c>
      <c r="N709" t="str">
        <f t="shared" si="14"/>
        <v>Gb</v>
      </c>
      <c r="O709" s="8">
        <f>IF(K709&gt;=1,K709,K709*1000)</f>
        <v>380</v>
      </c>
      <c r="P709">
        <f>ABS(H709)</f>
        <v>2</v>
      </c>
      <c r="R709"/>
    </row>
    <row r="710" spans="1:18" x14ac:dyDescent="0.35">
      <c r="A710" t="s">
        <v>1518</v>
      </c>
      <c r="B710" s="2">
        <v>46030</v>
      </c>
      <c r="C710" t="s">
        <v>1519</v>
      </c>
      <c r="D710" s="3" t="s">
        <v>99</v>
      </c>
      <c r="E710" t="s">
        <v>16</v>
      </c>
      <c r="F710" t="s">
        <v>17</v>
      </c>
      <c r="G710" t="s">
        <v>18</v>
      </c>
      <c r="H710" s="8">
        <v>1</v>
      </c>
      <c r="I710" s="10">
        <v>89</v>
      </c>
      <c r="J710" s="14">
        <f>P710*I710</f>
        <v>89</v>
      </c>
      <c r="K710" s="16">
        <v>520</v>
      </c>
      <c r="L710" s="1" t="s">
        <v>30</v>
      </c>
      <c r="M710" t="s">
        <v>22</v>
      </c>
      <c r="N710" t="str">
        <f t="shared" si="14"/>
        <v>United Kingdom</v>
      </c>
      <c r="O710" s="8">
        <f>IF(K710&gt;=1,K710,K710*1000)</f>
        <v>520</v>
      </c>
      <c r="P710">
        <f>ABS(H710)</f>
        <v>1</v>
      </c>
      <c r="R710"/>
    </row>
    <row r="711" spans="1:18" x14ac:dyDescent="0.35">
      <c r="A711" t="s">
        <v>1520</v>
      </c>
      <c r="B711" s="2">
        <v>46168</v>
      </c>
      <c r="C711" t="s">
        <v>1521</v>
      </c>
      <c r="D711" s="3" t="s">
        <v>99</v>
      </c>
      <c r="E711" t="s">
        <v>16</v>
      </c>
      <c r="F711" t="s">
        <v>17</v>
      </c>
      <c r="G711" t="s">
        <v>18</v>
      </c>
      <c r="H711" s="8">
        <v>1</v>
      </c>
      <c r="I711" s="10">
        <v>45</v>
      </c>
      <c r="J711" s="14">
        <f>P711*I711</f>
        <v>45</v>
      </c>
      <c r="K711" s="16">
        <v>0.52</v>
      </c>
      <c r="L711" s="1" t="s">
        <v>30</v>
      </c>
      <c r="M711" t="s">
        <v>22</v>
      </c>
      <c r="N711" t="str">
        <f t="shared" si="14"/>
        <v>United Kingdom</v>
      </c>
      <c r="O711" s="8">
        <f>IF(K711&gt;=1,K711,K711*1000)</f>
        <v>520</v>
      </c>
      <c r="P711">
        <f>ABS(H711)</f>
        <v>1</v>
      </c>
      <c r="R711"/>
    </row>
    <row r="712" spans="1:18" x14ac:dyDescent="0.35">
      <c r="A712" t="s">
        <v>1522</v>
      </c>
      <c r="B712" s="2">
        <v>46127</v>
      </c>
      <c r="C712" t="s">
        <v>1523</v>
      </c>
      <c r="D712" s="3" t="s">
        <v>53</v>
      </c>
      <c r="E712" t="s">
        <v>16</v>
      </c>
      <c r="F712" t="s">
        <v>35</v>
      </c>
      <c r="G712" t="s">
        <v>36</v>
      </c>
      <c r="H712" s="8">
        <v>1</v>
      </c>
      <c r="I712" s="10">
        <v>129</v>
      </c>
      <c r="J712" s="14">
        <f>P712*I712</f>
        <v>129</v>
      </c>
      <c r="K712" s="16">
        <v>85</v>
      </c>
      <c r="L712" s="1" t="s">
        <v>30</v>
      </c>
      <c r="M712" t="s">
        <v>58</v>
      </c>
      <c r="N712" t="str">
        <f t="shared" si="14"/>
        <v>Gb</v>
      </c>
      <c r="O712" s="8">
        <f>IF(K712&gt;=1,K712,K712*1000)</f>
        <v>85</v>
      </c>
      <c r="P712">
        <f>ABS(H712)</f>
        <v>1</v>
      </c>
      <c r="R712"/>
    </row>
    <row r="713" spans="1:18" x14ac:dyDescent="0.35">
      <c r="A713" t="s">
        <v>1524</v>
      </c>
      <c r="B713" s="2">
        <v>46151</v>
      </c>
      <c r="C713" t="s">
        <v>1463</v>
      </c>
      <c r="D713" s="3" t="s">
        <v>15</v>
      </c>
      <c r="E713" t="s">
        <v>41</v>
      </c>
      <c r="F713" t="s">
        <v>42</v>
      </c>
      <c r="G713" t="s">
        <v>43</v>
      </c>
      <c r="H713" s="8">
        <v>3</v>
      </c>
      <c r="I713" s="10">
        <v>45</v>
      </c>
      <c r="J713" s="14">
        <f>P713*I713</f>
        <v>135</v>
      </c>
      <c r="K713" s="16">
        <v>0.19</v>
      </c>
      <c r="L713" s="1" t="s">
        <v>30</v>
      </c>
      <c r="M713" t="s">
        <v>22</v>
      </c>
      <c r="N713" t="str">
        <f t="shared" si="14"/>
        <v>France</v>
      </c>
      <c r="O713" s="8">
        <f>IF(K713&gt;=1,K713,K713*1000)</f>
        <v>190</v>
      </c>
      <c r="P713">
        <f>ABS(H713)</f>
        <v>3</v>
      </c>
      <c r="R713"/>
    </row>
    <row r="714" spans="1:18" x14ac:dyDescent="0.35">
      <c r="A714" t="s">
        <v>1525</v>
      </c>
      <c r="B714" s="2">
        <v>46078</v>
      </c>
      <c r="C714" t="s">
        <v>1526</v>
      </c>
      <c r="D714" s="3" t="s">
        <v>99</v>
      </c>
      <c r="E714" t="s">
        <v>16</v>
      </c>
      <c r="F714" t="s">
        <v>83</v>
      </c>
      <c r="G714" t="s">
        <v>84</v>
      </c>
      <c r="H714" s="8">
        <v>3</v>
      </c>
      <c r="I714" s="10">
        <v>12.5</v>
      </c>
      <c r="J714" s="14">
        <f>P714*I714</f>
        <v>37.5</v>
      </c>
      <c r="K714" s="16">
        <v>340</v>
      </c>
      <c r="L714" s="1" t="s">
        <v>30</v>
      </c>
      <c r="M714" t="s">
        <v>58</v>
      </c>
      <c r="N714" t="str">
        <f t="shared" si="14"/>
        <v>United Kingdom</v>
      </c>
      <c r="O714" s="8">
        <f>IF(K714&gt;=1,K714,K714*1000)</f>
        <v>340</v>
      </c>
      <c r="P714">
        <f>ABS(H714)</f>
        <v>3</v>
      </c>
      <c r="R714"/>
    </row>
    <row r="715" spans="1:18" x14ac:dyDescent="0.35">
      <c r="A715" t="s">
        <v>1527</v>
      </c>
      <c r="B715" s="2">
        <v>46116</v>
      </c>
      <c r="C715" t="s">
        <v>1528</v>
      </c>
      <c r="D715" s="3" t="s">
        <v>116</v>
      </c>
      <c r="E715" t="s">
        <v>67</v>
      </c>
      <c r="F715" t="s">
        <v>74</v>
      </c>
      <c r="G715" t="s">
        <v>75</v>
      </c>
      <c r="H715" s="8">
        <v>1</v>
      </c>
      <c r="I715" s="12" t="s">
        <v>4635</v>
      </c>
      <c r="J715" s="14">
        <f>P715*R715</f>
        <v>34.1</v>
      </c>
      <c r="K715" s="16">
        <v>410</v>
      </c>
      <c r="L715" s="1" t="s">
        <v>21</v>
      </c>
      <c r="M715" t="s">
        <v>58</v>
      </c>
      <c r="N715" t="str">
        <f t="shared" si="14"/>
        <v>Germany</v>
      </c>
      <c r="O715" s="8">
        <f>IF(K715&gt;=1,K715,K715*1000)</f>
        <v>410</v>
      </c>
      <c r="P715">
        <f>ABS(H715)</f>
        <v>1</v>
      </c>
      <c r="Q715" t="str">
        <f>LEFT(I715,2)</f>
        <v>Â£</v>
      </c>
      <c r="R715" t="str">
        <f>RIGHT(I715,5)</f>
        <v>34,10</v>
      </c>
    </row>
    <row r="716" spans="1:18" x14ac:dyDescent="0.35">
      <c r="A716" t="s">
        <v>1529</v>
      </c>
      <c r="B716" s="2" t="s">
        <v>1530</v>
      </c>
      <c r="C716" t="s">
        <v>1314</v>
      </c>
      <c r="D716" s="3" t="s">
        <v>116</v>
      </c>
      <c r="E716" t="s">
        <v>16</v>
      </c>
      <c r="F716" t="s">
        <v>74</v>
      </c>
      <c r="G716" t="s">
        <v>75</v>
      </c>
      <c r="H716" s="8">
        <v>2</v>
      </c>
      <c r="I716" s="10">
        <v>71.099999999999994</v>
      </c>
      <c r="J716" s="14">
        <f>P716*I716</f>
        <v>142.19999999999999</v>
      </c>
      <c r="K716" s="16">
        <v>410</v>
      </c>
      <c r="L716" s="1" t="s">
        <v>30</v>
      </c>
      <c r="M716" t="s">
        <v>58</v>
      </c>
      <c r="N716" t="str">
        <f t="shared" si="14"/>
        <v>Germany</v>
      </c>
      <c r="O716" s="8">
        <f>IF(K716&gt;=1,K716,K716*1000)</f>
        <v>410</v>
      </c>
      <c r="P716">
        <f>ABS(H716)</f>
        <v>2</v>
      </c>
      <c r="R716"/>
    </row>
    <row r="717" spans="1:18" x14ac:dyDescent="0.35">
      <c r="A717" t="s">
        <v>1531</v>
      </c>
      <c r="B717" s="2">
        <v>46043</v>
      </c>
      <c r="C717" t="s">
        <v>1532</v>
      </c>
      <c r="D717" s="3" t="s">
        <v>116</v>
      </c>
      <c r="E717" t="s">
        <v>34</v>
      </c>
      <c r="F717" t="s">
        <v>35</v>
      </c>
      <c r="G717" t="s">
        <v>36</v>
      </c>
      <c r="H717" s="8">
        <v>3</v>
      </c>
      <c r="I717" s="12" t="s">
        <v>4637</v>
      </c>
      <c r="J717" s="14">
        <f>P717*R717</f>
        <v>147</v>
      </c>
      <c r="K717" s="16">
        <v>85</v>
      </c>
      <c r="L717" s="1" t="s">
        <v>21</v>
      </c>
      <c r="M717" t="s">
        <v>22</v>
      </c>
      <c r="N717" t="str">
        <f t="shared" si="14"/>
        <v>Germany</v>
      </c>
      <c r="O717" s="8">
        <f>IF(K717&gt;=1,K717,K717*1000)</f>
        <v>85</v>
      </c>
      <c r="P717">
        <f>ABS(H717)</f>
        <v>3</v>
      </c>
      <c r="Q717" t="str">
        <f>LEFT(I717,2)</f>
        <v>Â£</v>
      </c>
      <c r="R717" t="str">
        <f>RIGHT(I717,5)</f>
        <v>49,00</v>
      </c>
    </row>
    <row r="718" spans="1:18" x14ac:dyDescent="0.35">
      <c r="A718" t="s">
        <v>1534</v>
      </c>
      <c r="B718" s="2">
        <v>46029</v>
      </c>
      <c r="C718" t="s">
        <v>862</v>
      </c>
      <c r="D718" s="3" t="s">
        <v>4612</v>
      </c>
      <c r="E718" t="s">
        <v>41</v>
      </c>
      <c r="F718" t="s">
        <v>17</v>
      </c>
      <c r="G718" t="s">
        <v>18</v>
      </c>
      <c r="H718" s="8">
        <v>1</v>
      </c>
      <c r="I718" s="10">
        <v>149</v>
      </c>
      <c r="J718" s="14">
        <f>P718*I718</f>
        <v>149</v>
      </c>
      <c r="K718" s="16">
        <v>520</v>
      </c>
      <c r="L718" s="1" t="s">
        <v>30</v>
      </c>
      <c r="M718" t="s">
        <v>22</v>
      </c>
      <c r="N718" t="str">
        <f t="shared" si="14"/>
        <v>United Kingdom</v>
      </c>
      <c r="O718" s="8">
        <f>IF(K718&gt;=1,K718,K718*1000)</f>
        <v>520</v>
      </c>
      <c r="P718">
        <f>ABS(H718)</f>
        <v>1</v>
      </c>
      <c r="R718"/>
    </row>
    <row r="719" spans="1:18" x14ac:dyDescent="0.35">
      <c r="A719" t="s">
        <v>1535</v>
      </c>
      <c r="B719" s="2">
        <v>46080</v>
      </c>
      <c r="C719" t="s">
        <v>1536</v>
      </c>
      <c r="D719" s="3" t="s">
        <v>15</v>
      </c>
      <c r="E719" t="s">
        <v>67</v>
      </c>
      <c r="F719" t="s">
        <v>47</v>
      </c>
      <c r="G719" t="s">
        <v>48</v>
      </c>
      <c r="H719" s="8">
        <v>3</v>
      </c>
      <c r="I719" s="10">
        <v>21.6</v>
      </c>
      <c r="J719" s="14">
        <f>P719*I719</f>
        <v>64.800000000000011</v>
      </c>
      <c r="K719" s="16">
        <v>380</v>
      </c>
      <c r="L719" s="1" t="s">
        <v>30</v>
      </c>
      <c r="M719" t="s">
        <v>58</v>
      </c>
      <c r="N719" t="str">
        <f t="shared" si="14"/>
        <v>France</v>
      </c>
      <c r="O719" s="8">
        <f>IF(K719&gt;=1,K719,K719*1000)</f>
        <v>380</v>
      </c>
      <c r="P719">
        <f>ABS(H719)</f>
        <v>3</v>
      </c>
      <c r="R719"/>
    </row>
    <row r="720" spans="1:18" x14ac:dyDescent="0.35">
      <c r="A720" t="s">
        <v>1537</v>
      </c>
      <c r="B720" s="2">
        <v>46128</v>
      </c>
      <c r="C720" t="s">
        <v>1538</v>
      </c>
      <c r="D720" s="3" t="s">
        <v>99</v>
      </c>
      <c r="E720" t="s">
        <v>25</v>
      </c>
      <c r="F720" t="s">
        <v>42</v>
      </c>
      <c r="G720" t="s">
        <v>43</v>
      </c>
      <c r="H720" s="8">
        <v>1</v>
      </c>
      <c r="I720" s="10">
        <v>45</v>
      </c>
      <c r="J720" s="14">
        <f>P720*I720</f>
        <v>45</v>
      </c>
      <c r="K720" s="16">
        <v>190</v>
      </c>
      <c r="L720" s="1" t="s">
        <v>30</v>
      </c>
      <c r="M720" t="s">
        <v>22</v>
      </c>
      <c r="N720" t="str">
        <f t="shared" si="14"/>
        <v>United Kingdom</v>
      </c>
      <c r="O720" s="8">
        <f>IF(K720&gt;=1,K720,K720*1000)</f>
        <v>190</v>
      </c>
      <c r="P720">
        <f>ABS(H720)</f>
        <v>1</v>
      </c>
      <c r="R720"/>
    </row>
    <row r="721" spans="1:18" x14ac:dyDescent="0.35">
      <c r="A721" t="s">
        <v>1539</v>
      </c>
      <c r="B721" s="2">
        <v>46189</v>
      </c>
      <c r="C721" t="s">
        <v>1540</v>
      </c>
      <c r="D721" s="3" t="s">
        <v>61</v>
      </c>
      <c r="E721" t="s">
        <v>67</v>
      </c>
      <c r="F721" t="s">
        <v>47</v>
      </c>
      <c r="G721" t="s">
        <v>48</v>
      </c>
      <c r="H721" s="8">
        <v>2</v>
      </c>
      <c r="I721" s="10">
        <v>79</v>
      </c>
      <c r="J721" s="14">
        <f>P721*I721</f>
        <v>158</v>
      </c>
      <c r="K721" s="16">
        <v>0.38</v>
      </c>
      <c r="L721" s="1" t="s">
        <v>30</v>
      </c>
      <c r="M721" t="s">
        <v>22</v>
      </c>
      <c r="N721" t="str">
        <f t="shared" si="14"/>
        <v>Ireland</v>
      </c>
      <c r="O721" s="8">
        <f>IF(K721&gt;=1,K721,K721*1000)</f>
        <v>380</v>
      </c>
      <c r="P721">
        <f>ABS(H721)</f>
        <v>2</v>
      </c>
      <c r="R721"/>
    </row>
    <row r="722" spans="1:18" x14ac:dyDescent="0.35">
      <c r="A722" t="s">
        <v>1541</v>
      </c>
      <c r="B722" s="2">
        <v>46037</v>
      </c>
      <c r="C722" t="s">
        <v>332</v>
      </c>
      <c r="D722" s="3" t="s">
        <v>99</v>
      </c>
      <c r="E722" t="s">
        <v>25</v>
      </c>
      <c r="F722" t="s">
        <v>42</v>
      </c>
      <c r="G722" t="s">
        <v>43</v>
      </c>
      <c r="H722" s="8">
        <v>2</v>
      </c>
      <c r="I722" s="10">
        <v>116.1</v>
      </c>
      <c r="J722" s="14">
        <f>P722*I722</f>
        <v>232.2</v>
      </c>
      <c r="K722" s="16">
        <v>190</v>
      </c>
      <c r="L722" s="1" t="s">
        <v>30</v>
      </c>
      <c r="M722" t="s">
        <v>22</v>
      </c>
      <c r="N722" t="str">
        <f t="shared" si="14"/>
        <v>United Kingdom</v>
      </c>
      <c r="O722" s="8">
        <f>IF(K722&gt;=1,K722,K722*1000)</f>
        <v>190</v>
      </c>
      <c r="P722">
        <f>ABS(H722)</f>
        <v>2</v>
      </c>
      <c r="R722"/>
    </row>
    <row r="723" spans="1:18" x14ac:dyDescent="0.35">
      <c r="A723" t="s">
        <v>1542</v>
      </c>
      <c r="B723" s="2">
        <v>46090</v>
      </c>
      <c r="C723" t="s">
        <v>1543</v>
      </c>
      <c r="D723" s="3" t="s">
        <v>99</v>
      </c>
      <c r="E723" t="s">
        <v>16</v>
      </c>
      <c r="F723" t="s">
        <v>26</v>
      </c>
      <c r="G723" t="s">
        <v>27</v>
      </c>
      <c r="H723" s="8">
        <v>2</v>
      </c>
      <c r="I723" s="10">
        <v>45</v>
      </c>
      <c r="J723" s="14">
        <f>P723*I723</f>
        <v>90</v>
      </c>
      <c r="K723" s="16">
        <v>520</v>
      </c>
      <c r="L723" s="1" t="s">
        <v>30</v>
      </c>
      <c r="M723" t="s">
        <v>22</v>
      </c>
      <c r="N723" t="str">
        <f t="shared" si="14"/>
        <v>United Kingdom</v>
      </c>
      <c r="O723" s="8">
        <f>IF(K723&gt;=1,K723,K723*1000)</f>
        <v>520</v>
      </c>
      <c r="P723">
        <f>ABS(H723)</f>
        <v>2</v>
      </c>
      <c r="R723"/>
    </row>
    <row r="724" spans="1:18" x14ac:dyDescent="0.35">
      <c r="A724" t="s">
        <v>1544</v>
      </c>
      <c r="B724" s="2">
        <v>46195</v>
      </c>
      <c r="C724" t="s">
        <v>696</v>
      </c>
      <c r="D724" s="3" t="s">
        <v>4612</v>
      </c>
      <c r="E724" t="s">
        <v>34</v>
      </c>
      <c r="F724" t="s">
        <v>83</v>
      </c>
      <c r="G724" t="s">
        <v>84</v>
      </c>
      <c r="H724" s="8">
        <v>2</v>
      </c>
      <c r="I724" s="10">
        <v>149</v>
      </c>
      <c r="J724" s="14">
        <f>P724*I724</f>
        <v>298</v>
      </c>
      <c r="K724" s="16">
        <v>0.34</v>
      </c>
      <c r="L724" s="1" t="s">
        <v>30</v>
      </c>
      <c r="M724" t="s">
        <v>22</v>
      </c>
      <c r="N724" t="str">
        <f t="shared" si="14"/>
        <v>United Kingdom</v>
      </c>
      <c r="O724" s="8">
        <f>IF(K724&gt;=1,K724,K724*1000)</f>
        <v>340</v>
      </c>
      <c r="P724">
        <f>ABS(H724)</f>
        <v>2</v>
      </c>
      <c r="R724"/>
    </row>
    <row r="725" spans="1:18" x14ac:dyDescent="0.35">
      <c r="A725" t="s">
        <v>1545</v>
      </c>
      <c r="B725" s="2">
        <v>46123</v>
      </c>
      <c r="C725" t="s">
        <v>1546</v>
      </c>
      <c r="D725" s="3" t="s">
        <v>4613</v>
      </c>
      <c r="E725" t="s">
        <v>41</v>
      </c>
      <c r="F725" t="s">
        <v>26</v>
      </c>
      <c r="G725" t="s">
        <v>27</v>
      </c>
      <c r="H725" s="8">
        <v>1</v>
      </c>
      <c r="I725" s="10">
        <v>116.1</v>
      </c>
      <c r="J725" s="14">
        <f>P725*I725</f>
        <v>116.1</v>
      </c>
      <c r="K725" s="16">
        <v>520</v>
      </c>
      <c r="L725" s="1" t="s">
        <v>30</v>
      </c>
      <c r="M725" t="s">
        <v>22</v>
      </c>
      <c r="N725" t="str">
        <f t="shared" si="14"/>
        <v>United Kingdom</v>
      </c>
      <c r="O725" s="8">
        <f>IF(K725&gt;=1,K725,K725*1000)</f>
        <v>520</v>
      </c>
      <c r="P725">
        <f>ABS(H725)</f>
        <v>1</v>
      </c>
      <c r="R725"/>
    </row>
    <row r="726" spans="1:18" x14ac:dyDescent="0.35">
      <c r="A726" t="s">
        <v>1547</v>
      </c>
      <c r="B726" s="2" t="s">
        <v>1548</v>
      </c>
      <c r="C726" t="s">
        <v>1549</v>
      </c>
      <c r="D726" s="3" t="s">
        <v>46</v>
      </c>
      <c r="E726" t="s">
        <v>67</v>
      </c>
      <c r="F726" t="s">
        <v>47</v>
      </c>
      <c r="G726" t="s">
        <v>48</v>
      </c>
      <c r="H726" s="8">
        <v>3</v>
      </c>
      <c r="I726" s="10">
        <v>129</v>
      </c>
      <c r="J726" s="14">
        <f>P726*I726</f>
        <v>387</v>
      </c>
      <c r="K726" s="16">
        <v>380</v>
      </c>
      <c r="L726" s="1" t="s">
        <v>30</v>
      </c>
      <c r="M726" t="s">
        <v>22</v>
      </c>
      <c r="N726" t="str">
        <f t="shared" si="14"/>
        <v>Ireland</v>
      </c>
      <c r="O726" s="8">
        <f>IF(K726&gt;=1,K726,K726*1000)</f>
        <v>380</v>
      </c>
      <c r="P726">
        <f>ABS(H726)</f>
        <v>3</v>
      </c>
      <c r="R726"/>
    </row>
    <row r="727" spans="1:18" x14ac:dyDescent="0.35">
      <c r="A727" t="s">
        <v>1550</v>
      </c>
      <c r="B727" s="2">
        <v>46031</v>
      </c>
      <c r="C727" t="s">
        <v>269</v>
      </c>
      <c r="D727" s="3" t="s">
        <v>4613</v>
      </c>
      <c r="E727" t="s">
        <v>67</v>
      </c>
      <c r="F727" t="s">
        <v>42</v>
      </c>
      <c r="G727" t="s">
        <v>43</v>
      </c>
      <c r="H727" s="8">
        <v>1</v>
      </c>
      <c r="I727" s="10">
        <v>24</v>
      </c>
      <c r="J727" s="14">
        <f>P727*I727</f>
        <v>24</v>
      </c>
      <c r="K727" s="16">
        <v>190</v>
      </c>
      <c r="L727" s="1" t="s">
        <v>21</v>
      </c>
      <c r="M727" t="s">
        <v>22</v>
      </c>
      <c r="N727" t="str">
        <f t="shared" si="14"/>
        <v>United Kingdom</v>
      </c>
      <c r="O727" s="8">
        <f>IF(K727&gt;=1,K727,K727*1000)</f>
        <v>190</v>
      </c>
      <c r="P727">
        <f>ABS(H727)</f>
        <v>1</v>
      </c>
      <c r="R727"/>
    </row>
    <row r="728" spans="1:18" x14ac:dyDescent="0.35">
      <c r="A728" t="s">
        <v>1551</v>
      </c>
      <c r="B728" s="2">
        <v>46180</v>
      </c>
      <c r="C728" t="s">
        <v>959</v>
      </c>
      <c r="D728" s="3" t="s">
        <v>116</v>
      </c>
      <c r="E728" t="s">
        <v>34</v>
      </c>
      <c r="F728" t="s">
        <v>74</v>
      </c>
      <c r="G728" t="s">
        <v>75</v>
      </c>
      <c r="H728" s="8">
        <v>3</v>
      </c>
      <c r="I728" s="10">
        <v>95</v>
      </c>
      <c r="J728" s="14">
        <f>P728*I728</f>
        <v>285</v>
      </c>
      <c r="K728" s="16">
        <v>0.41</v>
      </c>
      <c r="L728" s="1" t="s">
        <v>30</v>
      </c>
      <c r="M728" t="s">
        <v>22</v>
      </c>
      <c r="N728" t="str">
        <f t="shared" si="14"/>
        <v>Germany</v>
      </c>
      <c r="O728" s="8">
        <f>IF(K728&gt;=1,K728,K728*1000)</f>
        <v>410</v>
      </c>
      <c r="P728">
        <f>ABS(H728)</f>
        <v>3</v>
      </c>
      <c r="R728"/>
    </row>
    <row r="729" spans="1:18" x14ac:dyDescent="0.35">
      <c r="A729" t="s">
        <v>1552</v>
      </c>
      <c r="B729" s="2">
        <v>46081</v>
      </c>
      <c r="C729" t="s">
        <v>1553</v>
      </c>
      <c r="D729" s="3" t="s">
        <v>66</v>
      </c>
      <c r="E729" t="s">
        <v>41</v>
      </c>
      <c r="F729" t="s">
        <v>89</v>
      </c>
      <c r="G729" t="s">
        <v>90</v>
      </c>
      <c r="H729" s="8">
        <v>1</v>
      </c>
      <c r="I729" s="10">
        <v>45</v>
      </c>
      <c r="J729" s="14">
        <f>P729*I729</f>
        <v>45</v>
      </c>
      <c r="K729" s="16">
        <v>640</v>
      </c>
      <c r="L729" s="1" t="s">
        <v>30</v>
      </c>
      <c r="M729" t="s">
        <v>22</v>
      </c>
      <c r="N729" t="str">
        <f t="shared" si="14"/>
        <v>Gb</v>
      </c>
      <c r="O729" s="8">
        <f>IF(K729&gt;=1,K729,K729*1000)</f>
        <v>640</v>
      </c>
      <c r="P729">
        <f>ABS(H729)</f>
        <v>1</v>
      </c>
      <c r="R729"/>
    </row>
    <row r="730" spans="1:18" x14ac:dyDescent="0.35">
      <c r="A730" t="s">
        <v>1554</v>
      </c>
      <c r="B730" s="2">
        <v>46053</v>
      </c>
      <c r="C730" t="s">
        <v>1555</v>
      </c>
      <c r="D730" s="3" t="s">
        <v>99</v>
      </c>
      <c r="E730" t="s">
        <v>41</v>
      </c>
      <c r="F730" t="s">
        <v>35</v>
      </c>
      <c r="G730" t="s">
        <v>36</v>
      </c>
      <c r="H730" s="8">
        <v>1</v>
      </c>
      <c r="I730" s="10">
        <v>24</v>
      </c>
      <c r="J730" s="14">
        <f>P730*I730</f>
        <v>24</v>
      </c>
      <c r="K730" s="16">
        <v>85</v>
      </c>
      <c r="L730" s="1" t="s">
        <v>21</v>
      </c>
      <c r="M730" t="s">
        <v>22</v>
      </c>
      <c r="N730" t="str">
        <f t="shared" si="14"/>
        <v>United Kingdom</v>
      </c>
      <c r="O730" s="8">
        <f>IF(K730&gt;=1,K730,K730*1000)</f>
        <v>85</v>
      </c>
      <c r="P730">
        <f>ABS(H730)</f>
        <v>1</v>
      </c>
      <c r="R730"/>
    </row>
    <row r="731" spans="1:18" x14ac:dyDescent="0.35">
      <c r="A731" t="s">
        <v>1556</v>
      </c>
      <c r="B731" s="2">
        <v>46114</v>
      </c>
      <c r="C731" t="s">
        <v>1557</v>
      </c>
      <c r="D731" s="3" t="s">
        <v>4612</v>
      </c>
      <c r="E731" t="s">
        <v>16</v>
      </c>
      <c r="F731" t="s">
        <v>89</v>
      </c>
      <c r="G731" t="s">
        <v>90</v>
      </c>
      <c r="H731" s="8">
        <v>1</v>
      </c>
      <c r="I731" s="10">
        <v>12.5</v>
      </c>
      <c r="J731" s="14">
        <f>P731*I731</f>
        <v>12.5</v>
      </c>
      <c r="K731" s="16">
        <v>640</v>
      </c>
      <c r="L731" s="1" t="s">
        <v>30</v>
      </c>
      <c r="M731" t="s">
        <v>22</v>
      </c>
      <c r="N731" t="str">
        <f t="shared" si="14"/>
        <v>United Kingdom</v>
      </c>
      <c r="O731" s="8">
        <f>IF(K731&gt;=1,K731,K731*1000)</f>
        <v>640</v>
      </c>
      <c r="P731">
        <f>ABS(H731)</f>
        <v>1</v>
      </c>
      <c r="R731"/>
    </row>
    <row r="732" spans="1:18" x14ac:dyDescent="0.35">
      <c r="A732" t="s">
        <v>1558</v>
      </c>
      <c r="B732" s="2">
        <v>46162</v>
      </c>
      <c r="C732" t="s">
        <v>1210</v>
      </c>
      <c r="D732" s="3" t="s">
        <v>99</v>
      </c>
      <c r="E732" t="s">
        <v>25</v>
      </c>
      <c r="F732" t="s">
        <v>35</v>
      </c>
      <c r="G732" t="s">
        <v>36</v>
      </c>
      <c r="H732" s="8">
        <v>2</v>
      </c>
      <c r="I732" s="10">
        <v>45</v>
      </c>
      <c r="J732" s="14">
        <f>P732*I732</f>
        <v>90</v>
      </c>
      <c r="K732" s="16">
        <v>8.5000000000000006E-2</v>
      </c>
      <c r="L732" s="1" t="s">
        <v>30</v>
      </c>
      <c r="M732" t="s">
        <v>22</v>
      </c>
      <c r="N732" t="str">
        <f t="shared" si="14"/>
        <v>United Kingdom</v>
      </c>
      <c r="O732" s="8">
        <f>IF(K732&gt;=1,K732,K732*1000)</f>
        <v>85</v>
      </c>
      <c r="P732">
        <f>ABS(H732)</f>
        <v>2</v>
      </c>
      <c r="R732"/>
    </row>
    <row r="733" spans="1:18" x14ac:dyDescent="0.35">
      <c r="A733" t="s">
        <v>1559</v>
      </c>
      <c r="B733" s="2">
        <v>46149</v>
      </c>
      <c r="C733" t="s">
        <v>537</v>
      </c>
      <c r="D733" s="3" t="s">
        <v>61</v>
      </c>
      <c r="E733" t="s">
        <v>67</v>
      </c>
      <c r="F733" t="s">
        <v>89</v>
      </c>
      <c r="G733" t="s">
        <v>90</v>
      </c>
      <c r="H733" s="8">
        <v>1</v>
      </c>
      <c r="I733" s="10">
        <v>12.5</v>
      </c>
      <c r="J733" s="14">
        <f>P733*I733</f>
        <v>12.5</v>
      </c>
      <c r="K733" s="16">
        <v>0.64</v>
      </c>
      <c r="L733" s="1" t="s">
        <v>30</v>
      </c>
      <c r="M733" t="s">
        <v>22</v>
      </c>
      <c r="N733" t="str">
        <f t="shared" si="14"/>
        <v>Ireland</v>
      </c>
      <c r="O733" s="8">
        <f>IF(K733&gt;=1,K733,K733*1000)</f>
        <v>640</v>
      </c>
      <c r="P733">
        <f>ABS(H733)</f>
        <v>1</v>
      </c>
      <c r="R733"/>
    </row>
    <row r="734" spans="1:18" x14ac:dyDescent="0.35">
      <c r="A734" t="s">
        <v>1560</v>
      </c>
      <c r="B734" s="2">
        <v>46069</v>
      </c>
      <c r="C734" t="s">
        <v>873</v>
      </c>
      <c r="D734" s="3" t="s">
        <v>99</v>
      </c>
      <c r="E734" t="s">
        <v>25</v>
      </c>
      <c r="F734" t="s">
        <v>47</v>
      </c>
      <c r="G734" t="s">
        <v>48</v>
      </c>
      <c r="H734" s="8">
        <v>2</v>
      </c>
      <c r="I734" s="10">
        <v>79</v>
      </c>
      <c r="J734" s="14">
        <f>P734*I734</f>
        <v>158</v>
      </c>
      <c r="K734" s="16">
        <v>380</v>
      </c>
      <c r="L734" s="1" t="s">
        <v>30</v>
      </c>
      <c r="M734" t="s">
        <v>58</v>
      </c>
      <c r="N734" t="str">
        <f t="shared" si="14"/>
        <v>United Kingdom</v>
      </c>
      <c r="O734" s="8">
        <f>IF(K734&gt;=1,K734,K734*1000)</f>
        <v>380</v>
      </c>
      <c r="P734">
        <f>ABS(H734)</f>
        <v>2</v>
      </c>
      <c r="R734"/>
    </row>
    <row r="735" spans="1:18" x14ac:dyDescent="0.35">
      <c r="A735" t="s">
        <v>1561</v>
      </c>
      <c r="B735" s="2">
        <v>46041</v>
      </c>
      <c r="C735" t="s">
        <v>1562</v>
      </c>
      <c r="D735" s="3" t="s">
        <v>46</v>
      </c>
      <c r="E735" t="s">
        <v>41</v>
      </c>
      <c r="F735" t="s">
        <v>89</v>
      </c>
      <c r="G735" t="s">
        <v>90</v>
      </c>
      <c r="H735" s="8">
        <v>1</v>
      </c>
      <c r="I735" s="10">
        <v>134.1</v>
      </c>
      <c r="J735" s="14">
        <f>P735*I735</f>
        <v>134.1</v>
      </c>
      <c r="K735" s="16">
        <v>640</v>
      </c>
      <c r="L735" s="1" t="s">
        <v>21</v>
      </c>
      <c r="M735" t="s">
        <v>22</v>
      </c>
      <c r="N735" t="str">
        <f t="shared" si="14"/>
        <v>Ireland</v>
      </c>
      <c r="O735" s="8">
        <f>IF(K735&gt;=1,K735,K735*1000)</f>
        <v>640</v>
      </c>
      <c r="P735">
        <f>ABS(H735)</f>
        <v>1</v>
      </c>
      <c r="R735"/>
    </row>
    <row r="736" spans="1:18" x14ac:dyDescent="0.35">
      <c r="A736" t="s">
        <v>1563</v>
      </c>
      <c r="B736" s="2">
        <v>46105</v>
      </c>
      <c r="C736" t="s">
        <v>1564</v>
      </c>
      <c r="D736" s="3" t="s">
        <v>99</v>
      </c>
      <c r="E736" t="s">
        <v>34</v>
      </c>
      <c r="F736" t="s">
        <v>83</v>
      </c>
      <c r="G736" t="s">
        <v>84</v>
      </c>
      <c r="H736" s="8">
        <v>2</v>
      </c>
      <c r="I736" s="10">
        <v>89</v>
      </c>
      <c r="J736" s="14">
        <f>P736*I736</f>
        <v>178</v>
      </c>
      <c r="K736" s="16">
        <v>340</v>
      </c>
      <c r="L736" s="1" t="s">
        <v>30</v>
      </c>
      <c r="M736" t="s">
        <v>22</v>
      </c>
      <c r="N736" t="str">
        <f t="shared" si="14"/>
        <v>United Kingdom</v>
      </c>
      <c r="O736" s="8">
        <f>IF(K736&gt;=1,K736,K736*1000)</f>
        <v>340</v>
      </c>
      <c r="P736">
        <f>ABS(H736)</f>
        <v>2</v>
      </c>
      <c r="R736"/>
    </row>
    <row r="737" spans="1:18" x14ac:dyDescent="0.35">
      <c r="A737" t="s">
        <v>1566</v>
      </c>
      <c r="B737" s="2">
        <v>46084</v>
      </c>
      <c r="C737" t="s">
        <v>471</v>
      </c>
      <c r="D737" s="3" t="s">
        <v>15</v>
      </c>
      <c r="E737" t="s">
        <v>25</v>
      </c>
      <c r="F737" t="s">
        <v>35</v>
      </c>
      <c r="G737" t="s">
        <v>36</v>
      </c>
      <c r="H737" s="8">
        <v>1</v>
      </c>
      <c r="I737" s="10">
        <v>12.5</v>
      </c>
      <c r="J737" s="14">
        <f>P737*I737</f>
        <v>12.5</v>
      </c>
      <c r="K737" s="16">
        <v>85</v>
      </c>
      <c r="L737" s="1" t="s">
        <v>30</v>
      </c>
      <c r="M737" t="s">
        <v>22</v>
      </c>
      <c r="N737" t="str">
        <f t="shared" si="14"/>
        <v>France</v>
      </c>
      <c r="O737" s="8">
        <f>IF(K737&gt;=1,K737,K737*1000)</f>
        <v>85</v>
      </c>
      <c r="P737">
        <f>ABS(H737)</f>
        <v>1</v>
      </c>
      <c r="R737"/>
    </row>
    <row r="738" spans="1:18" x14ac:dyDescent="0.35">
      <c r="A738" t="s">
        <v>1567</v>
      </c>
      <c r="B738" s="2">
        <v>46060</v>
      </c>
      <c r="C738" t="s">
        <v>1568</v>
      </c>
      <c r="D738" s="3" t="s">
        <v>66</v>
      </c>
      <c r="E738" t="s">
        <v>67</v>
      </c>
      <c r="F738" t="s">
        <v>26</v>
      </c>
      <c r="G738" t="s">
        <v>27</v>
      </c>
      <c r="H738" s="8">
        <v>2</v>
      </c>
      <c r="I738" s="12" t="s">
        <v>4630</v>
      </c>
      <c r="J738" s="14">
        <f>P738*R738</f>
        <v>22.5</v>
      </c>
      <c r="K738" s="16">
        <v>0.52</v>
      </c>
      <c r="L738" s="1" t="s">
        <v>30</v>
      </c>
      <c r="M738" t="s">
        <v>22</v>
      </c>
      <c r="N738" t="str">
        <f t="shared" si="14"/>
        <v>Gb</v>
      </c>
      <c r="O738" s="8">
        <f>IF(K738&gt;=1,K738,K738*1000)</f>
        <v>520</v>
      </c>
      <c r="P738">
        <f>ABS(H738)</f>
        <v>2</v>
      </c>
      <c r="Q738" t="str">
        <f>LEFT(I738,2)</f>
        <v>Â£</v>
      </c>
      <c r="R738" t="str">
        <f>RIGHT(I738,5)</f>
        <v>11,25</v>
      </c>
    </row>
    <row r="739" spans="1:18" x14ac:dyDescent="0.35">
      <c r="A739" t="s">
        <v>1569</v>
      </c>
      <c r="B739" s="2">
        <v>46111</v>
      </c>
      <c r="C739" t="s">
        <v>1570</v>
      </c>
      <c r="D739" s="3" t="s">
        <v>66</v>
      </c>
      <c r="E739" t="s">
        <v>67</v>
      </c>
      <c r="F739" t="s">
        <v>35</v>
      </c>
      <c r="G739" t="s">
        <v>36</v>
      </c>
      <c r="H739" s="8">
        <v>1</v>
      </c>
      <c r="I739" s="10">
        <v>95</v>
      </c>
      <c r="J739" s="14">
        <f>P739*I739</f>
        <v>95</v>
      </c>
      <c r="K739" s="16">
        <v>85</v>
      </c>
      <c r="L739" s="1" t="s">
        <v>30</v>
      </c>
      <c r="M739" t="s">
        <v>22</v>
      </c>
      <c r="N739" t="str">
        <f t="shared" si="14"/>
        <v>Gb</v>
      </c>
      <c r="O739" s="8">
        <f>IF(K739&gt;=1,K739,K739*1000)</f>
        <v>85</v>
      </c>
      <c r="P739">
        <f>ABS(H739)</f>
        <v>1</v>
      </c>
      <c r="R739"/>
    </row>
    <row r="740" spans="1:18" x14ac:dyDescent="0.35">
      <c r="A740" t="s">
        <v>1571</v>
      </c>
      <c r="B740" s="2">
        <v>46132</v>
      </c>
      <c r="C740" t="s">
        <v>477</v>
      </c>
      <c r="D740" s="3" t="s">
        <v>46</v>
      </c>
      <c r="E740" t="s">
        <v>25</v>
      </c>
      <c r="F740" t="s">
        <v>47</v>
      </c>
      <c r="G740" t="s">
        <v>48</v>
      </c>
      <c r="H740" s="8">
        <v>1</v>
      </c>
      <c r="I740" s="10">
        <v>24</v>
      </c>
      <c r="J740" s="14">
        <f>P740*I740</f>
        <v>24</v>
      </c>
      <c r="K740" s="16">
        <v>0.38</v>
      </c>
      <c r="L740" s="1" t="s">
        <v>30</v>
      </c>
      <c r="M740" t="s">
        <v>22</v>
      </c>
      <c r="N740" t="str">
        <f t="shared" si="14"/>
        <v>Ireland</v>
      </c>
      <c r="O740" s="8">
        <f>IF(K740&gt;=1,K740,K740*1000)</f>
        <v>380</v>
      </c>
      <c r="P740">
        <f>ABS(H740)</f>
        <v>1</v>
      </c>
      <c r="R740"/>
    </row>
    <row r="741" spans="1:18" x14ac:dyDescent="0.35">
      <c r="A741" t="s">
        <v>1572</v>
      </c>
      <c r="B741" s="2">
        <v>46150</v>
      </c>
      <c r="C741" t="s">
        <v>769</v>
      </c>
      <c r="D741" s="3" t="s">
        <v>53</v>
      </c>
      <c r="E741" t="s">
        <v>16</v>
      </c>
      <c r="F741" t="s">
        <v>35</v>
      </c>
      <c r="G741" t="s">
        <v>36</v>
      </c>
      <c r="H741" s="8">
        <v>2</v>
      </c>
      <c r="I741" s="10">
        <v>80.099999999999994</v>
      </c>
      <c r="J741" s="14">
        <f>P741*I741</f>
        <v>160.19999999999999</v>
      </c>
      <c r="K741" s="16">
        <v>8.5000000000000006E-2</v>
      </c>
      <c r="L741" s="1" t="s">
        <v>30</v>
      </c>
      <c r="M741" t="s">
        <v>58</v>
      </c>
      <c r="N741" t="str">
        <f t="shared" si="14"/>
        <v>Gb</v>
      </c>
      <c r="O741" s="8">
        <f>IF(K741&gt;=1,K741,K741*1000)</f>
        <v>85</v>
      </c>
      <c r="P741">
        <f>ABS(H741)</f>
        <v>2</v>
      </c>
      <c r="R741"/>
    </row>
    <row r="742" spans="1:18" x14ac:dyDescent="0.35">
      <c r="A742" t="s">
        <v>1574</v>
      </c>
      <c r="B742" s="2">
        <v>46185</v>
      </c>
      <c r="C742" t="s">
        <v>1575</v>
      </c>
      <c r="D742" s="3" t="s">
        <v>99</v>
      </c>
      <c r="E742" t="s">
        <v>67</v>
      </c>
      <c r="F742" t="s">
        <v>35</v>
      </c>
      <c r="G742" t="s">
        <v>36</v>
      </c>
      <c r="H742" s="8">
        <v>-1</v>
      </c>
      <c r="I742" s="10">
        <v>11.25</v>
      </c>
      <c r="J742" s="14">
        <f>P742*I742</f>
        <v>11.25</v>
      </c>
      <c r="K742" s="16">
        <v>8.5000000000000006E-2</v>
      </c>
      <c r="L742" s="1" t="s">
        <v>30</v>
      </c>
      <c r="M742" t="s">
        <v>58</v>
      </c>
      <c r="N742" t="str">
        <f t="shared" si="14"/>
        <v>United Kingdom</v>
      </c>
      <c r="O742" s="8">
        <f>IF(K742&gt;=1,K742,K742*1000)</f>
        <v>85</v>
      </c>
      <c r="P742">
        <f>ABS(H742)</f>
        <v>1</v>
      </c>
      <c r="R742"/>
    </row>
    <row r="743" spans="1:18" x14ac:dyDescent="0.35">
      <c r="A743" t="s">
        <v>1576</v>
      </c>
      <c r="B743" s="2">
        <v>46072</v>
      </c>
      <c r="C743" t="s">
        <v>1577</v>
      </c>
      <c r="D743" s="3" t="s">
        <v>99</v>
      </c>
      <c r="E743" t="s">
        <v>16</v>
      </c>
      <c r="F743" t="s">
        <v>42</v>
      </c>
      <c r="G743" t="s">
        <v>43</v>
      </c>
      <c r="H743" s="8">
        <v>1</v>
      </c>
      <c r="I743" s="10">
        <v>129</v>
      </c>
      <c r="J743" s="14">
        <f>P743*I743</f>
        <v>129</v>
      </c>
      <c r="K743" s="16">
        <v>190</v>
      </c>
      <c r="L743" s="1" t="s">
        <v>30</v>
      </c>
      <c r="M743" t="s">
        <v>22</v>
      </c>
      <c r="N743" t="str">
        <f t="shared" si="14"/>
        <v>United Kingdom</v>
      </c>
      <c r="O743" s="8">
        <f>IF(K743&gt;=1,K743,K743*1000)</f>
        <v>190</v>
      </c>
      <c r="P743">
        <f>ABS(H743)</f>
        <v>1</v>
      </c>
      <c r="R743"/>
    </row>
    <row r="744" spans="1:18" x14ac:dyDescent="0.35">
      <c r="A744" t="s">
        <v>1578</v>
      </c>
      <c r="B744" s="2">
        <v>46180</v>
      </c>
      <c r="C744" t="s">
        <v>1579</v>
      </c>
      <c r="D744" s="3" t="s">
        <v>46</v>
      </c>
      <c r="E744" t="s">
        <v>41</v>
      </c>
      <c r="F744" t="s">
        <v>17</v>
      </c>
      <c r="G744" t="s">
        <v>18</v>
      </c>
      <c r="H744" s="8">
        <v>2</v>
      </c>
      <c r="I744" s="10">
        <v>129</v>
      </c>
      <c r="J744" s="14">
        <f>P744*I744</f>
        <v>258</v>
      </c>
      <c r="K744" s="16">
        <v>0.52</v>
      </c>
      <c r="L744" s="1" t="s">
        <v>30</v>
      </c>
      <c r="M744" t="s">
        <v>22</v>
      </c>
      <c r="N744" t="str">
        <f t="shared" si="14"/>
        <v>Ireland</v>
      </c>
      <c r="O744" s="8">
        <f>IF(K744&gt;=1,K744,K744*1000)</f>
        <v>520</v>
      </c>
      <c r="P744">
        <f>ABS(H744)</f>
        <v>2</v>
      </c>
      <c r="R744"/>
    </row>
    <row r="745" spans="1:18" x14ac:dyDescent="0.35">
      <c r="A745" t="s">
        <v>1580</v>
      </c>
      <c r="B745" s="2">
        <v>46109</v>
      </c>
      <c r="C745" t="s">
        <v>1581</v>
      </c>
      <c r="D745" s="3" t="s">
        <v>61</v>
      </c>
      <c r="E745" t="s">
        <v>16</v>
      </c>
      <c r="F745" t="s">
        <v>74</v>
      </c>
      <c r="G745" t="s">
        <v>75</v>
      </c>
      <c r="H745" s="8">
        <v>1</v>
      </c>
      <c r="I745" s="10">
        <v>40.5</v>
      </c>
      <c r="J745" s="14">
        <f>P745*I745</f>
        <v>40.5</v>
      </c>
      <c r="K745" s="16">
        <v>410</v>
      </c>
      <c r="L745" s="1" t="s">
        <v>30</v>
      </c>
      <c r="M745" t="s">
        <v>22</v>
      </c>
      <c r="N745" t="str">
        <f t="shared" si="14"/>
        <v>Ireland</v>
      </c>
      <c r="O745" s="8">
        <f>IF(K745&gt;=1,K745,K745*1000)</f>
        <v>410</v>
      </c>
      <c r="P745">
        <f>ABS(H745)</f>
        <v>1</v>
      </c>
      <c r="R745"/>
    </row>
    <row r="746" spans="1:18" x14ac:dyDescent="0.35">
      <c r="A746" t="s">
        <v>1582</v>
      </c>
      <c r="B746" s="2">
        <v>46029</v>
      </c>
      <c r="C746" t="s">
        <v>1583</v>
      </c>
      <c r="D746" s="3" t="s">
        <v>46</v>
      </c>
      <c r="E746" t="s">
        <v>25</v>
      </c>
      <c r="F746" t="s">
        <v>26</v>
      </c>
      <c r="G746" t="s">
        <v>27</v>
      </c>
      <c r="H746" s="8">
        <v>1</v>
      </c>
      <c r="I746" s="10">
        <v>129</v>
      </c>
      <c r="J746" s="14">
        <f>P746*I746</f>
        <v>129</v>
      </c>
      <c r="K746" s="16">
        <v>520</v>
      </c>
      <c r="L746" s="1" t="s">
        <v>30</v>
      </c>
      <c r="M746" t="s">
        <v>22</v>
      </c>
      <c r="N746" t="str">
        <f t="shared" si="14"/>
        <v>Ireland</v>
      </c>
      <c r="O746" s="8">
        <f>IF(K746&gt;=1,K746,K746*1000)</f>
        <v>520</v>
      </c>
      <c r="P746">
        <f>ABS(H746)</f>
        <v>1</v>
      </c>
      <c r="R746"/>
    </row>
    <row r="747" spans="1:18" x14ac:dyDescent="0.35">
      <c r="A747" t="s">
        <v>1584</v>
      </c>
      <c r="B747" s="2">
        <v>46271</v>
      </c>
      <c r="C747" t="s">
        <v>1585</v>
      </c>
      <c r="D747" s="3" t="s">
        <v>66</v>
      </c>
      <c r="E747" t="s">
        <v>41</v>
      </c>
      <c r="F747" t="s">
        <v>42</v>
      </c>
      <c r="G747" t="s">
        <v>43</v>
      </c>
      <c r="H747" s="8">
        <v>1</v>
      </c>
      <c r="I747" s="10">
        <v>24</v>
      </c>
      <c r="J747" s="14">
        <f>P747*I747</f>
        <v>24</v>
      </c>
      <c r="K747" s="16">
        <v>0.19</v>
      </c>
      <c r="L747" s="1" t="s">
        <v>21</v>
      </c>
      <c r="M747" t="s">
        <v>58</v>
      </c>
      <c r="N747" t="str">
        <f t="shared" si="14"/>
        <v>Gb</v>
      </c>
      <c r="O747" s="8">
        <f>IF(K747&gt;=1,K747,K747*1000)</f>
        <v>190</v>
      </c>
      <c r="P747">
        <f>ABS(H747)</f>
        <v>1</v>
      </c>
      <c r="R747"/>
    </row>
    <row r="748" spans="1:18" x14ac:dyDescent="0.35">
      <c r="A748" t="s">
        <v>1586</v>
      </c>
      <c r="B748" s="2">
        <v>46102</v>
      </c>
      <c r="C748" t="s">
        <v>1587</v>
      </c>
      <c r="D748" s="3" t="s">
        <v>61</v>
      </c>
      <c r="E748" t="s">
        <v>34</v>
      </c>
      <c r="F748" t="s">
        <v>89</v>
      </c>
      <c r="G748" t="s">
        <v>90</v>
      </c>
      <c r="H748" s="8">
        <v>1</v>
      </c>
      <c r="I748" s="10">
        <v>24</v>
      </c>
      <c r="J748" s="14">
        <f>P748*I748</f>
        <v>24</v>
      </c>
      <c r="K748" s="16">
        <v>640</v>
      </c>
      <c r="L748" s="1" t="s">
        <v>21</v>
      </c>
      <c r="M748" t="s">
        <v>22</v>
      </c>
      <c r="N748" t="str">
        <f t="shared" si="14"/>
        <v>Ireland</v>
      </c>
      <c r="O748" s="8">
        <f>IF(K748&gt;=1,K748,K748*1000)</f>
        <v>640</v>
      </c>
      <c r="P748">
        <f>ABS(H748)</f>
        <v>1</v>
      </c>
      <c r="R748"/>
    </row>
    <row r="749" spans="1:18" x14ac:dyDescent="0.35">
      <c r="A749" t="s">
        <v>1588</v>
      </c>
      <c r="B749" s="2">
        <v>46114</v>
      </c>
      <c r="C749" t="s">
        <v>1589</v>
      </c>
      <c r="D749" s="3" t="s">
        <v>61</v>
      </c>
      <c r="E749" t="s">
        <v>41</v>
      </c>
      <c r="F749" t="s">
        <v>74</v>
      </c>
      <c r="G749" t="s">
        <v>75</v>
      </c>
      <c r="H749" s="8">
        <v>1</v>
      </c>
      <c r="I749" s="12" t="s">
        <v>4639</v>
      </c>
      <c r="J749" s="14">
        <f>P749*R749</f>
        <v>12.5</v>
      </c>
      <c r="K749" s="16">
        <v>410</v>
      </c>
      <c r="L749" s="1" t="s">
        <v>30</v>
      </c>
      <c r="M749" t="s">
        <v>22</v>
      </c>
      <c r="N749" t="str">
        <f t="shared" si="14"/>
        <v>Ireland</v>
      </c>
      <c r="O749" s="8">
        <f>IF(K749&gt;=1,K749,K749*1000)</f>
        <v>410</v>
      </c>
      <c r="P749">
        <f>ABS(H749)</f>
        <v>1</v>
      </c>
      <c r="Q749" t="str">
        <f>LEFT(I749,2)</f>
        <v>Â£</v>
      </c>
      <c r="R749" t="str">
        <f>RIGHT(I749,5)</f>
        <v>12,50</v>
      </c>
    </row>
    <row r="750" spans="1:18" x14ac:dyDescent="0.35">
      <c r="A750" t="s">
        <v>1590</v>
      </c>
      <c r="B750" s="2">
        <v>46189</v>
      </c>
      <c r="C750" t="s">
        <v>583</v>
      </c>
      <c r="D750" s="3" t="s">
        <v>99</v>
      </c>
      <c r="E750" t="s">
        <v>34</v>
      </c>
      <c r="F750" t="s">
        <v>47</v>
      </c>
      <c r="G750" t="s">
        <v>48</v>
      </c>
      <c r="H750" s="8">
        <v>1</v>
      </c>
      <c r="I750" s="10">
        <v>79</v>
      </c>
      <c r="J750" s="14">
        <f>P750*I750</f>
        <v>79</v>
      </c>
      <c r="K750" s="16">
        <v>0.38</v>
      </c>
      <c r="L750" s="1" t="s">
        <v>30</v>
      </c>
      <c r="M750" t="s">
        <v>22</v>
      </c>
      <c r="N750" t="str">
        <f t="shared" si="14"/>
        <v>United Kingdom</v>
      </c>
      <c r="O750" s="8">
        <f>IF(K750&gt;=1,K750,K750*1000)</f>
        <v>380</v>
      </c>
      <c r="P750">
        <f>ABS(H750)</f>
        <v>1</v>
      </c>
      <c r="R750"/>
    </row>
    <row r="751" spans="1:18" x14ac:dyDescent="0.35">
      <c r="A751" t="s">
        <v>1591</v>
      </c>
      <c r="B751" s="2">
        <v>46041</v>
      </c>
      <c r="C751" t="s">
        <v>1592</v>
      </c>
      <c r="D751" s="3" t="s">
        <v>53</v>
      </c>
      <c r="E751" t="s">
        <v>41</v>
      </c>
      <c r="F751" t="s">
        <v>26</v>
      </c>
      <c r="G751" t="s">
        <v>27</v>
      </c>
      <c r="H751" s="8">
        <v>1</v>
      </c>
      <c r="I751" s="10">
        <v>79</v>
      </c>
      <c r="J751" s="14">
        <f>P751*I751</f>
        <v>79</v>
      </c>
      <c r="K751" s="16">
        <v>520</v>
      </c>
      <c r="L751" s="1" t="s">
        <v>30</v>
      </c>
      <c r="M751" t="s">
        <v>22</v>
      </c>
      <c r="N751" t="str">
        <f t="shared" si="14"/>
        <v>Gb</v>
      </c>
      <c r="O751" s="8">
        <f>IF(K751&gt;=1,K751,K751*1000)</f>
        <v>520</v>
      </c>
      <c r="P751">
        <f>ABS(H751)</f>
        <v>1</v>
      </c>
      <c r="R751"/>
    </row>
    <row r="752" spans="1:18" x14ac:dyDescent="0.35">
      <c r="A752" t="s">
        <v>1593</v>
      </c>
      <c r="B752" s="2">
        <v>46067</v>
      </c>
      <c r="C752" t="s">
        <v>1168</v>
      </c>
      <c r="D752" s="3" t="s">
        <v>66</v>
      </c>
      <c r="E752" t="s">
        <v>41</v>
      </c>
      <c r="F752" t="s">
        <v>42</v>
      </c>
      <c r="G752" t="s">
        <v>43</v>
      </c>
      <c r="H752" s="8">
        <v>3</v>
      </c>
      <c r="I752" s="10">
        <v>79</v>
      </c>
      <c r="J752" s="14">
        <f>P752*I752</f>
        <v>237</v>
      </c>
      <c r="K752" s="16">
        <v>190</v>
      </c>
      <c r="L752" s="1" t="s">
        <v>30</v>
      </c>
      <c r="M752" t="s">
        <v>22</v>
      </c>
      <c r="N752" t="str">
        <f t="shared" si="14"/>
        <v>Gb</v>
      </c>
      <c r="O752" s="8">
        <f>IF(K752&gt;=1,K752,K752*1000)</f>
        <v>190</v>
      </c>
      <c r="P752">
        <f>ABS(H752)</f>
        <v>3</v>
      </c>
      <c r="R752"/>
    </row>
    <row r="753" spans="1:18" x14ac:dyDescent="0.35">
      <c r="A753" t="s">
        <v>1594</v>
      </c>
      <c r="B753" s="2">
        <v>46170</v>
      </c>
      <c r="C753" t="s">
        <v>1595</v>
      </c>
      <c r="D753" s="3" t="s">
        <v>15</v>
      </c>
      <c r="E753" t="s">
        <v>67</v>
      </c>
      <c r="F753" t="s">
        <v>26</v>
      </c>
      <c r="G753" t="s">
        <v>27</v>
      </c>
      <c r="H753" s="8">
        <v>1</v>
      </c>
      <c r="I753" s="10">
        <v>129</v>
      </c>
      <c r="J753" s="14">
        <f>P753*I753</f>
        <v>129</v>
      </c>
      <c r="K753" s="16">
        <v>0.52</v>
      </c>
      <c r="L753" s="1" t="s">
        <v>30</v>
      </c>
      <c r="M753" t="s">
        <v>22</v>
      </c>
      <c r="N753" t="str">
        <f t="shared" si="14"/>
        <v>France</v>
      </c>
      <c r="O753" s="8">
        <f>IF(K753&gt;=1,K753,K753*1000)</f>
        <v>520</v>
      </c>
      <c r="P753">
        <f>ABS(H753)</f>
        <v>1</v>
      </c>
      <c r="R753"/>
    </row>
    <row r="754" spans="1:18" x14ac:dyDescent="0.35">
      <c r="A754" t="s">
        <v>1596</v>
      </c>
      <c r="B754" s="2">
        <v>46144</v>
      </c>
      <c r="C754" t="s">
        <v>1597</v>
      </c>
      <c r="D754" s="3" t="s">
        <v>46</v>
      </c>
      <c r="E754" t="s">
        <v>41</v>
      </c>
      <c r="F754" t="s">
        <v>83</v>
      </c>
      <c r="G754" t="s">
        <v>84</v>
      </c>
      <c r="H754" s="8">
        <v>1</v>
      </c>
      <c r="I754" s="10">
        <v>149</v>
      </c>
      <c r="J754" s="14">
        <f>P754*I754</f>
        <v>149</v>
      </c>
      <c r="K754" s="16">
        <v>340</v>
      </c>
      <c r="L754" s="1" t="s">
        <v>21</v>
      </c>
      <c r="M754" t="s">
        <v>22</v>
      </c>
      <c r="N754" t="str">
        <f t="shared" si="14"/>
        <v>Ireland</v>
      </c>
      <c r="O754" s="8">
        <f>IF(K754&gt;=1,K754,K754*1000)</f>
        <v>340</v>
      </c>
      <c r="P754">
        <f>ABS(H754)</f>
        <v>1</v>
      </c>
      <c r="R754"/>
    </row>
    <row r="755" spans="1:18" x14ac:dyDescent="0.35">
      <c r="A755" t="s">
        <v>1598</v>
      </c>
      <c r="B755" s="2">
        <v>46187</v>
      </c>
      <c r="C755" t="s">
        <v>1599</v>
      </c>
      <c r="D755" s="3" t="s">
        <v>15</v>
      </c>
      <c r="E755" t="s">
        <v>25</v>
      </c>
      <c r="F755" t="s">
        <v>47</v>
      </c>
      <c r="G755" t="s">
        <v>48</v>
      </c>
      <c r="H755" s="8">
        <v>1</v>
      </c>
      <c r="I755" s="10">
        <v>129</v>
      </c>
      <c r="J755" s="14">
        <f>P755*I755</f>
        <v>129</v>
      </c>
      <c r="K755" s="16">
        <v>0.38</v>
      </c>
      <c r="L755" s="1" t="s">
        <v>30</v>
      </c>
      <c r="M755" t="s">
        <v>22</v>
      </c>
      <c r="N755" t="str">
        <f t="shared" si="14"/>
        <v>France</v>
      </c>
      <c r="O755" s="8">
        <f>IF(K755&gt;=1,K755,K755*1000)</f>
        <v>380</v>
      </c>
      <c r="P755">
        <f>ABS(H755)</f>
        <v>1</v>
      </c>
      <c r="R755"/>
    </row>
    <row r="756" spans="1:18" x14ac:dyDescent="0.35">
      <c r="A756" t="s">
        <v>1600</v>
      </c>
      <c r="B756" s="2">
        <v>46120</v>
      </c>
      <c r="C756" t="s">
        <v>1601</v>
      </c>
      <c r="D756" s="3" t="s">
        <v>46</v>
      </c>
      <c r="E756" t="s">
        <v>41</v>
      </c>
      <c r="F756" t="s">
        <v>47</v>
      </c>
      <c r="G756" t="s">
        <v>48</v>
      </c>
      <c r="H756" s="8">
        <v>2</v>
      </c>
      <c r="I756" s="10">
        <v>21.6</v>
      </c>
      <c r="J756" s="14">
        <f>P756*I756</f>
        <v>43.2</v>
      </c>
      <c r="K756" s="16">
        <v>380</v>
      </c>
      <c r="L756" s="1" t="s">
        <v>21</v>
      </c>
      <c r="M756" t="s">
        <v>22</v>
      </c>
      <c r="N756" t="str">
        <f t="shared" si="14"/>
        <v>Ireland</v>
      </c>
      <c r="O756" s="8">
        <f>IF(K756&gt;=1,K756,K756*1000)</f>
        <v>380</v>
      </c>
      <c r="P756">
        <f>ABS(H756)</f>
        <v>2</v>
      </c>
      <c r="R756"/>
    </row>
    <row r="757" spans="1:18" x14ac:dyDescent="0.35">
      <c r="A757" t="s">
        <v>1602</v>
      </c>
      <c r="B757" s="2">
        <v>46129</v>
      </c>
      <c r="C757" t="s">
        <v>451</v>
      </c>
      <c r="D757" s="3" t="s">
        <v>15</v>
      </c>
      <c r="E757" t="s">
        <v>67</v>
      </c>
      <c r="F757" t="s">
        <v>47</v>
      </c>
      <c r="G757" t="s">
        <v>48</v>
      </c>
      <c r="H757" s="8">
        <v>1</v>
      </c>
      <c r="I757" s="10">
        <v>129</v>
      </c>
      <c r="J757" s="14">
        <f>P757*I757</f>
        <v>129</v>
      </c>
      <c r="K757" s="16">
        <v>380</v>
      </c>
      <c r="L757" s="1" t="s">
        <v>21</v>
      </c>
      <c r="M757" t="s">
        <v>58</v>
      </c>
      <c r="N757" t="str">
        <f t="shared" si="14"/>
        <v>France</v>
      </c>
      <c r="O757" s="8">
        <f>IF(K757&gt;=1,K757,K757*1000)</f>
        <v>380</v>
      </c>
      <c r="P757">
        <f>ABS(H757)</f>
        <v>1</v>
      </c>
      <c r="R757"/>
    </row>
    <row r="758" spans="1:18" x14ac:dyDescent="0.35">
      <c r="A758" t="s">
        <v>1603</v>
      </c>
      <c r="B758" s="2">
        <v>46196</v>
      </c>
      <c r="C758" t="s">
        <v>1117</v>
      </c>
      <c r="D758" s="3" t="s">
        <v>66</v>
      </c>
      <c r="E758" t="s">
        <v>34</v>
      </c>
      <c r="F758" t="s">
        <v>35</v>
      </c>
      <c r="G758" t="s">
        <v>36</v>
      </c>
      <c r="H758" s="8">
        <v>1</v>
      </c>
      <c r="I758" s="10">
        <v>129</v>
      </c>
      <c r="J758" s="14">
        <f>P758*I758</f>
        <v>129</v>
      </c>
      <c r="K758" s="16">
        <v>8.5000000000000006E-2</v>
      </c>
      <c r="L758" s="1" t="s">
        <v>30</v>
      </c>
      <c r="M758" t="s">
        <v>22</v>
      </c>
      <c r="N758" t="str">
        <f t="shared" si="14"/>
        <v>Gb</v>
      </c>
      <c r="O758" s="8">
        <f>IF(K758&gt;=1,K758,K758*1000)</f>
        <v>85</v>
      </c>
      <c r="P758">
        <f>ABS(H758)</f>
        <v>1</v>
      </c>
      <c r="R758"/>
    </row>
    <row r="759" spans="1:18" x14ac:dyDescent="0.35">
      <c r="A759" t="s">
        <v>1604</v>
      </c>
      <c r="B759" s="2">
        <v>46063</v>
      </c>
      <c r="C759" t="s">
        <v>763</v>
      </c>
      <c r="D759" s="3" t="s">
        <v>66</v>
      </c>
      <c r="E759" t="s">
        <v>16</v>
      </c>
      <c r="F759" t="s">
        <v>89</v>
      </c>
      <c r="G759" t="s">
        <v>90</v>
      </c>
      <c r="H759" s="8">
        <v>2</v>
      </c>
      <c r="I759" s="10">
        <v>89</v>
      </c>
      <c r="J759" s="14">
        <f>P759*I759</f>
        <v>178</v>
      </c>
      <c r="K759" s="16">
        <v>640</v>
      </c>
      <c r="L759" s="1" t="s">
        <v>30</v>
      </c>
      <c r="M759" t="s">
        <v>22</v>
      </c>
      <c r="N759" t="str">
        <f t="shared" si="14"/>
        <v>Gb</v>
      </c>
      <c r="O759" s="8">
        <f>IF(K759&gt;=1,K759,K759*1000)</f>
        <v>640</v>
      </c>
      <c r="P759">
        <f>ABS(H759)</f>
        <v>2</v>
      </c>
      <c r="R759"/>
    </row>
    <row r="760" spans="1:18" x14ac:dyDescent="0.35">
      <c r="A760" t="s">
        <v>1605</v>
      </c>
      <c r="B760" s="2">
        <v>46199</v>
      </c>
      <c r="C760" t="s">
        <v>344</v>
      </c>
      <c r="D760" s="3" t="s">
        <v>66</v>
      </c>
      <c r="E760" t="s">
        <v>67</v>
      </c>
      <c r="F760" t="s">
        <v>17</v>
      </c>
      <c r="G760" t="s">
        <v>18</v>
      </c>
      <c r="H760" s="8">
        <v>1</v>
      </c>
      <c r="I760" s="10">
        <v>95</v>
      </c>
      <c r="J760" s="14">
        <f>P760*I760</f>
        <v>95</v>
      </c>
      <c r="K760" s="16">
        <v>0.52</v>
      </c>
      <c r="L760" s="1" t="s">
        <v>30</v>
      </c>
      <c r="M760" t="s">
        <v>22</v>
      </c>
      <c r="N760" t="str">
        <f t="shared" si="14"/>
        <v>Gb</v>
      </c>
      <c r="O760" s="8">
        <f>IF(K760&gt;=1,K760,K760*1000)</f>
        <v>520</v>
      </c>
      <c r="P760">
        <f>ABS(H760)</f>
        <v>1</v>
      </c>
      <c r="R760"/>
    </row>
    <row r="761" spans="1:18" x14ac:dyDescent="0.35">
      <c r="A761" t="s">
        <v>1606</v>
      </c>
      <c r="B761" s="2">
        <v>46113</v>
      </c>
      <c r="C761" t="s">
        <v>1008</v>
      </c>
      <c r="D761" s="3" t="s">
        <v>61</v>
      </c>
      <c r="E761" t="s">
        <v>34</v>
      </c>
      <c r="F761" t="s">
        <v>89</v>
      </c>
      <c r="G761" t="s">
        <v>90</v>
      </c>
      <c r="H761" s="8">
        <v>1</v>
      </c>
      <c r="I761" s="10">
        <v>12.5</v>
      </c>
      <c r="J761" s="14">
        <f>P761*I761</f>
        <v>12.5</v>
      </c>
      <c r="K761" s="16">
        <v>640</v>
      </c>
      <c r="L761" s="1" t="s">
        <v>30</v>
      </c>
      <c r="M761" t="s">
        <v>22</v>
      </c>
      <c r="N761" t="str">
        <f t="shared" si="14"/>
        <v>Ireland</v>
      </c>
      <c r="O761" s="8">
        <f>IF(K761&gt;=1,K761,K761*1000)</f>
        <v>640</v>
      </c>
      <c r="P761">
        <f>ABS(H761)</f>
        <v>1</v>
      </c>
      <c r="R761"/>
    </row>
    <row r="762" spans="1:18" x14ac:dyDescent="0.35">
      <c r="A762" t="s">
        <v>1607</v>
      </c>
      <c r="B762" s="2">
        <v>46182</v>
      </c>
      <c r="C762" t="s">
        <v>1608</v>
      </c>
      <c r="D762" s="3" t="s">
        <v>66</v>
      </c>
      <c r="E762" t="s">
        <v>34</v>
      </c>
      <c r="F762" t="s">
        <v>42</v>
      </c>
      <c r="G762" t="s">
        <v>43</v>
      </c>
      <c r="H762" s="8">
        <v>1</v>
      </c>
      <c r="I762" s="10">
        <v>24</v>
      </c>
      <c r="J762" s="14">
        <f>P762*I762</f>
        <v>24</v>
      </c>
      <c r="K762" s="16">
        <v>0.19</v>
      </c>
      <c r="L762" s="1" t="s">
        <v>30</v>
      </c>
      <c r="M762" t="s">
        <v>58</v>
      </c>
      <c r="N762" t="str">
        <f t="shared" si="14"/>
        <v>Gb</v>
      </c>
      <c r="O762" s="8">
        <f>IF(K762&gt;=1,K762,K762*1000)</f>
        <v>190</v>
      </c>
      <c r="P762">
        <f>ABS(H762)</f>
        <v>1</v>
      </c>
      <c r="R762"/>
    </row>
    <row r="763" spans="1:18" x14ac:dyDescent="0.35">
      <c r="A763" t="s">
        <v>1609</v>
      </c>
      <c r="B763" s="2" t="s">
        <v>1610</v>
      </c>
      <c r="C763" t="s">
        <v>358</v>
      </c>
      <c r="D763" s="3" t="s">
        <v>99</v>
      </c>
      <c r="E763" t="s">
        <v>16</v>
      </c>
      <c r="F763" t="s">
        <v>26</v>
      </c>
      <c r="G763" t="s">
        <v>27</v>
      </c>
      <c r="H763" s="8">
        <v>1</v>
      </c>
      <c r="I763" s="10">
        <v>95</v>
      </c>
      <c r="J763" s="14">
        <f>P763*I763</f>
        <v>95</v>
      </c>
      <c r="K763" s="16">
        <v>0.52</v>
      </c>
      <c r="L763" s="1" t="s">
        <v>30</v>
      </c>
      <c r="M763" t="s">
        <v>58</v>
      </c>
      <c r="N763" t="str">
        <f t="shared" si="14"/>
        <v>United Kingdom</v>
      </c>
      <c r="O763" s="8">
        <f>IF(K763&gt;=1,K763,K763*1000)</f>
        <v>520</v>
      </c>
      <c r="P763">
        <f>ABS(H763)</f>
        <v>1</v>
      </c>
      <c r="R763"/>
    </row>
    <row r="764" spans="1:18" x14ac:dyDescent="0.35">
      <c r="A764" t="s">
        <v>1611</v>
      </c>
      <c r="B764" s="2">
        <v>46206</v>
      </c>
      <c r="C764" t="s">
        <v>1612</v>
      </c>
      <c r="D764" s="3" t="s">
        <v>15</v>
      </c>
      <c r="E764" t="s">
        <v>16</v>
      </c>
      <c r="F764" t="s">
        <v>26</v>
      </c>
      <c r="G764" t="s">
        <v>27</v>
      </c>
      <c r="H764" s="8">
        <v>2</v>
      </c>
      <c r="I764" s="10">
        <v>80.099999999999994</v>
      </c>
      <c r="J764" s="14">
        <f>P764*I764</f>
        <v>160.19999999999999</v>
      </c>
      <c r="K764" s="16">
        <v>0.52</v>
      </c>
      <c r="L764" s="1" t="s">
        <v>30</v>
      </c>
      <c r="M764" t="s">
        <v>22</v>
      </c>
      <c r="N764" t="str">
        <f t="shared" si="14"/>
        <v>France</v>
      </c>
      <c r="O764" s="8">
        <f>IF(K764&gt;=1,K764,K764*1000)</f>
        <v>520</v>
      </c>
      <c r="P764">
        <f>ABS(H764)</f>
        <v>2</v>
      </c>
      <c r="R764"/>
    </row>
    <row r="765" spans="1:18" x14ac:dyDescent="0.35">
      <c r="A765" t="s">
        <v>1613</v>
      </c>
      <c r="B765" s="2">
        <v>46180</v>
      </c>
      <c r="C765" t="s">
        <v>519</v>
      </c>
      <c r="D765" s="3" t="s">
        <v>53</v>
      </c>
      <c r="E765" t="s">
        <v>25</v>
      </c>
      <c r="F765" t="s">
        <v>47</v>
      </c>
      <c r="G765" t="s">
        <v>48</v>
      </c>
      <c r="H765" s="8">
        <v>1</v>
      </c>
      <c r="I765" s="10">
        <v>85.5</v>
      </c>
      <c r="J765" s="14">
        <f>P765*I765</f>
        <v>85.5</v>
      </c>
      <c r="K765" s="16">
        <v>0.38</v>
      </c>
      <c r="L765" s="1" t="s">
        <v>30</v>
      </c>
      <c r="M765" t="s">
        <v>22</v>
      </c>
      <c r="N765" t="str">
        <f t="shared" si="14"/>
        <v>Gb</v>
      </c>
      <c r="O765" s="8">
        <f>IF(K765&gt;=1,K765,K765*1000)</f>
        <v>380</v>
      </c>
      <c r="P765">
        <f>ABS(H765)</f>
        <v>1</v>
      </c>
      <c r="R765"/>
    </row>
    <row r="766" spans="1:18" x14ac:dyDescent="0.35">
      <c r="A766" t="s">
        <v>1614</v>
      </c>
      <c r="B766" s="2">
        <v>46057</v>
      </c>
      <c r="C766" t="s">
        <v>564</v>
      </c>
      <c r="D766" s="3" t="s">
        <v>4612</v>
      </c>
      <c r="E766" t="s">
        <v>34</v>
      </c>
      <c r="F766" t="s">
        <v>35</v>
      </c>
      <c r="G766" t="s">
        <v>36</v>
      </c>
      <c r="H766" s="8">
        <v>1</v>
      </c>
      <c r="I766" s="10">
        <v>79</v>
      </c>
      <c r="J766" s="14">
        <f>P766*I766</f>
        <v>79</v>
      </c>
      <c r="K766" s="16">
        <v>85</v>
      </c>
      <c r="L766" s="1" t="s">
        <v>21</v>
      </c>
      <c r="M766" t="s">
        <v>58</v>
      </c>
      <c r="N766" t="str">
        <f t="shared" si="14"/>
        <v>United Kingdom</v>
      </c>
      <c r="O766" s="8">
        <f>IF(K766&gt;=1,K766,K766*1000)</f>
        <v>85</v>
      </c>
      <c r="P766">
        <f>ABS(H766)</f>
        <v>1</v>
      </c>
      <c r="R766"/>
    </row>
    <row r="767" spans="1:18" x14ac:dyDescent="0.35">
      <c r="A767" t="s">
        <v>1615</v>
      </c>
      <c r="B767" s="2">
        <v>46193</v>
      </c>
      <c r="C767" t="s">
        <v>490</v>
      </c>
      <c r="D767" s="3" t="s">
        <v>61</v>
      </c>
      <c r="E767" t="s">
        <v>25</v>
      </c>
      <c r="F767" t="s">
        <v>35</v>
      </c>
      <c r="G767" t="s">
        <v>36</v>
      </c>
      <c r="H767" s="8">
        <v>1</v>
      </c>
      <c r="I767" s="10">
        <v>89</v>
      </c>
      <c r="J767" s="14">
        <f>P767*I767</f>
        <v>89</v>
      </c>
      <c r="K767" s="16">
        <v>8.5000000000000006E-2</v>
      </c>
      <c r="L767" s="1" t="s">
        <v>30</v>
      </c>
      <c r="M767" t="s">
        <v>58</v>
      </c>
      <c r="N767" t="str">
        <f t="shared" si="14"/>
        <v>Ireland</v>
      </c>
      <c r="O767" s="8">
        <f>IF(K767&gt;=1,K767,K767*1000)</f>
        <v>85</v>
      </c>
      <c r="P767">
        <f>ABS(H767)</f>
        <v>1</v>
      </c>
      <c r="R767"/>
    </row>
    <row r="768" spans="1:18" x14ac:dyDescent="0.35">
      <c r="A768" t="s">
        <v>1616</v>
      </c>
      <c r="B768" s="2">
        <v>46175</v>
      </c>
      <c r="C768" t="s">
        <v>150</v>
      </c>
      <c r="D768" s="3" t="s">
        <v>99</v>
      </c>
      <c r="E768" t="s">
        <v>34</v>
      </c>
      <c r="F768" t="s">
        <v>42</v>
      </c>
      <c r="G768" t="s">
        <v>43</v>
      </c>
      <c r="H768" s="8">
        <v>-2</v>
      </c>
      <c r="I768" s="10">
        <v>129</v>
      </c>
      <c r="J768" s="14">
        <f>P768*I768</f>
        <v>258</v>
      </c>
      <c r="K768" s="16">
        <v>0.19</v>
      </c>
      <c r="L768" s="1" t="s">
        <v>30</v>
      </c>
      <c r="M768" t="s">
        <v>58</v>
      </c>
      <c r="N768" t="str">
        <f t="shared" si="14"/>
        <v>United Kingdom</v>
      </c>
      <c r="O768" s="8">
        <f>IF(K768&gt;=1,K768,K768*1000)</f>
        <v>190</v>
      </c>
      <c r="P768">
        <f>ABS(H768)</f>
        <v>2</v>
      </c>
      <c r="R768"/>
    </row>
    <row r="769" spans="1:18" x14ac:dyDescent="0.35">
      <c r="A769" t="s">
        <v>1618</v>
      </c>
      <c r="B769" s="2">
        <v>46122</v>
      </c>
      <c r="C769" t="s">
        <v>1619</v>
      </c>
      <c r="D769" s="3" t="s">
        <v>46</v>
      </c>
      <c r="E769" t="s">
        <v>34</v>
      </c>
      <c r="F769" t="s">
        <v>35</v>
      </c>
      <c r="G769" t="s">
        <v>36</v>
      </c>
      <c r="H769" s="8">
        <v>3</v>
      </c>
      <c r="I769" s="10">
        <v>149</v>
      </c>
      <c r="J769" s="14">
        <f>P769*I769</f>
        <v>447</v>
      </c>
      <c r="K769" s="16">
        <v>85</v>
      </c>
      <c r="L769" s="1" t="s">
        <v>21</v>
      </c>
      <c r="M769" t="s">
        <v>22</v>
      </c>
      <c r="N769" t="str">
        <f t="shared" si="14"/>
        <v>Ireland</v>
      </c>
      <c r="O769" s="8">
        <f>IF(K769&gt;=1,K769,K769*1000)</f>
        <v>85</v>
      </c>
      <c r="P769">
        <f>ABS(H769)</f>
        <v>3</v>
      </c>
      <c r="R769"/>
    </row>
    <row r="770" spans="1:18" x14ac:dyDescent="0.35">
      <c r="A770" t="s">
        <v>1620</v>
      </c>
      <c r="B770" s="2">
        <v>46196</v>
      </c>
      <c r="C770" t="s">
        <v>604</v>
      </c>
      <c r="D770" s="3" t="s">
        <v>46</v>
      </c>
      <c r="E770" t="s">
        <v>16</v>
      </c>
      <c r="F770" t="s">
        <v>83</v>
      </c>
      <c r="G770" t="s">
        <v>84</v>
      </c>
      <c r="H770" s="8">
        <v>1</v>
      </c>
      <c r="I770" s="10">
        <v>79</v>
      </c>
      <c r="J770" s="14">
        <f>P770*I770</f>
        <v>79</v>
      </c>
      <c r="K770" s="16">
        <v>0.34</v>
      </c>
      <c r="L770" s="1" t="s">
        <v>30</v>
      </c>
      <c r="M770" t="s">
        <v>22</v>
      </c>
      <c r="N770" t="str">
        <f t="shared" si="14"/>
        <v>Ireland</v>
      </c>
      <c r="O770" s="8">
        <f>IF(K770&gt;=1,K770,K770*1000)</f>
        <v>340</v>
      </c>
      <c r="P770">
        <f>ABS(H770)</f>
        <v>1</v>
      </c>
      <c r="R770"/>
    </row>
    <row r="771" spans="1:18" x14ac:dyDescent="0.35">
      <c r="A771" t="s">
        <v>1621</v>
      </c>
      <c r="B771" s="2">
        <v>46104</v>
      </c>
      <c r="C771" t="s">
        <v>966</v>
      </c>
      <c r="D771" s="3" t="s">
        <v>46</v>
      </c>
      <c r="E771" t="s">
        <v>41</v>
      </c>
      <c r="F771" t="s">
        <v>26</v>
      </c>
      <c r="G771" t="s">
        <v>27</v>
      </c>
      <c r="H771" s="8">
        <v>1</v>
      </c>
      <c r="I771" s="10">
        <v>79</v>
      </c>
      <c r="J771" s="14">
        <f>P771*I771</f>
        <v>79</v>
      </c>
      <c r="K771" s="16">
        <v>520</v>
      </c>
      <c r="L771" s="1" t="s">
        <v>21</v>
      </c>
      <c r="M771" t="s">
        <v>22</v>
      </c>
      <c r="N771" t="str">
        <f t="shared" ref="N771:N834" si="15">PROPER(TRIM(D771))</f>
        <v>Ireland</v>
      </c>
      <c r="O771" s="8">
        <f>IF(K771&gt;=1,K771,K771*1000)</f>
        <v>520</v>
      </c>
      <c r="P771">
        <f>ABS(H771)</f>
        <v>1</v>
      </c>
      <c r="R771"/>
    </row>
    <row r="772" spans="1:18" x14ac:dyDescent="0.35">
      <c r="A772" t="s">
        <v>1622</v>
      </c>
      <c r="B772" s="2">
        <v>46091</v>
      </c>
      <c r="C772" t="s">
        <v>1623</v>
      </c>
      <c r="D772" s="3" t="s">
        <v>61</v>
      </c>
      <c r="E772" t="s">
        <v>25</v>
      </c>
      <c r="F772" t="s">
        <v>42</v>
      </c>
      <c r="G772" t="s">
        <v>43</v>
      </c>
      <c r="H772" s="8">
        <v>-1</v>
      </c>
      <c r="I772" s="12" t="s">
        <v>4625</v>
      </c>
      <c r="J772" s="14">
        <f>P772*R772</f>
        <v>71.099999999999994</v>
      </c>
      <c r="K772" s="16">
        <v>190</v>
      </c>
      <c r="L772" s="1" t="s">
        <v>30</v>
      </c>
      <c r="M772" t="s">
        <v>22</v>
      </c>
      <c r="N772" t="str">
        <f t="shared" si="15"/>
        <v>Ireland</v>
      </c>
      <c r="O772" s="8">
        <f>IF(K772&gt;=1,K772,K772*1000)</f>
        <v>190</v>
      </c>
      <c r="P772">
        <f>ABS(H772)</f>
        <v>1</v>
      </c>
      <c r="Q772" t="str">
        <f>LEFT(I772,2)</f>
        <v>Â£</v>
      </c>
      <c r="R772" t="str">
        <f>RIGHT(I772,5)</f>
        <v>71,10</v>
      </c>
    </row>
    <row r="773" spans="1:18" x14ac:dyDescent="0.35">
      <c r="A773" t="s">
        <v>1625</v>
      </c>
      <c r="B773" s="2">
        <v>46049</v>
      </c>
      <c r="C773" t="s">
        <v>1626</v>
      </c>
      <c r="D773" s="3" t="s">
        <v>4613</v>
      </c>
      <c r="E773" t="s">
        <v>34</v>
      </c>
      <c r="F773" t="s">
        <v>74</v>
      </c>
      <c r="G773" t="s">
        <v>75</v>
      </c>
      <c r="H773" s="8">
        <v>2</v>
      </c>
      <c r="I773" s="10">
        <v>24</v>
      </c>
      <c r="J773" s="14">
        <f>P773*I773</f>
        <v>48</v>
      </c>
      <c r="K773" s="16">
        <v>410</v>
      </c>
      <c r="L773" s="1" t="s">
        <v>21</v>
      </c>
      <c r="M773" t="s">
        <v>22</v>
      </c>
      <c r="N773" t="str">
        <f t="shared" si="15"/>
        <v>United Kingdom</v>
      </c>
      <c r="O773" s="8">
        <f>IF(K773&gt;=1,K773,K773*1000)</f>
        <v>410</v>
      </c>
      <c r="P773">
        <f>ABS(H773)</f>
        <v>2</v>
      </c>
      <c r="R773"/>
    </row>
    <row r="774" spans="1:18" x14ac:dyDescent="0.35">
      <c r="A774" t="s">
        <v>1627</v>
      </c>
      <c r="B774" s="2">
        <v>46079</v>
      </c>
      <c r="C774" t="s">
        <v>1628</v>
      </c>
      <c r="D774" s="3" t="s">
        <v>99</v>
      </c>
      <c r="E774" t="s">
        <v>67</v>
      </c>
      <c r="F774" t="s">
        <v>35</v>
      </c>
      <c r="G774" t="s">
        <v>36</v>
      </c>
      <c r="H774" s="8">
        <v>2</v>
      </c>
      <c r="I774" s="10">
        <v>12.5</v>
      </c>
      <c r="J774" s="14">
        <f>P774*I774</f>
        <v>25</v>
      </c>
      <c r="K774" s="16">
        <v>85</v>
      </c>
      <c r="L774" s="1" t="s">
        <v>21</v>
      </c>
      <c r="M774" t="s">
        <v>58</v>
      </c>
      <c r="N774" t="str">
        <f t="shared" si="15"/>
        <v>United Kingdom</v>
      </c>
      <c r="O774" s="8">
        <f>IF(K774&gt;=1,K774,K774*1000)</f>
        <v>85</v>
      </c>
      <c r="P774">
        <f>ABS(H774)</f>
        <v>2</v>
      </c>
      <c r="R774"/>
    </row>
    <row r="775" spans="1:18" x14ac:dyDescent="0.35">
      <c r="A775" t="s">
        <v>1629</v>
      </c>
      <c r="B775" s="2">
        <v>46166</v>
      </c>
      <c r="C775" t="s">
        <v>1630</v>
      </c>
      <c r="D775" s="3" t="s">
        <v>99</v>
      </c>
      <c r="E775" t="s">
        <v>25</v>
      </c>
      <c r="F775" t="s">
        <v>74</v>
      </c>
      <c r="G775" t="s">
        <v>75</v>
      </c>
      <c r="H775" s="8">
        <v>2</v>
      </c>
      <c r="I775" s="10">
        <v>12.5</v>
      </c>
      <c r="J775" s="14">
        <f>P775*I775</f>
        <v>25</v>
      </c>
      <c r="K775" s="16">
        <v>0.41</v>
      </c>
      <c r="L775" s="1" t="s">
        <v>30</v>
      </c>
      <c r="M775" t="s">
        <v>58</v>
      </c>
      <c r="N775" t="str">
        <f t="shared" si="15"/>
        <v>United Kingdom</v>
      </c>
      <c r="O775" s="8">
        <f>IF(K775&gt;=1,K775,K775*1000)</f>
        <v>410</v>
      </c>
      <c r="P775">
        <f>ABS(H775)</f>
        <v>2</v>
      </c>
      <c r="R775"/>
    </row>
    <row r="776" spans="1:18" x14ac:dyDescent="0.35">
      <c r="A776" t="s">
        <v>1631</v>
      </c>
      <c r="B776" s="2">
        <v>46037</v>
      </c>
      <c r="C776" t="s">
        <v>594</v>
      </c>
      <c r="D776" s="3" t="s">
        <v>15</v>
      </c>
      <c r="E776" t="s">
        <v>67</v>
      </c>
      <c r="F776" t="s">
        <v>17</v>
      </c>
      <c r="G776" t="s">
        <v>18</v>
      </c>
      <c r="H776" s="8">
        <v>1</v>
      </c>
      <c r="I776" s="10">
        <v>79</v>
      </c>
      <c r="J776" s="14">
        <f>P776*I776</f>
        <v>79</v>
      </c>
      <c r="K776" s="16">
        <v>520</v>
      </c>
      <c r="L776" s="1" t="s">
        <v>21</v>
      </c>
      <c r="M776" t="s">
        <v>58</v>
      </c>
      <c r="N776" t="str">
        <f t="shared" si="15"/>
        <v>France</v>
      </c>
      <c r="O776" s="8">
        <f>IF(K776&gt;=1,K776,K776*1000)</f>
        <v>520</v>
      </c>
      <c r="P776">
        <f>ABS(H776)</f>
        <v>1</v>
      </c>
      <c r="R776"/>
    </row>
    <row r="777" spans="1:18" x14ac:dyDescent="0.35">
      <c r="A777" t="s">
        <v>1632</v>
      </c>
      <c r="B777" s="2">
        <v>46061</v>
      </c>
      <c r="C777" t="s">
        <v>1633</v>
      </c>
      <c r="D777" s="3" t="s">
        <v>66</v>
      </c>
      <c r="E777" t="s">
        <v>41</v>
      </c>
      <c r="F777" t="s">
        <v>17</v>
      </c>
      <c r="G777" t="s">
        <v>18</v>
      </c>
      <c r="H777" s="8">
        <v>2</v>
      </c>
      <c r="I777" s="10">
        <v>95</v>
      </c>
      <c r="J777" s="14">
        <f>P777*I777</f>
        <v>190</v>
      </c>
      <c r="K777" s="16">
        <v>520</v>
      </c>
      <c r="L777" s="1" t="s">
        <v>30</v>
      </c>
      <c r="M777" t="s">
        <v>22</v>
      </c>
      <c r="N777" t="str">
        <f t="shared" si="15"/>
        <v>Gb</v>
      </c>
      <c r="O777" s="8">
        <f>IF(K777&gt;=1,K777,K777*1000)</f>
        <v>520</v>
      </c>
      <c r="P777">
        <f>ABS(H777)</f>
        <v>2</v>
      </c>
      <c r="R777"/>
    </row>
    <row r="778" spans="1:18" x14ac:dyDescent="0.35">
      <c r="A778" t="s">
        <v>1634</v>
      </c>
      <c r="B778" s="2">
        <v>46158</v>
      </c>
      <c r="C778" t="s">
        <v>123</v>
      </c>
      <c r="D778" s="3" t="s">
        <v>66</v>
      </c>
      <c r="E778" t="s">
        <v>41</v>
      </c>
      <c r="F778" t="s">
        <v>26</v>
      </c>
      <c r="G778" t="s">
        <v>27</v>
      </c>
      <c r="H778" s="8">
        <v>1</v>
      </c>
      <c r="I778" s="10">
        <v>149</v>
      </c>
      <c r="J778" s="14">
        <f>P778*I778</f>
        <v>149</v>
      </c>
      <c r="K778" s="16">
        <v>0.52</v>
      </c>
      <c r="L778" s="1" t="s">
        <v>21</v>
      </c>
      <c r="M778" t="s">
        <v>22</v>
      </c>
      <c r="N778" t="str">
        <f t="shared" si="15"/>
        <v>Gb</v>
      </c>
      <c r="O778" s="8">
        <f>IF(K778&gt;=1,K778,K778*1000)</f>
        <v>520</v>
      </c>
      <c r="P778">
        <f>ABS(H778)</f>
        <v>1</v>
      </c>
      <c r="R778"/>
    </row>
    <row r="779" spans="1:18" x14ac:dyDescent="0.35">
      <c r="A779" t="s">
        <v>1635</v>
      </c>
      <c r="B779" s="2">
        <v>46129</v>
      </c>
      <c r="C779" t="s">
        <v>1636</v>
      </c>
      <c r="D779" s="3" t="s">
        <v>46</v>
      </c>
      <c r="E779" t="s">
        <v>67</v>
      </c>
      <c r="F779" t="s">
        <v>83</v>
      </c>
      <c r="G779" t="s">
        <v>84</v>
      </c>
      <c r="H779" s="8">
        <v>1</v>
      </c>
      <c r="I779" s="10">
        <v>134.1</v>
      </c>
      <c r="J779" s="14">
        <f>P779*I779</f>
        <v>134.1</v>
      </c>
      <c r="K779" s="16">
        <v>340</v>
      </c>
      <c r="L779" s="1" t="s">
        <v>30</v>
      </c>
      <c r="M779" t="s">
        <v>58</v>
      </c>
      <c r="N779" t="str">
        <f t="shared" si="15"/>
        <v>Ireland</v>
      </c>
      <c r="O779" s="8">
        <f>IF(K779&gt;=1,K779,K779*1000)</f>
        <v>340</v>
      </c>
      <c r="P779">
        <f>ABS(H779)</f>
        <v>1</v>
      </c>
      <c r="R779"/>
    </row>
    <row r="780" spans="1:18" x14ac:dyDescent="0.35">
      <c r="A780" t="s">
        <v>1637</v>
      </c>
      <c r="B780" s="2">
        <v>46057</v>
      </c>
      <c r="C780" t="s">
        <v>1638</v>
      </c>
      <c r="D780" s="3" t="s">
        <v>66</v>
      </c>
      <c r="E780" t="s">
        <v>67</v>
      </c>
      <c r="F780" t="s">
        <v>42</v>
      </c>
      <c r="G780" t="s">
        <v>43</v>
      </c>
      <c r="H780" s="8">
        <v>1</v>
      </c>
      <c r="I780" s="10">
        <v>95</v>
      </c>
      <c r="J780" s="14">
        <f>P780*I780</f>
        <v>95</v>
      </c>
      <c r="K780" s="16">
        <v>190</v>
      </c>
      <c r="L780" s="1" t="s">
        <v>21</v>
      </c>
      <c r="M780" t="s">
        <v>22</v>
      </c>
      <c r="N780" t="str">
        <f t="shared" si="15"/>
        <v>Gb</v>
      </c>
      <c r="O780" s="8">
        <f>IF(K780&gt;=1,K780,K780*1000)</f>
        <v>190</v>
      </c>
      <c r="P780">
        <f>ABS(H780)</f>
        <v>1</v>
      </c>
      <c r="R780"/>
    </row>
    <row r="781" spans="1:18" x14ac:dyDescent="0.35">
      <c r="A781" t="s">
        <v>1639</v>
      </c>
      <c r="B781" s="2">
        <v>46171</v>
      </c>
      <c r="C781" t="s">
        <v>1640</v>
      </c>
      <c r="D781" s="3" t="s">
        <v>99</v>
      </c>
      <c r="E781" t="s">
        <v>16</v>
      </c>
      <c r="F781" t="s">
        <v>42</v>
      </c>
      <c r="G781" t="s">
        <v>43</v>
      </c>
      <c r="H781" s="8">
        <v>1</v>
      </c>
      <c r="I781" s="10">
        <v>12.5</v>
      </c>
      <c r="J781" s="14">
        <f>P781*I781</f>
        <v>12.5</v>
      </c>
      <c r="K781" s="16">
        <v>0.19</v>
      </c>
      <c r="L781" s="1" t="s">
        <v>30</v>
      </c>
      <c r="M781" t="s">
        <v>22</v>
      </c>
      <c r="N781" t="str">
        <f t="shared" si="15"/>
        <v>United Kingdom</v>
      </c>
      <c r="O781" s="8">
        <f>IF(K781&gt;=1,K781,K781*1000)</f>
        <v>190</v>
      </c>
      <c r="P781">
        <f>ABS(H781)</f>
        <v>1</v>
      </c>
      <c r="R781"/>
    </row>
    <row r="782" spans="1:18" x14ac:dyDescent="0.35">
      <c r="A782" t="s">
        <v>1641</v>
      </c>
      <c r="B782" s="2" t="s">
        <v>1530</v>
      </c>
      <c r="C782" t="s">
        <v>1642</v>
      </c>
      <c r="D782" s="3" t="s">
        <v>116</v>
      </c>
      <c r="E782" t="s">
        <v>34</v>
      </c>
      <c r="F782" t="s">
        <v>47</v>
      </c>
      <c r="G782" t="s">
        <v>48</v>
      </c>
      <c r="H782" s="8">
        <v>1</v>
      </c>
      <c r="I782" s="10">
        <v>129</v>
      </c>
      <c r="J782" s="14">
        <f>P782*I782</f>
        <v>129</v>
      </c>
      <c r="K782" s="16">
        <v>380</v>
      </c>
      <c r="L782" s="1" t="s">
        <v>30</v>
      </c>
      <c r="M782" t="s">
        <v>58</v>
      </c>
      <c r="N782" t="str">
        <f t="shared" si="15"/>
        <v>Germany</v>
      </c>
      <c r="O782" s="8">
        <f>IF(K782&gt;=1,K782,K782*1000)</f>
        <v>380</v>
      </c>
      <c r="P782">
        <f>ABS(H782)</f>
        <v>1</v>
      </c>
      <c r="R782"/>
    </row>
    <row r="783" spans="1:18" x14ac:dyDescent="0.35">
      <c r="A783" t="s">
        <v>1643</v>
      </c>
      <c r="B783" s="2" t="s">
        <v>1430</v>
      </c>
      <c r="C783" t="s">
        <v>1644</v>
      </c>
      <c r="D783" s="3" t="s">
        <v>46</v>
      </c>
      <c r="E783" t="s">
        <v>34</v>
      </c>
      <c r="F783" t="s">
        <v>83</v>
      </c>
      <c r="G783" t="s">
        <v>84</v>
      </c>
      <c r="H783" s="8">
        <v>2</v>
      </c>
      <c r="I783" s="10">
        <v>85.5</v>
      </c>
      <c r="J783" s="14">
        <f>P783*I783</f>
        <v>171</v>
      </c>
      <c r="K783" s="16">
        <v>0.34</v>
      </c>
      <c r="L783" s="1" t="s">
        <v>21</v>
      </c>
      <c r="M783" t="s">
        <v>58</v>
      </c>
      <c r="N783" t="str">
        <f t="shared" si="15"/>
        <v>Ireland</v>
      </c>
      <c r="O783" s="8">
        <f>IF(K783&gt;=1,K783,K783*1000)</f>
        <v>340</v>
      </c>
      <c r="P783">
        <f>ABS(H783)</f>
        <v>2</v>
      </c>
      <c r="R783"/>
    </row>
    <row r="784" spans="1:18" x14ac:dyDescent="0.35">
      <c r="A784" t="s">
        <v>1645</v>
      </c>
      <c r="B784" s="2" t="s">
        <v>775</v>
      </c>
      <c r="C784" t="s">
        <v>260</v>
      </c>
      <c r="D784" s="3" t="s">
        <v>99</v>
      </c>
      <c r="E784" t="s">
        <v>67</v>
      </c>
      <c r="F784" t="s">
        <v>17</v>
      </c>
      <c r="G784" t="s">
        <v>18</v>
      </c>
      <c r="H784" s="8">
        <v>2</v>
      </c>
      <c r="I784" s="10">
        <v>71.099999999999994</v>
      </c>
      <c r="J784" s="14">
        <f>P784*I784</f>
        <v>142.19999999999999</v>
      </c>
      <c r="K784" s="16">
        <v>520</v>
      </c>
      <c r="L784" s="1" t="s">
        <v>21</v>
      </c>
      <c r="M784" t="s">
        <v>58</v>
      </c>
      <c r="N784" t="str">
        <f t="shared" si="15"/>
        <v>United Kingdom</v>
      </c>
      <c r="O784" s="8">
        <f>IF(K784&gt;=1,K784,K784*1000)</f>
        <v>520</v>
      </c>
      <c r="P784">
        <f>ABS(H784)</f>
        <v>2</v>
      </c>
      <c r="R784"/>
    </row>
    <row r="785" spans="1:18" x14ac:dyDescent="0.35">
      <c r="A785" t="s">
        <v>1646</v>
      </c>
      <c r="B785" s="2">
        <v>46143</v>
      </c>
      <c r="C785" t="s">
        <v>1647</v>
      </c>
      <c r="D785" s="3" t="s">
        <v>53</v>
      </c>
      <c r="E785" t="s">
        <v>25</v>
      </c>
      <c r="F785" t="s">
        <v>83</v>
      </c>
      <c r="G785" t="s">
        <v>84</v>
      </c>
      <c r="H785" s="8">
        <v>2</v>
      </c>
      <c r="I785" s="10">
        <v>79</v>
      </c>
      <c r="J785" s="14">
        <f>P785*I785</f>
        <v>158</v>
      </c>
      <c r="K785" s="16">
        <v>0.34</v>
      </c>
      <c r="L785" s="1" t="s">
        <v>30</v>
      </c>
      <c r="M785" t="s">
        <v>58</v>
      </c>
      <c r="N785" t="str">
        <f t="shared" si="15"/>
        <v>Gb</v>
      </c>
      <c r="O785" s="8">
        <f>IF(K785&gt;=1,K785,K785*1000)</f>
        <v>340</v>
      </c>
      <c r="P785">
        <f>ABS(H785)</f>
        <v>2</v>
      </c>
      <c r="R785"/>
    </row>
    <row r="786" spans="1:18" x14ac:dyDescent="0.35">
      <c r="A786" t="s">
        <v>1648</v>
      </c>
      <c r="B786" s="2">
        <v>46157</v>
      </c>
      <c r="C786" t="s">
        <v>1649</v>
      </c>
      <c r="D786" s="3" t="s">
        <v>46</v>
      </c>
      <c r="E786" t="s">
        <v>34</v>
      </c>
      <c r="F786" t="s">
        <v>35</v>
      </c>
      <c r="G786" t="s">
        <v>36</v>
      </c>
      <c r="H786" s="8">
        <v>2</v>
      </c>
      <c r="I786" s="10">
        <v>79</v>
      </c>
      <c r="J786" s="14">
        <f>P786*I786</f>
        <v>158</v>
      </c>
      <c r="K786" s="16">
        <v>8.5000000000000006E-2</v>
      </c>
      <c r="L786" s="1" t="s">
        <v>30</v>
      </c>
      <c r="M786" t="s">
        <v>22</v>
      </c>
      <c r="N786" t="str">
        <f t="shared" si="15"/>
        <v>Ireland</v>
      </c>
      <c r="O786" s="8">
        <f>IF(K786&gt;=1,K786,K786*1000)</f>
        <v>85</v>
      </c>
      <c r="P786">
        <f>ABS(H786)</f>
        <v>2</v>
      </c>
      <c r="R786"/>
    </row>
    <row r="787" spans="1:18" x14ac:dyDescent="0.35">
      <c r="A787" t="s">
        <v>1650</v>
      </c>
      <c r="B787" s="2">
        <v>46121</v>
      </c>
      <c r="C787" t="s">
        <v>1651</v>
      </c>
      <c r="D787" s="3" t="s">
        <v>46</v>
      </c>
      <c r="E787" t="s">
        <v>16</v>
      </c>
      <c r="F787" t="s">
        <v>26</v>
      </c>
      <c r="G787" t="s">
        <v>27</v>
      </c>
      <c r="H787" s="8">
        <v>1</v>
      </c>
      <c r="I787" s="10">
        <v>129</v>
      </c>
      <c r="J787" s="14">
        <f>P787*I787</f>
        <v>129</v>
      </c>
      <c r="K787" s="16">
        <v>520</v>
      </c>
      <c r="L787" s="1" t="s">
        <v>30</v>
      </c>
      <c r="M787" t="s">
        <v>22</v>
      </c>
      <c r="N787" t="str">
        <f t="shared" si="15"/>
        <v>Ireland</v>
      </c>
      <c r="O787" s="8">
        <f>IF(K787&gt;=1,K787,K787*1000)</f>
        <v>520</v>
      </c>
      <c r="P787">
        <f>ABS(H787)</f>
        <v>1</v>
      </c>
      <c r="R787"/>
    </row>
    <row r="788" spans="1:18" x14ac:dyDescent="0.35">
      <c r="A788" t="s">
        <v>1652</v>
      </c>
      <c r="B788" s="2">
        <v>46050</v>
      </c>
      <c r="C788" t="s">
        <v>1653</v>
      </c>
      <c r="D788" s="3" t="s">
        <v>4612</v>
      </c>
      <c r="E788" t="s">
        <v>41</v>
      </c>
      <c r="F788" t="s">
        <v>26</v>
      </c>
      <c r="G788" t="s">
        <v>27</v>
      </c>
      <c r="H788" s="8">
        <v>2</v>
      </c>
      <c r="I788" s="10">
        <v>80.099999999999994</v>
      </c>
      <c r="J788" s="14">
        <f>P788*I788</f>
        <v>160.19999999999999</v>
      </c>
      <c r="K788" s="16">
        <v>520</v>
      </c>
      <c r="L788" s="1" t="s">
        <v>30</v>
      </c>
      <c r="M788" t="s">
        <v>22</v>
      </c>
      <c r="N788" t="str">
        <f t="shared" si="15"/>
        <v>United Kingdom</v>
      </c>
      <c r="O788" s="8">
        <f>IF(K788&gt;=1,K788,K788*1000)</f>
        <v>520</v>
      </c>
      <c r="P788">
        <f>ABS(H788)</f>
        <v>2</v>
      </c>
      <c r="R788"/>
    </row>
    <row r="789" spans="1:18" x14ac:dyDescent="0.35">
      <c r="A789" t="s">
        <v>1654</v>
      </c>
      <c r="B789" s="2">
        <v>46150</v>
      </c>
      <c r="C789" t="s">
        <v>1655</v>
      </c>
      <c r="D789" s="3" t="s">
        <v>4613</v>
      </c>
      <c r="E789" t="s">
        <v>67</v>
      </c>
      <c r="F789" t="s">
        <v>47</v>
      </c>
      <c r="G789" t="s">
        <v>48</v>
      </c>
      <c r="H789" s="8">
        <v>1</v>
      </c>
      <c r="I789" s="10">
        <v>116.1</v>
      </c>
      <c r="J789" s="14">
        <f>P789*I789</f>
        <v>116.1</v>
      </c>
      <c r="K789" s="16">
        <v>0.38</v>
      </c>
      <c r="L789" s="1" t="s">
        <v>30</v>
      </c>
      <c r="M789" t="s">
        <v>58</v>
      </c>
      <c r="N789" t="str">
        <f t="shared" si="15"/>
        <v>United Kingdom</v>
      </c>
      <c r="O789" s="8">
        <f>IF(K789&gt;=1,K789,K789*1000)</f>
        <v>380</v>
      </c>
      <c r="P789">
        <f>ABS(H789)</f>
        <v>1</v>
      </c>
      <c r="R789"/>
    </row>
    <row r="790" spans="1:18" x14ac:dyDescent="0.35">
      <c r="A790" t="s">
        <v>1656</v>
      </c>
      <c r="B790" s="2">
        <v>46154</v>
      </c>
      <c r="C790" t="s">
        <v>342</v>
      </c>
      <c r="D790" s="3" t="s">
        <v>66</v>
      </c>
      <c r="E790" t="s">
        <v>25</v>
      </c>
      <c r="F790" t="s">
        <v>17</v>
      </c>
      <c r="G790" t="s">
        <v>18</v>
      </c>
      <c r="H790" s="8">
        <v>1</v>
      </c>
      <c r="I790" s="10">
        <v>80.099999999999994</v>
      </c>
      <c r="J790" s="14">
        <f>P790*I790</f>
        <v>80.099999999999994</v>
      </c>
      <c r="K790" s="16">
        <v>0.52</v>
      </c>
      <c r="L790" s="1" t="s">
        <v>30</v>
      </c>
      <c r="M790" t="s">
        <v>22</v>
      </c>
      <c r="N790" t="str">
        <f t="shared" si="15"/>
        <v>Gb</v>
      </c>
      <c r="O790" s="8">
        <f>IF(K790&gt;=1,K790,K790*1000)</f>
        <v>520</v>
      </c>
      <c r="P790">
        <f>ABS(H790)</f>
        <v>1</v>
      </c>
      <c r="R790"/>
    </row>
    <row r="791" spans="1:18" x14ac:dyDescent="0.35">
      <c r="A791" t="s">
        <v>1657</v>
      </c>
      <c r="B791" s="2">
        <v>46037</v>
      </c>
      <c r="C791" t="s">
        <v>1239</v>
      </c>
      <c r="D791" s="3" t="s">
        <v>4612</v>
      </c>
      <c r="E791" t="s">
        <v>16</v>
      </c>
      <c r="F791" t="s">
        <v>26</v>
      </c>
      <c r="G791" t="s">
        <v>27</v>
      </c>
      <c r="H791" s="8">
        <v>1</v>
      </c>
      <c r="I791" s="10">
        <v>80.099999999999994</v>
      </c>
      <c r="J791" s="14">
        <f>P791*I791</f>
        <v>80.099999999999994</v>
      </c>
      <c r="K791" s="16">
        <v>520</v>
      </c>
      <c r="L791" s="1" t="s">
        <v>30</v>
      </c>
      <c r="M791" t="s">
        <v>22</v>
      </c>
      <c r="N791" t="str">
        <f t="shared" si="15"/>
        <v>United Kingdom</v>
      </c>
      <c r="O791" s="8">
        <f>IF(K791&gt;=1,K791,K791*1000)</f>
        <v>520</v>
      </c>
      <c r="P791">
        <f>ABS(H791)</f>
        <v>1</v>
      </c>
      <c r="R791"/>
    </row>
    <row r="792" spans="1:18" x14ac:dyDescent="0.35">
      <c r="A792" t="s">
        <v>1658</v>
      </c>
      <c r="B792" s="2" t="s">
        <v>1530</v>
      </c>
      <c r="C792" t="s">
        <v>1659</v>
      </c>
      <c r="D792" s="3" t="s">
        <v>4613</v>
      </c>
      <c r="E792" t="s">
        <v>34</v>
      </c>
      <c r="F792" t="s">
        <v>26</v>
      </c>
      <c r="G792" t="s">
        <v>27</v>
      </c>
      <c r="H792" s="8">
        <v>1</v>
      </c>
      <c r="I792" s="10">
        <v>45</v>
      </c>
      <c r="J792" s="14">
        <f>P792*I792</f>
        <v>45</v>
      </c>
      <c r="K792" s="16">
        <v>520</v>
      </c>
      <c r="L792" s="1" t="s">
        <v>30</v>
      </c>
      <c r="M792" t="s">
        <v>22</v>
      </c>
      <c r="N792" t="str">
        <f t="shared" si="15"/>
        <v>United Kingdom</v>
      </c>
      <c r="O792" s="8">
        <f>IF(K792&gt;=1,K792,K792*1000)</f>
        <v>520</v>
      </c>
      <c r="P792">
        <f>ABS(H792)</f>
        <v>1</v>
      </c>
      <c r="R792"/>
    </row>
    <row r="793" spans="1:18" x14ac:dyDescent="0.35">
      <c r="A793" t="s">
        <v>1660</v>
      </c>
      <c r="B793" s="2">
        <v>46173</v>
      </c>
      <c r="C793" t="s">
        <v>513</v>
      </c>
      <c r="D793" s="3" t="s">
        <v>116</v>
      </c>
      <c r="E793" t="s">
        <v>41</v>
      </c>
      <c r="F793" t="s">
        <v>42</v>
      </c>
      <c r="G793" t="s">
        <v>43</v>
      </c>
      <c r="H793" s="8">
        <v>2</v>
      </c>
      <c r="I793" s="12" t="s">
        <v>4629</v>
      </c>
      <c r="J793" s="14">
        <f>P793*R793</f>
        <v>68.2</v>
      </c>
      <c r="K793" s="16">
        <v>0.19</v>
      </c>
      <c r="L793" s="1" t="s">
        <v>30</v>
      </c>
      <c r="M793" t="s">
        <v>58</v>
      </c>
      <c r="N793" t="str">
        <f t="shared" si="15"/>
        <v>Germany</v>
      </c>
      <c r="O793" s="8">
        <f>IF(K793&gt;=1,K793,K793*1000)</f>
        <v>190</v>
      </c>
      <c r="P793">
        <f>ABS(H793)</f>
        <v>2</v>
      </c>
      <c r="Q793" t="str">
        <f>LEFT(I793,3)</f>
        <v>GBP</v>
      </c>
      <c r="R793" s="10" t="str">
        <f>RIGHT(I793,5)</f>
        <v>34,10</v>
      </c>
    </row>
    <row r="794" spans="1:18" x14ac:dyDescent="0.35">
      <c r="A794" t="s">
        <v>1661</v>
      </c>
      <c r="B794" s="2">
        <v>46080</v>
      </c>
      <c r="C794" t="s">
        <v>1662</v>
      </c>
      <c r="D794" s="3" t="s">
        <v>15</v>
      </c>
      <c r="E794" t="s">
        <v>16</v>
      </c>
      <c r="F794" t="s">
        <v>47</v>
      </c>
      <c r="G794" t="s">
        <v>48</v>
      </c>
      <c r="H794" s="8">
        <v>1</v>
      </c>
      <c r="I794" s="10">
        <v>95</v>
      </c>
      <c r="J794" s="14">
        <f>P794*I794</f>
        <v>95</v>
      </c>
      <c r="K794" s="16">
        <v>380</v>
      </c>
      <c r="L794" s="1" t="s">
        <v>30</v>
      </c>
      <c r="M794" t="s">
        <v>22</v>
      </c>
      <c r="N794" t="str">
        <f t="shared" si="15"/>
        <v>France</v>
      </c>
      <c r="O794" s="8">
        <f>IF(K794&gt;=1,K794,K794*1000)</f>
        <v>380</v>
      </c>
      <c r="P794">
        <f>ABS(H794)</f>
        <v>1</v>
      </c>
      <c r="R794"/>
    </row>
    <row r="795" spans="1:18" x14ac:dyDescent="0.35">
      <c r="A795" t="s">
        <v>1664</v>
      </c>
      <c r="B795" s="2">
        <v>46063</v>
      </c>
      <c r="C795" t="s">
        <v>485</v>
      </c>
      <c r="D795" s="3" t="s">
        <v>61</v>
      </c>
      <c r="E795" t="s">
        <v>41</v>
      </c>
      <c r="F795" t="s">
        <v>35</v>
      </c>
      <c r="G795" t="s">
        <v>36</v>
      </c>
      <c r="H795" s="8">
        <v>1</v>
      </c>
      <c r="I795" s="10">
        <v>116.1</v>
      </c>
      <c r="J795" s="14">
        <f>P795*I795</f>
        <v>116.1</v>
      </c>
      <c r="K795" s="16">
        <v>85</v>
      </c>
      <c r="L795" s="1" t="s">
        <v>30</v>
      </c>
      <c r="M795" t="s">
        <v>22</v>
      </c>
      <c r="N795" t="str">
        <f t="shared" si="15"/>
        <v>Ireland</v>
      </c>
      <c r="O795" s="8">
        <f>IF(K795&gt;=1,K795,K795*1000)</f>
        <v>85</v>
      </c>
      <c r="P795">
        <f>ABS(H795)</f>
        <v>1</v>
      </c>
      <c r="R795"/>
    </row>
    <row r="796" spans="1:18" x14ac:dyDescent="0.35">
      <c r="A796" t="s">
        <v>1665</v>
      </c>
      <c r="B796" s="2" t="s">
        <v>1666</v>
      </c>
      <c r="C796" t="s">
        <v>1667</v>
      </c>
      <c r="D796" s="3" t="s">
        <v>66</v>
      </c>
      <c r="E796" t="s">
        <v>67</v>
      </c>
      <c r="F796" t="s">
        <v>26</v>
      </c>
      <c r="G796" t="s">
        <v>27</v>
      </c>
      <c r="H796" s="8">
        <v>1</v>
      </c>
      <c r="I796" s="10">
        <v>89</v>
      </c>
      <c r="J796" s="14">
        <f>P796*I796</f>
        <v>89</v>
      </c>
      <c r="K796" s="16">
        <v>0.52</v>
      </c>
      <c r="L796" s="1" t="s">
        <v>30</v>
      </c>
      <c r="M796" t="s">
        <v>22</v>
      </c>
      <c r="N796" t="str">
        <f t="shared" si="15"/>
        <v>Gb</v>
      </c>
      <c r="O796" s="8">
        <f>IF(K796&gt;=1,K796,K796*1000)</f>
        <v>520</v>
      </c>
      <c r="P796">
        <f>ABS(H796)</f>
        <v>1</v>
      </c>
      <c r="R796"/>
    </row>
    <row r="797" spans="1:18" x14ac:dyDescent="0.35">
      <c r="A797" t="s">
        <v>1668</v>
      </c>
      <c r="B797" s="2">
        <v>46037</v>
      </c>
      <c r="C797" t="s">
        <v>1669</v>
      </c>
      <c r="D797" s="3" t="s">
        <v>46</v>
      </c>
      <c r="E797" t="s">
        <v>67</v>
      </c>
      <c r="F797" t="s">
        <v>17</v>
      </c>
      <c r="G797" t="s">
        <v>18</v>
      </c>
      <c r="H797" s="8">
        <v>1</v>
      </c>
      <c r="I797" s="10">
        <v>116.1</v>
      </c>
      <c r="J797" s="14">
        <f>P797*I797</f>
        <v>116.1</v>
      </c>
      <c r="K797" s="16">
        <v>520</v>
      </c>
      <c r="L797" s="1" t="s">
        <v>30</v>
      </c>
      <c r="M797" t="s">
        <v>22</v>
      </c>
      <c r="N797" t="str">
        <f t="shared" si="15"/>
        <v>Ireland</v>
      </c>
      <c r="O797" s="8">
        <f>IF(K797&gt;=1,K797,K797*1000)</f>
        <v>520</v>
      </c>
      <c r="P797">
        <f>ABS(H797)</f>
        <v>1</v>
      </c>
      <c r="R797"/>
    </row>
    <row r="798" spans="1:18" x14ac:dyDescent="0.35">
      <c r="A798" t="s">
        <v>1670</v>
      </c>
      <c r="B798" s="2">
        <v>46165</v>
      </c>
      <c r="C798" t="s">
        <v>852</v>
      </c>
      <c r="D798" s="3" t="s">
        <v>66</v>
      </c>
      <c r="E798" t="s">
        <v>67</v>
      </c>
      <c r="F798" t="s">
        <v>35</v>
      </c>
      <c r="G798" t="s">
        <v>36</v>
      </c>
      <c r="H798" s="8">
        <v>3</v>
      </c>
      <c r="I798" s="10">
        <v>149</v>
      </c>
      <c r="J798" s="14">
        <f>P798*I798</f>
        <v>447</v>
      </c>
      <c r="K798" s="16">
        <v>8.5000000000000006E-2</v>
      </c>
      <c r="L798" s="1" t="s">
        <v>30</v>
      </c>
      <c r="M798" t="s">
        <v>22</v>
      </c>
      <c r="N798" t="str">
        <f t="shared" si="15"/>
        <v>Gb</v>
      </c>
      <c r="O798" s="8">
        <f>IF(K798&gt;=1,K798,K798*1000)</f>
        <v>85</v>
      </c>
      <c r="P798">
        <f>ABS(H798)</f>
        <v>3</v>
      </c>
      <c r="R798"/>
    </row>
    <row r="799" spans="1:18" x14ac:dyDescent="0.35">
      <c r="A799" t="s">
        <v>1671</v>
      </c>
      <c r="B799" s="2">
        <v>46151</v>
      </c>
      <c r="C799" t="s">
        <v>1672</v>
      </c>
      <c r="D799" s="3" t="s">
        <v>99</v>
      </c>
      <c r="E799" t="s">
        <v>34</v>
      </c>
      <c r="F799" t="s">
        <v>35</v>
      </c>
      <c r="G799" t="s">
        <v>36</v>
      </c>
      <c r="H799" s="8">
        <v>2</v>
      </c>
      <c r="I799" s="10">
        <v>89</v>
      </c>
      <c r="J799" s="14">
        <f>P799*I799</f>
        <v>178</v>
      </c>
      <c r="K799" s="16">
        <v>8.5000000000000006E-2</v>
      </c>
      <c r="L799" s="1" t="s">
        <v>30</v>
      </c>
      <c r="M799" t="s">
        <v>58</v>
      </c>
      <c r="N799" t="str">
        <f t="shared" si="15"/>
        <v>United Kingdom</v>
      </c>
      <c r="O799" s="8">
        <f>IF(K799&gt;=1,K799,K799*1000)</f>
        <v>85</v>
      </c>
      <c r="P799">
        <f>ABS(H799)</f>
        <v>2</v>
      </c>
      <c r="R799"/>
    </row>
    <row r="800" spans="1:18" x14ac:dyDescent="0.35">
      <c r="A800" t="s">
        <v>1673</v>
      </c>
      <c r="B800" s="2">
        <v>46095</v>
      </c>
      <c r="C800" t="s">
        <v>1674</v>
      </c>
      <c r="D800" s="3" t="s">
        <v>4613</v>
      </c>
      <c r="E800" t="s">
        <v>41</v>
      </c>
      <c r="F800" t="s">
        <v>83</v>
      </c>
      <c r="G800" t="s">
        <v>84</v>
      </c>
      <c r="H800" s="8">
        <v>1</v>
      </c>
      <c r="I800" s="12" t="s">
        <v>4637</v>
      </c>
      <c r="J800" s="14">
        <f>P800*R800</f>
        <v>49</v>
      </c>
      <c r="K800" s="16">
        <v>340</v>
      </c>
      <c r="L800" s="1" t="s">
        <v>21</v>
      </c>
      <c r="M800" t="s">
        <v>22</v>
      </c>
      <c r="N800" t="str">
        <f t="shared" si="15"/>
        <v>United Kingdom</v>
      </c>
      <c r="O800" s="8">
        <f>IF(K800&gt;=1,K800,K800*1000)</f>
        <v>340</v>
      </c>
      <c r="P800">
        <f>ABS(H800)</f>
        <v>1</v>
      </c>
      <c r="Q800" t="str">
        <f>LEFT(I800,2)</f>
        <v>Â£</v>
      </c>
      <c r="R800" t="str">
        <f>RIGHT(I800,5)</f>
        <v>49,00</v>
      </c>
    </row>
    <row r="801" spans="1:18" x14ac:dyDescent="0.35">
      <c r="A801" t="s">
        <v>1675</v>
      </c>
      <c r="B801" s="2">
        <v>46080</v>
      </c>
      <c r="C801" t="s">
        <v>177</v>
      </c>
      <c r="D801" s="3" t="s">
        <v>99</v>
      </c>
      <c r="E801" t="s">
        <v>34</v>
      </c>
      <c r="F801" t="s">
        <v>47</v>
      </c>
      <c r="G801" t="s">
        <v>48</v>
      </c>
      <c r="H801" s="8">
        <v>1</v>
      </c>
      <c r="I801" s="10">
        <v>45</v>
      </c>
      <c r="J801" s="14">
        <f>P801*I801</f>
        <v>45</v>
      </c>
      <c r="K801" s="16">
        <v>380</v>
      </c>
      <c r="L801" s="1" t="s">
        <v>30</v>
      </c>
      <c r="M801" t="s">
        <v>22</v>
      </c>
      <c r="N801" t="str">
        <f t="shared" si="15"/>
        <v>United Kingdom</v>
      </c>
      <c r="O801" s="8">
        <f>IF(K801&gt;=1,K801,K801*1000)</f>
        <v>380</v>
      </c>
      <c r="P801">
        <f>ABS(H801)</f>
        <v>1</v>
      </c>
      <c r="R801"/>
    </row>
    <row r="802" spans="1:18" x14ac:dyDescent="0.35">
      <c r="A802" t="s">
        <v>1676</v>
      </c>
      <c r="B802" s="2">
        <v>46124</v>
      </c>
      <c r="C802" t="s">
        <v>1314</v>
      </c>
      <c r="D802" s="3" t="s">
        <v>4612</v>
      </c>
      <c r="E802" t="s">
        <v>25</v>
      </c>
      <c r="F802" t="s">
        <v>74</v>
      </c>
      <c r="G802" t="s">
        <v>75</v>
      </c>
      <c r="H802" s="8">
        <v>2</v>
      </c>
      <c r="I802" s="10">
        <v>149</v>
      </c>
      <c r="J802" s="14">
        <f>P802*I802</f>
        <v>298</v>
      </c>
      <c r="K802" s="16">
        <v>410</v>
      </c>
      <c r="L802" s="1" t="s">
        <v>30</v>
      </c>
      <c r="M802" t="s">
        <v>22</v>
      </c>
      <c r="N802" t="str">
        <f t="shared" si="15"/>
        <v>United Kingdom</v>
      </c>
      <c r="O802" s="8">
        <f>IF(K802&gt;=1,K802,K802*1000)</f>
        <v>410</v>
      </c>
      <c r="P802">
        <f>ABS(H802)</f>
        <v>2</v>
      </c>
      <c r="R802"/>
    </row>
    <row r="803" spans="1:18" x14ac:dyDescent="0.35">
      <c r="A803" t="s">
        <v>1677</v>
      </c>
      <c r="B803" s="2">
        <v>46041</v>
      </c>
      <c r="C803" t="s">
        <v>1678</v>
      </c>
      <c r="D803" s="3" t="s">
        <v>66</v>
      </c>
      <c r="E803" t="s">
        <v>67</v>
      </c>
      <c r="F803" t="s">
        <v>74</v>
      </c>
      <c r="G803" t="s">
        <v>75</v>
      </c>
      <c r="H803" s="8">
        <v>2</v>
      </c>
      <c r="I803" s="10">
        <v>24</v>
      </c>
      <c r="J803" s="14">
        <f>P803*I803</f>
        <v>48</v>
      </c>
      <c r="K803" s="16">
        <v>410</v>
      </c>
      <c r="L803" s="1" t="s">
        <v>30</v>
      </c>
      <c r="M803" t="s">
        <v>22</v>
      </c>
      <c r="N803" t="str">
        <f t="shared" si="15"/>
        <v>Gb</v>
      </c>
      <c r="O803" s="8">
        <f>IF(K803&gt;=1,K803,K803*1000)</f>
        <v>410</v>
      </c>
      <c r="P803">
        <f>ABS(H803)</f>
        <v>2</v>
      </c>
      <c r="R803"/>
    </row>
    <row r="804" spans="1:18" x14ac:dyDescent="0.35">
      <c r="A804" t="s">
        <v>1679</v>
      </c>
      <c r="B804" s="2">
        <v>46133</v>
      </c>
      <c r="C804" t="s">
        <v>750</v>
      </c>
      <c r="D804" s="3" t="s">
        <v>15</v>
      </c>
      <c r="E804" t="s">
        <v>41</v>
      </c>
      <c r="F804" t="s">
        <v>42</v>
      </c>
      <c r="G804" t="s">
        <v>43</v>
      </c>
      <c r="H804" s="8">
        <v>1</v>
      </c>
      <c r="I804" s="10">
        <v>89</v>
      </c>
      <c r="J804" s="14">
        <f>P804*I804</f>
        <v>89</v>
      </c>
      <c r="K804" s="16">
        <v>0.19</v>
      </c>
      <c r="L804" s="1" t="s">
        <v>30</v>
      </c>
      <c r="M804" t="s">
        <v>22</v>
      </c>
      <c r="N804" t="str">
        <f t="shared" si="15"/>
        <v>France</v>
      </c>
      <c r="O804" s="8">
        <f>IF(K804&gt;=1,K804,K804*1000)</f>
        <v>190</v>
      </c>
      <c r="P804">
        <f>ABS(H804)</f>
        <v>1</v>
      </c>
      <c r="R804"/>
    </row>
    <row r="805" spans="1:18" x14ac:dyDescent="0.35">
      <c r="A805" t="s">
        <v>1680</v>
      </c>
      <c r="B805" s="2">
        <v>46176</v>
      </c>
      <c r="C805" t="s">
        <v>1046</v>
      </c>
      <c r="D805" s="3" t="s">
        <v>99</v>
      </c>
      <c r="E805" t="s">
        <v>34</v>
      </c>
      <c r="F805" t="s">
        <v>26</v>
      </c>
      <c r="G805" t="s">
        <v>27</v>
      </c>
      <c r="H805" s="8">
        <v>2</v>
      </c>
      <c r="I805" s="10">
        <v>12.5</v>
      </c>
      <c r="J805" s="14">
        <f>P805*I805</f>
        <v>25</v>
      </c>
      <c r="K805" s="16">
        <v>0.52</v>
      </c>
      <c r="L805" s="1" t="s">
        <v>21</v>
      </c>
      <c r="M805" t="s">
        <v>22</v>
      </c>
      <c r="N805" t="str">
        <f t="shared" si="15"/>
        <v>United Kingdom</v>
      </c>
      <c r="O805" s="8">
        <f>IF(K805&gt;=1,K805,K805*1000)</f>
        <v>520</v>
      </c>
      <c r="P805">
        <f>ABS(H805)</f>
        <v>2</v>
      </c>
      <c r="R805"/>
    </row>
    <row r="806" spans="1:18" x14ac:dyDescent="0.35">
      <c r="A806" t="s">
        <v>1681</v>
      </c>
      <c r="B806" s="2">
        <v>46165</v>
      </c>
      <c r="C806" t="s">
        <v>1682</v>
      </c>
      <c r="D806" s="3" t="s">
        <v>99</v>
      </c>
      <c r="E806" t="s">
        <v>34</v>
      </c>
      <c r="F806" t="s">
        <v>17</v>
      </c>
      <c r="G806" t="s">
        <v>18</v>
      </c>
      <c r="H806" s="8">
        <v>1</v>
      </c>
      <c r="I806" s="10">
        <v>116.1</v>
      </c>
      <c r="J806" s="14">
        <f>P806*I806</f>
        <v>116.1</v>
      </c>
      <c r="K806" s="16">
        <v>0.52</v>
      </c>
      <c r="L806" s="1" t="s">
        <v>30</v>
      </c>
      <c r="M806" t="s">
        <v>58</v>
      </c>
      <c r="N806" t="str">
        <f t="shared" si="15"/>
        <v>United Kingdom</v>
      </c>
      <c r="O806" s="8">
        <f>IF(K806&gt;=1,K806,K806*1000)</f>
        <v>520</v>
      </c>
      <c r="P806">
        <f>ABS(H806)</f>
        <v>1</v>
      </c>
      <c r="R806"/>
    </row>
    <row r="807" spans="1:18" x14ac:dyDescent="0.35">
      <c r="A807" t="s">
        <v>1683</v>
      </c>
      <c r="B807" s="2">
        <v>46185</v>
      </c>
      <c r="C807" t="s">
        <v>1684</v>
      </c>
      <c r="D807" s="3" t="s">
        <v>4612</v>
      </c>
      <c r="E807" t="s">
        <v>41</v>
      </c>
      <c r="F807" t="s">
        <v>17</v>
      </c>
      <c r="G807" t="s">
        <v>18</v>
      </c>
      <c r="H807" s="8">
        <v>2</v>
      </c>
      <c r="I807" s="10">
        <v>129</v>
      </c>
      <c r="J807" s="14">
        <f>P807*I807</f>
        <v>258</v>
      </c>
      <c r="K807" s="16">
        <v>0.52</v>
      </c>
      <c r="L807" s="1" t="s">
        <v>30</v>
      </c>
      <c r="M807" t="s">
        <v>22</v>
      </c>
      <c r="N807" t="str">
        <f t="shared" si="15"/>
        <v>United Kingdom</v>
      </c>
      <c r="O807" s="8">
        <f>IF(K807&gt;=1,K807,K807*1000)</f>
        <v>520</v>
      </c>
      <c r="P807">
        <f>ABS(H807)</f>
        <v>2</v>
      </c>
      <c r="R807"/>
    </row>
    <row r="808" spans="1:18" x14ac:dyDescent="0.35">
      <c r="A808" t="s">
        <v>1685</v>
      </c>
      <c r="B808" s="2">
        <v>46065</v>
      </c>
      <c r="C808" t="s">
        <v>1686</v>
      </c>
      <c r="D808" s="3" t="s">
        <v>99</v>
      </c>
      <c r="E808" t="s">
        <v>34</v>
      </c>
      <c r="F808" t="s">
        <v>47</v>
      </c>
      <c r="G808" t="s">
        <v>48</v>
      </c>
      <c r="H808" s="8">
        <v>2</v>
      </c>
      <c r="I808" s="10">
        <v>12.5</v>
      </c>
      <c r="J808" s="14">
        <f>P808*I808</f>
        <v>25</v>
      </c>
      <c r="K808" s="16">
        <v>380</v>
      </c>
      <c r="L808" s="1" t="s">
        <v>30</v>
      </c>
      <c r="M808" t="s">
        <v>58</v>
      </c>
      <c r="N808" t="str">
        <f t="shared" si="15"/>
        <v>United Kingdom</v>
      </c>
      <c r="O808" s="8">
        <f>IF(K808&gt;=1,K808,K808*1000)</f>
        <v>380</v>
      </c>
      <c r="P808">
        <f>ABS(H808)</f>
        <v>2</v>
      </c>
      <c r="R808"/>
    </row>
    <row r="809" spans="1:18" x14ac:dyDescent="0.35">
      <c r="A809" t="s">
        <v>1687</v>
      </c>
      <c r="B809" s="2">
        <v>46117</v>
      </c>
      <c r="C809" t="s">
        <v>1688</v>
      </c>
      <c r="D809" s="3" t="s">
        <v>116</v>
      </c>
      <c r="E809" t="s">
        <v>41</v>
      </c>
      <c r="F809" t="s">
        <v>35</v>
      </c>
      <c r="G809" t="s">
        <v>36</v>
      </c>
      <c r="H809" s="8">
        <v>2</v>
      </c>
      <c r="I809" s="10">
        <v>89</v>
      </c>
      <c r="J809" s="14">
        <f>P809*I809</f>
        <v>178</v>
      </c>
      <c r="K809" s="16">
        <v>85</v>
      </c>
      <c r="L809" s="1" t="s">
        <v>30</v>
      </c>
      <c r="M809" t="s">
        <v>22</v>
      </c>
      <c r="N809" t="str">
        <f t="shared" si="15"/>
        <v>Germany</v>
      </c>
      <c r="O809" s="8">
        <f>IF(K809&gt;=1,K809,K809*1000)</f>
        <v>85</v>
      </c>
      <c r="P809">
        <f>ABS(H809)</f>
        <v>2</v>
      </c>
      <c r="R809"/>
    </row>
    <row r="810" spans="1:18" x14ac:dyDescent="0.35">
      <c r="A810" t="s">
        <v>1689</v>
      </c>
      <c r="B810" s="2">
        <v>46101</v>
      </c>
      <c r="C810" t="s">
        <v>1057</v>
      </c>
      <c r="D810" s="3" t="s">
        <v>4612</v>
      </c>
      <c r="E810" t="s">
        <v>34</v>
      </c>
      <c r="F810" t="s">
        <v>47</v>
      </c>
      <c r="G810" t="s">
        <v>48</v>
      </c>
      <c r="H810" s="8">
        <v>1</v>
      </c>
      <c r="I810" s="10">
        <v>79</v>
      </c>
      <c r="J810" s="14">
        <f>P810*I810</f>
        <v>79</v>
      </c>
      <c r="K810" s="16">
        <v>380</v>
      </c>
      <c r="L810" s="1" t="s">
        <v>30</v>
      </c>
      <c r="M810" t="s">
        <v>58</v>
      </c>
      <c r="N810" t="str">
        <f t="shared" si="15"/>
        <v>United Kingdom</v>
      </c>
      <c r="O810" s="8">
        <f>IF(K810&gt;=1,K810,K810*1000)</f>
        <v>380</v>
      </c>
      <c r="P810">
        <f>ABS(H810)</f>
        <v>1</v>
      </c>
      <c r="R810"/>
    </row>
    <row r="811" spans="1:18" x14ac:dyDescent="0.35">
      <c r="A811" t="s">
        <v>1690</v>
      </c>
      <c r="B811" s="2">
        <v>46084</v>
      </c>
      <c r="C811" t="s">
        <v>1691</v>
      </c>
      <c r="D811" s="3" t="s">
        <v>116</v>
      </c>
      <c r="E811" t="s">
        <v>41</v>
      </c>
      <c r="F811" t="s">
        <v>89</v>
      </c>
      <c r="G811" t="s">
        <v>90</v>
      </c>
      <c r="H811" s="8">
        <v>1</v>
      </c>
      <c r="I811" s="10">
        <v>12.5</v>
      </c>
      <c r="J811" s="14">
        <f>P811*I811</f>
        <v>12.5</v>
      </c>
      <c r="K811" s="16">
        <v>640</v>
      </c>
      <c r="L811" s="1" t="s">
        <v>30</v>
      </c>
      <c r="M811" t="s">
        <v>22</v>
      </c>
      <c r="N811" t="str">
        <f t="shared" si="15"/>
        <v>Germany</v>
      </c>
      <c r="O811" s="8">
        <f>IF(K811&gt;=1,K811,K811*1000)</f>
        <v>640</v>
      </c>
      <c r="P811">
        <f>ABS(H811)</f>
        <v>1</v>
      </c>
      <c r="R811"/>
    </row>
    <row r="812" spans="1:18" x14ac:dyDescent="0.35">
      <c r="A812" t="s">
        <v>1692</v>
      </c>
      <c r="B812" s="2">
        <v>46153</v>
      </c>
      <c r="C812" t="s">
        <v>313</v>
      </c>
      <c r="D812" s="3" t="s">
        <v>61</v>
      </c>
      <c r="E812" t="s">
        <v>67</v>
      </c>
      <c r="F812" t="s">
        <v>89</v>
      </c>
      <c r="G812" t="s">
        <v>90</v>
      </c>
      <c r="H812" s="8">
        <v>1</v>
      </c>
      <c r="I812" s="10">
        <v>45</v>
      </c>
      <c r="J812" s="14">
        <f>P812*I812</f>
        <v>45</v>
      </c>
      <c r="K812" s="16">
        <v>0.64</v>
      </c>
      <c r="L812" s="1" t="s">
        <v>30</v>
      </c>
      <c r="M812" t="s">
        <v>22</v>
      </c>
      <c r="N812" t="str">
        <f t="shared" si="15"/>
        <v>Ireland</v>
      </c>
      <c r="O812" s="8">
        <f>IF(K812&gt;=1,K812,K812*1000)</f>
        <v>640</v>
      </c>
      <c r="P812">
        <f>ABS(H812)</f>
        <v>1</v>
      </c>
      <c r="R812"/>
    </row>
    <row r="813" spans="1:18" x14ac:dyDescent="0.35">
      <c r="A813" t="s">
        <v>1693</v>
      </c>
      <c r="B813" s="2">
        <v>46202</v>
      </c>
      <c r="C813" t="s">
        <v>337</v>
      </c>
      <c r="D813" s="3" t="s">
        <v>99</v>
      </c>
      <c r="E813" t="s">
        <v>67</v>
      </c>
      <c r="F813" t="s">
        <v>47</v>
      </c>
      <c r="G813" t="s">
        <v>48</v>
      </c>
      <c r="H813" s="8">
        <v>2</v>
      </c>
      <c r="I813" s="10">
        <v>24</v>
      </c>
      <c r="J813" s="14">
        <f>P813*I813</f>
        <v>48</v>
      </c>
      <c r="K813" s="16">
        <v>0.38</v>
      </c>
      <c r="L813" s="1" t="s">
        <v>21</v>
      </c>
      <c r="M813" t="s">
        <v>22</v>
      </c>
      <c r="N813" t="str">
        <f t="shared" si="15"/>
        <v>United Kingdom</v>
      </c>
      <c r="O813" s="8">
        <f>IF(K813&gt;=1,K813,K813*1000)</f>
        <v>380</v>
      </c>
      <c r="P813">
        <f>ABS(H813)</f>
        <v>2</v>
      </c>
      <c r="R813"/>
    </row>
    <row r="814" spans="1:18" x14ac:dyDescent="0.35">
      <c r="A814" t="s">
        <v>1694</v>
      </c>
      <c r="B814" s="2">
        <v>46086</v>
      </c>
      <c r="C814" t="s">
        <v>428</v>
      </c>
      <c r="D814" s="3" t="s">
        <v>46</v>
      </c>
      <c r="E814" t="s">
        <v>67</v>
      </c>
      <c r="F814" t="s">
        <v>83</v>
      </c>
      <c r="G814" t="s">
        <v>84</v>
      </c>
      <c r="H814" s="8">
        <v>-3</v>
      </c>
      <c r="I814" s="10">
        <v>11.25</v>
      </c>
      <c r="J814" s="14">
        <f>P814*I814</f>
        <v>33.75</v>
      </c>
      <c r="K814" s="16">
        <v>340</v>
      </c>
      <c r="L814" s="1" t="s">
        <v>30</v>
      </c>
      <c r="M814" t="s">
        <v>22</v>
      </c>
      <c r="N814" t="str">
        <f t="shared" si="15"/>
        <v>Ireland</v>
      </c>
      <c r="O814" s="8">
        <f>IF(K814&gt;=1,K814,K814*1000)</f>
        <v>340</v>
      </c>
      <c r="P814">
        <f>ABS(H814)</f>
        <v>3</v>
      </c>
      <c r="R814"/>
    </row>
    <row r="815" spans="1:18" x14ac:dyDescent="0.35">
      <c r="A815" t="s">
        <v>1696</v>
      </c>
      <c r="B815" s="2">
        <v>46140</v>
      </c>
      <c r="C815" t="s">
        <v>1292</v>
      </c>
      <c r="D815" s="3" t="s">
        <v>116</v>
      </c>
      <c r="E815" t="s">
        <v>25</v>
      </c>
      <c r="F815" t="s">
        <v>83</v>
      </c>
      <c r="G815" t="s">
        <v>84</v>
      </c>
      <c r="H815" s="8">
        <v>1</v>
      </c>
      <c r="I815" s="10">
        <v>24</v>
      </c>
      <c r="J815" s="14">
        <f>P815*I815</f>
        <v>24</v>
      </c>
      <c r="K815" s="16">
        <v>0.34</v>
      </c>
      <c r="L815" s="1" t="s">
        <v>21</v>
      </c>
      <c r="M815" t="s">
        <v>22</v>
      </c>
      <c r="N815" t="str">
        <f t="shared" si="15"/>
        <v>Germany</v>
      </c>
      <c r="O815" s="8">
        <f>IF(K815&gt;=1,K815,K815*1000)</f>
        <v>340</v>
      </c>
      <c r="P815">
        <f>ABS(H815)</f>
        <v>1</v>
      </c>
      <c r="R815"/>
    </row>
    <row r="816" spans="1:18" x14ac:dyDescent="0.35">
      <c r="A816" t="s">
        <v>1697</v>
      </c>
      <c r="B816" s="2">
        <v>46171</v>
      </c>
      <c r="C816" t="s">
        <v>933</v>
      </c>
      <c r="D816" s="3" t="s">
        <v>116</v>
      </c>
      <c r="E816" t="s">
        <v>41</v>
      </c>
      <c r="F816" t="s">
        <v>35</v>
      </c>
      <c r="G816" t="s">
        <v>36</v>
      </c>
      <c r="H816" s="8">
        <v>1</v>
      </c>
      <c r="I816" s="10">
        <v>95</v>
      </c>
      <c r="J816" s="14">
        <f>P816*I816</f>
        <v>95</v>
      </c>
      <c r="K816" s="16">
        <v>8.5000000000000006E-2</v>
      </c>
      <c r="L816" s="1" t="s">
        <v>30</v>
      </c>
      <c r="M816" t="s">
        <v>58</v>
      </c>
      <c r="N816" t="str">
        <f t="shared" si="15"/>
        <v>Germany</v>
      </c>
      <c r="O816" s="8">
        <f>IF(K816&gt;=1,K816,K816*1000)</f>
        <v>85</v>
      </c>
      <c r="P816">
        <f>ABS(H816)</f>
        <v>1</v>
      </c>
      <c r="R816"/>
    </row>
    <row r="817" spans="1:18" x14ac:dyDescent="0.35">
      <c r="A817" t="s">
        <v>1698</v>
      </c>
      <c r="B817" s="2">
        <v>46168</v>
      </c>
      <c r="C817" t="s">
        <v>509</v>
      </c>
      <c r="D817" s="3" t="s">
        <v>46</v>
      </c>
      <c r="E817" t="s">
        <v>25</v>
      </c>
      <c r="F817" t="s">
        <v>42</v>
      </c>
      <c r="G817" t="s">
        <v>43</v>
      </c>
      <c r="H817" s="8">
        <v>2</v>
      </c>
      <c r="I817" s="10">
        <v>149</v>
      </c>
      <c r="J817" s="14">
        <f>P817*I817</f>
        <v>298</v>
      </c>
      <c r="K817" s="16">
        <v>0.19</v>
      </c>
      <c r="L817" s="1" t="s">
        <v>30</v>
      </c>
      <c r="M817" t="s">
        <v>22</v>
      </c>
      <c r="N817" t="str">
        <f t="shared" si="15"/>
        <v>Ireland</v>
      </c>
      <c r="O817" s="8">
        <f>IF(K817&gt;=1,K817,K817*1000)</f>
        <v>190</v>
      </c>
      <c r="P817">
        <f>ABS(H817)</f>
        <v>2</v>
      </c>
      <c r="R817"/>
    </row>
    <row r="818" spans="1:18" x14ac:dyDescent="0.35">
      <c r="A818" t="s">
        <v>1699</v>
      </c>
      <c r="B818" s="2">
        <v>46194</v>
      </c>
      <c r="C818" t="s">
        <v>783</v>
      </c>
      <c r="D818" s="3" t="s">
        <v>4613</v>
      </c>
      <c r="E818" t="s">
        <v>16</v>
      </c>
      <c r="F818" t="s">
        <v>17</v>
      </c>
      <c r="G818" t="s">
        <v>18</v>
      </c>
      <c r="H818" s="8">
        <v>1</v>
      </c>
      <c r="I818" s="10">
        <v>95</v>
      </c>
      <c r="J818" s="14">
        <f>P818*I818</f>
        <v>95</v>
      </c>
      <c r="K818" s="16">
        <v>0.52</v>
      </c>
      <c r="L818" s="1" t="s">
        <v>30</v>
      </c>
      <c r="M818" t="s">
        <v>58</v>
      </c>
      <c r="N818" t="str">
        <f t="shared" si="15"/>
        <v>United Kingdom</v>
      </c>
      <c r="O818" s="8">
        <f>IF(K818&gt;=1,K818,K818*1000)</f>
        <v>520</v>
      </c>
      <c r="P818">
        <f>ABS(H818)</f>
        <v>1</v>
      </c>
      <c r="R818"/>
    </row>
    <row r="819" spans="1:18" x14ac:dyDescent="0.35">
      <c r="A819" t="s">
        <v>1700</v>
      </c>
      <c r="B819" s="2">
        <v>46097</v>
      </c>
      <c r="C819" t="s">
        <v>1006</v>
      </c>
      <c r="D819" s="3" t="s">
        <v>53</v>
      </c>
      <c r="E819" t="s">
        <v>67</v>
      </c>
      <c r="F819" t="s">
        <v>26</v>
      </c>
      <c r="G819" t="s">
        <v>27</v>
      </c>
      <c r="H819" s="8">
        <v>1</v>
      </c>
      <c r="I819" s="10">
        <v>40.5</v>
      </c>
      <c r="J819" s="14">
        <f>P819*I819</f>
        <v>40.5</v>
      </c>
      <c r="K819" s="16">
        <v>520</v>
      </c>
      <c r="L819" s="1" t="s">
        <v>30</v>
      </c>
      <c r="M819" t="s">
        <v>22</v>
      </c>
      <c r="N819" t="str">
        <f t="shared" si="15"/>
        <v>Gb</v>
      </c>
      <c r="O819" s="8">
        <f>IF(K819&gt;=1,K819,K819*1000)</f>
        <v>520</v>
      </c>
      <c r="P819">
        <f>ABS(H819)</f>
        <v>1</v>
      </c>
      <c r="R819"/>
    </row>
    <row r="820" spans="1:18" x14ac:dyDescent="0.35">
      <c r="A820" t="s">
        <v>1701</v>
      </c>
      <c r="B820" s="2">
        <v>46091</v>
      </c>
      <c r="C820" t="s">
        <v>1702</v>
      </c>
      <c r="D820" s="3" t="s">
        <v>116</v>
      </c>
      <c r="E820" t="s">
        <v>25</v>
      </c>
      <c r="F820" t="s">
        <v>17</v>
      </c>
      <c r="G820" t="s">
        <v>18</v>
      </c>
      <c r="H820" s="8">
        <v>1</v>
      </c>
      <c r="I820" s="10">
        <v>95</v>
      </c>
      <c r="J820" s="14">
        <f>P820*I820</f>
        <v>95</v>
      </c>
      <c r="K820" s="16">
        <v>520</v>
      </c>
      <c r="L820" s="1" t="s">
        <v>30</v>
      </c>
      <c r="M820" t="s">
        <v>22</v>
      </c>
      <c r="N820" t="str">
        <f t="shared" si="15"/>
        <v>Germany</v>
      </c>
      <c r="O820" s="8">
        <f>IF(K820&gt;=1,K820,K820*1000)</f>
        <v>520</v>
      </c>
      <c r="P820">
        <f>ABS(H820)</f>
        <v>1</v>
      </c>
      <c r="R820"/>
    </row>
    <row r="821" spans="1:18" x14ac:dyDescent="0.35">
      <c r="A821" t="s">
        <v>1703</v>
      </c>
      <c r="B821" s="2">
        <v>46100</v>
      </c>
      <c r="C821" t="s">
        <v>868</v>
      </c>
      <c r="D821" s="3" t="s">
        <v>15</v>
      </c>
      <c r="E821" t="s">
        <v>67</v>
      </c>
      <c r="F821" t="s">
        <v>74</v>
      </c>
      <c r="G821" t="s">
        <v>75</v>
      </c>
      <c r="H821" s="8">
        <v>1</v>
      </c>
      <c r="I821" s="10">
        <v>80.099999999999994</v>
      </c>
      <c r="J821" s="14">
        <f>P821*I821</f>
        <v>80.099999999999994</v>
      </c>
      <c r="K821" s="16">
        <v>410</v>
      </c>
      <c r="L821" s="1" t="s">
        <v>30</v>
      </c>
      <c r="M821" t="s">
        <v>22</v>
      </c>
      <c r="N821" t="str">
        <f t="shared" si="15"/>
        <v>France</v>
      </c>
      <c r="O821" s="8">
        <f>IF(K821&gt;=1,K821,K821*1000)</f>
        <v>410</v>
      </c>
      <c r="P821">
        <f>ABS(H821)</f>
        <v>1</v>
      </c>
      <c r="R821"/>
    </row>
    <row r="822" spans="1:18" x14ac:dyDescent="0.35">
      <c r="A822" t="s">
        <v>1705</v>
      </c>
      <c r="B822" s="2" t="s">
        <v>1374</v>
      </c>
      <c r="C822" t="s">
        <v>1706</v>
      </c>
      <c r="D822" s="3" t="s">
        <v>99</v>
      </c>
      <c r="E822" t="s">
        <v>34</v>
      </c>
      <c r="F822" t="s">
        <v>26</v>
      </c>
      <c r="G822" t="s">
        <v>27</v>
      </c>
      <c r="H822" s="8">
        <v>3</v>
      </c>
      <c r="I822" s="10">
        <v>80.099999999999994</v>
      </c>
      <c r="J822" s="14">
        <f>P822*I822</f>
        <v>240.29999999999998</v>
      </c>
      <c r="K822" s="16">
        <v>0.52</v>
      </c>
      <c r="L822" s="1" t="s">
        <v>21</v>
      </c>
      <c r="M822" t="s">
        <v>58</v>
      </c>
      <c r="N822" t="str">
        <f t="shared" si="15"/>
        <v>United Kingdom</v>
      </c>
      <c r="O822" s="8">
        <f>IF(K822&gt;=1,K822,K822*1000)</f>
        <v>520</v>
      </c>
      <c r="P822">
        <f>ABS(H822)</f>
        <v>3</v>
      </c>
      <c r="R822"/>
    </row>
    <row r="823" spans="1:18" x14ac:dyDescent="0.35">
      <c r="A823" t="s">
        <v>1707</v>
      </c>
      <c r="B823" s="2">
        <v>46153</v>
      </c>
      <c r="C823" t="s">
        <v>1708</v>
      </c>
      <c r="D823" s="3" t="s">
        <v>46</v>
      </c>
      <c r="E823" t="s">
        <v>67</v>
      </c>
      <c r="F823" t="s">
        <v>83</v>
      </c>
      <c r="G823" t="s">
        <v>84</v>
      </c>
      <c r="H823" s="8">
        <v>1</v>
      </c>
      <c r="I823" s="10">
        <v>79</v>
      </c>
      <c r="J823" s="14">
        <f>P823*I823</f>
        <v>79</v>
      </c>
      <c r="K823" s="16">
        <v>0.34</v>
      </c>
      <c r="L823" s="1" t="s">
        <v>21</v>
      </c>
      <c r="M823" t="s">
        <v>22</v>
      </c>
      <c r="N823" t="str">
        <f t="shared" si="15"/>
        <v>Ireland</v>
      </c>
      <c r="O823" s="8">
        <f>IF(K823&gt;=1,K823,K823*1000)</f>
        <v>340</v>
      </c>
      <c r="P823">
        <f>ABS(H823)</f>
        <v>1</v>
      </c>
      <c r="R823"/>
    </row>
    <row r="824" spans="1:18" x14ac:dyDescent="0.35">
      <c r="A824" t="s">
        <v>1709</v>
      </c>
      <c r="B824" s="2">
        <v>46133</v>
      </c>
      <c r="C824" t="s">
        <v>313</v>
      </c>
      <c r="D824" s="3" t="s">
        <v>4612</v>
      </c>
      <c r="E824" t="s">
        <v>41</v>
      </c>
      <c r="F824" t="s">
        <v>83</v>
      </c>
      <c r="G824" t="s">
        <v>84</v>
      </c>
      <c r="H824" s="8">
        <v>1</v>
      </c>
      <c r="I824" s="10">
        <v>40.5</v>
      </c>
      <c r="J824" s="14">
        <f>P824*I824</f>
        <v>40.5</v>
      </c>
      <c r="K824" s="16">
        <v>0.34</v>
      </c>
      <c r="L824" s="1" t="s">
        <v>30</v>
      </c>
      <c r="M824" t="s">
        <v>58</v>
      </c>
      <c r="N824" t="str">
        <f t="shared" si="15"/>
        <v>United Kingdom</v>
      </c>
      <c r="O824" s="8">
        <f>IF(K824&gt;=1,K824,K824*1000)</f>
        <v>340</v>
      </c>
      <c r="P824">
        <f>ABS(H824)</f>
        <v>1</v>
      </c>
      <c r="R824"/>
    </row>
    <row r="825" spans="1:18" x14ac:dyDescent="0.35">
      <c r="A825" t="s">
        <v>1710</v>
      </c>
      <c r="B825" s="2">
        <v>46183</v>
      </c>
      <c r="C825" t="s">
        <v>1711</v>
      </c>
      <c r="D825" s="3" t="s">
        <v>66</v>
      </c>
      <c r="E825" t="s">
        <v>25</v>
      </c>
      <c r="F825" t="s">
        <v>17</v>
      </c>
      <c r="G825" t="s">
        <v>18</v>
      </c>
      <c r="H825" s="8">
        <v>1</v>
      </c>
      <c r="I825" s="10">
        <v>129</v>
      </c>
      <c r="J825" s="14">
        <f>P825*I825</f>
        <v>129</v>
      </c>
      <c r="K825" s="16">
        <v>0.52</v>
      </c>
      <c r="L825" s="1" t="s">
        <v>30</v>
      </c>
      <c r="M825" t="s">
        <v>22</v>
      </c>
      <c r="N825" t="str">
        <f t="shared" si="15"/>
        <v>Gb</v>
      </c>
      <c r="O825" s="8">
        <f>IF(K825&gt;=1,K825,K825*1000)</f>
        <v>520</v>
      </c>
      <c r="P825">
        <f>ABS(H825)</f>
        <v>1</v>
      </c>
      <c r="R825"/>
    </row>
    <row r="826" spans="1:18" x14ac:dyDescent="0.35">
      <c r="A826" t="s">
        <v>1712</v>
      </c>
      <c r="B826" s="2">
        <v>46102</v>
      </c>
      <c r="C826" t="s">
        <v>1713</v>
      </c>
      <c r="D826" s="3" t="s">
        <v>61</v>
      </c>
      <c r="E826" t="s">
        <v>67</v>
      </c>
      <c r="F826" t="s">
        <v>26</v>
      </c>
      <c r="G826" t="s">
        <v>27</v>
      </c>
      <c r="H826" s="8">
        <v>3</v>
      </c>
      <c r="I826" s="10">
        <v>11.25</v>
      </c>
      <c r="J826" s="14">
        <f>P826*I826</f>
        <v>33.75</v>
      </c>
      <c r="K826" s="16">
        <v>520</v>
      </c>
      <c r="L826" s="1" t="s">
        <v>30</v>
      </c>
      <c r="M826" t="s">
        <v>22</v>
      </c>
      <c r="N826" t="str">
        <f t="shared" si="15"/>
        <v>Ireland</v>
      </c>
      <c r="O826" s="8">
        <f>IF(K826&gt;=1,K826,K826*1000)</f>
        <v>520</v>
      </c>
      <c r="P826">
        <f>ABS(H826)</f>
        <v>3</v>
      </c>
      <c r="R826"/>
    </row>
    <row r="827" spans="1:18" x14ac:dyDescent="0.35">
      <c r="A827" t="s">
        <v>1714</v>
      </c>
      <c r="B827" s="2">
        <v>46149</v>
      </c>
      <c r="C827" t="s">
        <v>1715</v>
      </c>
      <c r="D827" s="3" t="s">
        <v>53</v>
      </c>
      <c r="E827" t="s">
        <v>34</v>
      </c>
      <c r="F827" t="s">
        <v>17</v>
      </c>
      <c r="G827" t="s">
        <v>18</v>
      </c>
      <c r="H827" s="8">
        <v>1</v>
      </c>
      <c r="I827" s="10">
        <v>95</v>
      </c>
      <c r="J827" s="14">
        <f>P827*I827</f>
        <v>95</v>
      </c>
      <c r="K827" s="16">
        <v>0.52</v>
      </c>
      <c r="L827" s="1" t="s">
        <v>30</v>
      </c>
      <c r="M827" t="s">
        <v>22</v>
      </c>
      <c r="N827" t="str">
        <f t="shared" si="15"/>
        <v>Gb</v>
      </c>
      <c r="O827" s="8">
        <f>IF(K827&gt;=1,K827,K827*1000)</f>
        <v>520</v>
      </c>
      <c r="P827">
        <f>ABS(H827)</f>
        <v>1</v>
      </c>
      <c r="R827"/>
    </row>
    <row r="828" spans="1:18" x14ac:dyDescent="0.35">
      <c r="A828" t="s">
        <v>1716</v>
      </c>
      <c r="B828" s="2" t="s">
        <v>1717</v>
      </c>
      <c r="C828" t="s">
        <v>229</v>
      </c>
      <c r="D828" s="3" t="s">
        <v>15</v>
      </c>
      <c r="E828" t="s">
        <v>25</v>
      </c>
      <c r="F828" t="s">
        <v>26</v>
      </c>
      <c r="G828" t="s">
        <v>27</v>
      </c>
      <c r="H828" s="8">
        <v>2</v>
      </c>
      <c r="I828" s="10">
        <v>80.099999999999994</v>
      </c>
      <c r="J828" s="14">
        <f>P828*I828</f>
        <v>160.19999999999999</v>
      </c>
      <c r="K828" s="16">
        <v>520</v>
      </c>
      <c r="L828" s="1" t="s">
        <v>30</v>
      </c>
      <c r="M828" t="s">
        <v>22</v>
      </c>
      <c r="N828" t="str">
        <f t="shared" si="15"/>
        <v>France</v>
      </c>
      <c r="O828" s="8">
        <f>IF(K828&gt;=1,K828,K828*1000)</f>
        <v>520</v>
      </c>
      <c r="P828">
        <f>ABS(H828)</f>
        <v>2</v>
      </c>
      <c r="R828"/>
    </row>
    <row r="829" spans="1:18" x14ac:dyDescent="0.35">
      <c r="A829" t="s">
        <v>1718</v>
      </c>
      <c r="B829" s="2" t="s">
        <v>470</v>
      </c>
      <c r="C829" t="s">
        <v>1719</v>
      </c>
      <c r="D829" s="3" t="s">
        <v>66</v>
      </c>
      <c r="E829" t="s">
        <v>16</v>
      </c>
      <c r="F829" t="s">
        <v>74</v>
      </c>
      <c r="G829" t="s">
        <v>75</v>
      </c>
      <c r="H829" s="8">
        <v>1</v>
      </c>
      <c r="I829" s="10">
        <v>40.5</v>
      </c>
      <c r="J829" s="14">
        <f>P829*I829</f>
        <v>40.5</v>
      </c>
      <c r="K829" s="16">
        <v>410</v>
      </c>
      <c r="L829" s="1" t="s">
        <v>21</v>
      </c>
      <c r="M829" t="s">
        <v>22</v>
      </c>
      <c r="N829" t="str">
        <f t="shared" si="15"/>
        <v>Gb</v>
      </c>
      <c r="O829" s="8">
        <f>IF(K829&gt;=1,K829,K829*1000)</f>
        <v>410</v>
      </c>
      <c r="P829">
        <f>ABS(H829)</f>
        <v>1</v>
      </c>
      <c r="R829"/>
    </row>
    <row r="830" spans="1:18" x14ac:dyDescent="0.35">
      <c r="A830" t="s">
        <v>1720</v>
      </c>
      <c r="B830" s="2">
        <v>46097</v>
      </c>
      <c r="C830" t="s">
        <v>1721</v>
      </c>
      <c r="D830" s="3" t="s">
        <v>4612</v>
      </c>
      <c r="E830" t="s">
        <v>34</v>
      </c>
      <c r="F830" t="s">
        <v>83</v>
      </c>
      <c r="G830" t="s">
        <v>84</v>
      </c>
      <c r="H830" s="8">
        <v>3</v>
      </c>
      <c r="I830" s="10">
        <v>45</v>
      </c>
      <c r="J830" s="14">
        <f>P830*I830</f>
        <v>135</v>
      </c>
      <c r="K830" s="16">
        <v>340</v>
      </c>
      <c r="L830" s="1" t="s">
        <v>30</v>
      </c>
      <c r="M830" t="s">
        <v>22</v>
      </c>
      <c r="N830" t="str">
        <f t="shared" si="15"/>
        <v>United Kingdom</v>
      </c>
      <c r="O830" s="8">
        <f>IF(K830&gt;=1,K830,K830*1000)</f>
        <v>340</v>
      </c>
      <c r="P830">
        <f>ABS(H830)</f>
        <v>3</v>
      </c>
      <c r="R830"/>
    </row>
    <row r="831" spans="1:18" x14ac:dyDescent="0.35">
      <c r="A831" t="s">
        <v>1722</v>
      </c>
      <c r="B831" s="2">
        <v>46038</v>
      </c>
      <c r="C831" t="s">
        <v>1723</v>
      </c>
      <c r="D831" s="3" t="s">
        <v>99</v>
      </c>
      <c r="E831" t="s">
        <v>34</v>
      </c>
      <c r="F831" t="s">
        <v>74</v>
      </c>
      <c r="G831" t="s">
        <v>75</v>
      </c>
      <c r="H831" s="8">
        <v>3</v>
      </c>
      <c r="I831" s="10">
        <v>11.25</v>
      </c>
      <c r="J831" s="14">
        <f>P831*I831</f>
        <v>33.75</v>
      </c>
      <c r="K831" s="16">
        <v>410</v>
      </c>
      <c r="L831" s="1" t="s">
        <v>21</v>
      </c>
      <c r="M831" t="s">
        <v>22</v>
      </c>
      <c r="N831" t="str">
        <f t="shared" si="15"/>
        <v>United Kingdom</v>
      </c>
      <c r="O831" s="8">
        <f>IF(K831&gt;=1,K831,K831*1000)</f>
        <v>410</v>
      </c>
      <c r="P831">
        <f>ABS(H831)</f>
        <v>3</v>
      </c>
      <c r="R831"/>
    </row>
    <row r="832" spans="1:18" x14ac:dyDescent="0.35">
      <c r="A832" t="s">
        <v>1724</v>
      </c>
      <c r="B832" s="2">
        <v>46141</v>
      </c>
      <c r="C832" t="s">
        <v>1725</v>
      </c>
      <c r="D832" s="3" t="s">
        <v>4612</v>
      </c>
      <c r="E832" t="s">
        <v>16</v>
      </c>
      <c r="F832" t="s">
        <v>89</v>
      </c>
      <c r="G832" t="s">
        <v>90</v>
      </c>
      <c r="H832" s="8">
        <v>-1</v>
      </c>
      <c r="I832" s="10">
        <v>24</v>
      </c>
      <c r="J832" s="14">
        <f>P832*I832</f>
        <v>24</v>
      </c>
      <c r="K832" s="16">
        <v>0.64</v>
      </c>
      <c r="L832" s="1" t="s">
        <v>30</v>
      </c>
      <c r="M832" t="s">
        <v>22</v>
      </c>
      <c r="N832" t="str">
        <f t="shared" si="15"/>
        <v>United Kingdom</v>
      </c>
      <c r="O832" s="8">
        <f>IF(K832&gt;=1,K832,K832*1000)</f>
        <v>640</v>
      </c>
      <c r="P832">
        <f>ABS(H832)</f>
        <v>1</v>
      </c>
      <c r="R832"/>
    </row>
    <row r="833" spans="1:18" x14ac:dyDescent="0.35">
      <c r="A833" t="s">
        <v>1727</v>
      </c>
      <c r="B833" s="2" t="s">
        <v>470</v>
      </c>
      <c r="C833" t="s">
        <v>950</v>
      </c>
      <c r="D833" s="3" t="s">
        <v>4612</v>
      </c>
      <c r="E833" t="s">
        <v>34</v>
      </c>
      <c r="F833" t="s">
        <v>42</v>
      </c>
      <c r="G833" t="s">
        <v>43</v>
      </c>
      <c r="H833" s="8">
        <v>1</v>
      </c>
      <c r="I833" s="10">
        <v>24</v>
      </c>
      <c r="J833" s="14">
        <f>P833*I833</f>
        <v>24</v>
      </c>
      <c r="K833" s="16">
        <v>190</v>
      </c>
      <c r="L833" s="1" t="s">
        <v>30</v>
      </c>
      <c r="M833" t="s">
        <v>22</v>
      </c>
      <c r="N833" t="str">
        <f t="shared" si="15"/>
        <v>United Kingdom</v>
      </c>
      <c r="O833" s="8">
        <f>IF(K833&gt;=1,K833,K833*1000)</f>
        <v>190</v>
      </c>
      <c r="P833">
        <f>ABS(H833)</f>
        <v>1</v>
      </c>
      <c r="R833"/>
    </row>
    <row r="834" spans="1:18" x14ac:dyDescent="0.35">
      <c r="A834" t="s">
        <v>1728</v>
      </c>
      <c r="B834" s="2">
        <v>46029</v>
      </c>
      <c r="C834" t="s">
        <v>399</v>
      </c>
      <c r="D834" s="3" t="s">
        <v>66</v>
      </c>
      <c r="E834" t="s">
        <v>25</v>
      </c>
      <c r="F834" t="s">
        <v>35</v>
      </c>
      <c r="G834" t="s">
        <v>36</v>
      </c>
      <c r="H834" s="8">
        <v>1</v>
      </c>
      <c r="I834" s="10">
        <v>80.099999999999994</v>
      </c>
      <c r="J834" s="14">
        <f>P834*I834</f>
        <v>80.099999999999994</v>
      </c>
      <c r="K834" s="16">
        <v>85</v>
      </c>
      <c r="L834" s="1" t="s">
        <v>30</v>
      </c>
      <c r="M834" t="s">
        <v>22</v>
      </c>
      <c r="N834" t="str">
        <f t="shared" si="15"/>
        <v>Gb</v>
      </c>
      <c r="O834" s="8">
        <f>IF(K834&gt;=1,K834,K834*1000)</f>
        <v>85</v>
      </c>
      <c r="P834">
        <f>ABS(H834)</f>
        <v>1</v>
      </c>
      <c r="R834"/>
    </row>
    <row r="835" spans="1:18" x14ac:dyDescent="0.35">
      <c r="A835" t="s">
        <v>1730</v>
      </c>
      <c r="B835" s="2">
        <v>46209</v>
      </c>
      <c r="C835" t="s">
        <v>1731</v>
      </c>
      <c r="D835" s="3" t="s">
        <v>61</v>
      </c>
      <c r="E835" t="s">
        <v>34</v>
      </c>
      <c r="F835" t="s">
        <v>26</v>
      </c>
      <c r="G835" t="s">
        <v>27</v>
      </c>
      <c r="H835" s="8">
        <v>2</v>
      </c>
      <c r="I835" s="10">
        <v>129</v>
      </c>
      <c r="J835" s="14">
        <f>P835*I835</f>
        <v>258</v>
      </c>
      <c r="K835" s="16">
        <v>0.52</v>
      </c>
      <c r="L835" s="1" t="s">
        <v>30</v>
      </c>
      <c r="M835" t="s">
        <v>22</v>
      </c>
      <c r="N835" t="str">
        <f t="shared" ref="N835:N898" si="16">PROPER(TRIM(D835))</f>
        <v>Ireland</v>
      </c>
      <c r="O835" s="8">
        <f>IF(K835&gt;=1,K835,K835*1000)</f>
        <v>520</v>
      </c>
      <c r="P835">
        <f>ABS(H835)</f>
        <v>2</v>
      </c>
      <c r="R835"/>
    </row>
    <row r="836" spans="1:18" x14ac:dyDescent="0.35">
      <c r="A836" t="s">
        <v>1732</v>
      </c>
      <c r="B836" s="2">
        <v>46101</v>
      </c>
      <c r="C836" t="s">
        <v>1733</v>
      </c>
      <c r="D836" s="3" t="s">
        <v>15</v>
      </c>
      <c r="E836" t="s">
        <v>34</v>
      </c>
      <c r="F836" t="s">
        <v>83</v>
      </c>
      <c r="G836" t="s">
        <v>84</v>
      </c>
      <c r="H836" s="8">
        <v>1</v>
      </c>
      <c r="I836" s="10">
        <v>116.1</v>
      </c>
      <c r="J836" s="14">
        <f>P836*I836</f>
        <v>116.1</v>
      </c>
      <c r="K836" s="16">
        <v>340</v>
      </c>
      <c r="L836" s="1" t="s">
        <v>30</v>
      </c>
      <c r="M836" t="s">
        <v>22</v>
      </c>
      <c r="N836" t="str">
        <f t="shared" si="16"/>
        <v>France</v>
      </c>
      <c r="O836" s="8">
        <f>IF(K836&gt;=1,K836,K836*1000)</f>
        <v>340</v>
      </c>
      <c r="P836">
        <f>ABS(H836)</f>
        <v>1</v>
      </c>
      <c r="R836"/>
    </row>
    <row r="837" spans="1:18" x14ac:dyDescent="0.35">
      <c r="A837" t="s">
        <v>1734</v>
      </c>
      <c r="B837" s="2">
        <v>46145</v>
      </c>
      <c r="C837" t="s">
        <v>1735</v>
      </c>
      <c r="D837" s="3" t="s">
        <v>61</v>
      </c>
      <c r="E837" t="s">
        <v>34</v>
      </c>
      <c r="F837" t="s">
        <v>89</v>
      </c>
      <c r="G837" t="s">
        <v>90</v>
      </c>
      <c r="H837" s="8">
        <v>2</v>
      </c>
      <c r="I837" s="10">
        <v>89</v>
      </c>
      <c r="J837" s="14">
        <f>P837*I837</f>
        <v>178</v>
      </c>
      <c r="K837" s="16">
        <v>0.64</v>
      </c>
      <c r="L837" s="1" t="s">
        <v>30</v>
      </c>
      <c r="M837" t="s">
        <v>22</v>
      </c>
      <c r="N837" t="str">
        <f t="shared" si="16"/>
        <v>Ireland</v>
      </c>
      <c r="O837" s="8">
        <f>IF(K837&gt;=1,K837,K837*1000)</f>
        <v>640</v>
      </c>
      <c r="P837">
        <f>ABS(H837)</f>
        <v>2</v>
      </c>
      <c r="R837"/>
    </row>
    <row r="838" spans="1:18" x14ac:dyDescent="0.35">
      <c r="A838" t="s">
        <v>1736</v>
      </c>
      <c r="B838" s="2">
        <v>46096</v>
      </c>
      <c r="C838" t="s">
        <v>1737</v>
      </c>
      <c r="D838" s="3" t="s">
        <v>4612</v>
      </c>
      <c r="E838" t="s">
        <v>25</v>
      </c>
      <c r="F838" t="s">
        <v>42</v>
      </c>
      <c r="G838" t="s">
        <v>43</v>
      </c>
      <c r="H838" s="8">
        <v>-1</v>
      </c>
      <c r="I838" s="10">
        <v>85.5</v>
      </c>
      <c r="J838" s="14">
        <f>P838*I838</f>
        <v>85.5</v>
      </c>
      <c r="K838" s="16">
        <v>190</v>
      </c>
      <c r="L838" s="1" t="s">
        <v>30</v>
      </c>
      <c r="M838" t="s">
        <v>58</v>
      </c>
      <c r="N838" t="str">
        <f t="shared" si="16"/>
        <v>United Kingdom</v>
      </c>
      <c r="O838" s="8">
        <f>IF(K838&gt;=1,K838,K838*1000)</f>
        <v>190</v>
      </c>
      <c r="P838">
        <f>ABS(H838)</f>
        <v>1</v>
      </c>
      <c r="R838"/>
    </row>
    <row r="839" spans="1:18" x14ac:dyDescent="0.35">
      <c r="A839" t="s">
        <v>1739</v>
      </c>
      <c r="B839" s="2">
        <v>46190</v>
      </c>
      <c r="C839" t="s">
        <v>1740</v>
      </c>
      <c r="D839" s="3" t="s">
        <v>99</v>
      </c>
      <c r="E839" t="s">
        <v>16</v>
      </c>
      <c r="F839" t="s">
        <v>47</v>
      </c>
      <c r="G839" t="s">
        <v>48</v>
      </c>
      <c r="H839" s="8">
        <v>2</v>
      </c>
      <c r="I839" s="10">
        <v>129</v>
      </c>
      <c r="J839" s="14">
        <f>P839*I839</f>
        <v>258</v>
      </c>
      <c r="K839" s="16">
        <v>0.38</v>
      </c>
      <c r="L839" s="1" t="s">
        <v>30</v>
      </c>
      <c r="M839" t="s">
        <v>22</v>
      </c>
      <c r="N839" t="str">
        <f t="shared" si="16"/>
        <v>United Kingdom</v>
      </c>
      <c r="O839" s="8">
        <f>IF(K839&gt;=1,K839,K839*1000)</f>
        <v>380</v>
      </c>
      <c r="P839">
        <f>ABS(H839)</f>
        <v>2</v>
      </c>
      <c r="R839"/>
    </row>
    <row r="840" spans="1:18" x14ac:dyDescent="0.35">
      <c r="A840" t="s">
        <v>1742</v>
      </c>
      <c r="B840" s="2">
        <v>46131</v>
      </c>
      <c r="C840" t="s">
        <v>1743</v>
      </c>
      <c r="D840" s="3" t="s">
        <v>15</v>
      </c>
      <c r="E840" t="s">
        <v>34</v>
      </c>
      <c r="F840" t="s">
        <v>26</v>
      </c>
      <c r="G840" t="s">
        <v>27</v>
      </c>
      <c r="H840" s="8">
        <v>2</v>
      </c>
      <c r="I840" s="10">
        <v>24</v>
      </c>
      <c r="J840" s="14">
        <f>P840*I840</f>
        <v>48</v>
      </c>
      <c r="K840" s="16">
        <v>520</v>
      </c>
      <c r="L840" s="1" t="s">
        <v>30</v>
      </c>
      <c r="M840" t="s">
        <v>22</v>
      </c>
      <c r="N840" t="str">
        <f t="shared" si="16"/>
        <v>France</v>
      </c>
      <c r="O840" s="8">
        <f>IF(K840&gt;=1,K840,K840*1000)</f>
        <v>520</v>
      </c>
      <c r="P840">
        <f>ABS(H840)</f>
        <v>2</v>
      </c>
      <c r="R840"/>
    </row>
    <row r="841" spans="1:18" x14ac:dyDescent="0.35">
      <c r="A841" t="s">
        <v>1744</v>
      </c>
      <c r="B841" s="2">
        <v>46057</v>
      </c>
      <c r="C841" t="s">
        <v>1745</v>
      </c>
      <c r="D841" s="3" t="s">
        <v>46</v>
      </c>
      <c r="E841" t="s">
        <v>25</v>
      </c>
      <c r="F841" t="s">
        <v>35</v>
      </c>
      <c r="G841" t="s">
        <v>36</v>
      </c>
      <c r="H841" s="8">
        <v>3</v>
      </c>
      <c r="I841" s="10">
        <v>24</v>
      </c>
      <c r="J841" s="14">
        <f>P841*I841</f>
        <v>72</v>
      </c>
      <c r="K841" s="16">
        <v>85</v>
      </c>
      <c r="L841" s="1" t="s">
        <v>30</v>
      </c>
      <c r="M841" t="s">
        <v>22</v>
      </c>
      <c r="N841" t="str">
        <f t="shared" si="16"/>
        <v>Ireland</v>
      </c>
      <c r="O841" s="8">
        <f>IF(K841&gt;=1,K841,K841*1000)</f>
        <v>85</v>
      </c>
      <c r="P841">
        <f>ABS(H841)</f>
        <v>3</v>
      </c>
      <c r="R841"/>
    </row>
    <row r="842" spans="1:18" x14ac:dyDescent="0.35">
      <c r="A842" t="s">
        <v>1746</v>
      </c>
      <c r="B842" s="2">
        <v>46044</v>
      </c>
      <c r="C842" t="s">
        <v>1342</v>
      </c>
      <c r="D842" s="3" t="s">
        <v>99</v>
      </c>
      <c r="E842" t="s">
        <v>34</v>
      </c>
      <c r="F842" t="s">
        <v>35</v>
      </c>
      <c r="G842" t="s">
        <v>36</v>
      </c>
      <c r="H842" s="8">
        <v>2</v>
      </c>
      <c r="I842" s="12" t="s">
        <v>4643</v>
      </c>
      <c r="J842" s="14">
        <f>P842*R842</f>
        <v>22.5</v>
      </c>
      <c r="K842" s="16">
        <v>85</v>
      </c>
      <c r="L842" s="1" t="s">
        <v>21</v>
      </c>
      <c r="M842" t="s">
        <v>22</v>
      </c>
      <c r="N842" t="str">
        <f t="shared" si="16"/>
        <v>United Kingdom</v>
      </c>
      <c r="O842" s="8">
        <f>IF(K842&gt;=1,K842,K842*1000)</f>
        <v>85</v>
      </c>
      <c r="P842">
        <f>ABS(H842)</f>
        <v>2</v>
      </c>
      <c r="Q842" t="str">
        <f>LEFT(I842,3)</f>
        <v>GBP</v>
      </c>
      <c r="R842" s="10" t="str">
        <f>RIGHT(I842,5)</f>
        <v>11,25</v>
      </c>
    </row>
    <row r="843" spans="1:18" x14ac:dyDescent="0.35">
      <c r="A843" t="s">
        <v>1747</v>
      </c>
      <c r="B843" s="2" t="s">
        <v>1748</v>
      </c>
      <c r="C843" t="s">
        <v>481</v>
      </c>
      <c r="D843" s="3" t="s">
        <v>53</v>
      </c>
      <c r="E843" t="s">
        <v>16</v>
      </c>
      <c r="F843" t="s">
        <v>26</v>
      </c>
      <c r="G843" t="s">
        <v>27</v>
      </c>
      <c r="H843" s="8">
        <v>1</v>
      </c>
      <c r="I843" s="10">
        <v>12.5</v>
      </c>
      <c r="J843" s="14">
        <f>P843*I843</f>
        <v>12.5</v>
      </c>
      <c r="K843" s="16">
        <v>0.52</v>
      </c>
      <c r="L843" s="1" t="s">
        <v>30</v>
      </c>
      <c r="M843" t="s">
        <v>22</v>
      </c>
      <c r="N843" t="str">
        <f t="shared" si="16"/>
        <v>Gb</v>
      </c>
      <c r="O843" s="8">
        <f>IF(K843&gt;=1,K843,K843*1000)</f>
        <v>520</v>
      </c>
      <c r="P843">
        <f>ABS(H843)</f>
        <v>1</v>
      </c>
      <c r="R843"/>
    </row>
    <row r="844" spans="1:18" x14ac:dyDescent="0.35">
      <c r="A844" t="s">
        <v>1749</v>
      </c>
      <c r="B844" s="2">
        <v>46095</v>
      </c>
      <c r="C844" t="s">
        <v>1473</v>
      </c>
      <c r="D844" s="3" t="s">
        <v>99</v>
      </c>
      <c r="E844" t="s">
        <v>25</v>
      </c>
      <c r="F844" t="s">
        <v>35</v>
      </c>
      <c r="G844" t="s">
        <v>36</v>
      </c>
      <c r="H844" s="8">
        <v>2</v>
      </c>
      <c r="I844" s="10">
        <v>21.6</v>
      </c>
      <c r="J844" s="14">
        <f>P844*I844</f>
        <v>43.2</v>
      </c>
      <c r="K844" s="16">
        <v>85</v>
      </c>
      <c r="L844" s="1" t="s">
        <v>30</v>
      </c>
      <c r="M844" t="s">
        <v>22</v>
      </c>
      <c r="N844" t="str">
        <f t="shared" si="16"/>
        <v>United Kingdom</v>
      </c>
      <c r="O844" s="8">
        <f>IF(K844&gt;=1,K844,K844*1000)</f>
        <v>85</v>
      </c>
      <c r="P844">
        <f>ABS(H844)</f>
        <v>2</v>
      </c>
      <c r="R844"/>
    </row>
    <row r="845" spans="1:18" x14ac:dyDescent="0.35">
      <c r="A845" t="s">
        <v>1750</v>
      </c>
      <c r="B845" s="2">
        <v>46206</v>
      </c>
      <c r="C845" t="s">
        <v>1751</v>
      </c>
      <c r="D845" s="3" t="s">
        <v>53</v>
      </c>
      <c r="E845" t="s">
        <v>67</v>
      </c>
      <c r="F845" t="s">
        <v>17</v>
      </c>
      <c r="G845" t="s">
        <v>18</v>
      </c>
      <c r="H845" s="8">
        <v>2</v>
      </c>
      <c r="I845" s="10">
        <v>45</v>
      </c>
      <c r="J845" s="14">
        <f>P845*I845</f>
        <v>90</v>
      </c>
      <c r="K845" s="16">
        <v>0.52</v>
      </c>
      <c r="L845" s="1" t="s">
        <v>21</v>
      </c>
      <c r="M845" t="s">
        <v>22</v>
      </c>
      <c r="N845" t="str">
        <f t="shared" si="16"/>
        <v>Gb</v>
      </c>
      <c r="O845" s="8">
        <f>IF(K845&gt;=1,K845,K845*1000)</f>
        <v>520</v>
      </c>
      <c r="P845">
        <f>ABS(H845)</f>
        <v>2</v>
      </c>
      <c r="R845"/>
    </row>
    <row r="846" spans="1:18" x14ac:dyDescent="0.35">
      <c r="A846" t="s">
        <v>1752</v>
      </c>
      <c r="B846" s="2" t="s">
        <v>1753</v>
      </c>
      <c r="C846" t="s">
        <v>583</v>
      </c>
      <c r="D846" s="3" t="s">
        <v>15</v>
      </c>
      <c r="E846" t="s">
        <v>25</v>
      </c>
      <c r="F846" t="s">
        <v>35</v>
      </c>
      <c r="G846" t="s">
        <v>36</v>
      </c>
      <c r="H846" s="8">
        <v>2</v>
      </c>
      <c r="I846" s="10">
        <v>12.5</v>
      </c>
      <c r="J846" s="14">
        <f>P846*I846</f>
        <v>25</v>
      </c>
      <c r="K846" s="16">
        <v>85</v>
      </c>
      <c r="L846" s="1" t="s">
        <v>30</v>
      </c>
      <c r="M846" t="s">
        <v>58</v>
      </c>
      <c r="N846" t="str">
        <f t="shared" si="16"/>
        <v>France</v>
      </c>
      <c r="O846" s="8">
        <f>IF(K846&gt;=1,K846,K846*1000)</f>
        <v>85</v>
      </c>
      <c r="P846">
        <f>ABS(H846)</f>
        <v>2</v>
      </c>
      <c r="R846"/>
    </row>
    <row r="847" spans="1:18" x14ac:dyDescent="0.35">
      <c r="A847" t="s">
        <v>1754</v>
      </c>
      <c r="B847" s="2">
        <v>46148</v>
      </c>
      <c r="C847" t="s">
        <v>1755</v>
      </c>
      <c r="D847" s="3" t="s">
        <v>116</v>
      </c>
      <c r="E847" t="s">
        <v>41</v>
      </c>
      <c r="F847" t="s">
        <v>83</v>
      </c>
      <c r="G847" t="s">
        <v>84</v>
      </c>
      <c r="H847" s="8">
        <v>2</v>
      </c>
      <c r="I847" s="12" t="s">
        <v>4641</v>
      </c>
      <c r="J847" s="14">
        <f>P847*R847</f>
        <v>98</v>
      </c>
      <c r="K847" s="16">
        <v>0.34</v>
      </c>
      <c r="L847" s="1" t="s">
        <v>21</v>
      </c>
      <c r="M847" t="s">
        <v>22</v>
      </c>
      <c r="N847" t="str">
        <f t="shared" si="16"/>
        <v>Germany</v>
      </c>
      <c r="O847" s="8">
        <f>IF(K847&gt;=1,K847,K847*1000)</f>
        <v>340</v>
      </c>
      <c r="P847">
        <f>ABS(H847)</f>
        <v>2</v>
      </c>
      <c r="Q847" t="str">
        <f>LEFT(I847,3)</f>
        <v>GBP</v>
      </c>
      <c r="R847" s="10" t="str">
        <f>RIGHT(I847,5)</f>
        <v>49,00</v>
      </c>
    </row>
    <row r="848" spans="1:18" x14ac:dyDescent="0.35">
      <c r="A848" t="s">
        <v>1756</v>
      </c>
      <c r="B848" s="2" t="s">
        <v>1757</v>
      </c>
      <c r="C848" t="s">
        <v>1758</v>
      </c>
      <c r="D848" s="3" t="s">
        <v>53</v>
      </c>
      <c r="E848" t="s">
        <v>16</v>
      </c>
      <c r="F848" t="s">
        <v>35</v>
      </c>
      <c r="G848" t="s">
        <v>36</v>
      </c>
      <c r="H848" s="8">
        <v>1</v>
      </c>
      <c r="I848" s="10">
        <v>11.25</v>
      </c>
      <c r="J848" s="14">
        <f>P848*I848</f>
        <v>11.25</v>
      </c>
      <c r="K848" s="16">
        <v>8.5000000000000006E-2</v>
      </c>
      <c r="L848" s="1" t="s">
        <v>30</v>
      </c>
      <c r="M848" t="s">
        <v>22</v>
      </c>
      <c r="N848" t="str">
        <f t="shared" si="16"/>
        <v>Gb</v>
      </c>
      <c r="O848" s="8">
        <f>IF(K848&gt;=1,K848,K848*1000)</f>
        <v>85</v>
      </c>
      <c r="P848">
        <f>ABS(H848)</f>
        <v>1</v>
      </c>
      <c r="R848"/>
    </row>
    <row r="849" spans="1:18" x14ac:dyDescent="0.35">
      <c r="A849" t="s">
        <v>1759</v>
      </c>
      <c r="B849" s="2">
        <v>46172</v>
      </c>
      <c r="C849" t="s">
        <v>1760</v>
      </c>
      <c r="D849" s="3" t="s">
        <v>4613</v>
      </c>
      <c r="E849" t="s">
        <v>25</v>
      </c>
      <c r="F849" t="s">
        <v>47</v>
      </c>
      <c r="G849" t="s">
        <v>48</v>
      </c>
      <c r="H849" s="8">
        <v>1</v>
      </c>
      <c r="I849" s="10">
        <v>80.099999999999994</v>
      </c>
      <c r="J849" s="14">
        <f>P849*I849</f>
        <v>80.099999999999994</v>
      </c>
      <c r="K849" s="16">
        <v>0.38</v>
      </c>
      <c r="L849" s="1" t="s">
        <v>30</v>
      </c>
      <c r="M849" t="s">
        <v>22</v>
      </c>
      <c r="N849" t="str">
        <f t="shared" si="16"/>
        <v>United Kingdom</v>
      </c>
      <c r="O849" s="8">
        <f>IF(K849&gt;=1,K849,K849*1000)</f>
        <v>380</v>
      </c>
      <c r="P849">
        <f>ABS(H849)</f>
        <v>1</v>
      </c>
      <c r="R849"/>
    </row>
    <row r="850" spans="1:18" x14ac:dyDescent="0.35">
      <c r="A850" t="s">
        <v>1761</v>
      </c>
      <c r="B850" s="2">
        <v>46087</v>
      </c>
      <c r="C850" t="s">
        <v>1762</v>
      </c>
      <c r="D850" s="3" t="s">
        <v>61</v>
      </c>
      <c r="E850" t="s">
        <v>34</v>
      </c>
      <c r="F850" t="s">
        <v>89</v>
      </c>
      <c r="G850" t="s">
        <v>90</v>
      </c>
      <c r="H850" s="8">
        <v>3</v>
      </c>
      <c r="I850" s="10">
        <v>85.5</v>
      </c>
      <c r="J850" s="14">
        <f>P850*I850</f>
        <v>256.5</v>
      </c>
      <c r="K850" s="16">
        <v>640</v>
      </c>
      <c r="L850" s="1" t="s">
        <v>30</v>
      </c>
      <c r="M850" t="s">
        <v>22</v>
      </c>
      <c r="N850" t="str">
        <f t="shared" si="16"/>
        <v>Ireland</v>
      </c>
      <c r="O850" s="8">
        <f>IF(K850&gt;=1,K850,K850*1000)</f>
        <v>640</v>
      </c>
      <c r="P850">
        <f>ABS(H850)</f>
        <v>3</v>
      </c>
      <c r="R850"/>
    </row>
    <row r="851" spans="1:18" x14ac:dyDescent="0.35">
      <c r="A851" t="s">
        <v>1763</v>
      </c>
      <c r="B851" s="2">
        <v>46156</v>
      </c>
      <c r="C851" t="s">
        <v>1764</v>
      </c>
      <c r="D851" s="3" t="s">
        <v>61</v>
      </c>
      <c r="E851" t="s">
        <v>16</v>
      </c>
      <c r="F851" t="s">
        <v>83</v>
      </c>
      <c r="G851" t="s">
        <v>84</v>
      </c>
      <c r="H851" s="8">
        <v>2</v>
      </c>
      <c r="I851" s="10">
        <v>129</v>
      </c>
      <c r="J851" s="14">
        <f>P851*I851</f>
        <v>258</v>
      </c>
      <c r="K851" s="16">
        <v>0.34</v>
      </c>
      <c r="L851" s="1" t="s">
        <v>30</v>
      </c>
      <c r="M851" t="s">
        <v>22</v>
      </c>
      <c r="N851" t="str">
        <f t="shared" si="16"/>
        <v>Ireland</v>
      </c>
      <c r="O851" s="8">
        <f>IF(K851&gt;=1,K851,K851*1000)</f>
        <v>340</v>
      </c>
      <c r="P851">
        <f>ABS(H851)</f>
        <v>2</v>
      </c>
      <c r="R851"/>
    </row>
    <row r="852" spans="1:18" x14ac:dyDescent="0.35">
      <c r="A852" t="s">
        <v>1765</v>
      </c>
      <c r="B852" s="2">
        <v>46088</v>
      </c>
      <c r="C852" t="s">
        <v>1766</v>
      </c>
      <c r="D852" s="3" t="s">
        <v>99</v>
      </c>
      <c r="E852" t="s">
        <v>41</v>
      </c>
      <c r="F852" t="s">
        <v>17</v>
      </c>
      <c r="G852" t="s">
        <v>18</v>
      </c>
      <c r="H852" s="8">
        <v>1</v>
      </c>
      <c r="I852" s="12" t="s">
        <v>4625</v>
      </c>
      <c r="J852" s="14">
        <f>P852*R852</f>
        <v>71.099999999999994</v>
      </c>
      <c r="K852" s="16">
        <v>520</v>
      </c>
      <c r="L852" s="1" t="s">
        <v>30</v>
      </c>
      <c r="M852" t="s">
        <v>22</v>
      </c>
      <c r="N852" t="str">
        <f t="shared" si="16"/>
        <v>United Kingdom</v>
      </c>
      <c r="O852" s="8">
        <f>IF(K852&gt;=1,K852,K852*1000)</f>
        <v>520</v>
      </c>
      <c r="P852">
        <f>ABS(H852)</f>
        <v>1</v>
      </c>
      <c r="Q852" t="str">
        <f>LEFT(I852,2)</f>
        <v>Â£</v>
      </c>
      <c r="R852" t="str">
        <f>RIGHT(I852,5)</f>
        <v>71,10</v>
      </c>
    </row>
    <row r="853" spans="1:18" x14ac:dyDescent="0.35">
      <c r="A853" t="s">
        <v>1768</v>
      </c>
      <c r="B853" s="2">
        <v>46204</v>
      </c>
      <c r="C853" t="s">
        <v>1769</v>
      </c>
      <c r="D853" s="3" t="s">
        <v>4612</v>
      </c>
      <c r="E853" t="s">
        <v>16</v>
      </c>
      <c r="F853" t="s">
        <v>35</v>
      </c>
      <c r="G853" t="s">
        <v>36</v>
      </c>
      <c r="H853" s="8">
        <v>3</v>
      </c>
      <c r="I853" s="10">
        <v>45</v>
      </c>
      <c r="J853" s="14">
        <f>P853*I853</f>
        <v>135</v>
      </c>
      <c r="K853" s="16">
        <v>8.5000000000000006E-2</v>
      </c>
      <c r="L853" s="1" t="s">
        <v>30</v>
      </c>
      <c r="M853" t="s">
        <v>22</v>
      </c>
      <c r="N853" t="str">
        <f t="shared" si="16"/>
        <v>United Kingdom</v>
      </c>
      <c r="O853" s="8">
        <f>IF(K853&gt;=1,K853,K853*1000)</f>
        <v>85</v>
      </c>
      <c r="P853">
        <f>ABS(H853)</f>
        <v>3</v>
      </c>
      <c r="R853"/>
    </row>
    <row r="854" spans="1:18" x14ac:dyDescent="0.35">
      <c r="A854" t="s">
        <v>1770</v>
      </c>
      <c r="B854" s="2">
        <v>46059</v>
      </c>
      <c r="C854" t="s">
        <v>1329</v>
      </c>
      <c r="D854" s="3" t="s">
        <v>99</v>
      </c>
      <c r="E854" t="s">
        <v>34</v>
      </c>
      <c r="F854" t="s">
        <v>89</v>
      </c>
      <c r="G854" t="s">
        <v>90</v>
      </c>
      <c r="H854" s="8">
        <v>1</v>
      </c>
      <c r="I854" s="10">
        <v>24</v>
      </c>
      <c r="J854" s="14">
        <f>P854*I854</f>
        <v>24</v>
      </c>
      <c r="K854" s="16">
        <v>640</v>
      </c>
      <c r="L854" s="1" t="s">
        <v>30</v>
      </c>
      <c r="M854" t="s">
        <v>58</v>
      </c>
      <c r="N854" t="str">
        <f t="shared" si="16"/>
        <v>United Kingdom</v>
      </c>
      <c r="O854" s="8">
        <f>IF(K854&gt;=1,K854,K854*1000)</f>
        <v>640</v>
      </c>
      <c r="P854">
        <f>ABS(H854)</f>
        <v>1</v>
      </c>
      <c r="R854"/>
    </row>
    <row r="855" spans="1:18" x14ac:dyDescent="0.35">
      <c r="A855" t="s">
        <v>1771</v>
      </c>
      <c r="B855" s="2">
        <v>46131</v>
      </c>
      <c r="C855" t="s">
        <v>1285</v>
      </c>
      <c r="D855" s="3" t="s">
        <v>99</v>
      </c>
      <c r="E855" t="s">
        <v>34</v>
      </c>
      <c r="F855" t="s">
        <v>42</v>
      </c>
      <c r="G855" t="s">
        <v>43</v>
      </c>
      <c r="H855" s="8">
        <v>1</v>
      </c>
      <c r="I855" s="10">
        <v>12.5</v>
      </c>
      <c r="J855" s="14">
        <f>P855*I855</f>
        <v>12.5</v>
      </c>
      <c r="K855" s="16">
        <v>190</v>
      </c>
      <c r="L855" s="1" t="s">
        <v>30</v>
      </c>
      <c r="M855" t="s">
        <v>22</v>
      </c>
      <c r="N855" t="str">
        <f t="shared" si="16"/>
        <v>United Kingdom</v>
      </c>
      <c r="O855" s="8">
        <f>IF(K855&gt;=1,K855,K855*1000)</f>
        <v>190</v>
      </c>
      <c r="P855">
        <f>ABS(H855)</f>
        <v>1</v>
      </c>
      <c r="R855"/>
    </row>
    <row r="856" spans="1:18" x14ac:dyDescent="0.35">
      <c r="A856" t="s">
        <v>1772</v>
      </c>
      <c r="B856" s="2">
        <v>46137</v>
      </c>
      <c r="C856" t="s">
        <v>1773</v>
      </c>
      <c r="D856" s="3" t="s">
        <v>61</v>
      </c>
      <c r="E856" t="s">
        <v>67</v>
      </c>
      <c r="F856" t="s">
        <v>26</v>
      </c>
      <c r="G856" t="s">
        <v>27</v>
      </c>
      <c r="H856" s="8">
        <v>2</v>
      </c>
      <c r="I856" s="10">
        <v>95</v>
      </c>
      <c r="J856" s="14">
        <f>P856*I856</f>
        <v>190</v>
      </c>
      <c r="K856" s="16">
        <v>0.52</v>
      </c>
      <c r="L856" s="1" t="s">
        <v>21</v>
      </c>
      <c r="M856" t="s">
        <v>22</v>
      </c>
      <c r="N856" t="str">
        <f t="shared" si="16"/>
        <v>Ireland</v>
      </c>
      <c r="O856" s="8">
        <f>IF(K856&gt;=1,K856,K856*1000)</f>
        <v>520</v>
      </c>
      <c r="P856">
        <f>ABS(H856)</f>
        <v>2</v>
      </c>
      <c r="R856"/>
    </row>
    <row r="857" spans="1:18" x14ac:dyDescent="0.35">
      <c r="A857" t="s">
        <v>1774</v>
      </c>
      <c r="B857" s="2">
        <v>46203</v>
      </c>
      <c r="C857" t="s">
        <v>1403</v>
      </c>
      <c r="D857" s="3" t="s">
        <v>15</v>
      </c>
      <c r="E857" t="s">
        <v>67</v>
      </c>
      <c r="F857" t="s">
        <v>74</v>
      </c>
      <c r="G857" t="s">
        <v>75</v>
      </c>
      <c r="H857" s="8">
        <v>-3</v>
      </c>
      <c r="I857" s="10">
        <v>12.5</v>
      </c>
      <c r="J857" s="14">
        <f>P857*I857</f>
        <v>37.5</v>
      </c>
      <c r="K857" s="16">
        <v>0.41</v>
      </c>
      <c r="L857" s="1" t="s">
        <v>30</v>
      </c>
      <c r="M857" t="s">
        <v>22</v>
      </c>
      <c r="N857" t="str">
        <f t="shared" si="16"/>
        <v>France</v>
      </c>
      <c r="O857" s="8">
        <f>IF(K857&gt;=1,K857,K857*1000)</f>
        <v>410</v>
      </c>
      <c r="P857">
        <f>ABS(H857)</f>
        <v>3</v>
      </c>
      <c r="R857"/>
    </row>
    <row r="858" spans="1:18" x14ac:dyDescent="0.35">
      <c r="A858" t="s">
        <v>1776</v>
      </c>
      <c r="B858" s="2">
        <v>46030</v>
      </c>
      <c r="C858" t="s">
        <v>1777</v>
      </c>
      <c r="D858" s="3" t="s">
        <v>46</v>
      </c>
      <c r="E858" t="s">
        <v>67</v>
      </c>
      <c r="F858" t="s">
        <v>17</v>
      </c>
      <c r="G858" t="s">
        <v>18</v>
      </c>
      <c r="H858" s="8">
        <v>3</v>
      </c>
      <c r="I858" s="10">
        <v>85.5</v>
      </c>
      <c r="J858" s="14">
        <f>P858*I858</f>
        <v>256.5</v>
      </c>
      <c r="K858" s="16">
        <v>520</v>
      </c>
      <c r="L858" s="1" t="s">
        <v>30</v>
      </c>
      <c r="M858" t="s">
        <v>22</v>
      </c>
      <c r="N858" t="str">
        <f t="shared" si="16"/>
        <v>Ireland</v>
      </c>
      <c r="O858" s="8">
        <f>IF(K858&gt;=1,K858,K858*1000)</f>
        <v>520</v>
      </c>
      <c r="P858">
        <f>ABS(H858)</f>
        <v>3</v>
      </c>
      <c r="R858"/>
    </row>
    <row r="859" spans="1:18" x14ac:dyDescent="0.35">
      <c r="A859" t="s">
        <v>1778</v>
      </c>
      <c r="B859" s="2" t="s">
        <v>424</v>
      </c>
      <c r="C859" t="s">
        <v>977</v>
      </c>
      <c r="D859" s="3" t="s">
        <v>4612</v>
      </c>
      <c r="E859" t="s">
        <v>67</v>
      </c>
      <c r="F859" t="s">
        <v>74</v>
      </c>
      <c r="G859" t="s">
        <v>75</v>
      </c>
      <c r="H859" s="8">
        <v>-1</v>
      </c>
      <c r="I859" s="10">
        <v>149</v>
      </c>
      <c r="J859" s="14">
        <f>P859*I859</f>
        <v>149</v>
      </c>
      <c r="K859" s="16">
        <v>410</v>
      </c>
      <c r="L859" s="1" t="s">
        <v>30</v>
      </c>
      <c r="M859" t="s">
        <v>22</v>
      </c>
      <c r="N859" t="str">
        <f t="shared" si="16"/>
        <v>United Kingdom</v>
      </c>
      <c r="O859" s="8">
        <f>IF(K859&gt;=1,K859,K859*1000)</f>
        <v>410</v>
      </c>
      <c r="P859">
        <f>ABS(H859)</f>
        <v>1</v>
      </c>
      <c r="R859"/>
    </row>
    <row r="860" spans="1:18" x14ac:dyDescent="0.35">
      <c r="A860" t="s">
        <v>1779</v>
      </c>
      <c r="B860" s="2">
        <v>46062</v>
      </c>
      <c r="C860" t="s">
        <v>1780</v>
      </c>
      <c r="D860" s="3" t="s">
        <v>99</v>
      </c>
      <c r="E860" t="s">
        <v>16</v>
      </c>
      <c r="F860" t="s">
        <v>74</v>
      </c>
      <c r="G860" t="s">
        <v>75</v>
      </c>
      <c r="H860" s="8">
        <v>1</v>
      </c>
      <c r="I860" s="10">
        <v>21.6</v>
      </c>
      <c r="J860" s="14">
        <f>P860*I860</f>
        <v>21.6</v>
      </c>
      <c r="K860" s="16">
        <v>410</v>
      </c>
      <c r="L860" s="1" t="s">
        <v>21</v>
      </c>
      <c r="M860" t="s">
        <v>22</v>
      </c>
      <c r="N860" t="str">
        <f t="shared" si="16"/>
        <v>United Kingdom</v>
      </c>
      <c r="O860" s="8">
        <f>IF(K860&gt;=1,K860,K860*1000)</f>
        <v>410</v>
      </c>
      <c r="P860">
        <f>ABS(H860)</f>
        <v>1</v>
      </c>
      <c r="R860"/>
    </row>
    <row r="861" spans="1:18" x14ac:dyDescent="0.35">
      <c r="A861" t="s">
        <v>1781</v>
      </c>
      <c r="B861" s="2">
        <v>46192</v>
      </c>
      <c r="C861" t="s">
        <v>1782</v>
      </c>
      <c r="D861" s="3" t="s">
        <v>99</v>
      </c>
      <c r="E861" t="s">
        <v>67</v>
      </c>
      <c r="F861" t="s">
        <v>17</v>
      </c>
      <c r="G861" t="s">
        <v>18</v>
      </c>
      <c r="H861" s="8">
        <v>2</v>
      </c>
      <c r="I861" s="10">
        <v>149</v>
      </c>
      <c r="J861" s="14">
        <f>P861*I861</f>
        <v>298</v>
      </c>
      <c r="K861" s="16">
        <v>0.52</v>
      </c>
      <c r="L861" s="1" t="s">
        <v>21</v>
      </c>
      <c r="M861" t="s">
        <v>22</v>
      </c>
      <c r="N861" t="str">
        <f t="shared" si="16"/>
        <v>United Kingdom</v>
      </c>
      <c r="O861" s="8">
        <f>IF(K861&gt;=1,K861,K861*1000)</f>
        <v>520</v>
      </c>
      <c r="P861">
        <f>ABS(H861)</f>
        <v>2</v>
      </c>
      <c r="R861"/>
    </row>
    <row r="862" spans="1:18" x14ac:dyDescent="0.35">
      <c r="A862" t="s">
        <v>1783</v>
      </c>
      <c r="B862" s="2">
        <v>46168</v>
      </c>
      <c r="C862" t="s">
        <v>1784</v>
      </c>
      <c r="D862" s="3" t="s">
        <v>99</v>
      </c>
      <c r="E862" t="s">
        <v>16</v>
      </c>
      <c r="F862" t="s">
        <v>74</v>
      </c>
      <c r="G862" t="s">
        <v>75</v>
      </c>
      <c r="H862" s="8">
        <v>3</v>
      </c>
      <c r="I862" s="10">
        <v>79</v>
      </c>
      <c r="J862" s="14">
        <f>P862*I862</f>
        <v>237</v>
      </c>
      <c r="K862" s="16">
        <v>0.41</v>
      </c>
      <c r="L862" s="1" t="s">
        <v>21</v>
      </c>
      <c r="M862" t="s">
        <v>58</v>
      </c>
      <c r="N862" t="str">
        <f t="shared" si="16"/>
        <v>United Kingdom</v>
      </c>
      <c r="O862" s="8">
        <f>IF(K862&gt;=1,K862,K862*1000)</f>
        <v>410</v>
      </c>
      <c r="P862">
        <f>ABS(H862)</f>
        <v>3</v>
      </c>
      <c r="R862"/>
    </row>
    <row r="863" spans="1:18" x14ac:dyDescent="0.35">
      <c r="A863" t="s">
        <v>1785</v>
      </c>
      <c r="B863" s="2">
        <v>46196</v>
      </c>
      <c r="C863" t="s">
        <v>1786</v>
      </c>
      <c r="D863" s="3" t="s">
        <v>66</v>
      </c>
      <c r="E863" t="s">
        <v>16</v>
      </c>
      <c r="F863" t="s">
        <v>42</v>
      </c>
      <c r="G863" t="s">
        <v>43</v>
      </c>
      <c r="H863" s="8">
        <v>3</v>
      </c>
      <c r="I863" s="10">
        <v>12.5</v>
      </c>
      <c r="J863" s="14">
        <f>P863*I863</f>
        <v>37.5</v>
      </c>
      <c r="K863" s="16">
        <v>0.19</v>
      </c>
      <c r="L863" s="1" t="s">
        <v>30</v>
      </c>
      <c r="M863" t="s">
        <v>58</v>
      </c>
      <c r="N863" t="str">
        <f t="shared" si="16"/>
        <v>Gb</v>
      </c>
      <c r="O863" s="8">
        <f>IF(K863&gt;=1,K863,K863*1000)</f>
        <v>190</v>
      </c>
      <c r="P863">
        <f>ABS(H863)</f>
        <v>3</v>
      </c>
      <c r="R863"/>
    </row>
    <row r="864" spans="1:18" x14ac:dyDescent="0.35">
      <c r="A864" t="s">
        <v>1787</v>
      </c>
      <c r="B864" s="2">
        <v>46177</v>
      </c>
      <c r="C864" t="s">
        <v>688</v>
      </c>
      <c r="D864" s="3" t="s">
        <v>116</v>
      </c>
      <c r="E864" t="s">
        <v>25</v>
      </c>
      <c r="F864" t="s">
        <v>47</v>
      </c>
      <c r="G864" t="s">
        <v>48</v>
      </c>
      <c r="H864" s="8">
        <v>2</v>
      </c>
      <c r="I864" s="10">
        <v>95</v>
      </c>
      <c r="J864" s="14">
        <f>P864*I864</f>
        <v>190</v>
      </c>
      <c r="K864" s="16">
        <v>0.38</v>
      </c>
      <c r="L864" s="1" t="s">
        <v>30</v>
      </c>
      <c r="M864" t="s">
        <v>22</v>
      </c>
      <c r="N864" t="str">
        <f t="shared" si="16"/>
        <v>Germany</v>
      </c>
      <c r="O864" s="8">
        <f>IF(K864&gt;=1,K864,K864*1000)</f>
        <v>380</v>
      </c>
      <c r="P864">
        <f>ABS(H864)</f>
        <v>2</v>
      </c>
      <c r="R864"/>
    </row>
    <row r="865" spans="1:18" x14ac:dyDescent="0.35">
      <c r="A865" t="s">
        <v>1788</v>
      </c>
      <c r="B865" s="2">
        <v>46179</v>
      </c>
      <c r="C865" t="s">
        <v>1789</v>
      </c>
      <c r="D865" s="3" t="s">
        <v>99</v>
      </c>
      <c r="E865" t="s">
        <v>16</v>
      </c>
      <c r="F865" t="s">
        <v>17</v>
      </c>
      <c r="G865" t="s">
        <v>18</v>
      </c>
      <c r="H865" s="8">
        <v>1</v>
      </c>
      <c r="I865" s="10">
        <v>116.1</v>
      </c>
      <c r="J865" s="14">
        <f>P865*I865</f>
        <v>116.1</v>
      </c>
      <c r="K865" s="16">
        <v>0.52</v>
      </c>
      <c r="L865" s="1" t="s">
        <v>30</v>
      </c>
      <c r="M865" t="s">
        <v>22</v>
      </c>
      <c r="N865" t="str">
        <f t="shared" si="16"/>
        <v>United Kingdom</v>
      </c>
      <c r="O865" s="8">
        <f>IF(K865&gt;=1,K865,K865*1000)</f>
        <v>520</v>
      </c>
      <c r="P865">
        <f>ABS(H865)</f>
        <v>1</v>
      </c>
      <c r="R865"/>
    </row>
    <row r="866" spans="1:18" x14ac:dyDescent="0.35">
      <c r="A866" t="s">
        <v>1790</v>
      </c>
      <c r="B866" s="2">
        <v>46130</v>
      </c>
      <c r="C866" t="s">
        <v>533</v>
      </c>
      <c r="D866" s="3" t="s">
        <v>99</v>
      </c>
      <c r="E866" t="s">
        <v>41</v>
      </c>
      <c r="F866" t="s">
        <v>47</v>
      </c>
      <c r="G866" t="s">
        <v>48</v>
      </c>
      <c r="H866" s="8">
        <v>1</v>
      </c>
      <c r="I866" s="10">
        <v>89</v>
      </c>
      <c r="J866" s="14">
        <f>P866*I866</f>
        <v>89</v>
      </c>
      <c r="K866" s="16">
        <v>380</v>
      </c>
      <c r="L866" s="1" t="s">
        <v>30</v>
      </c>
      <c r="M866" t="s">
        <v>22</v>
      </c>
      <c r="N866" t="str">
        <f t="shared" si="16"/>
        <v>United Kingdom</v>
      </c>
      <c r="O866" s="8">
        <f>IF(K866&gt;=1,K866,K866*1000)</f>
        <v>380</v>
      </c>
      <c r="P866">
        <f>ABS(H866)</f>
        <v>1</v>
      </c>
      <c r="R866"/>
    </row>
    <row r="867" spans="1:18" x14ac:dyDescent="0.35">
      <c r="A867" t="s">
        <v>1791</v>
      </c>
      <c r="B867" s="2">
        <v>46131</v>
      </c>
      <c r="C867" t="s">
        <v>1792</v>
      </c>
      <c r="D867" s="3" t="s">
        <v>99</v>
      </c>
      <c r="E867" t="s">
        <v>25</v>
      </c>
      <c r="F867" t="s">
        <v>35</v>
      </c>
      <c r="G867" t="s">
        <v>36</v>
      </c>
      <c r="H867" s="8">
        <v>1</v>
      </c>
      <c r="I867" s="10">
        <v>134.1</v>
      </c>
      <c r="J867" s="14">
        <f>P867*I867</f>
        <v>134.1</v>
      </c>
      <c r="K867" s="16">
        <v>85</v>
      </c>
      <c r="L867" s="1" t="s">
        <v>30</v>
      </c>
      <c r="M867" t="s">
        <v>58</v>
      </c>
      <c r="N867" t="str">
        <f t="shared" si="16"/>
        <v>United Kingdom</v>
      </c>
      <c r="O867" s="8">
        <f>IF(K867&gt;=1,K867,K867*1000)</f>
        <v>85</v>
      </c>
      <c r="P867">
        <f>ABS(H867)</f>
        <v>1</v>
      </c>
      <c r="R867"/>
    </row>
    <row r="868" spans="1:18" x14ac:dyDescent="0.35">
      <c r="A868" t="s">
        <v>1793</v>
      </c>
      <c r="B868" s="2">
        <v>46103</v>
      </c>
      <c r="C868" t="s">
        <v>635</v>
      </c>
      <c r="D868" s="3" t="s">
        <v>99</v>
      </c>
      <c r="E868" t="s">
        <v>41</v>
      </c>
      <c r="F868" t="s">
        <v>83</v>
      </c>
      <c r="G868" t="s">
        <v>84</v>
      </c>
      <c r="H868" s="8">
        <v>3</v>
      </c>
      <c r="I868" s="10">
        <v>89</v>
      </c>
      <c r="J868" s="14">
        <f>P868*I868</f>
        <v>267</v>
      </c>
      <c r="K868" s="16">
        <v>340</v>
      </c>
      <c r="L868" s="1" t="s">
        <v>30</v>
      </c>
      <c r="M868" t="s">
        <v>22</v>
      </c>
      <c r="N868" t="str">
        <f t="shared" si="16"/>
        <v>United Kingdom</v>
      </c>
      <c r="O868" s="8">
        <f>IF(K868&gt;=1,K868,K868*1000)</f>
        <v>340</v>
      </c>
      <c r="P868">
        <f>ABS(H868)</f>
        <v>3</v>
      </c>
      <c r="R868"/>
    </row>
    <row r="869" spans="1:18" x14ac:dyDescent="0.35">
      <c r="A869" t="s">
        <v>1794</v>
      </c>
      <c r="B869" s="2">
        <v>46160</v>
      </c>
      <c r="C869" t="s">
        <v>1210</v>
      </c>
      <c r="D869" s="3" t="s">
        <v>4613</v>
      </c>
      <c r="E869" t="s">
        <v>16</v>
      </c>
      <c r="F869" t="s">
        <v>17</v>
      </c>
      <c r="G869" t="s">
        <v>18</v>
      </c>
      <c r="H869" s="8">
        <v>1</v>
      </c>
      <c r="I869" s="10">
        <v>79</v>
      </c>
      <c r="J869" s="14">
        <f>P869*I869</f>
        <v>79</v>
      </c>
      <c r="K869" s="16">
        <v>0.52</v>
      </c>
      <c r="L869" s="1" t="s">
        <v>30</v>
      </c>
      <c r="M869" t="s">
        <v>58</v>
      </c>
      <c r="N869" t="str">
        <f t="shared" si="16"/>
        <v>United Kingdom</v>
      </c>
      <c r="O869" s="8">
        <f>IF(K869&gt;=1,K869,K869*1000)</f>
        <v>520</v>
      </c>
      <c r="P869">
        <f>ABS(H869)</f>
        <v>1</v>
      </c>
      <c r="R869"/>
    </row>
    <row r="870" spans="1:18" x14ac:dyDescent="0.35">
      <c r="A870" t="s">
        <v>1795</v>
      </c>
      <c r="B870" s="2">
        <v>46183</v>
      </c>
      <c r="C870" t="s">
        <v>1796</v>
      </c>
      <c r="D870" s="3" t="s">
        <v>4613</v>
      </c>
      <c r="E870" t="s">
        <v>34</v>
      </c>
      <c r="F870" t="s">
        <v>35</v>
      </c>
      <c r="G870" t="s">
        <v>36</v>
      </c>
      <c r="H870" s="8">
        <v>2</v>
      </c>
      <c r="I870" s="10">
        <v>40.5</v>
      </c>
      <c r="J870" s="14">
        <f>P870*I870</f>
        <v>81</v>
      </c>
      <c r="K870" s="16">
        <v>8.5000000000000006E-2</v>
      </c>
      <c r="L870" s="1" t="s">
        <v>30</v>
      </c>
      <c r="M870" t="s">
        <v>22</v>
      </c>
      <c r="N870" t="str">
        <f t="shared" si="16"/>
        <v>United Kingdom</v>
      </c>
      <c r="O870" s="8">
        <f>IF(K870&gt;=1,K870,K870*1000)</f>
        <v>85</v>
      </c>
      <c r="P870">
        <f>ABS(H870)</f>
        <v>2</v>
      </c>
      <c r="R870"/>
    </row>
    <row r="871" spans="1:18" x14ac:dyDescent="0.35">
      <c r="A871" t="s">
        <v>1797</v>
      </c>
      <c r="B871" s="2">
        <v>46031</v>
      </c>
      <c r="C871" t="s">
        <v>1798</v>
      </c>
      <c r="D871" s="3" t="s">
        <v>61</v>
      </c>
      <c r="E871" t="s">
        <v>34</v>
      </c>
      <c r="F871" t="s">
        <v>35</v>
      </c>
      <c r="G871" t="s">
        <v>36</v>
      </c>
      <c r="H871" s="8">
        <v>2</v>
      </c>
      <c r="I871" s="10">
        <v>85.5</v>
      </c>
      <c r="J871" s="14">
        <f>P871*I871</f>
        <v>171</v>
      </c>
      <c r="K871" s="16">
        <v>85</v>
      </c>
      <c r="L871" s="1" t="s">
        <v>21</v>
      </c>
      <c r="M871" t="s">
        <v>22</v>
      </c>
      <c r="N871" t="str">
        <f t="shared" si="16"/>
        <v>Ireland</v>
      </c>
      <c r="O871" s="8">
        <f>IF(K871&gt;=1,K871,K871*1000)</f>
        <v>85</v>
      </c>
      <c r="P871">
        <f>ABS(H871)</f>
        <v>2</v>
      </c>
      <c r="R871"/>
    </row>
    <row r="872" spans="1:18" x14ac:dyDescent="0.35">
      <c r="A872" t="s">
        <v>1799</v>
      </c>
      <c r="B872" s="2">
        <v>46094</v>
      </c>
      <c r="C872" t="s">
        <v>1800</v>
      </c>
      <c r="D872" s="3" t="s">
        <v>15</v>
      </c>
      <c r="E872" t="s">
        <v>67</v>
      </c>
      <c r="F872" t="s">
        <v>35</v>
      </c>
      <c r="G872" t="s">
        <v>36</v>
      </c>
      <c r="H872" s="8">
        <v>2</v>
      </c>
      <c r="I872" s="10">
        <v>149</v>
      </c>
      <c r="J872" s="14">
        <f>P872*I872</f>
        <v>298</v>
      </c>
      <c r="K872" s="16">
        <v>85</v>
      </c>
      <c r="L872" s="1" t="s">
        <v>30</v>
      </c>
      <c r="M872" t="s">
        <v>58</v>
      </c>
      <c r="N872" t="str">
        <f t="shared" si="16"/>
        <v>France</v>
      </c>
      <c r="O872" s="8">
        <f>IF(K872&gt;=1,K872,K872*1000)</f>
        <v>85</v>
      </c>
      <c r="P872">
        <f>ABS(H872)</f>
        <v>2</v>
      </c>
      <c r="R872"/>
    </row>
    <row r="873" spans="1:18" x14ac:dyDescent="0.35">
      <c r="A873" t="s">
        <v>1801</v>
      </c>
      <c r="B873" s="2">
        <v>46205</v>
      </c>
      <c r="C873" t="s">
        <v>1802</v>
      </c>
      <c r="D873" s="3" t="s">
        <v>46</v>
      </c>
      <c r="E873" t="s">
        <v>67</v>
      </c>
      <c r="F873" t="s">
        <v>89</v>
      </c>
      <c r="G873" t="s">
        <v>90</v>
      </c>
      <c r="H873" s="8">
        <v>1</v>
      </c>
      <c r="I873" s="10">
        <v>11.25</v>
      </c>
      <c r="J873" s="14">
        <f>P873*I873</f>
        <v>11.25</v>
      </c>
      <c r="K873" s="16">
        <v>0.64</v>
      </c>
      <c r="L873" s="1" t="s">
        <v>30</v>
      </c>
      <c r="M873" t="s">
        <v>58</v>
      </c>
      <c r="N873" t="str">
        <f t="shared" si="16"/>
        <v>Ireland</v>
      </c>
      <c r="O873" s="8">
        <f>IF(K873&gt;=1,K873,K873*1000)</f>
        <v>640</v>
      </c>
      <c r="P873">
        <f>ABS(H873)</f>
        <v>1</v>
      </c>
      <c r="R873"/>
    </row>
    <row r="874" spans="1:18" x14ac:dyDescent="0.35">
      <c r="A874" t="s">
        <v>1803</v>
      </c>
      <c r="B874" s="2">
        <v>46103</v>
      </c>
      <c r="C874" t="s">
        <v>475</v>
      </c>
      <c r="D874" s="3" t="s">
        <v>46</v>
      </c>
      <c r="E874" t="s">
        <v>41</v>
      </c>
      <c r="F874" t="s">
        <v>35</v>
      </c>
      <c r="G874" t="s">
        <v>36</v>
      </c>
      <c r="H874" s="8">
        <v>2</v>
      </c>
      <c r="I874" s="10">
        <v>129</v>
      </c>
      <c r="J874" s="14">
        <f>P874*I874</f>
        <v>258</v>
      </c>
      <c r="K874" s="16">
        <v>85</v>
      </c>
      <c r="L874" s="1" t="s">
        <v>30</v>
      </c>
      <c r="M874" t="s">
        <v>58</v>
      </c>
      <c r="N874" t="str">
        <f t="shared" si="16"/>
        <v>Ireland</v>
      </c>
      <c r="O874" s="8">
        <f>IF(K874&gt;=1,K874,K874*1000)</f>
        <v>85</v>
      </c>
      <c r="P874">
        <f>ABS(H874)</f>
        <v>2</v>
      </c>
      <c r="R874"/>
    </row>
    <row r="875" spans="1:18" x14ac:dyDescent="0.35">
      <c r="A875" t="s">
        <v>1804</v>
      </c>
      <c r="B875" s="2">
        <v>46169</v>
      </c>
      <c r="C875" t="s">
        <v>60</v>
      </c>
      <c r="D875" s="3" t="s">
        <v>53</v>
      </c>
      <c r="E875" t="s">
        <v>67</v>
      </c>
      <c r="F875" t="s">
        <v>47</v>
      </c>
      <c r="G875" t="s">
        <v>48</v>
      </c>
      <c r="H875" s="8">
        <v>1</v>
      </c>
      <c r="I875" s="10">
        <v>79</v>
      </c>
      <c r="J875" s="14">
        <f>P875*I875</f>
        <v>79</v>
      </c>
      <c r="K875" s="16">
        <v>0.38</v>
      </c>
      <c r="L875" s="1" t="s">
        <v>30</v>
      </c>
      <c r="M875" t="s">
        <v>58</v>
      </c>
      <c r="N875" t="str">
        <f t="shared" si="16"/>
        <v>Gb</v>
      </c>
      <c r="O875" s="8">
        <f>IF(K875&gt;=1,K875,K875*1000)</f>
        <v>380</v>
      </c>
      <c r="P875">
        <f>ABS(H875)</f>
        <v>1</v>
      </c>
      <c r="R875"/>
    </row>
    <row r="876" spans="1:18" x14ac:dyDescent="0.35">
      <c r="A876" t="s">
        <v>1805</v>
      </c>
      <c r="B876" s="2">
        <v>46109</v>
      </c>
      <c r="C876" t="s">
        <v>1168</v>
      </c>
      <c r="D876" s="3" t="s">
        <v>46</v>
      </c>
      <c r="E876" t="s">
        <v>67</v>
      </c>
      <c r="F876" t="s">
        <v>26</v>
      </c>
      <c r="G876" t="s">
        <v>27</v>
      </c>
      <c r="H876" s="8">
        <v>1</v>
      </c>
      <c r="I876" s="10">
        <v>24</v>
      </c>
      <c r="J876" s="14">
        <f>P876*I876</f>
        <v>24</v>
      </c>
      <c r="K876" s="16">
        <v>520</v>
      </c>
      <c r="L876" s="1" t="s">
        <v>30</v>
      </c>
      <c r="M876" t="s">
        <v>58</v>
      </c>
      <c r="N876" t="str">
        <f t="shared" si="16"/>
        <v>Ireland</v>
      </c>
      <c r="O876" s="8">
        <f>IF(K876&gt;=1,K876,K876*1000)</f>
        <v>520</v>
      </c>
      <c r="P876">
        <f>ABS(H876)</f>
        <v>1</v>
      </c>
      <c r="R876"/>
    </row>
    <row r="877" spans="1:18" x14ac:dyDescent="0.35">
      <c r="A877" t="s">
        <v>1806</v>
      </c>
      <c r="B877" s="2" t="s">
        <v>1807</v>
      </c>
      <c r="C877" t="s">
        <v>1808</v>
      </c>
      <c r="D877" s="3" t="s">
        <v>61</v>
      </c>
      <c r="E877" t="s">
        <v>67</v>
      </c>
      <c r="F877" t="s">
        <v>17</v>
      </c>
      <c r="G877" t="s">
        <v>18</v>
      </c>
      <c r="H877" s="8">
        <v>2</v>
      </c>
      <c r="I877" s="10">
        <v>149</v>
      </c>
      <c r="J877" s="14">
        <f>P877*I877</f>
        <v>298</v>
      </c>
      <c r="K877" s="16">
        <v>0.52</v>
      </c>
      <c r="L877" s="1" t="s">
        <v>30</v>
      </c>
      <c r="M877" t="s">
        <v>22</v>
      </c>
      <c r="N877" t="str">
        <f t="shared" si="16"/>
        <v>Ireland</v>
      </c>
      <c r="O877" s="8">
        <f>IF(K877&gt;=1,K877,K877*1000)</f>
        <v>520</v>
      </c>
      <c r="P877">
        <f>ABS(H877)</f>
        <v>2</v>
      </c>
      <c r="R877"/>
    </row>
    <row r="878" spans="1:18" x14ac:dyDescent="0.35">
      <c r="A878" t="s">
        <v>1809</v>
      </c>
      <c r="B878" s="2">
        <v>46192</v>
      </c>
      <c r="C878" t="s">
        <v>1289</v>
      </c>
      <c r="D878" s="3" t="s">
        <v>116</v>
      </c>
      <c r="E878" t="s">
        <v>16</v>
      </c>
      <c r="F878" t="s">
        <v>26</v>
      </c>
      <c r="G878" t="s">
        <v>27</v>
      </c>
      <c r="H878" s="8">
        <v>1</v>
      </c>
      <c r="I878" s="10">
        <v>89</v>
      </c>
      <c r="J878" s="14">
        <f>P878*I878</f>
        <v>89</v>
      </c>
      <c r="K878" s="16">
        <v>0.52</v>
      </c>
      <c r="L878" s="1" t="s">
        <v>30</v>
      </c>
      <c r="M878" t="s">
        <v>22</v>
      </c>
      <c r="N878" t="str">
        <f t="shared" si="16"/>
        <v>Germany</v>
      </c>
      <c r="O878" s="8">
        <f>IF(K878&gt;=1,K878,K878*1000)</f>
        <v>520</v>
      </c>
      <c r="P878">
        <f>ABS(H878)</f>
        <v>1</v>
      </c>
      <c r="R878"/>
    </row>
    <row r="879" spans="1:18" x14ac:dyDescent="0.35">
      <c r="A879" t="s">
        <v>1810</v>
      </c>
      <c r="B879" s="2">
        <v>46031</v>
      </c>
      <c r="C879" t="s">
        <v>1811</v>
      </c>
      <c r="D879" s="3" t="s">
        <v>99</v>
      </c>
      <c r="E879" t="s">
        <v>34</v>
      </c>
      <c r="F879" t="s">
        <v>83</v>
      </c>
      <c r="G879" t="s">
        <v>84</v>
      </c>
      <c r="H879" s="8">
        <v>1</v>
      </c>
      <c r="I879" s="12" t="s">
        <v>4628</v>
      </c>
      <c r="J879" s="14">
        <f>P879*R879</f>
        <v>40.5</v>
      </c>
      <c r="K879" s="16">
        <v>340</v>
      </c>
      <c r="L879" s="1" t="s">
        <v>21</v>
      </c>
      <c r="M879" t="s">
        <v>22</v>
      </c>
      <c r="N879" t="str">
        <f t="shared" si="16"/>
        <v>United Kingdom</v>
      </c>
      <c r="O879" s="8">
        <f>IF(K879&gt;=1,K879,K879*1000)</f>
        <v>340</v>
      </c>
      <c r="P879">
        <f>ABS(H879)</f>
        <v>1</v>
      </c>
      <c r="Q879" t="str">
        <f>LEFT(I879,2)</f>
        <v>Â£</v>
      </c>
      <c r="R879" t="str">
        <f>RIGHT(I879,5)</f>
        <v>40,50</v>
      </c>
    </row>
    <row r="880" spans="1:18" x14ac:dyDescent="0.35">
      <c r="A880" t="s">
        <v>1812</v>
      </c>
      <c r="B880" s="2">
        <v>46029</v>
      </c>
      <c r="C880" t="s">
        <v>1813</v>
      </c>
      <c r="D880" s="3" t="s">
        <v>4612</v>
      </c>
      <c r="E880" t="s">
        <v>41</v>
      </c>
      <c r="F880" t="s">
        <v>26</v>
      </c>
      <c r="G880" t="s">
        <v>27</v>
      </c>
      <c r="H880" s="8">
        <v>3</v>
      </c>
      <c r="I880" s="10">
        <v>21.6</v>
      </c>
      <c r="J880" s="14">
        <f>P880*I880</f>
        <v>64.800000000000011</v>
      </c>
      <c r="K880" s="16">
        <v>520</v>
      </c>
      <c r="L880" s="1" t="s">
        <v>21</v>
      </c>
      <c r="M880" t="s">
        <v>22</v>
      </c>
      <c r="N880" t="str">
        <f t="shared" si="16"/>
        <v>United Kingdom</v>
      </c>
      <c r="O880" s="8">
        <f>IF(K880&gt;=1,K880,K880*1000)</f>
        <v>520</v>
      </c>
      <c r="P880">
        <f>ABS(H880)</f>
        <v>3</v>
      </c>
      <c r="R880"/>
    </row>
    <row r="881" spans="1:18" x14ac:dyDescent="0.35">
      <c r="A881" t="s">
        <v>1814</v>
      </c>
      <c r="B881" s="2">
        <v>46117</v>
      </c>
      <c r="C881" t="s">
        <v>1815</v>
      </c>
      <c r="D881" s="3" t="s">
        <v>46</v>
      </c>
      <c r="E881" t="s">
        <v>41</v>
      </c>
      <c r="F881" t="s">
        <v>35</v>
      </c>
      <c r="G881" t="s">
        <v>36</v>
      </c>
      <c r="H881" s="8">
        <v>1</v>
      </c>
      <c r="I881" s="10">
        <v>134.1</v>
      </c>
      <c r="J881" s="14">
        <f>P881*I881</f>
        <v>134.1</v>
      </c>
      <c r="K881" s="16">
        <v>85</v>
      </c>
      <c r="L881" s="1" t="s">
        <v>30</v>
      </c>
      <c r="M881" t="s">
        <v>58</v>
      </c>
      <c r="N881" t="str">
        <f t="shared" si="16"/>
        <v>Ireland</v>
      </c>
      <c r="O881" s="8">
        <f>IF(K881&gt;=1,K881,K881*1000)</f>
        <v>85</v>
      </c>
      <c r="P881">
        <f>ABS(H881)</f>
        <v>1</v>
      </c>
      <c r="R881"/>
    </row>
    <row r="882" spans="1:18" x14ac:dyDescent="0.35">
      <c r="A882" t="s">
        <v>1816</v>
      </c>
      <c r="B882" s="2">
        <v>46179</v>
      </c>
      <c r="C882" t="s">
        <v>1817</v>
      </c>
      <c r="D882" s="3" t="s">
        <v>116</v>
      </c>
      <c r="E882" t="s">
        <v>34</v>
      </c>
      <c r="F882" t="s">
        <v>83</v>
      </c>
      <c r="G882" t="s">
        <v>84</v>
      </c>
      <c r="H882" s="8">
        <v>3</v>
      </c>
      <c r="I882" s="10">
        <v>129</v>
      </c>
      <c r="J882" s="14">
        <f>P882*I882</f>
        <v>387</v>
      </c>
      <c r="K882" s="16">
        <v>0.34</v>
      </c>
      <c r="L882" s="1" t="s">
        <v>21</v>
      </c>
      <c r="M882" t="s">
        <v>22</v>
      </c>
      <c r="N882" t="str">
        <f t="shared" si="16"/>
        <v>Germany</v>
      </c>
      <c r="O882" s="8">
        <f>IF(K882&gt;=1,K882,K882*1000)</f>
        <v>340</v>
      </c>
      <c r="P882">
        <f>ABS(H882)</f>
        <v>3</v>
      </c>
      <c r="R882"/>
    </row>
    <row r="883" spans="1:18" x14ac:dyDescent="0.35">
      <c r="A883" t="s">
        <v>1818</v>
      </c>
      <c r="B883" s="2">
        <v>46078</v>
      </c>
      <c r="C883" t="s">
        <v>1735</v>
      </c>
      <c r="D883" s="3" t="s">
        <v>46</v>
      </c>
      <c r="E883" t="s">
        <v>16</v>
      </c>
      <c r="F883" t="s">
        <v>17</v>
      </c>
      <c r="G883" t="s">
        <v>18</v>
      </c>
      <c r="H883" s="8">
        <v>3</v>
      </c>
      <c r="I883" s="10">
        <v>80.099999999999994</v>
      </c>
      <c r="J883" s="14">
        <f>P883*I883</f>
        <v>240.29999999999998</v>
      </c>
      <c r="K883" s="16">
        <v>520</v>
      </c>
      <c r="L883" s="1" t="s">
        <v>21</v>
      </c>
      <c r="M883" t="s">
        <v>58</v>
      </c>
      <c r="N883" t="str">
        <f t="shared" si="16"/>
        <v>Ireland</v>
      </c>
      <c r="O883" s="8">
        <f>IF(K883&gt;=1,K883,K883*1000)</f>
        <v>520</v>
      </c>
      <c r="P883">
        <f>ABS(H883)</f>
        <v>3</v>
      </c>
      <c r="R883"/>
    </row>
    <row r="884" spans="1:18" x14ac:dyDescent="0.35">
      <c r="A884" t="s">
        <v>1819</v>
      </c>
      <c r="B884" s="2" t="s">
        <v>1820</v>
      </c>
      <c r="C884" t="s">
        <v>139</v>
      </c>
      <c r="D884" s="3" t="s">
        <v>15</v>
      </c>
      <c r="E884" t="s">
        <v>41</v>
      </c>
      <c r="F884" t="s">
        <v>74</v>
      </c>
      <c r="G884" t="s">
        <v>75</v>
      </c>
      <c r="H884" s="8">
        <v>1</v>
      </c>
      <c r="I884" s="12" t="s">
        <v>4617</v>
      </c>
      <c r="J884" s="14">
        <f>P884*R884</f>
        <v>45</v>
      </c>
      <c r="K884" s="16">
        <v>410</v>
      </c>
      <c r="L884" s="1" t="s">
        <v>30</v>
      </c>
      <c r="M884" t="s">
        <v>22</v>
      </c>
      <c r="N884" t="str">
        <f t="shared" si="16"/>
        <v>France</v>
      </c>
      <c r="O884" s="8">
        <f>IF(K884&gt;=1,K884,K884*1000)</f>
        <v>410</v>
      </c>
      <c r="P884">
        <f>ABS(H884)</f>
        <v>1</v>
      </c>
      <c r="Q884" t="str">
        <f>LEFT(I884,3)</f>
        <v>GBP</v>
      </c>
      <c r="R884" s="10" t="str">
        <f>RIGHT(I884,5)</f>
        <v>45,00</v>
      </c>
    </row>
    <row r="885" spans="1:18" x14ac:dyDescent="0.35">
      <c r="A885" t="s">
        <v>1821</v>
      </c>
      <c r="B885" s="2">
        <v>46159</v>
      </c>
      <c r="C885" t="s">
        <v>1133</v>
      </c>
      <c r="D885" s="3" t="s">
        <v>4612</v>
      </c>
      <c r="E885" t="s">
        <v>34</v>
      </c>
      <c r="F885" t="s">
        <v>47</v>
      </c>
      <c r="G885" t="s">
        <v>48</v>
      </c>
      <c r="H885" s="8">
        <v>3</v>
      </c>
      <c r="I885" s="10">
        <v>134.1</v>
      </c>
      <c r="J885" s="14">
        <f>P885*I885</f>
        <v>402.29999999999995</v>
      </c>
      <c r="K885" s="16">
        <v>0.38</v>
      </c>
      <c r="L885" s="1" t="s">
        <v>30</v>
      </c>
      <c r="M885" t="s">
        <v>22</v>
      </c>
      <c r="N885" t="str">
        <f t="shared" si="16"/>
        <v>United Kingdom</v>
      </c>
      <c r="O885" s="8">
        <f>IF(K885&gt;=1,K885,K885*1000)</f>
        <v>380</v>
      </c>
      <c r="P885">
        <f>ABS(H885)</f>
        <v>3</v>
      </c>
      <c r="R885"/>
    </row>
    <row r="886" spans="1:18" x14ac:dyDescent="0.35">
      <c r="A886" t="s">
        <v>1822</v>
      </c>
      <c r="B886" s="2">
        <v>46092</v>
      </c>
      <c r="C886" t="s">
        <v>1296</v>
      </c>
      <c r="D886" s="3" t="s">
        <v>4613</v>
      </c>
      <c r="E886" t="s">
        <v>25</v>
      </c>
      <c r="F886" t="s">
        <v>74</v>
      </c>
      <c r="G886" t="s">
        <v>75</v>
      </c>
      <c r="H886" s="8">
        <v>3</v>
      </c>
      <c r="I886" s="10">
        <v>129</v>
      </c>
      <c r="J886" s="14">
        <f>P886*I886</f>
        <v>387</v>
      </c>
      <c r="K886" s="16">
        <v>410</v>
      </c>
      <c r="L886" s="1" t="s">
        <v>30</v>
      </c>
      <c r="M886" t="s">
        <v>22</v>
      </c>
      <c r="N886" t="str">
        <f t="shared" si="16"/>
        <v>United Kingdom</v>
      </c>
      <c r="O886" s="8">
        <f>IF(K886&gt;=1,K886,K886*1000)</f>
        <v>410</v>
      </c>
      <c r="P886">
        <f>ABS(H886)</f>
        <v>3</v>
      </c>
      <c r="R886"/>
    </row>
    <row r="887" spans="1:18" x14ac:dyDescent="0.35">
      <c r="A887" t="s">
        <v>1823</v>
      </c>
      <c r="B887" s="2">
        <v>46082</v>
      </c>
      <c r="C887" t="s">
        <v>1824</v>
      </c>
      <c r="D887" s="3" t="s">
        <v>4613</v>
      </c>
      <c r="E887" t="s">
        <v>41</v>
      </c>
      <c r="F887" t="s">
        <v>26</v>
      </c>
      <c r="G887" t="s">
        <v>27</v>
      </c>
      <c r="H887" s="8">
        <v>1</v>
      </c>
      <c r="I887" s="10">
        <v>149</v>
      </c>
      <c r="J887" s="14">
        <f>P887*I887</f>
        <v>149</v>
      </c>
      <c r="K887" s="16">
        <v>520</v>
      </c>
      <c r="L887" s="1" t="s">
        <v>30</v>
      </c>
      <c r="M887" t="s">
        <v>58</v>
      </c>
      <c r="N887" t="str">
        <f t="shared" si="16"/>
        <v>United Kingdom</v>
      </c>
      <c r="O887" s="8">
        <f>IF(K887&gt;=1,K887,K887*1000)</f>
        <v>520</v>
      </c>
      <c r="P887">
        <f>ABS(H887)</f>
        <v>1</v>
      </c>
      <c r="R887"/>
    </row>
    <row r="888" spans="1:18" x14ac:dyDescent="0.35">
      <c r="A888" t="s">
        <v>1825</v>
      </c>
      <c r="B888" s="2">
        <v>46075</v>
      </c>
      <c r="C888" t="s">
        <v>1826</v>
      </c>
      <c r="D888" s="3" t="s">
        <v>99</v>
      </c>
      <c r="E888" t="s">
        <v>67</v>
      </c>
      <c r="F888" t="s">
        <v>83</v>
      </c>
      <c r="G888" t="s">
        <v>84</v>
      </c>
      <c r="H888" s="8">
        <v>1</v>
      </c>
      <c r="I888" s="10">
        <v>85.5</v>
      </c>
      <c r="J888" s="14">
        <f>P888*I888</f>
        <v>85.5</v>
      </c>
      <c r="K888" s="16">
        <v>340</v>
      </c>
      <c r="L888" s="1" t="s">
        <v>30</v>
      </c>
      <c r="M888" t="s">
        <v>22</v>
      </c>
      <c r="N888" t="str">
        <f t="shared" si="16"/>
        <v>United Kingdom</v>
      </c>
      <c r="O888" s="8">
        <f>IF(K888&gt;=1,K888,K888*1000)</f>
        <v>340</v>
      </c>
      <c r="P888">
        <f>ABS(H888)</f>
        <v>1</v>
      </c>
      <c r="R888"/>
    </row>
    <row r="889" spans="1:18" x14ac:dyDescent="0.35">
      <c r="A889" t="s">
        <v>1827</v>
      </c>
      <c r="B889" s="2">
        <v>46035</v>
      </c>
      <c r="C889" t="s">
        <v>1828</v>
      </c>
      <c r="D889" s="3" t="s">
        <v>4613</v>
      </c>
      <c r="E889" t="s">
        <v>16</v>
      </c>
      <c r="F889" t="s">
        <v>74</v>
      </c>
      <c r="G889" t="s">
        <v>75</v>
      </c>
      <c r="H889" s="8">
        <v>1</v>
      </c>
      <c r="I889" s="10">
        <v>85.5</v>
      </c>
      <c r="J889" s="14">
        <f>P889*I889</f>
        <v>85.5</v>
      </c>
      <c r="K889" s="16">
        <v>410</v>
      </c>
      <c r="L889" s="1" t="s">
        <v>21</v>
      </c>
      <c r="M889" t="s">
        <v>22</v>
      </c>
      <c r="N889" t="str">
        <f t="shared" si="16"/>
        <v>United Kingdom</v>
      </c>
      <c r="O889" s="8">
        <f>IF(K889&gt;=1,K889,K889*1000)</f>
        <v>410</v>
      </c>
      <c r="P889">
        <f>ABS(H889)</f>
        <v>1</v>
      </c>
      <c r="R889"/>
    </row>
    <row r="890" spans="1:18" x14ac:dyDescent="0.35">
      <c r="A890" t="s">
        <v>1829</v>
      </c>
      <c r="B890" s="2">
        <v>46143</v>
      </c>
      <c r="C890" t="s">
        <v>1392</v>
      </c>
      <c r="D890" s="3" t="s">
        <v>46</v>
      </c>
      <c r="E890" t="s">
        <v>67</v>
      </c>
      <c r="F890" t="s">
        <v>35</v>
      </c>
      <c r="G890" t="s">
        <v>36</v>
      </c>
      <c r="H890" s="8">
        <v>2</v>
      </c>
      <c r="I890" s="10">
        <v>95</v>
      </c>
      <c r="J890" s="14">
        <f>P890*I890</f>
        <v>190</v>
      </c>
      <c r="K890" s="16">
        <v>8.5000000000000006E-2</v>
      </c>
      <c r="L890" s="1" t="s">
        <v>30</v>
      </c>
      <c r="M890" t="s">
        <v>22</v>
      </c>
      <c r="N890" t="str">
        <f t="shared" si="16"/>
        <v>Ireland</v>
      </c>
      <c r="O890" s="8">
        <f>IF(K890&gt;=1,K890,K890*1000)</f>
        <v>85</v>
      </c>
      <c r="P890">
        <f>ABS(H890)</f>
        <v>2</v>
      </c>
      <c r="R890"/>
    </row>
    <row r="891" spans="1:18" x14ac:dyDescent="0.35">
      <c r="A891" t="s">
        <v>1830</v>
      </c>
      <c r="B891" s="2">
        <v>46114</v>
      </c>
      <c r="C891" t="s">
        <v>1831</v>
      </c>
      <c r="D891" s="3" t="s">
        <v>61</v>
      </c>
      <c r="E891" t="s">
        <v>41</v>
      </c>
      <c r="F891" t="s">
        <v>35</v>
      </c>
      <c r="G891" t="s">
        <v>36</v>
      </c>
      <c r="H891" s="8">
        <v>3</v>
      </c>
      <c r="I891" s="10">
        <v>89</v>
      </c>
      <c r="J891" s="14">
        <f>P891*I891</f>
        <v>267</v>
      </c>
      <c r="K891" s="16">
        <v>85</v>
      </c>
      <c r="L891" s="1" t="s">
        <v>30</v>
      </c>
      <c r="M891" t="s">
        <v>58</v>
      </c>
      <c r="N891" t="str">
        <f t="shared" si="16"/>
        <v>Ireland</v>
      </c>
      <c r="O891" s="8">
        <f>IF(K891&gt;=1,K891,K891*1000)</f>
        <v>85</v>
      </c>
      <c r="P891">
        <f>ABS(H891)</f>
        <v>3</v>
      </c>
      <c r="R891"/>
    </row>
    <row r="892" spans="1:18" x14ac:dyDescent="0.35">
      <c r="A892" t="s">
        <v>1832</v>
      </c>
      <c r="B892" s="2">
        <v>46048</v>
      </c>
      <c r="C892" t="s">
        <v>1833</v>
      </c>
      <c r="D892" s="3" t="s">
        <v>4613</v>
      </c>
      <c r="E892" t="s">
        <v>16</v>
      </c>
      <c r="F892" t="s">
        <v>74</v>
      </c>
      <c r="G892" t="s">
        <v>75</v>
      </c>
      <c r="H892" s="8">
        <v>2</v>
      </c>
      <c r="I892" s="10">
        <v>21.6</v>
      </c>
      <c r="J892" s="14">
        <f>P892*I892</f>
        <v>43.2</v>
      </c>
      <c r="K892" s="16">
        <v>410</v>
      </c>
      <c r="L892" s="1" t="s">
        <v>21</v>
      </c>
      <c r="M892" t="s">
        <v>22</v>
      </c>
      <c r="N892" t="str">
        <f t="shared" si="16"/>
        <v>United Kingdom</v>
      </c>
      <c r="O892" s="8">
        <f>IF(K892&gt;=1,K892,K892*1000)</f>
        <v>410</v>
      </c>
      <c r="P892">
        <f>ABS(H892)</f>
        <v>2</v>
      </c>
      <c r="R892"/>
    </row>
    <row r="893" spans="1:18" x14ac:dyDescent="0.35">
      <c r="A893" t="s">
        <v>1834</v>
      </c>
      <c r="B893" s="2">
        <v>46199</v>
      </c>
      <c r="C893" t="s">
        <v>1835</v>
      </c>
      <c r="D893" s="3" t="s">
        <v>66</v>
      </c>
      <c r="E893" t="s">
        <v>34</v>
      </c>
      <c r="F893" t="s">
        <v>26</v>
      </c>
      <c r="G893" t="s">
        <v>27</v>
      </c>
      <c r="H893" s="8">
        <v>1</v>
      </c>
      <c r="I893" s="10">
        <v>24</v>
      </c>
      <c r="J893" s="14">
        <f>P893*I893</f>
        <v>24</v>
      </c>
      <c r="K893" s="16">
        <v>0.52</v>
      </c>
      <c r="L893" s="1" t="s">
        <v>30</v>
      </c>
      <c r="M893" t="s">
        <v>22</v>
      </c>
      <c r="N893" t="str">
        <f t="shared" si="16"/>
        <v>Gb</v>
      </c>
      <c r="O893" s="8">
        <f>IF(K893&gt;=1,K893,K893*1000)</f>
        <v>520</v>
      </c>
      <c r="P893">
        <f>ABS(H893)</f>
        <v>1</v>
      </c>
      <c r="R893"/>
    </row>
    <row r="894" spans="1:18" x14ac:dyDescent="0.35">
      <c r="A894" t="s">
        <v>1836</v>
      </c>
      <c r="B894" s="2">
        <v>46053</v>
      </c>
      <c r="C894" t="s">
        <v>1138</v>
      </c>
      <c r="D894" s="3" t="s">
        <v>66</v>
      </c>
      <c r="E894" t="s">
        <v>41</v>
      </c>
      <c r="F894" t="s">
        <v>47</v>
      </c>
      <c r="G894" t="s">
        <v>48</v>
      </c>
      <c r="H894" s="8">
        <v>1</v>
      </c>
      <c r="I894" s="10">
        <v>79</v>
      </c>
      <c r="J894" s="14">
        <f>P894*I894</f>
        <v>79</v>
      </c>
      <c r="K894" s="16">
        <v>380</v>
      </c>
      <c r="L894" s="1" t="s">
        <v>21</v>
      </c>
      <c r="M894" t="s">
        <v>22</v>
      </c>
      <c r="N894" t="str">
        <f t="shared" si="16"/>
        <v>Gb</v>
      </c>
      <c r="O894" s="8">
        <f>IF(K894&gt;=1,K894,K894*1000)</f>
        <v>380</v>
      </c>
      <c r="P894">
        <f>ABS(H894)</f>
        <v>1</v>
      </c>
      <c r="R894"/>
    </row>
    <row r="895" spans="1:18" x14ac:dyDescent="0.35">
      <c r="A895" t="s">
        <v>1837</v>
      </c>
      <c r="B895" s="2">
        <v>46069</v>
      </c>
      <c r="C895" t="s">
        <v>529</v>
      </c>
      <c r="D895" s="3" t="s">
        <v>53</v>
      </c>
      <c r="E895" t="s">
        <v>67</v>
      </c>
      <c r="F895" t="s">
        <v>83</v>
      </c>
      <c r="G895" t="s">
        <v>84</v>
      </c>
      <c r="H895" s="8">
        <v>1</v>
      </c>
      <c r="I895" s="10">
        <v>12.5</v>
      </c>
      <c r="J895" s="14">
        <f>P895*I895</f>
        <v>12.5</v>
      </c>
      <c r="K895" s="16">
        <v>340</v>
      </c>
      <c r="L895" s="1" t="s">
        <v>30</v>
      </c>
      <c r="M895" t="s">
        <v>22</v>
      </c>
      <c r="N895" t="str">
        <f t="shared" si="16"/>
        <v>Gb</v>
      </c>
      <c r="O895" s="8">
        <f>IF(K895&gt;=1,K895,K895*1000)</f>
        <v>340</v>
      </c>
      <c r="P895">
        <f>ABS(H895)</f>
        <v>1</v>
      </c>
      <c r="R895"/>
    </row>
    <row r="896" spans="1:18" x14ac:dyDescent="0.35">
      <c r="A896" t="s">
        <v>1838</v>
      </c>
      <c r="B896" s="2">
        <v>46081</v>
      </c>
      <c r="C896" t="s">
        <v>1839</v>
      </c>
      <c r="D896" s="3" t="s">
        <v>99</v>
      </c>
      <c r="E896" t="s">
        <v>67</v>
      </c>
      <c r="F896" t="s">
        <v>47</v>
      </c>
      <c r="G896" t="s">
        <v>48</v>
      </c>
      <c r="H896" s="8">
        <v>1</v>
      </c>
      <c r="I896" s="10">
        <v>71.099999999999994</v>
      </c>
      <c r="J896" s="14">
        <f>P896*I896</f>
        <v>71.099999999999994</v>
      </c>
      <c r="K896" s="16">
        <v>380</v>
      </c>
      <c r="L896" s="1" t="s">
        <v>30</v>
      </c>
      <c r="M896" t="s">
        <v>22</v>
      </c>
      <c r="N896" t="str">
        <f t="shared" si="16"/>
        <v>United Kingdom</v>
      </c>
      <c r="O896" s="8">
        <f>IF(K896&gt;=1,K896,K896*1000)</f>
        <v>380</v>
      </c>
      <c r="P896">
        <f>ABS(H896)</f>
        <v>1</v>
      </c>
      <c r="R896"/>
    </row>
    <row r="897" spans="1:18" x14ac:dyDescent="0.35">
      <c r="A897" t="s">
        <v>1840</v>
      </c>
      <c r="B897" s="2">
        <v>46131</v>
      </c>
      <c r="C897" t="s">
        <v>1841</v>
      </c>
      <c r="D897" s="3" t="s">
        <v>66</v>
      </c>
      <c r="E897" t="s">
        <v>16</v>
      </c>
      <c r="F897" t="s">
        <v>74</v>
      </c>
      <c r="G897" t="s">
        <v>75</v>
      </c>
      <c r="H897" s="8">
        <v>2</v>
      </c>
      <c r="I897" s="10">
        <v>24</v>
      </c>
      <c r="J897" s="14">
        <f>P897*I897</f>
        <v>48</v>
      </c>
      <c r="K897" s="16">
        <v>410</v>
      </c>
      <c r="L897" s="1" t="s">
        <v>30</v>
      </c>
      <c r="M897" t="s">
        <v>22</v>
      </c>
      <c r="N897" t="str">
        <f t="shared" si="16"/>
        <v>Gb</v>
      </c>
      <c r="O897" s="8">
        <f>IF(K897&gt;=1,K897,K897*1000)</f>
        <v>410</v>
      </c>
      <c r="P897">
        <f>ABS(H897)</f>
        <v>2</v>
      </c>
      <c r="R897"/>
    </row>
    <row r="898" spans="1:18" x14ac:dyDescent="0.35">
      <c r="A898" t="s">
        <v>1842</v>
      </c>
      <c r="B898" s="2">
        <v>46029</v>
      </c>
      <c r="C898" t="s">
        <v>1843</v>
      </c>
      <c r="D898" s="3" t="s">
        <v>66</v>
      </c>
      <c r="E898" t="s">
        <v>25</v>
      </c>
      <c r="F898" t="s">
        <v>26</v>
      </c>
      <c r="G898" t="s">
        <v>27</v>
      </c>
      <c r="H898" s="8">
        <v>1</v>
      </c>
      <c r="I898" s="10">
        <v>12.5</v>
      </c>
      <c r="J898" s="14">
        <f>P898*I898</f>
        <v>12.5</v>
      </c>
      <c r="K898" s="16">
        <v>520</v>
      </c>
      <c r="L898" s="1" t="s">
        <v>30</v>
      </c>
      <c r="M898" t="s">
        <v>58</v>
      </c>
      <c r="N898" t="str">
        <f t="shared" si="16"/>
        <v>Gb</v>
      </c>
      <c r="O898" s="8">
        <f>IF(K898&gt;=1,K898,K898*1000)</f>
        <v>520</v>
      </c>
      <c r="P898">
        <f>ABS(H898)</f>
        <v>1</v>
      </c>
      <c r="R898"/>
    </row>
    <row r="899" spans="1:18" x14ac:dyDescent="0.35">
      <c r="A899" t="s">
        <v>1844</v>
      </c>
      <c r="B899" s="2">
        <v>46123</v>
      </c>
      <c r="C899" t="s">
        <v>96</v>
      </c>
      <c r="D899" s="3" t="s">
        <v>116</v>
      </c>
      <c r="E899" t="s">
        <v>34</v>
      </c>
      <c r="F899" t="s">
        <v>89</v>
      </c>
      <c r="G899" t="s">
        <v>90</v>
      </c>
      <c r="H899" s="8">
        <v>1</v>
      </c>
      <c r="I899" s="10">
        <v>40.5</v>
      </c>
      <c r="J899" s="14">
        <f>P899*I899</f>
        <v>40.5</v>
      </c>
      <c r="K899" s="16">
        <v>640</v>
      </c>
      <c r="L899" s="1" t="s">
        <v>30</v>
      </c>
      <c r="M899" t="s">
        <v>22</v>
      </c>
      <c r="N899" t="str">
        <f t="shared" ref="N899:N962" si="17">PROPER(TRIM(D899))</f>
        <v>Germany</v>
      </c>
      <c r="O899" s="8">
        <f>IF(K899&gt;=1,K899,K899*1000)</f>
        <v>640</v>
      </c>
      <c r="P899">
        <f>ABS(H899)</f>
        <v>1</v>
      </c>
      <c r="R899"/>
    </row>
    <row r="900" spans="1:18" x14ac:dyDescent="0.35">
      <c r="A900" t="s">
        <v>1845</v>
      </c>
      <c r="B900" s="2">
        <v>46163</v>
      </c>
      <c r="C900" t="s">
        <v>504</v>
      </c>
      <c r="D900" s="3" t="s">
        <v>66</v>
      </c>
      <c r="E900" t="s">
        <v>25</v>
      </c>
      <c r="F900" t="s">
        <v>47</v>
      </c>
      <c r="G900" t="s">
        <v>48</v>
      </c>
      <c r="H900" s="8">
        <v>2</v>
      </c>
      <c r="I900" s="10">
        <v>95</v>
      </c>
      <c r="J900" s="14">
        <f>P900*I900</f>
        <v>190</v>
      </c>
      <c r="K900" s="16">
        <v>0.38</v>
      </c>
      <c r="L900" s="1" t="s">
        <v>30</v>
      </c>
      <c r="M900" t="s">
        <v>22</v>
      </c>
      <c r="N900" t="str">
        <f t="shared" si="17"/>
        <v>Gb</v>
      </c>
      <c r="O900" s="8">
        <f>IF(K900&gt;=1,K900,K900*1000)</f>
        <v>380</v>
      </c>
      <c r="P900">
        <f>ABS(H900)</f>
        <v>2</v>
      </c>
      <c r="R900"/>
    </row>
    <row r="901" spans="1:18" x14ac:dyDescent="0.35">
      <c r="A901" t="s">
        <v>1846</v>
      </c>
      <c r="B901" s="2">
        <v>46187</v>
      </c>
      <c r="C901" t="s">
        <v>293</v>
      </c>
      <c r="D901" s="3" t="s">
        <v>99</v>
      </c>
      <c r="E901" t="s">
        <v>34</v>
      </c>
      <c r="F901" t="s">
        <v>89</v>
      </c>
      <c r="G901" t="s">
        <v>90</v>
      </c>
      <c r="H901" s="8">
        <v>1</v>
      </c>
      <c r="I901" s="10">
        <v>89</v>
      </c>
      <c r="J901" s="14">
        <f>P901*I901</f>
        <v>89</v>
      </c>
      <c r="K901" s="16">
        <v>0.64</v>
      </c>
      <c r="L901" s="1" t="s">
        <v>30</v>
      </c>
      <c r="M901" t="s">
        <v>58</v>
      </c>
      <c r="N901" t="str">
        <f t="shared" si="17"/>
        <v>United Kingdom</v>
      </c>
      <c r="O901" s="8">
        <f>IF(K901&gt;=1,K901,K901*1000)</f>
        <v>640</v>
      </c>
      <c r="P901">
        <f>ABS(H901)</f>
        <v>1</v>
      </c>
      <c r="R901"/>
    </row>
    <row r="902" spans="1:18" x14ac:dyDescent="0.35">
      <c r="A902" t="s">
        <v>1847</v>
      </c>
      <c r="B902" s="2">
        <v>46070</v>
      </c>
      <c r="C902" t="s">
        <v>1848</v>
      </c>
      <c r="D902" s="3" t="s">
        <v>53</v>
      </c>
      <c r="E902" t="s">
        <v>67</v>
      </c>
      <c r="F902" t="s">
        <v>42</v>
      </c>
      <c r="G902" t="s">
        <v>43</v>
      </c>
      <c r="H902" s="8">
        <v>1</v>
      </c>
      <c r="I902" s="10">
        <v>11.25</v>
      </c>
      <c r="J902" s="14">
        <f>P902*I902</f>
        <v>11.25</v>
      </c>
      <c r="K902" s="16">
        <v>190</v>
      </c>
      <c r="L902" s="1" t="s">
        <v>30</v>
      </c>
      <c r="M902" t="s">
        <v>58</v>
      </c>
      <c r="N902" t="str">
        <f t="shared" si="17"/>
        <v>Gb</v>
      </c>
      <c r="O902" s="8">
        <f>IF(K902&gt;=1,K902,K902*1000)</f>
        <v>190</v>
      </c>
      <c r="P902">
        <f>ABS(H902)</f>
        <v>1</v>
      </c>
      <c r="R902"/>
    </row>
    <row r="903" spans="1:18" x14ac:dyDescent="0.35">
      <c r="A903" t="s">
        <v>1849</v>
      </c>
      <c r="B903" s="2">
        <v>46047</v>
      </c>
      <c r="C903" t="s">
        <v>1850</v>
      </c>
      <c r="D903" s="3" t="s">
        <v>66</v>
      </c>
      <c r="E903" t="s">
        <v>67</v>
      </c>
      <c r="F903" t="s">
        <v>47</v>
      </c>
      <c r="G903" t="s">
        <v>48</v>
      </c>
      <c r="H903" s="8">
        <v>1</v>
      </c>
      <c r="I903" s="10">
        <v>40.5</v>
      </c>
      <c r="J903" s="14">
        <f>P903*I903</f>
        <v>40.5</v>
      </c>
      <c r="K903" s="16">
        <v>380</v>
      </c>
      <c r="L903" s="1" t="s">
        <v>30</v>
      </c>
      <c r="M903" t="s">
        <v>58</v>
      </c>
      <c r="N903" t="str">
        <f t="shared" si="17"/>
        <v>Gb</v>
      </c>
      <c r="O903" s="8">
        <f>IF(K903&gt;=1,K903,K903*1000)</f>
        <v>380</v>
      </c>
      <c r="P903">
        <f>ABS(H903)</f>
        <v>1</v>
      </c>
      <c r="R903"/>
    </row>
    <row r="904" spans="1:18" x14ac:dyDescent="0.35">
      <c r="A904" t="s">
        <v>1851</v>
      </c>
      <c r="B904" s="2">
        <v>46080</v>
      </c>
      <c r="C904" t="s">
        <v>1852</v>
      </c>
      <c r="D904" s="3" t="s">
        <v>99</v>
      </c>
      <c r="E904" t="s">
        <v>67</v>
      </c>
      <c r="F904" t="s">
        <v>42</v>
      </c>
      <c r="G904" t="s">
        <v>43</v>
      </c>
      <c r="H904" s="8">
        <v>1</v>
      </c>
      <c r="I904" s="10">
        <v>129</v>
      </c>
      <c r="J904" s="14">
        <f>P904*I904</f>
        <v>129</v>
      </c>
      <c r="K904" s="16">
        <v>190</v>
      </c>
      <c r="L904" s="1" t="s">
        <v>30</v>
      </c>
      <c r="M904" t="s">
        <v>22</v>
      </c>
      <c r="N904" t="str">
        <f t="shared" si="17"/>
        <v>United Kingdom</v>
      </c>
      <c r="O904" s="8">
        <f>IF(K904&gt;=1,K904,K904*1000)</f>
        <v>190</v>
      </c>
      <c r="P904">
        <f>ABS(H904)</f>
        <v>1</v>
      </c>
      <c r="R904"/>
    </row>
    <row r="905" spans="1:18" x14ac:dyDescent="0.35">
      <c r="A905" t="s">
        <v>1853</v>
      </c>
      <c r="B905" s="2">
        <v>46143</v>
      </c>
      <c r="C905" t="s">
        <v>1854</v>
      </c>
      <c r="D905" s="3" t="s">
        <v>4613</v>
      </c>
      <c r="E905" t="s">
        <v>25</v>
      </c>
      <c r="F905" t="s">
        <v>83</v>
      </c>
      <c r="G905" t="s">
        <v>84</v>
      </c>
      <c r="H905" s="8">
        <v>1</v>
      </c>
      <c r="I905" s="10">
        <v>89</v>
      </c>
      <c r="J905" s="14">
        <f>P905*I905</f>
        <v>89</v>
      </c>
      <c r="K905" s="16">
        <v>0.34</v>
      </c>
      <c r="L905" s="1" t="s">
        <v>30</v>
      </c>
      <c r="M905" t="s">
        <v>58</v>
      </c>
      <c r="N905" t="str">
        <f t="shared" si="17"/>
        <v>United Kingdom</v>
      </c>
      <c r="O905" s="8">
        <f>IF(K905&gt;=1,K905,K905*1000)</f>
        <v>340</v>
      </c>
      <c r="P905">
        <f>ABS(H905)</f>
        <v>1</v>
      </c>
      <c r="R905"/>
    </row>
    <row r="906" spans="1:18" x14ac:dyDescent="0.35">
      <c r="A906" t="s">
        <v>1855</v>
      </c>
      <c r="B906" s="2" t="s">
        <v>1856</v>
      </c>
      <c r="C906" t="s">
        <v>82</v>
      </c>
      <c r="D906" s="3" t="s">
        <v>15</v>
      </c>
      <c r="E906" t="s">
        <v>16</v>
      </c>
      <c r="F906" t="s">
        <v>35</v>
      </c>
      <c r="G906" t="s">
        <v>36</v>
      </c>
      <c r="H906" s="8">
        <v>1</v>
      </c>
      <c r="I906" s="10">
        <v>21.6</v>
      </c>
      <c r="J906" s="14">
        <f>P906*I906</f>
        <v>21.6</v>
      </c>
      <c r="K906" s="16">
        <v>8.5000000000000006E-2</v>
      </c>
      <c r="L906" s="1" t="s">
        <v>30</v>
      </c>
      <c r="M906" t="s">
        <v>22</v>
      </c>
      <c r="N906" t="str">
        <f t="shared" si="17"/>
        <v>France</v>
      </c>
      <c r="O906" s="8">
        <f>IF(K906&gt;=1,K906,K906*1000)</f>
        <v>85</v>
      </c>
      <c r="P906">
        <f>ABS(H906)</f>
        <v>1</v>
      </c>
      <c r="R906"/>
    </row>
    <row r="907" spans="1:18" x14ac:dyDescent="0.35">
      <c r="A907" t="s">
        <v>1857</v>
      </c>
      <c r="B907" s="2">
        <v>46175</v>
      </c>
      <c r="C907" t="s">
        <v>315</v>
      </c>
      <c r="D907" s="3" t="s">
        <v>66</v>
      </c>
      <c r="E907" t="s">
        <v>34</v>
      </c>
      <c r="F907" t="s">
        <v>35</v>
      </c>
      <c r="G907" t="s">
        <v>36</v>
      </c>
      <c r="H907" s="8">
        <v>2</v>
      </c>
      <c r="I907" s="10">
        <v>80.099999999999994</v>
      </c>
      <c r="J907" s="14">
        <f>P907*I907</f>
        <v>160.19999999999999</v>
      </c>
      <c r="K907" s="16">
        <v>85</v>
      </c>
      <c r="L907" s="1" t="s">
        <v>30</v>
      </c>
      <c r="M907" t="s">
        <v>22</v>
      </c>
      <c r="N907" t="str">
        <f t="shared" si="17"/>
        <v>Gb</v>
      </c>
      <c r="O907" s="8">
        <f>IF(K907&gt;=1,K907,K907*1000)</f>
        <v>85</v>
      </c>
      <c r="P907">
        <f>ABS(H907)</f>
        <v>2</v>
      </c>
      <c r="R907"/>
    </row>
    <row r="908" spans="1:18" x14ac:dyDescent="0.35">
      <c r="A908" t="s">
        <v>1858</v>
      </c>
      <c r="B908" s="2">
        <v>46139</v>
      </c>
      <c r="C908" t="s">
        <v>1859</v>
      </c>
      <c r="D908" s="3" t="s">
        <v>53</v>
      </c>
      <c r="E908" t="s">
        <v>25</v>
      </c>
      <c r="F908" t="s">
        <v>47</v>
      </c>
      <c r="G908" t="s">
        <v>48</v>
      </c>
      <c r="H908" s="8">
        <v>3</v>
      </c>
      <c r="I908" s="10">
        <v>79</v>
      </c>
      <c r="J908" s="14">
        <f>P908*I908</f>
        <v>237</v>
      </c>
      <c r="K908" s="16">
        <v>0.38</v>
      </c>
      <c r="L908" s="1" t="s">
        <v>21</v>
      </c>
      <c r="M908" t="s">
        <v>22</v>
      </c>
      <c r="N908" t="str">
        <f t="shared" si="17"/>
        <v>Gb</v>
      </c>
      <c r="O908" s="8">
        <f>IF(K908&gt;=1,K908,K908*1000)</f>
        <v>380</v>
      </c>
      <c r="P908">
        <f>ABS(H908)</f>
        <v>3</v>
      </c>
      <c r="R908"/>
    </row>
    <row r="909" spans="1:18" x14ac:dyDescent="0.35">
      <c r="A909" t="s">
        <v>1860</v>
      </c>
      <c r="B909" s="2">
        <v>46149</v>
      </c>
      <c r="C909" t="s">
        <v>1861</v>
      </c>
      <c r="D909" s="3" t="s">
        <v>116</v>
      </c>
      <c r="E909" t="s">
        <v>16</v>
      </c>
      <c r="F909" t="s">
        <v>42</v>
      </c>
      <c r="G909" t="s">
        <v>43</v>
      </c>
      <c r="H909" s="8">
        <v>1</v>
      </c>
      <c r="I909" s="10">
        <v>95</v>
      </c>
      <c r="J909" s="14">
        <f>P909*I909</f>
        <v>95</v>
      </c>
      <c r="K909" s="16">
        <v>0.19</v>
      </c>
      <c r="L909" s="1" t="s">
        <v>30</v>
      </c>
      <c r="M909" t="s">
        <v>58</v>
      </c>
      <c r="N909" t="str">
        <f t="shared" si="17"/>
        <v>Germany</v>
      </c>
      <c r="O909" s="8">
        <f>IF(K909&gt;=1,K909,K909*1000)</f>
        <v>190</v>
      </c>
      <c r="P909">
        <f>ABS(H909)</f>
        <v>1</v>
      </c>
      <c r="R909"/>
    </row>
    <row r="910" spans="1:18" x14ac:dyDescent="0.35">
      <c r="A910" t="s">
        <v>1862</v>
      </c>
      <c r="B910" s="2">
        <v>46025</v>
      </c>
      <c r="C910" t="s">
        <v>655</v>
      </c>
      <c r="D910" s="3" t="s">
        <v>4612</v>
      </c>
      <c r="E910" t="s">
        <v>41</v>
      </c>
      <c r="F910" t="s">
        <v>26</v>
      </c>
      <c r="G910" t="s">
        <v>27</v>
      </c>
      <c r="H910" s="8">
        <v>2</v>
      </c>
      <c r="I910" s="10">
        <v>149</v>
      </c>
      <c r="J910" s="14">
        <f>P910*I910</f>
        <v>298</v>
      </c>
      <c r="K910" s="16">
        <v>520</v>
      </c>
      <c r="L910" s="1" t="s">
        <v>21</v>
      </c>
      <c r="M910" t="s">
        <v>58</v>
      </c>
      <c r="N910" t="str">
        <f t="shared" si="17"/>
        <v>United Kingdom</v>
      </c>
      <c r="O910" s="8">
        <f>IF(K910&gt;=1,K910,K910*1000)</f>
        <v>520</v>
      </c>
      <c r="P910">
        <f>ABS(H910)</f>
        <v>2</v>
      </c>
      <c r="R910"/>
    </row>
    <row r="911" spans="1:18" x14ac:dyDescent="0.35">
      <c r="A911" t="s">
        <v>1863</v>
      </c>
      <c r="B911" s="2">
        <v>46056</v>
      </c>
      <c r="C911" t="s">
        <v>1861</v>
      </c>
      <c r="D911" s="3" t="s">
        <v>116</v>
      </c>
      <c r="E911" t="s">
        <v>41</v>
      </c>
      <c r="F911" t="s">
        <v>47</v>
      </c>
      <c r="G911" t="s">
        <v>48</v>
      </c>
      <c r="H911" s="8">
        <v>2</v>
      </c>
      <c r="I911" s="10">
        <v>79</v>
      </c>
      <c r="J911" s="14">
        <f>P911*I911</f>
        <v>158</v>
      </c>
      <c r="K911" s="16">
        <v>380</v>
      </c>
      <c r="L911" s="1" t="s">
        <v>30</v>
      </c>
      <c r="M911" t="s">
        <v>22</v>
      </c>
      <c r="N911" t="str">
        <f t="shared" si="17"/>
        <v>Germany</v>
      </c>
      <c r="O911" s="8">
        <f>IF(K911&gt;=1,K911,K911*1000)</f>
        <v>380</v>
      </c>
      <c r="P911">
        <f>ABS(H911)</f>
        <v>2</v>
      </c>
      <c r="R911"/>
    </row>
    <row r="912" spans="1:18" x14ac:dyDescent="0.35">
      <c r="A912" t="s">
        <v>1864</v>
      </c>
      <c r="B912" s="2">
        <v>46135</v>
      </c>
      <c r="C912" t="s">
        <v>985</v>
      </c>
      <c r="D912" s="3" t="s">
        <v>53</v>
      </c>
      <c r="E912" t="s">
        <v>34</v>
      </c>
      <c r="F912" t="s">
        <v>47</v>
      </c>
      <c r="G912" t="s">
        <v>48</v>
      </c>
      <c r="H912" s="8">
        <v>2</v>
      </c>
      <c r="I912" s="10">
        <v>95</v>
      </c>
      <c r="J912" s="14">
        <f>P912*I912</f>
        <v>190</v>
      </c>
      <c r="K912" s="16">
        <v>0.38</v>
      </c>
      <c r="L912" s="1" t="s">
        <v>30</v>
      </c>
      <c r="M912" t="s">
        <v>58</v>
      </c>
      <c r="N912" t="str">
        <f t="shared" si="17"/>
        <v>Gb</v>
      </c>
      <c r="O912" s="8">
        <f>IF(K912&gt;=1,K912,K912*1000)</f>
        <v>380</v>
      </c>
      <c r="P912">
        <f>ABS(H912)</f>
        <v>2</v>
      </c>
      <c r="R912"/>
    </row>
    <row r="913" spans="1:18" x14ac:dyDescent="0.35">
      <c r="A913" t="s">
        <v>1865</v>
      </c>
      <c r="B913" s="2">
        <v>46191</v>
      </c>
      <c r="C913" t="s">
        <v>1866</v>
      </c>
      <c r="D913" s="3" t="s">
        <v>61</v>
      </c>
      <c r="E913" t="s">
        <v>34</v>
      </c>
      <c r="F913" t="s">
        <v>26</v>
      </c>
      <c r="G913" t="s">
        <v>27</v>
      </c>
      <c r="H913" s="8">
        <v>2</v>
      </c>
      <c r="I913" s="10">
        <v>85.5</v>
      </c>
      <c r="J913" s="14">
        <f>P913*I913</f>
        <v>171</v>
      </c>
      <c r="K913" s="16">
        <v>0.52</v>
      </c>
      <c r="L913" s="1" t="s">
        <v>30</v>
      </c>
      <c r="M913" t="s">
        <v>58</v>
      </c>
      <c r="N913" t="str">
        <f t="shared" si="17"/>
        <v>Ireland</v>
      </c>
      <c r="O913" s="8">
        <f>IF(K913&gt;=1,K913,K913*1000)</f>
        <v>520</v>
      </c>
      <c r="P913">
        <f>ABS(H913)</f>
        <v>2</v>
      </c>
      <c r="R913"/>
    </row>
    <row r="914" spans="1:18" x14ac:dyDescent="0.35">
      <c r="A914" t="s">
        <v>1867</v>
      </c>
      <c r="B914" s="2">
        <v>46149</v>
      </c>
      <c r="C914" t="s">
        <v>1868</v>
      </c>
      <c r="D914" s="3" t="s">
        <v>99</v>
      </c>
      <c r="E914" t="s">
        <v>34</v>
      </c>
      <c r="F914" t="s">
        <v>83</v>
      </c>
      <c r="G914" t="s">
        <v>84</v>
      </c>
      <c r="H914" s="8">
        <v>1</v>
      </c>
      <c r="I914" s="10">
        <v>24</v>
      </c>
      <c r="J914" s="14">
        <f>P914*I914</f>
        <v>24</v>
      </c>
      <c r="K914" s="16">
        <v>0.34</v>
      </c>
      <c r="L914" s="1" t="s">
        <v>30</v>
      </c>
      <c r="M914" t="s">
        <v>22</v>
      </c>
      <c r="N914" t="str">
        <f t="shared" si="17"/>
        <v>United Kingdom</v>
      </c>
      <c r="O914" s="8">
        <f>IF(K914&gt;=1,K914,K914*1000)</f>
        <v>340</v>
      </c>
      <c r="P914">
        <f>ABS(H914)</f>
        <v>1</v>
      </c>
      <c r="R914"/>
    </row>
    <row r="915" spans="1:18" x14ac:dyDescent="0.35">
      <c r="A915" t="s">
        <v>1869</v>
      </c>
      <c r="B915" s="2">
        <v>46136</v>
      </c>
      <c r="C915" t="s">
        <v>1870</v>
      </c>
      <c r="D915" s="3" t="s">
        <v>99</v>
      </c>
      <c r="E915" t="s">
        <v>16</v>
      </c>
      <c r="F915" t="s">
        <v>89</v>
      </c>
      <c r="G915" t="s">
        <v>90</v>
      </c>
      <c r="H915" s="8">
        <v>2</v>
      </c>
      <c r="I915" s="10">
        <v>149</v>
      </c>
      <c r="J915" s="14">
        <f>P915*I915</f>
        <v>298</v>
      </c>
      <c r="K915" s="16">
        <v>0.64</v>
      </c>
      <c r="L915" s="1" t="s">
        <v>30</v>
      </c>
      <c r="M915" t="s">
        <v>22</v>
      </c>
      <c r="N915" t="str">
        <f t="shared" si="17"/>
        <v>United Kingdom</v>
      </c>
      <c r="O915" s="8">
        <f>IF(K915&gt;=1,K915,K915*1000)</f>
        <v>640</v>
      </c>
      <c r="P915">
        <f>ABS(H915)</f>
        <v>2</v>
      </c>
      <c r="R915"/>
    </row>
    <row r="916" spans="1:18" x14ac:dyDescent="0.35">
      <c r="A916" t="s">
        <v>1871</v>
      </c>
      <c r="B916" s="2">
        <v>46117</v>
      </c>
      <c r="C916" t="s">
        <v>1872</v>
      </c>
      <c r="D916" s="3" t="s">
        <v>99</v>
      </c>
      <c r="E916" t="s">
        <v>16</v>
      </c>
      <c r="F916" t="s">
        <v>42</v>
      </c>
      <c r="G916" t="s">
        <v>43</v>
      </c>
      <c r="H916" s="8">
        <v>-1</v>
      </c>
      <c r="I916" s="10">
        <v>79</v>
      </c>
      <c r="J916" s="14">
        <f>P916*I916</f>
        <v>79</v>
      </c>
      <c r="K916" s="16">
        <v>0.19</v>
      </c>
      <c r="L916" s="1" t="s">
        <v>30</v>
      </c>
      <c r="M916" t="s">
        <v>22</v>
      </c>
      <c r="N916" t="str">
        <f t="shared" si="17"/>
        <v>United Kingdom</v>
      </c>
      <c r="O916" s="8">
        <f>IF(K916&gt;=1,K916,K916*1000)</f>
        <v>190</v>
      </c>
      <c r="P916">
        <f>ABS(H916)</f>
        <v>1</v>
      </c>
      <c r="R916"/>
    </row>
    <row r="917" spans="1:18" x14ac:dyDescent="0.35">
      <c r="A917" t="s">
        <v>1874</v>
      </c>
      <c r="B917" s="2">
        <v>46191</v>
      </c>
      <c r="C917" t="s">
        <v>455</v>
      </c>
      <c r="D917" s="3" t="s">
        <v>99</v>
      </c>
      <c r="E917" t="s">
        <v>34</v>
      </c>
      <c r="F917" t="s">
        <v>83</v>
      </c>
      <c r="G917" t="s">
        <v>84</v>
      </c>
      <c r="H917" s="8">
        <v>3</v>
      </c>
      <c r="I917" s="10">
        <v>134.1</v>
      </c>
      <c r="J917" s="14">
        <f>P917*I917</f>
        <v>402.29999999999995</v>
      </c>
      <c r="K917" s="16">
        <v>0.34</v>
      </c>
      <c r="L917" s="1" t="s">
        <v>30</v>
      </c>
      <c r="M917" t="s">
        <v>22</v>
      </c>
      <c r="N917" t="str">
        <f t="shared" si="17"/>
        <v>United Kingdom</v>
      </c>
      <c r="O917" s="8">
        <f>IF(K917&gt;=1,K917,K917*1000)</f>
        <v>340</v>
      </c>
      <c r="P917">
        <f>ABS(H917)</f>
        <v>3</v>
      </c>
      <c r="R917"/>
    </row>
    <row r="918" spans="1:18" x14ac:dyDescent="0.35">
      <c r="A918" t="s">
        <v>1875</v>
      </c>
      <c r="B918" s="2">
        <v>46127</v>
      </c>
      <c r="C918" t="s">
        <v>1876</v>
      </c>
      <c r="D918" s="3" t="s">
        <v>66</v>
      </c>
      <c r="E918" t="s">
        <v>16</v>
      </c>
      <c r="F918" t="s">
        <v>83</v>
      </c>
      <c r="G918" t="s">
        <v>84</v>
      </c>
      <c r="H918" s="8">
        <v>2</v>
      </c>
      <c r="I918" s="10">
        <v>149</v>
      </c>
      <c r="J918" s="14">
        <f>P918*I918</f>
        <v>298</v>
      </c>
      <c r="K918" s="16">
        <v>340</v>
      </c>
      <c r="L918" s="1" t="s">
        <v>30</v>
      </c>
      <c r="M918" t="s">
        <v>22</v>
      </c>
      <c r="N918" t="str">
        <f t="shared" si="17"/>
        <v>Gb</v>
      </c>
      <c r="O918" s="8">
        <f>IF(K918&gt;=1,K918,K918*1000)</f>
        <v>340</v>
      </c>
      <c r="P918">
        <f>ABS(H918)</f>
        <v>2</v>
      </c>
      <c r="R918"/>
    </row>
    <row r="919" spans="1:18" x14ac:dyDescent="0.35">
      <c r="A919" t="s">
        <v>1877</v>
      </c>
      <c r="B919" s="2">
        <v>46166</v>
      </c>
      <c r="C919" t="s">
        <v>1878</v>
      </c>
      <c r="D919" s="3" t="s">
        <v>4612</v>
      </c>
      <c r="E919" t="s">
        <v>34</v>
      </c>
      <c r="F919" t="s">
        <v>17</v>
      </c>
      <c r="G919" t="s">
        <v>18</v>
      </c>
      <c r="H919" s="8">
        <v>3</v>
      </c>
      <c r="I919" s="12" t="s">
        <v>4640</v>
      </c>
      <c r="J919" s="14">
        <f>P919*R919</f>
        <v>87</v>
      </c>
      <c r="K919" s="16">
        <v>0.52</v>
      </c>
      <c r="L919" s="1" t="s">
        <v>30</v>
      </c>
      <c r="M919" t="s">
        <v>58</v>
      </c>
      <c r="N919" t="str">
        <f t="shared" si="17"/>
        <v>United Kingdom</v>
      </c>
      <c r="O919" s="8">
        <f>IF(K919&gt;=1,K919,K919*1000)</f>
        <v>520</v>
      </c>
      <c r="P919">
        <f>ABS(H919)</f>
        <v>3</v>
      </c>
      <c r="Q919" t="str">
        <f>LEFT(I919,2)</f>
        <v>Â£</v>
      </c>
      <c r="R919" t="str">
        <f>RIGHT(I919,5)</f>
        <v>29,00</v>
      </c>
    </row>
    <row r="920" spans="1:18" x14ac:dyDescent="0.35">
      <c r="A920" t="s">
        <v>1879</v>
      </c>
      <c r="B920" s="2">
        <v>46237</v>
      </c>
      <c r="C920" t="s">
        <v>1159</v>
      </c>
      <c r="D920" s="3" t="s">
        <v>4612</v>
      </c>
      <c r="E920" t="s">
        <v>34</v>
      </c>
      <c r="F920" t="s">
        <v>42</v>
      </c>
      <c r="G920" t="s">
        <v>43</v>
      </c>
      <c r="H920" s="8">
        <v>2</v>
      </c>
      <c r="I920" s="10">
        <v>149</v>
      </c>
      <c r="J920" s="14">
        <f>P920*I920</f>
        <v>298</v>
      </c>
      <c r="K920" s="16">
        <v>190</v>
      </c>
      <c r="L920" s="1" t="s">
        <v>30</v>
      </c>
      <c r="M920" t="s">
        <v>22</v>
      </c>
      <c r="N920" t="str">
        <f t="shared" si="17"/>
        <v>United Kingdom</v>
      </c>
      <c r="O920" s="8">
        <f>IF(K920&gt;=1,K920,K920*1000)</f>
        <v>190</v>
      </c>
      <c r="P920">
        <f>ABS(H920)</f>
        <v>2</v>
      </c>
      <c r="R920"/>
    </row>
    <row r="921" spans="1:18" x14ac:dyDescent="0.35">
      <c r="A921" t="s">
        <v>1880</v>
      </c>
      <c r="B921" s="2">
        <v>46099</v>
      </c>
      <c r="C921" t="s">
        <v>123</v>
      </c>
      <c r="D921" s="3" t="s">
        <v>61</v>
      </c>
      <c r="E921" t="s">
        <v>41</v>
      </c>
      <c r="F921" t="s">
        <v>35</v>
      </c>
      <c r="G921" t="s">
        <v>36</v>
      </c>
      <c r="H921" s="8">
        <v>3</v>
      </c>
      <c r="I921" s="10">
        <v>149</v>
      </c>
      <c r="J921" s="14">
        <f>P921*I921</f>
        <v>447</v>
      </c>
      <c r="K921" s="16">
        <v>85</v>
      </c>
      <c r="L921" s="1" t="s">
        <v>30</v>
      </c>
      <c r="M921" t="s">
        <v>22</v>
      </c>
      <c r="N921" t="str">
        <f t="shared" si="17"/>
        <v>Ireland</v>
      </c>
      <c r="O921" s="8">
        <f>IF(K921&gt;=1,K921,K921*1000)</f>
        <v>85</v>
      </c>
      <c r="P921">
        <f>ABS(H921)</f>
        <v>3</v>
      </c>
      <c r="R921"/>
    </row>
    <row r="922" spans="1:18" x14ac:dyDescent="0.35">
      <c r="A922" t="s">
        <v>1881</v>
      </c>
      <c r="B922" s="2">
        <v>46056</v>
      </c>
      <c r="C922" t="s">
        <v>1659</v>
      </c>
      <c r="D922" s="3" t="s">
        <v>4612</v>
      </c>
      <c r="E922" t="s">
        <v>16</v>
      </c>
      <c r="F922" t="s">
        <v>26</v>
      </c>
      <c r="G922" t="s">
        <v>27</v>
      </c>
      <c r="H922" s="8">
        <v>2</v>
      </c>
      <c r="I922" s="10">
        <v>149</v>
      </c>
      <c r="J922" s="14">
        <f>P922*I922</f>
        <v>298</v>
      </c>
      <c r="K922" s="16">
        <v>520</v>
      </c>
      <c r="L922" s="1" t="s">
        <v>30</v>
      </c>
      <c r="M922" t="s">
        <v>22</v>
      </c>
      <c r="N922" t="str">
        <f t="shared" si="17"/>
        <v>United Kingdom</v>
      </c>
      <c r="O922" s="8">
        <f>IF(K922&gt;=1,K922,K922*1000)</f>
        <v>520</v>
      </c>
      <c r="P922">
        <f>ABS(H922)</f>
        <v>2</v>
      </c>
      <c r="R922"/>
    </row>
    <row r="923" spans="1:18" x14ac:dyDescent="0.35">
      <c r="A923" t="s">
        <v>1882</v>
      </c>
      <c r="B923" s="2">
        <v>46152</v>
      </c>
      <c r="C923" t="s">
        <v>1883</v>
      </c>
      <c r="D923" s="3" t="s">
        <v>53</v>
      </c>
      <c r="E923" t="s">
        <v>16</v>
      </c>
      <c r="F923" t="s">
        <v>17</v>
      </c>
      <c r="G923" t="s">
        <v>18</v>
      </c>
      <c r="H923" s="8">
        <v>2</v>
      </c>
      <c r="I923" s="10">
        <v>45</v>
      </c>
      <c r="J923" s="14">
        <f>P923*I923</f>
        <v>90</v>
      </c>
      <c r="K923" s="16">
        <v>0.52</v>
      </c>
      <c r="L923" s="1" t="s">
        <v>30</v>
      </c>
      <c r="M923" t="s">
        <v>22</v>
      </c>
      <c r="N923" t="str">
        <f t="shared" si="17"/>
        <v>Gb</v>
      </c>
      <c r="O923" s="8">
        <f>IF(K923&gt;=1,K923,K923*1000)</f>
        <v>520</v>
      </c>
      <c r="P923">
        <f>ABS(H923)</f>
        <v>2</v>
      </c>
      <c r="R923"/>
    </row>
    <row r="924" spans="1:18" x14ac:dyDescent="0.35">
      <c r="A924" t="s">
        <v>1884</v>
      </c>
      <c r="B924" s="2">
        <v>46078</v>
      </c>
      <c r="C924" t="s">
        <v>1885</v>
      </c>
      <c r="D924" s="3" t="s">
        <v>66</v>
      </c>
      <c r="E924" t="s">
        <v>41</v>
      </c>
      <c r="F924" t="s">
        <v>47</v>
      </c>
      <c r="G924" t="s">
        <v>48</v>
      </c>
      <c r="H924" s="8">
        <v>3</v>
      </c>
      <c r="I924" s="10">
        <v>24</v>
      </c>
      <c r="J924" s="14">
        <f>P924*I924</f>
        <v>72</v>
      </c>
      <c r="K924" s="16">
        <v>380</v>
      </c>
      <c r="L924" s="1" t="s">
        <v>21</v>
      </c>
      <c r="M924" t="s">
        <v>58</v>
      </c>
      <c r="N924" t="str">
        <f t="shared" si="17"/>
        <v>Gb</v>
      </c>
      <c r="O924" s="8">
        <f>IF(K924&gt;=1,K924,K924*1000)</f>
        <v>380</v>
      </c>
      <c r="P924">
        <f>ABS(H924)</f>
        <v>3</v>
      </c>
      <c r="R924"/>
    </row>
    <row r="925" spans="1:18" x14ac:dyDescent="0.35">
      <c r="A925" t="s">
        <v>1886</v>
      </c>
      <c r="B925" s="2">
        <v>46077</v>
      </c>
      <c r="C925" t="s">
        <v>1514</v>
      </c>
      <c r="D925" s="3" t="s">
        <v>4612</v>
      </c>
      <c r="E925" t="s">
        <v>16</v>
      </c>
      <c r="F925" t="s">
        <v>83</v>
      </c>
      <c r="G925" t="s">
        <v>84</v>
      </c>
      <c r="H925" s="8">
        <v>1</v>
      </c>
      <c r="I925" s="10">
        <v>40.5</v>
      </c>
      <c r="J925" s="14">
        <f>P925*I925</f>
        <v>40.5</v>
      </c>
      <c r="K925" s="16">
        <v>340</v>
      </c>
      <c r="L925" s="1" t="s">
        <v>30</v>
      </c>
      <c r="M925" t="s">
        <v>22</v>
      </c>
      <c r="N925" t="str">
        <f t="shared" si="17"/>
        <v>United Kingdom</v>
      </c>
      <c r="O925" s="8">
        <f>IF(K925&gt;=1,K925,K925*1000)</f>
        <v>340</v>
      </c>
      <c r="P925">
        <f>ABS(H925)</f>
        <v>1</v>
      </c>
      <c r="R925"/>
    </row>
    <row r="926" spans="1:18" x14ac:dyDescent="0.35">
      <c r="A926" t="s">
        <v>1887</v>
      </c>
      <c r="B926" s="2">
        <v>46206</v>
      </c>
      <c r="C926" t="s">
        <v>1888</v>
      </c>
      <c r="D926" s="3" t="s">
        <v>61</v>
      </c>
      <c r="E926" t="s">
        <v>34</v>
      </c>
      <c r="F926" t="s">
        <v>35</v>
      </c>
      <c r="G926" t="s">
        <v>36</v>
      </c>
      <c r="H926" s="8">
        <v>1</v>
      </c>
      <c r="I926" s="10">
        <v>24</v>
      </c>
      <c r="J926" s="14">
        <f>P926*I926</f>
        <v>24</v>
      </c>
      <c r="K926" s="16">
        <v>8.5000000000000006E-2</v>
      </c>
      <c r="L926" s="1" t="s">
        <v>30</v>
      </c>
      <c r="M926" t="s">
        <v>22</v>
      </c>
      <c r="N926" t="str">
        <f t="shared" si="17"/>
        <v>Ireland</v>
      </c>
      <c r="O926" s="8">
        <f>IF(K926&gt;=1,K926,K926*1000)</f>
        <v>85</v>
      </c>
      <c r="P926">
        <f>ABS(H926)</f>
        <v>1</v>
      </c>
      <c r="R926"/>
    </row>
    <row r="927" spans="1:18" x14ac:dyDescent="0.35">
      <c r="A927" t="s">
        <v>1889</v>
      </c>
      <c r="B927" s="2">
        <v>46034</v>
      </c>
      <c r="C927" t="s">
        <v>1890</v>
      </c>
      <c r="D927" s="3" t="s">
        <v>15</v>
      </c>
      <c r="E927" t="s">
        <v>41</v>
      </c>
      <c r="F927" t="s">
        <v>83</v>
      </c>
      <c r="G927" t="s">
        <v>84</v>
      </c>
      <c r="H927" s="8">
        <v>3</v>
      </c>
      <c r="I927" s="10">
        <v>24</v>
      </c>
      <c r="J927" s="14">
        <f>P927*I927</f>
        <v>72</v>
      </c>
      <c r="K927" s="16">
        <v>340</v>
      </c>
      <c r="L927" s="1" t="s">
        <v>30</v>
      </c>
      <c r="M927" t="s">
        <v>22</v>
      </c>
      <c r="N927" t="str">
        <f t="shared" si="17"/>
        <v>France</v>
      </c>
      <c r="O927" s="8">
        <f>IF(K927&gt;=1,K927,K927*1000)</f>
        <v>340</v>
      </c>
      <c r="P927">
        <f>ABS(H927)</f>
        <v>3</v>
      </c>
      <c r="R927"/>
    </row>
    <row r="928" spans="1:18" x14ac:dyDescent="0.35">
      <c r="A928" t="s">
        <v>1891</v>
      </c>
      <c r="B928" s="2">
        <v>46119</v>
      </c>
      <c r="C928" t="s">
        <v>830</v>
      </c>
      <c r="D928" s="3" t="s">
        <v>61</v>
      </c>
      <c r="E928" t="s">
        <v>41</v>
      </c>
      <c r="F928" t="s">
        <v>26</v>
      </c>
      <c r="G928" t="s">
        <v>27</v>
      </c>
      <c r="H928" s="8">
        <v>2</v>
      </c>
      <c r="I928" s="10">
        <v>95</v>
      </c>
      <c r="J928" s="14">
        <f>P928*I928</f>
        <v>190</v>
      </c>
      <c r="K928" s="16">
        <v>520</v>
      </c>
      <c r="L928" s="1" t="s">
        <v>30</v>
      </c>
      <c r="M928" t="s">
        <v>58</v>
      </c>
      <c r="N928" t="str">
        <f t="shared" si="17"/>
        <v>Ireland</v>
      </c>
      <c r="O928" s="8">
        <f>IF(K928&gt;=1,K928,K928*1000)</f>
        <v>520</v>
      </c>
      <c r="P928">
        <f>ABS(H928)</f>
        <v>2</v>
      </c>
      <c r="R928"/>
    </row>
    <row r="929" spans="1:18" x14ac:dyDescent="0.35">
      <c r="A929" t="s">
        <v>1892</v>
      </c>
      <c r="B929" s="2">
        <v>46052</v>
      </c>
      <c r="C929" t="s">
        <v>783</v>
      </c>
      <c r="D929" s="3" t="s">
        <v>15</v>
      </c>
      <c r="E929" t="s">
        <v>67</v>
      </c>
      <c r="F929" t="s">
        <v>26</v>
      </c>
      <c r="G929" t="s">
        <v>27</v>
      </c>
      <c r="H929" s="8">
        <v>2</v>
      </c>
      <c r="I929" s="10">
        <v>12.5</v>
      </c>
      <c r="J929" s="14">
        <f>P929*I929</f>
        <v>25</v>
      </c>
      <c r="K929" s="16">
        <v>520</v>
      </c>
      <c r="L929" s="1" t="s">
        <v>30</v>
      </c>
      <c r="M929" t="s">
        <v>22</v>
      </c>
      <c r="N929" t="str">
        <f t="shared" si="17"/>
        <v>France</v>
      </c>
      <c r="O929" s="8">
        <f>IF(K929&gt;=1,K929,K929*1000)</f>
        <v>520</v>
      </c>
      <c r="P929">
        <f>ABS(H929)</f>
        <v>2</v>
      </c>
      <c r="R929"/>
    </row>
    <row r="930" spans="1:18" x14ac:dyDescent="0.35">
      <c r="A930" t="s">
        <v>1893</v>
      </c>
      <c r="B930" s="2">
        <v>46055</v>
      </c>
      <c r="C930" t="s">
        <v>726</v>
      </c>
      <c r="D930" s="3" t="s">
        <v>61</v>
      </c>
      <c r="E930" t="s">
        <v>34</v>
      </c>
      <c r="F930" t="s">
        <v>83</v>
      </c>
      <c r="G930" t="s">
        <v>84</v>
      </c>
      <c r="H930" s="8">
        <v>1</v>
      </c>
      <c r="I930" s="12" t="s">
        <v>4644</v>
      </c>
      <c r="J930" s="14">
        <f>P930*R930</f>
        <v>79</v>
      </c>
      <c r="K930" s="16">
        <v>340</v>
      </c>
      <c r="L930" s="1" t="s">
        <v>30</v>
      </c>
      <c r="M930" t="s">
        <v>22</v>
      </c>
      <c r="N930" t="str">
        <f t="shared" si="17"/>
        <v>Ireland</v>
      </c>
      <c r="O930" s="8">
        <f>IF(K930&gt;=1,K930,K930*1000)</f>
        <v>340</v>
      </c>
      <c r="P930">
        <f>ABS(H930)</f>
        <v>1</v>
      </c>
      <c r="Q930" t="str">
        <f>LEFT(I930,3)</f>
        <v>GBP</v>
      </c>
      <c r="R930" s="10" t="str">
        <f>RIGHT(I930,5)</f>
        <v>79,00</v>
      </c>
    </row>
    <row r="931" spans="1:18" x14ac:dyDescent="0.35">
      <c r="A931" t="s">
        <v>1894</v>
      </c>
      <c r="B931" s="2">
        <v>46059</v>
      </c>
      <c r="C931" t="s">
        <v>1059</v>
      </c>
      <c r="D931" s="3" t="s">
        <v>4613</v>
      </c>
      <c r="E931" t="s">
        <v>67</v>
      </c>
      <c r="F931" t="s">
        <v>17</v>
      </c>
      <c r="G931" t="s">
        <v>18</v>
      </c>
      <c r="H931" s="8">
        <v>1</v>
      </c>
      <c r="I931" s="10">
        <v>149</v>
      </c>
      <c r="J931" s="14">
        <f>P931*I931</f>
        <v>149</v>
      </c>
      <c r="K931" s="16">
        <v>520</v>
      </c>
      <c r="L931" s="1" t="s">
        <v>30</v>
      </c>
      <c r="M931" t="s">
        <v>22</v>
      </c>
      <c r="N931" t="str">
        <f t="shared" si="17"/>
        <v>United Kingdom</v>
      </c>
      <c r="O931" s="8">
        <f>IF(K931&gt;=1,K931,K931*1000)</f>
        <v>520</v>
      </c>
      <c r="P931">
        <f>ABS(H931)</f>
        <v>1</v>
      </c>
      <c r="R931"/>
    </row>
    <row r="932" spans="1:18" x14ac:dyDescent="0.35">
      <c r="A932" t="s">
        <v>1895</v>
      </c>
      <c r="B932" s="2" t="s">
        <v>778</v>
      </c>
      <c r="C932" t="s">
        <v>1896</v>
      </c>
      <c r="D932" s="3" t="s">
        <v>4612</v>
      </c>
      <c r="E932" t="s">
        <v>16</v>
      </c>
      <c r="F932" t="s">
        <v>26</v>
      </c>
      <c r="G932" t="s">
        <v>27</v>
      </c>
      <c r="H932" s="8">
        <v>3</v>
      </c>
      <c r="I932" s="10">
        <v>149</v>
      </c>
      <c r="J932" s="14">
        <f>P932*I932</f>
        <v>447</v>
      </c>
      <c r="K932" s="16">
        <v>0.52</v>
      </c>
      <c r="L932" s="1" t="s">
        <v>30</v>
      </c>
      <c r="M932" t="s">
        <v>22</v>
      </c>
      <c r="N932" t="str">
        <f t="shared" si="17"/>
        <v>United Kingdom</v>
      </c>
      <c r="O932" s="8">
        <f>IF(K932&gt;=1,K932,K932*1000)</f>
        <v>520</v>
      </c>
      <c r="P932">
        <f>ABS(H932)</f>
        <v>3</v>
      </c>
      <c r="R932"/>
    </row>
    <row r="933" spans="1:18" x14ac:dyDescent="0.35">
      <c r="A933" t="s">
        <v>1897</v>
      </c>
      <c r="B933" s="2">
        <v>46196</v>
      </c>
      <c r="C933" t="s">
        <v>1898</v>
      </c>
      <c r="D933" s="3" t="s">
        <v>61</v>
      </c>
      <c r="E933" t="s">
        <v>67</v>
      </c>
      <c r="F933" t="s">
        <v>42</v>
      </c>
      <c r="G933" t="s">
        <v>43</v>
      </c>
      <c r="H933" s="8">
        <v>1</v>
      </c>
      <c r="I933" s="10">
        <v>79</v>
      </c>
      <c r="J933" s="14">
        <f>P933*I933</f>
        <v>79</v>
      </c>
      <c r="K933" s="16">
        <v>0.19</v>
      </c>
      <c r="L933" s="1" t="s">
        <v>30</v>
      </c>
      <c r="M933" t="s">
        <v>22</v>
      </c>
      <c r="N933" t="str">
        <f t="shared" si="17"/>
        <v>Ireland</v>
      </c>
      <c r="O933" s="8">
        <f>IF(K933&gt;=1,K933,K933*1000)</f>
        <v>190</v>
      </c>
      <c r="P933">
        <f>ABS(H933)</f>
        <v>1</v>
      </c>
      <c r="R933"/>
    </row>
    <row r="934" spans="1:18" x14ac:dyDescent="0.35">
      <c r="A934" t="s">
        <v>1899</v>
      </c>
      <c r="B934" s="2" t="s">
        <v>1900</v>
      </c>
      <c r="C934" t="s">
        <v>1731</v>
      </c>
      <c r="D934" s="3" t="s">
        <v>99</v>
      </c>
      <c r="E934" t="s">
        <v>16</v>
      </c>
      <c r="F934" t="s">
        <v>35</v>
      </c>
      <c r="G934" t="s">
        <v>36</v>
      </c>
      <c r="H934" s="8">
        <v>2</v>
      </c>
      <c r="I934" s="10">
        <v>79</v>
      </c>
      <c r="J934" s="14">
        <f>P934*I934</f>
        <v>158</v>
      </c>
      <c r="K934" s="16">
        <v>8.5000000000000006E-2</v>
      </c>
      <c r="L934" s="1" t="s">
        <v>30</v>
      </c>
      <c r="M934" t="s">
        <v>22</v>
      </c>
      <c r="N934" t="str">
        <f t="shared" si="17"/>
        <v>United Kingdom</v>
      </c>
      <c r="O934" s="8">
        <f>IF(K934&gt;=1,K934,K934*1000)</f>
        <v>85</v>
      </c>
      <c r="P934">
        <f>ABS(H934)</f>
        <v>2</v>
      </c>
      <c r="R934"/>
    </row>
    <row r="935" spans="1:18" x14ac:dyDescent="0.35">
      <c r="A935" t="s">
        <v>1901</v>
      </c>
      <c r="B935" s="2">
        <v>46038</v>
      </c>
      <c r="C935" t="s">
        <v>1435</v>
      </c>
      <c r="D935" s="3" t="s">
        <v>4612</v>
      </c>
      <c r="E935" t="s">
        <v>34</v>
      </c>
      <c r="F935" t="s">
        <v>47</v>
      </c>
      <c r="G935" t="s">
        <v>48</v>
      </c>
      <c r="H935" s="8">
        <v>-3</v>
      </c>
      <c r="I935" s="10">
        <v>89</v>
      </c>
      <c r="J935" s="14">
        <f>P935*I935</f>
        <v>267</v>
      </c>
      <c r="K935" s="16">
        <v>380</v>
      </c>
      <c r="L935" s="1" t="s">
        <v>30</v>
      </c>
      <c r="M935" t="s">
        <v>58</v>
      </c>
      <c r="N935" t="str">
        <f t="shared" si="17"/>
        <v>United Kingdom</v>
      </c>
      <c r="O935" s="8">
        <f>IF(K935&gt;=1,K935,K935*1000)</f>
        <v>380</v>
      </c>
      <c r="P935">
        <f>ABS(H935)</f>
        <v>3</v>
      </c>
      <c r="R935"/>
    </row>
    <row r="936" spans="1:18" x14ac:dyDescent="0.35">
      <c r="A936" t="s">
        <v>1903</v>
      </c>
      <c r="B936" s="2">
        <v>46150</v>
      </c>
      <c r="C936" t="s">
        <v>1231</v>
      </c>
      <c r="D936" s="3" t="s">
        <v>66</v>
      </c>
      <c r="E936" t="s">
        <v>25</v>
      </c>
      <c r="F936" t="s">
        <v>89</v>
      </c>
      <c r="G936" t="s">
        <v>90</v>
      </c>
      <c r="H936" s="8">
        <v>1</v>
      </c>
      <c r="I936" s="10">
        <v>85.5</v>
      </c>
      <c r="J936" s="14">
        <f>P936*I936</f>
        <v>85.5</v>
      </c>
      <c r="K936" s="16">
        <v>0.64</v>
      </c>
      <c r="L936" s="1" t="s">
        <v>30</v>
      </c>
      <c r="M936" t="s">
        <v>22</v>
      </c>
      <c r="N936" t="str">
        <f t="shared" si="17"/>
        <v>Gb</v>
      </c>
      <c r="O936" s="8">
        <f>IF(K936&gt;=1,K936,K936*1000)</f>
        <v>640</v>
      </c>
      <c r="P936">
        <f>ABS(H936)</f>
        <v>1</v>
      </c>
      <c r="R936"/>
    </row>
    <row r="937" spans="1:18" x14ac:dyDescent="0.35">
      <c r="A937" t="s">
        <v>1904</v>
      </c>
      <c r="B937" s="2">
        <v>46069</v>
      </c>
      <c r="C937" t="s">
        <v>956</v>
      </c>
      <c r="D937" s="3" t="s">
        <v>15</v>
      </c>
      <c r="E937" t="s">
        <v>25</v>
      </c>
      <c r="F937" t="s">
        <v>42</v>
      </c>
      <c r="G937" t="s">
        <v>43</v>
      </c>
      <c r="H937" s="8">
        <v>-3</v>
      </c>
      <c r="I937" s="10">
        <v>79</v>
      </c>
      <c r="J937" s="14">
        <f>P937*I937</f>
        <v>237</v>
      </c>
      <c r="K937" s="16">
        <v>190</v>
      </c>
      <c r="L937" s="1" t="s">
        <v>30</v>
      </c>
      <c r="M937" t="s">
        <v>22</v>
      </c>
      <c r="N937" t="str">
        <f t="shared" si="17"/>
        <v>France</v>
      </c>
      <c r="O937" s="8">
        <f>IF(K937&gt;=1,K937,K937*1000)</f>
        <v>190</v>
      </c>
      <c r="P937">
        <f>ABS(H937)</f>
        <v>3</v>
      </c>
      <c r="R937"/>
    </row>
    <row r="938" spans="1:18" x14ac:dyDescent="0.35">
      <c r="A938" t="s">
        <v>1906</v>
      </c>
      <c r="B938" s="2" t="s">
        <v>1907</v>
      </c>
      <c r="C938" t="s">
        <v>1908</v>
      </c>
      <c r="D938" s="3" t="s">
        <v>46</v>
      </c>
      <c r="E938" t="s">
        <v>67</v>
      </c>
      <c r="F938" t="s">
        <v>74</v>
      </c>
      <c r="G938" t="s">
        <v>75</v>
      </c>
      <c r="H938" s="8">
        <v>1</v>
      </c>
      <c r="I938" s="10">
        <v>79</v>
      </c>
      <c r="J938" s="14">
        <f>P938*I938</f>
        <v>79</v>
      </c>
      <c r="K938" s="16">
        <v>410</v>
      </c>
      <c r="L938" s="1" t="s">
        <v>30</v>
      </c>
      <c r="M938" t="s">
        <v>22</v>
      </c>
      <c r="N938" t="str">
        <f t="shared" si="17"/>
        <v>Ireland</v>
      </c>
      <c r="O938" s="8">
        <f>IF(K938&gt;=1,K938,K938*1000)</f>
        <v>410</v>
      </c>
      <c r="P938">
        <f>ABS(H938)</f>
        <v>1</v>
      </c>
      <c r="R938"/>
    </row>
    <row r="939" spans="1:18" x14ac:dyDescent="0.35">
      <c r="A939" t="s">
        <v>1909</v>
      </c>
      <c r="B939" s="2">
        <v>46188</v>
      </c>
      <c r="C939" t="s">
        <v>1910</v>
      </c>
      <c r="D939" s="3" t="s">
        <v>99</v>
      </c>
      <c r="E939" t="s">
        <v>25</v>
      </c>
      <c r="F939" t="s">
        <v>26</v>
      </c>
      <c r="G939" t="s">
        <v>27</v>
      </c>
      <c r="H939" s="8">
        <v>1</v>
      </c>
      <c r="I939" s="10">
        <v>11.25</v>
      </c>
      <c r="J939" s="14">
        <f>P939*I939</f>
        <v>11.25</v>
      </c>
      <c r="K939" s="16">
        <v>0.52</v>
      </c>
      <c r="L939" s="1" t="s">
        <v>30</v>
      </c>
      <c r="M939" t="s">
        <v>22</v>
      </c>
      <c r="N939" t="str">
        <f t="shared" si="17"/>
        <v>United Kingdom</v>
      </c>
      <c r="O939" s="8">
        <f>IF(K939&gt;=1,K939,K939*1000)</f>
        <v>520</v>
      </c>
      <c r="P939">
        <f>ABS(H939)</f>
        <v>1</v>
      </c>
      <c r="R939"/>
    </row>
    <row r="940" spans="1:18" x14ac:dyDescent="0.35">
      <c r="A940" t="s">
        <v>1911</v>
      </c>
      <c r="B940" s="2">
        <v>46122</v>
      </c>
      <c r="C940" t="s">
        <v>1912</v>
      </c>
      <c r="D940" s="3" t="s">
        <v>46</v>
      </c>
      <c r="E940" t="s">
        <v>67</v>
      </c>
      <c r="F940" t="s">
        <v>35</v>
      </c>
      <c r="G940" t="s">
        <v>36</v>
      </c>
      <c r="H940" s="8">
        <v>1</v>
      </c>
      <c r="I940" s="10">
        <v>85.5</v>
      </c>
      <c r="J940" s="14">
        <f>P940*I940</f>
        <v>85.5</v>
      </c>
      <c r="K940" s="16">
        <v>85</v>
      </c>
      <c r="L940" s="1" t="s">
        <v>30</v>
      </c>
      <c r="M940" t="s">
        <v>58</v>
      </c>
      <c r="N940" t="str">
        <f t="shared" si="17"/>
        <v>Ireland</v>
      </c>
      <c r="O940" s="8">
        <f>IF(K940&gt;=1,K940,K940*1000)</f>
        <v>85</v>
      </c>
      <c r="P940">
        <f>ABS(H940)</f>
        <v>1</v>
      </c>
      <c r="R940"/>
    </row>
    <row r="941" spans="1:18" x14ac:dyDescent="0.35">
      <c r="A941" t="s">
        <v>1913</v>
      </c>
      <c r="B941" s="2">
        <v>46099</v>
      </c>
      <c r="C941" t="s">
        <v>1914</v>
      </c>
      <c r="D941" s="3" t="s">
        <v>4612</v>
      </c>
      <c r="E941" t="s">
        <v>16</v>
      </c>
      <c r="F941" t="s">
        <v>47</v>
      </c>
      <c r="G941" t="s">
        <v>48</v>
      </c>
      <c r="H941" s="8">
        <v>1</v>
      </c>
      <c r="I941" s="10">
        <v>45</v>
      </c>
      <c r="J941" s="14">
        <f>P941*I941</f>
        <v>45</v>
      </c>
      <c r="K941" s="16">
        <v>380</v>
      </c>
      <c r="L941" s="1" t="s">
        <v>30</v>
      </c>
      <c r="M941" t="s">
        <v>22</v>
      </c>
      <c r="N941" t="str">
        <f t="shared" si="17"/>
        <v>United Kingdom</v>
      </c>
      <c r="O941" s="8">
        <f>IF(K941&gt;=1,K941,K941*1000)</f>
        <v>380</v>
      </c>
      <c r="P941">
        <f>ABS(H941)</f>
        <v>1</v>
      </c>
      <c r="R941"/>
    </row>
    <row r="942" spans="1:18" x14ac:dyDescent="0.35">
      <c r="A942" t="s">
        <v>1915</v>
      </c>
      <c r="B942" s="2">
        <v>46182</v>
      </c>
      <c r="C942" t="s">
        <v>760</v>
      </c>
      <c r="D942" s="3" t="s">
        <v>116</v>
      </c>
      <c r="E942" t="s">
        <v>16</v>
      </c>
      <c r="F942" t="s">
        <v>83</v>
      </c>
      <c r="G942" t="s">
        <v>84</v>
      </c>
      <c r="H942" s="8">
        <v>2</v>
      </c>
      <c r="I942" s="10">
        <v>12.5</v>
      </c>
      <c r="J942" s="14">
        <f>P942*I942</f>
        <v>25</v>
      </c>
      <c r="K942" s="16">
        <v>0.34</v>
      </c>
      <c r="L942" s="1" t="s">
        <v>30</v>
      </c>
      <c r="M942" t="s">
        <v>22</v>
      </c>
      <c r="N942" t="str">
        <f t="shared" si="17"/>
        <v>Germany</v>
      </c>
      <c r="O942" s="8">
        <f>IF(K942&gt;=1,K942,K942*1000)</f>
        <v>340</v>
      </c>
      <c r="P942">
        <f>ABS(H942)</f>
        <v>2</v>
      </c>
      <c r="R942"/>
    </row>
    <row r="943" spans="1:18" x14ac:dyDescent="0.35">
      <c r="A943" t="s">
        <v>1916</v>
      </c>
      <c r="B943" s="2">
        <v>46173</v>
      </c>
      <c r="C943" t="s">
        <v>615</v>
      </c>
      <c r="D943" s="3" t="s">
        <v>99</v>
      </c>
      <c r="E943" t="s">
        <v>34</v>
      </c>
      <c r="F943" t="s">
        <v>26</v>
      </c>
      <c r="G943" t="s">
        <v>27</v>
      </c>
      <c r="H943" s="8">
        <v>1</v>
      </c>
      <c r="I943" s="10">
        <v>129</v>
      </c>
      <c r="J943" s="14">
        <f>P943*I943</f>
        <v>129</v>
      </c>
      <c r="K943" s="16">
        <v>0.52</v>
      </c>
      <c r="L943" s="1" t="s">
        <v>30</v>
      </c>
      <c r="M943" t="s">
        <v>22</v>
      </c>
      <c r="N943" t="str">
        <f t="shared" si="17"/>
        <v>United Kingdom</v>
      </c>
      <c r="O943" s="8">
        <f>IF(K943&gt;=1,K943,K943*1000)</f>
        <v>520</v>
      </c>
      <c r="P943">
        <f>ABS(H943)</f>
        <v>1</v>
      </c>
      <c r="R943"/>
    </row>
    <row r="944" spans="1:18" x14ac:dyDescent="0.35">
      <c r="A944" t="s">
        <v>1917</v>
      </c>
      <c r="B944" s="2">
        <v>46134</v>
      </c>
      <c r="C944" t="s">
        <v>1918</v>
      </c>
      <c r="D944" s="3" t="s">
        <v>99</v>
      </c>
      <c r="E944" t="s">
        <v>25</v>
      </c>
      <c r="F944" t="s">
        <v>74</v>
      </c>
      <c r="G944" t="s">
        <v>75</v>
      </c>
      <c r="H944" s="8">
        <v>1</v>
      </c>
      <c r="I944" s="10">
        <v>12.5</v>
      </c>
      <c r="J944" s="14">
        <f>P944*I944</f>
        <v>12.5</v>
      </c>
      <c r="K944" s="16">
        <v>0.41</v>
      </c>
      <c r="L944" s="1" t="s">
        <v>30</v>
      </c>
      <c r="M944" t="s">
        <v>58</v>
      </c>
      <c r="N944" t="str">
        <f t="shared" si="17"/>
        <v>United Kingdom</v>
      </c>
      <c r="O944" s="8">
        <f>IF(K944&gt;=1,K944,K944*1000)</f>
        <v>410</v>
      </c>
      <c r="P944">
        <f>ABS(H944)</f>
        <v>1</v>
      </c>
      <c r="R944"/>
    </row>
    <row r="945" spans="1:18" x14ac:dyDescent="0.35">
      <c r="A945" t="s">
        <v>1919</v>
      </c>
      <c r="B945" s="2">
        <v>46177</v>
      </c>
      <c r="C945" t="s">
        <v>1920</v>
      </c>
      <c r="D945" s="3" t="s">
        <v>61</v>
      </c>
      <c r="E945" t="s">
        <v>67</v>
      </c>
      <c r="F945" t="s">
        <v>83</v>
      </c>
      <c r="G945" t="s">
        <v>84</v>
      </c>
      <c r="H945" s="8">
        <v>2</v>
      </c>
      <c r="I945" s="10">
        <v>89</v>
      </c>
      <c r="J945" s="14">
        <f>P945*I945</f>
        <v>178</v>
      </c>
      <c r="K945" s="16">
        <v>0.34</v>
      </c>
      <c r="L945" s="1" t="s">
        <v>30</v>
      </c>
      <c r="M945" t="s">
        <v>58</v>
      </c>
      <c r="N945" t="str">
        <f t="shared" si="17"/>
        <v>Ireland</v>
      </c>
      <c r="O945" s="8">
        <f>IF(K945&gt;=1,K945,K945*1000)</f>
        <v>340</v>
      </c>
      <c r="P945">
        <f>ABS(H945)</f>
        <v>2</v>
      </c>
      <c r="R945"/>
    </row>
    <row r="946" spans="1:18" x14ac:dyDescent="0.35">
      <c r="A946" t="s">
        <v>1921</v>
      </c>
      <c r="B946" s="2">
        <v>46066</v>
      </c>
      <c r="C946" t="s">
        <v>940</v>
      </c>
      <c r="D946" s="3" t="s">
        <v>61</v>
      </c>
      <c r="E946" t="s">
        <v>41</v>
      </c>
      <c r="F946" t="s">
        <v>83</v>
      </c>
      <c r="G946" t="s">
        <v>84</v>
      </c>
      <c r="H946" s="8">
        <v>2</v>
      </c>
      <c r="I946" s="10">
        <v>45</v>
      </c>
      <c r="J946" s="14">
        <f>P946*I946</f>
        <v>90</v>
      </c>
      <c r="K946" s="16">
        <v>340</v>
      </c>
      <c r="L946" s="1" t="s">
        <v>30</v>
      </c>
      <c r="M946" t="s">
        <v>22</v>
      </c>
      <c r="N946" t="str">
        <f t="shared" si="17"/>
        <v>Ireland</v>
      </c>
      <c r="O946" s="8">
        <f>IF(K946&gt;=1,K946,K946*1000)</f>
        <v>340</v>
      </c>
      <c r="P946">
        <f>ABS(H946)</f>
        <v>2</v>
      </c>
      <c r="R946"/>
    </row>
    <row r="947" spans="1:18" x14ac:dyDescent="0.35">
      <c r="A947" t="s">
        <v>1922</v>
      </c>
      <c r="B947" s="2">
        <v>46116</v>
      </c>
      <c r="C947" t="s">
        <v>1667</v>
      </c>
      <c r="D947" s="3" t="s">
        <v>4613</v>
      </c>
      <c r="E947" t="s">
        <v>16</v>
      </c>
      <c r="F947" t="s">
        <v>47</v>
      </c>
      <c r="G947" t="s">
        <v>48</v>
      </c>
      <c r="H947" s="8">
        <v>3</v>
      </c>
      <c r="I947" s="10">
        <v>11.25</v>
      </c>
      <c r="J947" s="14">
        <f>P947*I947</f>
        <v>33.75</v>
      </c>
      <c r="K947" s="16">
        <v>380</v>
      </c>
      <c r="L947" s="1" t="s">
        <v>30</v>
      </c>
      <c r="M947" t="s">
        <v>22</v>
      </c>
      <c r="N947" t="str">
        <f t="shared" si="17"/>
        <v>United Kingdom</v>
      </c>
      <c r="O947" s="8">
        <f>IF(K947&gt;=1,K947,K947*1000)</f>
        <v>380</v>
      </c>
      <c r="P947">
        <f>ABS(H947)</f>
        <v>3</v>
      </c>
      <c r="R947"/>
    </row>
    <row r="948" spans="1:18" x14ac:dyDescent="0.35">
      <c r="A948" t="s">
        <v>1923</v>
      </c>
      <c r="B948" s="2">
        <v>46106</v>
      </c>
      <c r="C948" t="s">
        <v>1924</v>
      </c>
      <c r="D948" s="3" t="s">
        <v>4613</v>
      </c>
      <c r="E948" t="s">
        <v>67</v>
      </c>
      <c r="F948" t="s">
        <v>74</v>
      </c>
      <c r="G948" t="s">
        <v>75</v>
      </c>
      <c r="H948" s="8">
        <v>-2</v>
      </c>
      <c r="I948" s="10">
        <v>12.5</v>
      </c>
      <c r="J948" s="14">
        <f>P948*I948</f>
        <v>25</v>
      </c>
      <c r="K948" s="16">
        <v>410</v>
      </c>
      <c r="L948" s="1" t="s">
        <v>30</v>
      </c>
      <c r="M948" t="s">
        <v>58</v>
      </c>
      <c r="N948" t="str">
        <f t="shared" si="17"/>
        <v>United Kingdom</v>
      </c>
      <c r="O948" s="8">
        <f>IF(K948&gt;=1,K948,K948*1000)</f>
        <v>410</v>
      </c>
      <c r="P948">
        <f>ABS(H948)</f>
        <v>2</v>
      </c>
      <c r="R948"/>
    </row>
    <row r="949" spans="1:18" x14ac:dyDescent="0.35">
      <c r="A949" t="s">
        <v>1925</v>
      </c>
      <c r="B949" s="2" t="s">
        <v>1926</v>
      </c>
      <c r="C949" t="s">
        <v>1375</v>
      </c>
      <c r="D949" s="3" t="s">
        <v>99</v>
      </c>
      <c r="E949" t="s">
        <v>34</v>
      </c>
      <c r="F949" t="s">
        <v>26</v>
      </c>
      <c r="G949" t="s">
        <v>27</v>
      </c>
      <c r="H949" s="8">
        <v>1</v>
      </c>
      <c r="I949" s="10">
        <v>129</v>
      </c>
      <c r="J949" s="14">
        <f>P949*I949</f>
        <v>129</v>
      </c>
      <c r="K949" s="16">
        <v>0.52</v>
      </c>
      <c r="L949" s="1" t="s">
        <v>21</v>
      </c>
      <c r="M949" t="s">
        <v>58</v>
      </c>
      <c r="N949" t="str">
        <f t="shared" si="17"/>
        <v>United Kingdom</v>
      </c>
      <c r="O949" s="8">
        <f>IF(K949&gt;=1,K949,K949*1000)</f>
        <v>520</v>
      </c>
      <c r="P949">
        <f>ABS(H949)</f>
        <v>1</v>
      </c>
      <c r="R949"/>
    </row>
    <row r="950" spans="1:18" x14ac:dyDescent="0.35">
      <c r="A950" t="s">
        <v>1927</v>
      </c>
      <c r="B950" s="2">
        <v>46124</v>
      </c>
      <c r="C950" t="s">
        <v>743</v>
      </c>
      <c r="D950" s="3" t="s">
        <v>53</v>
      </c>
      <c r="E950" t="s">
        <v>67</v>
      </c>
      <c r="F950" t="s">
        <v>17</v>
      </c>
      <c r="G950" t="s">
        <v>18</v>
      </c>
      <c r="H950" s="8">
        <v>2</v>
      </c>
      <c r="I950" s="10">
        <v>45</v>
      </c>
      <c r="J950" s="14">
        <f>P950*I950</f>
        <v>90</v>
      </c>
      <c r="K950" s="16">
        <v>520</v>
      </c>
      <c r="L950" s="1" t="s">
        <v>30</v>
      </c>
      <c r="M950" t="s">
        <v>22</v>
      </c>
      <c r="N950" t="str">
        <f t="shared" si="17"/>
        <v>Gb</v>
      </c>
      <c r="O950" s="8">
        <f>IF(K950&gt;=1,K950,K950*1000)</f>
        <v>520</v>
      </c>
      <c r="P950">
        <f>ABS(H950)</f>
        <v>2</v>
      </c>
      <c r="R950"/>
    </row>
    <row r="951" spans="1:18" x14ac:dyDescent="0.35">
      <c r="A951" t="s">
        <v>1928</v>
      </c>
      <c r="B951" s="2">
        <v>46108</v>
      </c>
      <c r="C951" t="s">
        <v>1929</v>
      </c>
      <c r="D951" s="3" t="s">
        <v>53</v>
      </c>
      <c r="E951" t="s">
        <v>34</v>
      </c>
      <c r="F951" t="s">
        <v>83</v>
      </c>
      <c r="G951" t="s">
        <v>84</v>
      </c>
      <c r="H951" s="8">
        <v>1</v>
      </c>
      <c r="I951" s="10">
        <v>24</v>
      </c>
      <c r="J951" s="14">
        <f>P951*I951</f>
        <v>24</v>
      </c>
      <c r="K951" s="16">
        <v>340</v>
      </c>
      <c r="L951" s="1" t="s">
        <v>21</v>
      </c>
      <c r="M951" t="s">
        <v>22</v>
      </c>
      <c r="N951" t="str">
        <f t="shared" si="17"/>
        <v>Gb</v>
      </c>
      <c r="O951" s="8">
        <f>IF(K951&gt;=1,K951,K951*1000)</f>
        <v>340</v>
      </c>
      <c r="P951">
        <f>ABS(H951)</f>
        <v>1</v>
      </c>
      <c r="R951"/>
    </row>
    <row r="952" spans="1:18" x14ac:dyDescent="0.35">
      <c r="A952" t="s">
        <v>1930</v>
      </c>
      <c r="B952" s="2">
        <v>46171</v>
      </c>
      <c r="C952" t="s">
        <v>1931</v>
      </c>
      <c r="D952" s="3" t="s">
        <v>4612</v>
      </c>
      <c r="E952" t="s">
        <v>67</v>
      </c>
      <c r="F952" t="s">
        <v>47</v>
      </c>
      <c r="G952" t="s">
        <v>48</v>
      </c>
      <c r="H952" s="8">
        <v>2</v>
      </c>
      <c r="I952" s="10">
        <v>79</v>
      </c>
      <c r="J952" s="14">
        <f>P952*I952</f>
        <v>158</v>
      </c>
      <c r="K952" s="16">
        <v>0.38</v>
      </c>
      <c r="L952" s="1" t="s">
        <v>30</v>
      </c>
      <c r="M952" t="s">
        <v>58</v>
      </c>
      <c r="N952" t="str">
        <f t="shared" si="17"/>
        <v>United Kingdom</v>
      </c>
      <c r="O952" s="8">
        <f>IF(K952&gt;=1,K952,K952*1000)</f>
        <v>380</v>
      </c>
      <c r="P952">
        <f>ABS(H952)</f>
        <v>2</v>
      </c>
      <c r="R952"/>
    </row>
    <row r="953" spans="1:18" x14ac:dyDescent="0.35">
      <c r="A953" t="s">
        <v>1932</v>
      </c>
      <c r="B953" s="2">
        <v>46327</v>
      </c>
      <c r="C953" t="s">
        <v>712</v>
      </c>
      <c r="D953" s="3" t="s">
        <v>99</v>
      </c>
      <c r="E953" t="s">
        <v>25</v>
      </c>
      <c r="F953" t="s">
        <v>26</v>
      </c>
      <c r="G953" t="s">
        <v>27</v>
      </c>
      <c r="H953" s="8">
        <v>3</v>
      </c>
      <c r="I953" s="10">
        <v>12.5</v>
      </c>
      <c r="J953" s="14">
        <f>P953*I953</f>
        <v>37.5</v>
      </c>
      <c r="K953" s="16">
        <v>520</v>
      </c>
      <c r="L953" s="1" t="s">
        <v>21</v>
      </c>
      <c r="M953" t="s">
        <v>22</v>
      </c>
      <c r="N953" t="str">
        <f t="shared" si="17"/>
        <v>United Kingdom</v>
      </c>
      <c r="O953" s="8">
        <f>IF(K953&gt;=1,K953,K953*1000)</f>
        <v>520</v>
      </c>
      <c r="P953">
        <f>ABS(H953)</f>
        <v>3</v>
      </c>
      <c r="R953"/>
    </row>
    <row r="954" spans="1:18" x14ac:dyDescent="0.35">
      <c r="A954" t="s">
        <v>1933</v>
      </c>
      <c r="B954" s="2">
        <v>46164</v>
      </c>
      <c r="C954" t="s">
        <v>1934</v>
      </c>
      <c r="D954" s="3" t="s">
        <v>66</v>
      </c>
      <c r="E954" t="s">
        <v>16</v>
      </c>
      <c r="F954" t="s">
        <v>35</v>
      </c>
      <c r="G954" t="s">
        <v>36</v>
      </c>
      <c r="H954" s="8">
        <v>1</v>
      </c>
      <c r="I954" s="10">
        <v>12.5</v>
      </c>
      <c r="J954" s="14">
        <f>P954*I954</f>
        <v>12.5</v>
      </c>
      <c r="K954" s="16">
        <v>8.5000000000000006E-2</v>
      </c>
      <c r="L954" s="1" t="s">
        <v>30</v>
      </c>
      <c r="M954" t="s">
        <v>58</v>
      </c>
      <c r="N954" t="str">
        <f t="shared" si="17"/>
        <v>Gb</v>
      </c>
      <c r="O954" s="8">
        <f>IF(K954&gt;=1,K954,K954*1000)</f>
        <v>85</v>
      </c>
      <c r="P954">
        <f>ABS(H954)</f>
        <v>1</v>
      </c>
      <c r="R954"/>
    </row>
    <row r="955" spans="1:18" x14ac:dyDescent="0.35">
      <c r="A955" t="s">
        <v>1935</v>
      </c>
      <c r="B955" s="2" t="s">
        <v>236</v>
      </c>
      <c r="C955" t="s">
        <v>1210</v>
      </c>
      <c r="D955" s="3" t="s">
        <v>4612</v>
      </c>
      <c r="E955" t="s">
        <v>16</v>
      </c>
      <c r="F955" t="s">
        <v>35</v>
      </c>
      <c r="G955" t="s">
        <v>36</v>
      </c>
      <c r="H955" s="8">
        <v>2</v>
      </c>
      <c r="I955" s="10">
        <v>85.5</v>
      </c>
      <c r="J955" s="14">
        <f>P955*I955</f>
        <v>171</v>
      </c>
      <c r="K955" s="16">
        <v>85</v>
      </c>
      <c r="L955" s="1" t="s">
        <v>21</v>
      </c>
      <c r="M955" t="s">
        <v>22</v>
      </c>
      <c r="N955" t="str">
        <f t="shared" si="17"/>
        <v>United Kingdom</v>
      </c>
      <c r="O955" s="8">
        <f>IF(K955&gt;=1,K955,K955*1000)</f>
        <v>85</v>
      </c>
      <c r="P955">
        <f>ABS(H955)</f>
        <v>2</v>
      </c>
      <c r="R955"/>
    </row>
    <row r="956" spans="1:18" x14ac:dyDescent="0.35">
      <c r="A956" t="s">
        <v>1936</v>
      </c>
      <c r="B956" s="2">
        <v>46176</v>
      </c>
      <c r="C956" t="s">
        <v>1183</v>
      </c>
      <c r="D956" s="3" t="s">
        <v>4612</v>
      </c>
      <c r="E956" t="s">
        <v>34</v>
      </c>
      <c r="F956" t="s">
        <v>26</v>
      </c>
      <c r="G956" t="s">
        <v>27</v>
      </c>
      <c r="H956" s="8">
        <v>2</v>
      </c>
      <c r="I956" s="10">
        <v>85.5</v>
      </c>
      <c r="J956" s="14">
        <f>P956*I956</f>
        <v>171</v>
      </c>
      <c r="K956" s="16">
        <v>0.52</v>
      </c>
      <c r="L956" s="1" t="s">
        <v>21</v>
      </c>
      <c r="M956" t="s">
        <v>58</v>
      </c>
      <c r="N956" t="str">
        <f t="shared" si="17"/>
        <v>United Kingdom</v>
      </c>
      <c r="O956" s="8">
        <f>IF(K956&gt;=1,K956,K956*1000)</f>
        <v>520</v>
      </c>
      <c r="P956">
        <f>ABS(H956)</f>
        <v>2</v>
      </c>
      <c r="R956"/>
    </row>
    <row r="957" spans="1:18" x14ac:dyDescent="0.35">
      <c r="A957" t="s">
        <v>1937</v>
      </c>
      <c r="B957" s="2">
        <v>46150</v>
      </c>
      <c r="C957" t="s">
        <v>1938</v>
      </c>
      <c r="D957" s="3" t="s">
        <v>99</v>
      </c>
      <c r="E957" t="s">
        <v>25</v>
      </c>
      <c r="F957" t="s">
        <v>74</v>
      </c>
      <c r="G957" t="s">
        <v>75</v>
      </c>
      <c r="H957" s="8">
        <v>1</v>
      </c>
      <c r="I957" s="10">
        <v>85.5</v>
      </c>
      <c r="J957" s="14">
        <f>P957*I957</f>
        <v>85.5</v>
      </c>
      <c r="K957" s="16">
        <v>0.41</v>
      </c>
      <c r="L957" s="1" t="s">
        <v>21</v>
      </c>
      <c r="M957" t="s">
        <v>22</v>
      </c>
      <c r="N957" t="str">
        <f t="shared" si="17"/>
        <v>United Kingdom</v>
      </c>
      <c r="O957" s="8">
        <f>IF(K957&gt;=1,K957,K957*1000)</f>
        <v>410</v>
      </c>
      <c r="P957">
        <f>ABS(H957)</f>
        <v>1</v>
      </c>
      <c r="R957"/>
    </row>
    <row r="958" spans="1:18" x14ac:dyDescent="0.35">
      <c r="A958" t="s">
        <v>1939</v>
      </c>
      <c r="B958" s="2">
        <v>46180</v>
      </c>
      <c r="C958" t="s">
        <v>1940</v>
      </c>
      <c r="D958" s="3" t="s">
        <v>4613</v>
      </c>
      <c r="E958" t="s">
        <v>16</v>
      </c>
      <c r="F958" t="s">
        <v>42</v>
      </c>
      <c r="G958" t="s">
        <v>43</v>
      </c>
      <c r="H958" s="8">
        <v>1</v>
      </c>
      <c r="I958" s="10">
        <v>89</v>
      </c>
      <c r="J958" s="14">
        <f>P958*I958</f>
        <v>89</v>
      </c>
      <c r="K958" s="16">
        <v>0.19</v>
      </c>
      <c r="L958" s="1" t="s">
        <v>30</v>
      </c>
      <c r="M958" t="s">
        <v>58</v>
      </c>
      <c r="N958" t="str">
        <f t="shared" si="17"/>
        <v>United Kingdom</v>
      </c>
      <c r="O958" s="8">
        <f>IF(K958&gt;=1,K958,K958*1000)</f>
        <v>190</v>
      </c>
      <c r="P958">
        <f>ABS(H958)</f>
        <v>1</v>
      </c>
      <c r="R958"/>
    </row>
    <row r="959" spans="1:18" x14ac:dyDescent="0.35">
      <c r="A959" t="s">
        <v>1941</v>
      </c>
      <c r="B959" s="2">
        <v>46175</v>
      </c>
      <c r="C959" t="s">
        <v>1942</v>
      </c>
      <c r="D959" s="3" t="s">
        <v>15</v>
      </c>
      <c r="E959" t="s">
        <v>25</v>
      </c>
      <c r="F959" t="s">
        <v>74</v>
      </c>
      <c r="G959" t="s">
        <v>75</v>
      </c>
      <c r="H959" s="8">
        <v>1</v>
      </c>
      <c r="I959" s="10">
        <v>40.5</v>
      </c>
      <c r="J959" s="14">
        <f>P959*I959</f>
        <v>40.5</v>
      </c>
      <c r="K959" s="16">
        <v>0.41</v>
      </c>
      <c r="L959" s="1" t="s">
        <v>30</v>
      </c>
      <c r="M959" t="s">
        <v>22</v>
      </c>
      <c r="N959" t="str">
        <f t="shared" si="17"/>
        <v>France</v>
      </c>
      <c r="O959" s="8">
        <f>IF(K959&gt;=1,K959,K959*1000)</f>
        <v>410</v>
      </c>
      <c r="P959">
        <f>ABS(H959)</f>
        <v>1</v>
      </c>
      <c r="R959"/>
    </row>
    <row r="960" spans="1:18" x14ac:dyDescent="0.35">
      <c r="A960" t="s">
        <v>1943</v>
      </c>
      <c r="B960" s="2" t="s">
        <v>1753</v>
      </c>
      <c r="C960" t="s">
        <v>1944</v>
      </c>
      <c r="D960" s="3" t="s">
        <v>116</v>
      </c>
      <c r="E960" t="s">
        <v>67</v>
      </c>
      <c r="F960" t="s">
        <v>83</v>
      </c>
      <c r="G960" t="s">
        <v>84</v>
      </c>
      <c r="H960" s="8">
        <v>2</v>
      </c>
      <c r="I960" s="10">
        <v>89</v>
      </c>
      <c r="J960" s="14">
        <f>P960*I960</f>
        <v>178</v>
      </c>
      <c r="K960" s="16">
        <v>340</v>
      </c>
      <c r="L960" s="1" t="s">
        <v>21</v>
      </c>
      <c r="M960" t="s">
        <v>22</v>
      </c>
      <c r="N960" t="str">
        <f t="shared" si="17"/>
        <v>Germany</v>
      </c>
      <c r="O960" s="8">
        <f>IF(K960&gt;=1,K960,K960*1000)</f>
        <v>340</v>
      </c>
      <c r="P960">
        <f>ABS(H960)</f>
        <v>2</v>
      </c>
      <c r="R960"/>
    </row>
    <row r="961" spans="1:18" x14ac:dyDescent="0.35">
      <c r="A961" t="s">
        <v>1945</v>
      </c>
      <c r="B961" s="2">
        <v>46170</v>
      </c>
      <c r="C961" t="s">
        <v>1946</v>
      </c>
      <c r="D961" s="3" t="s">
        <v>116</v>
      </c>
      <c r="E961" t="s">
        <v>67</v>
      </c>
      <c r="F961" t="s">
        <v>26</v>
      </c>
      <c r="G961" t="s">
        <v>27</v>
      </c>
      <c r="H961" s="8">
        <v>1</v>
      </c>
      <c r="I961" s="10">
        <v>79</v>
      </c>
      <c r="J961" s="14">
        <f>P961*I961</f>
        <v>79</v>
      </c>
      <c r="K961" s="16">
        <v>0.52</v>
      </c>
      <c r="L961" s="1" t="s">
        <v>21</v>
      </c>
      <c r="M961" t="s">
        <v>58</v>
      </c>
      <c r="N961" t="str">
        <f t="shared" si="17"/>
        <v>Germany</v>
      </c>
      <c r="O961" s="8">
        <f>IF(K961&gt;=1,K961,K961*1000)</f>
        <v>520</v>
      </c>
      <c r="P961">
        <f>ABS(H961)</f>
        <v>1</v>
      </c>
      <c r="R961"/>
    </row>
    <row r="962" spans="1:18" x14ac:dyDescent="0.35">
      <c r="A962" t="s">
        <v>1947</v>
      </c>
      <c r="B962" s="2" t="s">
        <v>1948</v>
      </c>
      <c r="C962" t="s">
        <v>1165</v>
      </c>
      <c r="D962" s="3" t="s">
        <v>66</v>
      </c>
      <c r="E962" t="s">
        <v>41</v>
      </c>
      <c r="F962" t="s">
        <v>42</v>
      </c>
      <c r="G962" t="s">
        <v>43</v>
      </c>
      <c r="H962" s="8">
        <v>1</v>
      </c>
      <c r="I962" s="10">
        <v>21.6</v>
      </c>
      <c r="J962" s="14">
        <f>P962*I962</f>
        <v>21.6</v>
      </c>
      <c r="K962" s="16">
        <v>190</v>
      </c>
      <c r="L962" s="1" t="s">
        <v>30</v>
      </c>
      <c r="M962" t="s">
        <v>22</v>
      </c>
      <c r="N962" t="str">
        <f t="shared" si="17"/>
        <v>Gb</v>
      </c>
      <c r="O962" s="8">
        <f>IF(K962&gt;=1,K962,K962*1000)</f>
        <v>190</v>
      </c>
      <c r="P962">
        <f>ABS(H962)</f>
        <v>1</v>
      </c>
      <c r="R962"/>
    </row>
    <row r="963" spans="1:18" x14ac:dyDescent="0.35">
      <c r="A963" t="s">
        <v>1949</v>
      </c>
      <c r="B963" s="2">
        <v>46067</v>
      </c>
      <c r="C963" t="s">
        <v>862</v>
      </c>
      <c r="D963" s="3" t="s">
        <v>66</v>
      </c>
      <c r="E963" t="s">
        <v>41</v>
      </c>
      <c r="F963" t="s">
        <v>26</v>
      </c>
      <c r="G963" t="s">
        <v>27</v>
      </c>
      <c r="H963" s="8">
        <v>3</v>
      </c>
      <c r="I963" s="10">
        <v>79</v>
      </c>
      <c r="J963" s="14">
        <f>P963*I963</f>
        <v>237</v>
      </c>
      <c r="K963" s="16">
        <v>520</v>
      </c>
      <c r="L963" s="1" t="s">
        <v>30</v>
      </c>
      <c r="M963" t="s">
        <v>22</v>
      </c>
      <c r="N963" t="str">
        <f t="shared" ref="N963:N1026" si="18">PROPER(TRIM(D963))</f>
        <v>Gb</v>
      </c>
      <c r="O963" s="8">
        <f>IF(K963&gt;=1,K963,K963*1000)</f>
        <v>520</v>
      </c>
      <c r="P963">
        <f>ABS(H963)</f>
        <v>3</v>
      </c>
      <c r="R963"/>
    </row>
    <row r="964" spans="1:18" x14ac:dyDescent="0.35">
      <c r="A964" t="s">
        <v>1950</v>
      </c>
      <c r="B964" s="2">
        <v>46141</v>
      </c>
      <c r="C964" t="s">
        <v>1951</v>
      </c>
      <c r="D964" s="3" t="s">
        <v>66</v>
      </c>
      <c r="E964" t="s">
        <v>25</v>
      </c>
      <c r="F964" t="s">
        <v>89</v>
      </c>
      <c r="G964" t="s">
        <v>90</v>
      </c>
      <c r="H964" s="8">
        <v>3</v>
      </c>
      <c r="I964" s="10">
        <v>95</v>
      </c>
      <c r="J964" s="14">
        <f>P964*I964</f>
        <v>285</v>
      </c>
      <c r="K964" s="16">
        <v>0.64</v>
      </c>
      <c r="L964" s="1" t="s">
        <v>30</v>
      </c>
      <c r="M964" t="s">
        <v>22</v>
      </c>
      <c r="N964" t="str">
        <f t="shared" si="18"/>
        <v>Gb</v>
      </c>
      <c r="O964" s="8">
        <f>IF(K964&gt;=1,K964,K964*1000)</f>
        <v>640</v>
      </c>
      <c r="P964">
        <f>ABS(H964)</f>
        <v>3</v>
      </c>
      <c r="R964"/>
    </row>
    <row r="965" spans="1:18" x14ac:dyDescent="0.35">
      <c r="A965" t="s">
        <v>1952</v>
      </c>
      <c r="B965" s="2">
        <v>46175</v>
      </c>
      <c r="C965" t="s">
        <v>1953</v>
      </c>
      <c r="D965" s="3" t="s">
        <v>99</v>
      </c>
      <c r="E965" t="s">
        <v>41</v>
      </c>
      <c r="F965" t="s">
        <v>35</v>
      </c>
      <c r="G965" t="s">
        <v>36</v>
      </c>
      <c r="H965" s="8">
        <v>3</v>
      </c>
      <c r="I965" s="10">
        <v>12.5</v>
      </c>
      <c r="J965" s="14">
        <f>P965*I965</f>
        <v>37.5</v>
      </c>
      <c r="K965" s="16">
        <v>8.5000000000000006E-2</v>
      </c>
      <c r="L965" s="1" t="s">
        <v>30</v>
      </c>
      <c r="M965" t="s">
        <v>22</v>
      </c>
      <c r="N965" t="str">
        <f t="shared" si="18"/>
        <v>United Kingdom</v>
      </c>
      <c r="O965" s="8">
        <f>IF(K965&gt;=1,K965,K965*1000)</f>
        <v>85</v>
      </c>
      <c r="P965">
        <f>ABS(H965)</f>
        <v>3</v>
      </c>
      <c r="R965"/>
    </row>
    <row r="966" spans="1:18" x14ac:dyDescent="0.35">
      <c r="A966" t="s">
        <v>1954</v>
      </c>
      <c r="B966" s="2">
        <v>46081</v>
      </c>
      <c r="C966" t="s">
        <v>502</v>
      </c>
      <c r="D966" s="3" t="s">
        <v>99</v>
      </c>
      <c r="E966" t="s">
        <v>16</v>
      </c>
      <c r="F966" t="s">
        <v>42</v>
      </c>
      <c r="G966" t="s">
        <v>43</v>
      </c>
      <c r="H966" s="8">
        <v>1</v>
      </c>
      <c r="I966" s="10">
        <v>129</v>
      </c>
      <c r="J966" s="14">
        <f>P966*I966</f>
        <v>129</v>
      </c>
      <c r="K966" s="16">
        <v>190</v>
      </c>
      <c r="L966" s="1" t="s">
        <v>30</v>
      </c>
      <c r="M966" t="s">
        <v>22</v>
      </c>
      <c r="N966" t="str">
        <f t="shared" si="18"/>
        <v>United Kingdom</v>
      </c>
      <c r="O966" s="8">
        <f>IF(K966&gt;=1,K966,K966*1000)</f>
        <v>190</v>
      </c>
      <c r="P966">
        <f>ABS(H966)</f>
        <v>1</v>
      </c>
      <c r="R966"/>
    </row>
    <row r="967" spans="1:18" x14ac:dyDescent="0.35">
      <c r="A967" t="s">
        <v>1955</v>
      </c>
      <c r="B967" s="2">
        <v>46137</v>
      </c>
      <c r="C967" t="s">
        <v>858</v>
      </c>
      <c r="D967" s="3" t="s">
        <v>15</v>
      </c>
      <c r="E967" t="s">
        <v>34</v>
      </c>
      <c r="F967" t="s">
        <v>42</v>
      </c>
      <c r="G967" t="s">
        <v>43</v>
      </c>
      <c r="H967" s="8">
        <v>2</v>
      </c>
      <c r="I967" s="10">
        <v>95</v>
      </c>
      <c r="J967" s="14">
        <f>P967*I967</f>
        <v>190</v>
      </c>
      <c r="K967" s="16">
        <v>0.19</v>
      </c>
      <c r="L967" s="1" t="s">
        <v>21</v>
      </c>
      <c r="M967" t="s">
        <v>22</v>
      </c>
      <c r="N967" t="str">
        <f t="shared" si="18"/>
        <v>France</v>
      </c>
      <c r="O967" s="8">
        <f>IF(K967&gt;=1,K967,K967*1000)</f>
        <v>190</v>
      </c>
      <c r="P967">
        <f>ABS(H967)</f>
        <v>2</v>
      </c>
      <c r="R967"/>
    </row>
    <row r="968" spans="1:18" x14ac:dyDescent="0.35">
      <c r="A968" t="s">
        <v>1956</v>
      </c>
      <c r="B968" s="2">
        <v>46181</v>
      </c>
      <c r="C968" t="s">
        <v>1957</v>
      </c>
      <c r="D968" s="3" t="s">
        <v>15</v>
      </c>
      <c r="E968" t="s">
        <v>41</v>
      </c>
      <c r="F968" t="s">
        <v>42</v>
      </c>
      <c r="G968" t="s">
        <v>43</v>
      </c>
      <c r="H968" s="8">
        <v>2</v>
      </c>
      <c r="I968" s="10">
        <v>116.1</v>
      </c>
      <c r="J968" s="14">
        <f>P968*I968</f>
        <v>232.2</v>
      </c>
      <c r="K968" s="16">
        <v>0.19</v>
      </c>
      <c r="L968" s="1" t="s">
        <v>30</v>
      </c>
      <c r="M968" t="s">
        <v>22</v>
      </c>
      <c r="N968" t="str">
        <f t="shared" si="18"/>
        <v>France</v>
      </c>
      <c r="O968" s="8">
        <f>IF(K968&gt;=1,K968,K968*1000)</f>
        <v>190</v>
      </c>
      <c r="P968">
        <f>ABS(H968)</f>
        <v>2</v>
      </c>
      <c r="R968"/>
    </row>
    <row r="969" spans="1:18" x14ac:dyDescent="0.35">
      <c r="A969" t="s">
        <v>1958</v>
      </c>
      <c r="B969" s="2">
        <v>46268</v>
      </c>
      <c r="C969" t="s">
        <v>1555</v>
      </c>
      <c r="D969" s="3" t="s">
        <v>61</v>
      </c>
      <c r="E969" t="s">
        <v>16</v>
      </c>
      <c r="F969" t="s">
        <v>47</v>
      </c>
      <c r="G969" t="s">
        <v>48</v>
      </c>
      <c r="H969" s="8">
        <v>1</v>
      </c>
      <c r="I969" s="10">
        <v>95</v>
      </c>
      <c r="J969" s="14">
        <f>P969*I969</f>
        <v>95</v>
      </c>
      <c r="K969" s="16">
        <v>380</v>
      </c>
      <c r="L969" s="1" t="s">
        <v>30</v>
      </c>
      <c r="M969" t="s">
        <v>22</v>
      </c>
      <c r="N969" t="str">
        <f t="shared" si="18"/>
        <v>Ireland</v>
      </c>
      <c r="O969" s="8">
        <f>IF(K969&gt;=1,K969,K969*1000)</f>
        <v>380</v>
      </c>
      <c r="P969">
        <f>ABS(H969)</f>
        <v>1</v>
      </c>
      <c r="R969"/>
    </row>
    <row r="970" spans="1:18" x14ac:dyDescent="0.35">
      <c r="A970" t="s">
        <v>1959</v>
      </c>
      <c r="B970" s="2">
        <v>46069</v>
      </c>
      <c r="C970" t="s">
        <v>1960</v>
      </c>
      <c r="D970" s="3" t="s">
        <v>4612</v>
      </c>
      <c r="E970" t="s">
        <v>25</v>
      </c>
      <c r="F970" t="s">
        <v>74</v>
      </c>
      <c r="G970" t="s">
        <v>75</v>
      </c>
      <c r="H970" s="8">
        <v>2</v>
      </c>
      <c r="I970" s="10">
        <v>149</v>
      </c>
      <c r="J970" s="14">
        <f>P970*I970</f>
        <v>298</v>
      </c>
      <c r="K970" s="16">
        <v>410</v>
      </c>
      <c r="L970" s="1" t="s">
        <v>30</v>
      </c>
      <c r="M970" t="s">
        <v>22</v>
      </c>
      <c r="N970" t="str">
        <f t="shared" si="18"/>
        <v>United Kingdom</v>
      </c>
      <c r="O970" s="8">
        <f>IF(K970&gt;=1,K970,K970*1000)</f>
        <v>410</v>
      </c>
      <c r="P970">
        <f>ABS(H970)</f>
        <v>2</v>
      </c>
      <c r="R970"/>
    </row>
    <row r="971" spans="1:18" x14ac:dyDescent="0.35">
      <c r="A971" t="s">
        <v>1961</v>
      </c>
      <c r="B971" s="2">
        <v>46151</v>
      </c>
      <c r="C971" t="s">
        <v>302</v>
      </c>
      <c r="D971" s="3" t="s">
        <v>15</v>
      </c>
      <c r="E971" t="s">
        <v>41</v>
      </c>
      <c r="F971" t="s">
        <v>47</v>
      </c>
      <c r="G971" t="s">
        <v>48</v>
      </c>
      <c r="H971" s="8">
        <v>1</v>
      </c>
      <c r="I971" s="12" t="s">
        <v>4631</v>
      </c>
      <c r="J971" s="14">
        <f>P971*R971</f>
        <v>79</v>
      </c>
      <c r="K971" s="16">
        <v>0.38</v>
      </c>
      <c r="L971" s="1" t="s">
        <v>30</v>
      </c>
      <c r="M971" t="s">
        <v>22</v>
      </c>
      <c r="N971" t="str">
        <f t="shared" si="18"/>
        <v>France</v>
      </c>
      <c r="O971" s="8">
        <f>IF(K971&gt;=1,K971,K971*1000)</f>
        <v>380</v>
      </c>
      <c r="P971">
        <f>ABS(H971)</f>
        <v>1</v>
      </c>
      <c r="Q971" t="str">
        <f>LEFT(I971,2)</f>
        <v>Â£</v>
      </c>
      <c r="R971" t="str">
        <f>RIGHT(I971,5)</f>
        <v>79,00</v>
      </c>
    </row>
    <row r="972" spans="1:18" x14ac:dyDescent="0.35">
      <c r="A972" t="s">
        <v>1962</v>
      </c>
      <c r="B972" s="2">
        <v>46208</v>
      </c>
      <c r="C972" t="s">
        <v>496</v>
      </c>
      <c r="D972" s="3" t="s">
        <v>53</v>
      </c>
      <c r="E972" t="s">
        <v>16</v>
      </c>
      <c r="F972" t="s">
        <v>17</v>
      </c>
      <c r="G972" t="s">
        <v>18</v>
      </c>
      <c r="H972" s="8">
        <v>2</v>
      </c>
      <c r="I972" s="10">
        <v>79</v>
      </c>
      <c r="J972" s="14">
        <f>P972*I972</f>
        <v>158</v>
      </c>
      <c r="K972" s="16">
        <v>0.52</v>
      </c>
      <c r="L972" s="1" t="s">
        <v>21</v>
      </c>
      <c r="M972" t="s">
        <v>22</v>
      </c>
      <c r="N972" t="str">
        <f t="shared" si="18"/>
        <v>Gb</v>
      </c>
      <c r="O972" s="8">
        <f>IF(K972&gt;=1,K972,K972*1000)</f>
        <v>520</v>
      </c>
      <c r="P972">
        <f>ABS(H972)</f>
        <v>2</v>
      </c>
      <c r="R972"/>
    </row>
    <row r="973" spans="1:18" x14ac:dyDescent="0.35">
      <c r="A973" t="s">
        <v>1963</v>
      </c>
      <c r="B973" s="2">
        <v>46115</v>
      </c>
      <c r="C973" t="s">
        <v>350</v>
      </c>
      <c r="D973" s="3" t="s">
        <v>15</v>
      </c>
      <c r="E973" t="s">
        <v>41</v>
      </c>
      <c r="F973" t="s">
        <v>42</v>
      </c>
      <c r="G973" t="s">
        <v>43</v>
      </c>
      <c r="H973" s="8">
        <v>2</v>
      </c>
      <c r="I973" s="10">
        <v>116.1</v>
      </c>
      <c r="J973" s="14">
        <f>P973*I973</f>
        <v>232.2</v>
      </c>
      <c r="K973" s="16">
        <v>190</v>
      </c>
      <c r="L973" s="1" t="s">
        <v>30</v>
      </c>
      <c r="M973" t="s">
        <v>22</v>
      </c>
      <c r="N973" t="str">
        <f t="shared" si="18"/>
        <v>France</v>
      </c>
      <c r="O973" s="8">
        <f>IF(K973&gt;=1,K973,K973*1000)</f>
        <v>190</v>
      </c>
      <c r="P973">
        <f>ABS(H973)</f>
        <v>2</v>
      </c>
      <c r="R973"/>
    </row>
    <row r="974" spans="1:18" x14ac:dyDescent="0.35">
      <c r="A974" t="s">
        <v>1964</v>
      </c>
      <c r="B974" s="2" t="s">
        <v>590</v>
      </c>
      <c r="C974" t="s">
        <v>604</v>
      </c>
      <c r="D974" s="3" t="s">
        <v>99</v>
      </c>
      <c r="E974" t="s">
        <v>67</v>
      </c>
      <c r="F974" t="s">
        <v>17</v>
      </c>
      <c r="G974" t="s">
        <v>18</v>
      </c>
      <c r="H974" s="8">
        <v>1</v>
      </c>
      <c r="I974" s="10">
        <v>24</v>
      </c>
      <c r="J974" s="14">
        <f>P974*I974</f>
        <v>24</v>
      </c>
      <c r="K974" s="16">
        <v>520</v>
      </c>
      <c r="L974" s="1" t="s">
        <v>30</v>
      </c>
      <c r="M974" t="s">
        <v>22</v>
      </c>
      <c r="N974" t="str">
        <f t="shared" si="18"/>
        <v>United Kingdom</v>
      </c>
      <c r="O974" s="8">
        <f>IF(K974&gt;=1,K974,K974*1000)</f>
        <v>520</v>
      </c>
      <c r="P974">
        <f>ABS(H974)</f>
        <v>1</v>
      </c>
      <c r="R974"/>
    </row>
    <row r="975" spans="1:18" x14ac:dyDescent="0.35">
      <c r="A975" t="s">
        <v>1965</v>
      </c>
      <c r="B975" s="2">
        <v>46067</v>
      </c>
      <c r="C975" t="s">
        <v>820</v>
      </c>
      <c r="D975" s="3" t="s">
        <v>15</v>
      </c>
      <c r="E975" t="s">
        <v>34</v>
      </c>
      <c r="F975" t="s">
        <v>35</v>
      </c>
      <c r="G975" t="s">
        <v>36</v>
      </c>
      <c r="H975" s="8">
        <v>2</v>
      </c>
      <c r="I975" s="10">
        <v>129</v>
      </c>
      <c r="J975" s="14">
        <f>P975*I975</f>
        <v>258</v>
      </c>
      <c r="K975" s="16">
        <v>85</v>
      </c>
      <c r="L975" s="1" t="s">
        <v>21</v>
      </c>
      <c r="M975" t="s">
        <v>22</v>
      </c>
      <c r="N975" t="str">
        <f t="shared" si="18"/>
        <v>France</v>
      </c>
      <c r="O975" s="8">
        <f>IF(K975&gt;=1,K975,K975*1000)</f>
        <v>85</v>
      </c>
      <c r="P975">
        <f>ABS(H975)</f>
        <v>2</v>
      </c>
      <c r="R975"/>
    </row>
    <row r="976" spans="1:18" x14ac:dyDescent="0.35">
      <c r="A976" t="s">
        <v>1966</v>
      </c>
      <c r="B976" s="2">
        <v>46117</v>
      </c>
      <c r="C976" t="s">
        <v>1546</v>
      </c>
      <c r="D976" s="3" t="s">
        <v>46</v>
      </c>
      <c r="E976" t="s">
        <v>67</v>
      </c>
      <c r="F976" t="s">
        <v>26</v>
      </c>
      <c r="G976" t="s">
        <v>27</v>
      </c>
      <c r="H976" s="8">
        <v>3</v>
      </c>
      <c r="I976" s="10">
        <v>21.6</v>
      </c>
      <c r="J976" s="14">
        <f>P976*I976</f>
        <v>64.800000000000011</v>
      </c>
      <c r="K976" s="16">
        <v>0.52</v>
      </c>
      <c r="L976" s="1" t="s">
        <v>30</v>
      </c>
      <c r="M976" t="s">
        <v>22</v>
      </c>
      <c r="N976" t="str">
        <f t="shared" si="18"/>
        <v>Ireland</v>
      </c>
      <c r="O976" s="8">
        <f>IF(K976&gt;=1,K976,K976*1000)</f>
        <v>520</v>
      </c>
      <c r="P976">
        <f>ABS(H976)</f>
        <v>3</v>
      </c>
      <c r="R976"/>
    </row>
    <row r="977" spans="1:18" x14ac:dyDescent="0.35">
      <c r="A977" t="s">
        <v>1967</v>
      </c>
      <c r="B977" s="2">
        <v>46206</v>
      </c>
      <c r="C977" t="s">
        <v>703</v>
      </c>
      <c r="D977" s="3" t="s">
        <v>4613</v>
      </c>
      <c r="E977" t="s">
        <v>25</v>
      </c>
      <c r="F977" t="s">
        <v>35</v>
      </c>
      <c r="G977" t="s">
        <v>36</v>
      </c>
      <c r="H977" s="8">
        <v>2</v>
      </c>
      <c r="I977" s="10">
        <v>80.099999999999994</v>
      </c>
      <c r="J977" s="14">
        <f>P977*I977</f>
        <v>160.19999999999999</v>
      </c>
      <c r="K977" s="16">
        <v>8.5000000000000006E-2</v>
      </c>
      <c r="L977" s="1" t="s">
        <v>30</v>
      </c>
      <c r="M977" t="s">
        <v>22</v>
      </c>
      <c r="N977" t="str">
        <f t="shared" si="18"/>
        <v>United Kingdom</v>
      </c>
      <c r="O977" s="8">
        <f>IF(K977&gt;=1,K977,K977*1000)</f>
        <v>85</v>
      </c>
      <c r="P977">
        <f>ABS(H977)</f>
        <v>2</v>
      </c>
      <c r="R977"/>
    </row>
    <row r="978" spans="1:18" x14ac:dyDescent="0.35">
      <c r="A978" t="s">
        <v>1968</v>
      </c>
      <c r="B978" s="2">
        <v>46183</v>
      </c>
      <c r="C978" t="s">
        <v>1969</v>
      </c>
      <c r="D978" s="3" t="s">
        <v>4613</v>
      </c>
      <c r="E978" t="s">
        <v>25</v>
      </c>
      <c r="F978" t="s">
        <v>83</v>
      </c>
      <c r="G978" t="s">
        <v>84</v>
      </c>
      <c r="H978" s="8">
        <v>2</v>
      </c>
      <c r="I978" s="10">
        <v>21.6</v>
      </c>
      <c r="J978" s="14">
        <f>P978*I978</f>
        <v>43.2</v>
      </c>
      <c r="K978" s="16">
        <v>0.34</v>
      </c>
      <c r="L978" s="1" t="s">
        <v>30</v>
      </c>
      <c r="M978" t="s">
        <v>58</v>
      </c>
      <c r="N978" t="str">
        <f t="shared" si="18"/>
        <v>United Kingdom</v>
      </c>
      <c r="O978" s="8">
        <f>IF(K978&gt;=1,K978,K978*1000)</f>
        <v>340</v>
      </c>
      <c r="P978">
        <f>ABS(H978)</f>
        <v>2</v>
      </c>
      <c r="R978"/>
    </row>
    <row r="979" spans="1:18" x14ac:dyDescent="0.35">
      <c r="A979" t="s">
        <v>1970</v>
      </c>
      <c r="B979" s="2">
        <v>46061</v>
      </c>
      <c r="C979" t="s">
        <v>1122</v>
      </c>
      <c r="D979" s="3" t="s">
        <v>61</v>
      </c>
      <c r="E979" t="s">
        <v>34</v>
      </c>
      <c r="F979" t="s">
        <v>74</v>
      </c>
      <c r="G979" t="s">
        <v>75</v>
      </c>
      <c r="H979" s="8">
        <v>2</v>
      </c>
      <c r="I979" s="10">
        <v>24</v>
      </c>
      <c r="J979" s="14">
        <f>P979*I979</f>
        <v>48</v>
      </c>
      <c r="K979" s="16">
        <v>410</v>
      </c>
      <c r="L979" s="1" t="s">
        <v>30</v>
      </c>
      <c r="M979" t="s">
        <v>22</v>
      </c>
      <c r="N979" t="str">
        <f t="shared" si="18"/>
        <v>Ireland</v>
      </c>
      <c r="O979" s="8">
        <f>IF(K979&gt;=1,K979,K979*1000)</f>
        <v>410</v>
      </c>
      <c r="P979">
        <f>ABS(H979)</f>
        <v>2</v>
      </c>
      <c r="R979"/>
    </row>
    <row r="980" spans="1:18" x14ac:dyDescent="0.35">
      <c r="A980" t="s">
        <v>1971</v>
      </c>
      <c r="B980" s="2">
        <v>46030</v>
      </c>
      <c r="C980" t="s">
        <v>1758</v>
      </c>
      <c r="D980" s="3" t="s">
        <v>61</v>
      </c>
      <c r="E980" t="s">
        <v>25</v>
      </c>
      <c r="F980" t="s">
        <v>89</v>
      </c>
      <c r="G980" t="s">
        <v>90</v>
      </c>
      <c r="H980" s="8">
        <v>2</v>
      </c>
      <c r="I980" s="10">
        <v>71.099999999999994</v>
      </c>
      <c r="J980" s="14">
        <f>P980*I980</f>
        <v>142.19999999999999</v>
      </c>
      <c r="K980" s="16">
        <v>640</v>
      </c>
      <c r="L980" s="1" t="s">
        <v>30</v>
      </c>
      <c r="M980" t="s">
        <v>22</v>
      </c>
      <c r="N980" t="str">
        <f t="shared" si="18"/>
        <v>Ireland</v>
      </c>
      <c r="O980" s="8">
        <f>IF(K980&gt;=1,K980,K980*1000)</f>
        <v>640</v>
      </c>
      <c r="P980">
        <f>ABS(H980)</f>
        <v>2</v>
      </c>
      <c r="R980"/>
    </row>
    <row r="981" spans="1:18" x14ac:dyDescent="0.35">
      <c r="A981" t="s">
        <v>1972</v>
      </c>
      <c r="B981" s="2">
        <v>46100</v>
      </c>
      <c r="C981" t="s">
        <v>1409</v>
      </c>
      <c r="D981" s="3" t="s">
        <v>116</v>
      </c>
      <c r="E981" t="s">
        <v>41</v>
      </c>
      <c r="F981" t="s">
        <v>83</v>
      </c>
      <c r="G981" t="s">
        <v>84</v>
      </c>
      <c r="H981" s="8">
        <v>1</v>
      </c>
      <c r="I981" s="10">
        <v>95</v>
      </c>
      <c r="J981" s="14">
        <f>P981*I981</f>
        <v>95</v>
      </c>
      <c r="K981" s="16">
        <v>340</v>
      </c>
      <c r="L981" s="1" t="s">
        <v>21</v>
      </c>
      <c r="M981" t="s">
        <v>22</v>
      </c>
      <c r="N981" t="str">
        <f t="shared" si="18"/>
        <v>Germany</v>
      </c>
      <c r="O981" s="8">
        <f>IF(K981&gt;=1,K981,K981*1000)</f>
        <v>340</v>
      </c>
      <c r="P981">
        <f>ABS(H981)</f>
        <v>1</v>
      </c>
      <c r="R981"/>
    </row>
    <row r="982" spans="1:18" x14ac:dyDescent="0.35">
      <c r="A982" t="s">
        <v>1973</v>
      </c>
      <c r="B982" s="2">
        <v>46194</v>
      </c>
      <c r="C982" t="s">
        <v>1210</v>
      </c>
      <c r="D982" s="3" t="s">
        <v>66</v>
      </c>
      <c r="E982" t="s">
        <v>34</v>
      </c>
      <c r="F982" t="s">
        <v>83</v>
      </c>
      <c r="G982" t="s">
        <v>84</v>
      </c>
      <c r="H982" s="8">
        <v>1</v>
      </c>
      <c r="I982" s="10">
        <v>129</v>
      </c>
      <c r="J982" s="14">
        <f>P982*I982</f>
        <v>129</v>
      </c>
      <c r="K982" s="16">
        <v>0.34</v>
      </c>
      <c r="L982" s="1" t="s">
        <v>21</v>
      </c>
      <c r="M982" t="s">
        <v>22</v>
      </c>
      <c r="N982" t="str">
        <f t="shared" si="18"/>
        <v>Gb</v>
      </c>
      <c r="O982" s="8">
        <f>IF(K982&gt;=1,K982,K982*1000)</f>
        <v>340</v>
      </c>
      <c r="P982">
        <f>ABS(H982)</f>
        <v>1</v>
      </c>
      <c r="R982"/>
    </row>
    <row r="983" spans="1:18" x14ac:dyDescent="0.35">
      <c r="A983" t="s">
        <v>1974</v>
      </c>
      <c r="B983" s="2">
        <v>46182</v>
      </c>
      <c r="C983" t="s">
        <v>1044</v>
      </c>
      <c r="D983" s="3" t="s">
        <v>99</v>
      </c>
      <c r="E983" t="s">
        <v>34</v>
      </c>
      <c r="F983" t="s">
        <v>17</v>
      </c>
      <c r="G983" t="s">
        <v>18</v>
      </c>
      <c r="H983" s="8">
        <v>2</v>
      </c>
      <c r="I983" s="10">
        <v>95</v>
      </c>
      <c r="J983" s="14">
        <f>P983*I983</f>
        <v>190</v>
      </c>
      <c r="K983" s="16">
        <v>0.52</v>
      </c>
      <c r="L983" s="1" t="s">
        <v>30</v>
      </c>
      <c r="M983" t="s">
        <v>22</v>
      </c>
      <c r="N983" t="str">
        <f t="shared" si="18"/>
        <v>United Kingdom</v>
      </c>
      <c r="O983" s="8">
        <f>IF(K983&gt;=1,K983,K983*1000)</f>
        <v>520</v>
      </c>
      <c r="P983">
        <f>ABS(H983)</f>
        <v>2</v>
      </c>
      <c r="R983"/>
    </row>
    <row r="984" spans="1:18" x14ac:dyDescent="0.35">
      <c r="A984" t="s">
        <v>1975</v>
      </c>
      <c r="B984" s="2">
        <v>46065</v>
      </c>
      <c r="C984" t="s">
        <v>1976</v>
      </c>
      <c r="D984" s="3" t="s">
        <v>4612</v>
      </c>
      <c r="E984" t="s">
        <v>25</v>
      </c>
      <c r="F984" t="s">
        <v>83</v>
      </c>
      <c r="G984" t="s">
        <v>84</v>
      </c>
      <c r="H984" s="8">
        <v>1</v>
      </c>
      <c r="I984" s="10">
        <v>79</v>
      </c>
      <c r="J984" s="14">
        <f>P984*I984</f>
        <v>79</v>
      </c>
      <c r="K984" s="16">
        <v>340</v>
      </c>
      <c r="L984" s="1" t="s">
        <v>30</v>
      </c>
      <c r="M984" t="s">
        <v>22</v>
      </c>
      <c r="N984" t="str">
        <f t="shared" si="18"/>
        <v>United Kingdom</v>
      </c>
      <c r="O984" s="8">
        <f>IF(K984&gt;=1,K984,K984*1000)</f>
        <v>340</v>
      </c>
      <c r="P984">
        <f>ABS(H984)</f>
        <v>1</v>
      </c>
      <c r="R984"/>
    </row>
    <row r="985" spans="1:18" x14ac:dyDescent="0.35">
      <c r="A985" t="s">
        <v>1977</v>
      </c>
      <c r="B985" s="2">
        <v>46032</v>
      </c>
      <c r="C985" t="s">
        <v>1978</v>
      </c>
      <c r="D985" s="3" t="s">
        <v>4612</v>
      </c>
      <c r="E985" t="s">
        <v>67</v>
      </c>
      <c r="F985" t="s">
        <v>47</v>
      </c>
      <c r="G985" t="s">
        <v>48</v>
      </c>
      <c r="H985" s="8">
        <v>3</v>
      </c>
      <c r="I985" s="10">
        <v>21.6</v>
      </c>
      <c r="J985" s="14">
        <f>P985*I985</f>
        <v>64.800000000000011</v>
      </c>
      <c r="K985" s="16">
        <v>380</v>
      </c>
      <c r="L985" s="1" t="s">
        <v>30</v>
      </c>
      <c r="M985" t="s">
        <v>58</v>
      </c>
      <c r="N985" t="str">
        <f t="shared" si="18"/>
        <v>United Kingdom</v>
      </c>
      <c r="O985" s="8">
        <f>IF(K985&gt;=1,K985,K985*1000)</f>
        <v>380</v>
      </c>
      <c r="P985">
        <f>ABS(H985)</f>
        <v>3</v>
      </c>
      <c r="R985"/>
    </row>
    <row r="986" spans="1:18" x14ac:dyDescent="0.35">
      <c r="A986" t="s">
        <v>1979</v>
      </c>
      <c r="B986" s="2">
        <v>46084</v>
      </c>
      <c r="C986" t="s">
        <v>471</v>
      </c>
      <c r="D986" s="3" t="s">
        <v>53</v>
      </c>
      <c r="E986" t="s">
        <v>41</v>
      </c>
      <c r="F986" t="s">
        <v>74</v>
      </c>
      <c r="G986" t="s">
        <v>75</v>
      </c>
      <c r="H986" s="8">
        <v>2</v>
      </c>
      <c r="I986" s="10">
        <v>149</v>
      </c>
      <c r="J986" s="14">
        <f>P986*I986</f>
        <v>298</v>
      </c>
      <c r="K986" s="16">
        <v>410</v>
      </c>
      <c r="L986" s="1" t="s">
        <v>30</v>
      </c>
      <c r="M986" t="s">
        <v>22</v>
      </c>
      <c r="N986" t="str">
        <f t="shared" si="18"/>
        <v>Gb</v>
      </c>
      <c r="O986" s="8">
        <f>IF(K986&gt;=1,K986,K986*1000)</f>
        <v>410</v>
      </c>
      <c r="P986">
        <f>ABS(H986)</f>
        <v>2</v>
      </c>
      <c r="R986"/>
    </row>
    <row r="987" spans="1:18" x14ac:dyDescent="0.35">
      <c r="A987" t="s">
        <v>1980</v>
      </c>
      <c r="B987" s="2" t="s">
        <v>937</v>
      </c>
      <c r="C987" t="s">
        <v>1392</v>
      </c>
      <c r="D987" s="3" t="s">
        <v>66</v>
      </c>
      <c r="E987" t="s">
        <v>67</v>
      </c>
      <c r="F987" t="s">
        <v>42</v>
      </c>
      <c r="G987" t="s">
        <v>43</v>
      </c>
      <c r="H987" s="8">
        <v>2</v>
      </c>
      <c r="I987" s="10">
        <v>24</v>
      </c>
      <c r="J987" s="14">
        <f>P987*I987</f>
        <v>48</v>
      </c>
      <c r="K987" s="16">
        <v>0.19</v>
      </c>
      <c r="L987" s="1" t="s">
        <v>21</v>
      </c>
      <c r="M987" t="s">
        <v>22</v>
      </c>
      <c r="N987" t="str">
        <f t="shared" si="18"/>
        <v>Gb</v>
      </c>
      <c r="O987" s="8">
        <f>IF(K987&gt;=1,K987,K987*1000)</f>
        <v>190</v>
      </c>
      <c r="P987">
        <f>ABS(H987)</f>
        <v>2</v>
      </c>
      <c r="R987"/>
    </row>
    <row r="988" spans="1:18" x14ac:dyDescent="0.35">
      <c r="A988" t="s">
        <v>1981</v>
      </c>
      <c r="B988" s="2">
        <v>46114</v>
      </c>
      <c r="C988" t="s">
        <v>1982</v>
      </c>
      <c r="D988" s="3" t="s">
        <v>61</v>
      </c>
      <c r="E988" t="s">
        <v>25</v>
      </c>
      <c r="F988" t="s">
        <v>42</v>
      </c>
      <c r="G988" t="s">
        <v>43</v>
      </c>
      <c r="H988" s="8">
        <v>3</v>
      </c>
      <c r="I988" s="10">
        <v>71.099999999999994</v>
      </c>
      <c r="J988" s="14">
        <f>P988*I988</f>
        <v>213.29999999999998</v>
      </c>
      <c r="K988" s="16">
        <v>190</v>
      </c>
      <c r="L988" s="1" t="s">
        <v>30</v>
      </c>
      <c r="M988" t="s">
        <v>22</v>
      </c>
      <c r="N988" t="str">
        <f t="shared" si="18"/>
        <v>Ireland</v>
      </c>
      <c r="O988" s="8">
        <f>IF(K988&gt;=1,K988,K988*1000)</f>
        <v>190</v>
      </c>
      <c r="P988">
        <f>ABS(H988)</f>
        <v>3</v>
      </c>
      <c r="R988"/>
    </row>
    <row r="989" spans="1:18" x14ac:dyDescent="0.35">
      <c r="A989" t="s">
        <v>1983</v>
      </c>
      <c r="B989" s="2">
        <v>46144</v>
      </c>
      <c r="C989" t="s">
        <v>1984</v>
      </c>
      <c r="D989" s="3" t="s">
        <v>61</v>
      </c>
      <c r="E989" t="s">
        <v>67</v>
      </c>
      <c r="F989" t="s">
        <v>47</v>
      </c>
      <c r="G989" t="s">
        <v>48</v>
      </c>
      <c r="H989" s="8">
        <v>2</v>
      </c>
      <c r="I989" s="12" t="s">
        <v>4639</v>
      </c>
      <c r="J989" s="14">
        <f>P989*R989</f>
        <v>25</v>
      </c>
      <c r="K989" s="16">
        <v>0.38</v>
      </c>
      <c r="L989" s="1" t="s">
        <v>30</v>
      </c>
      <c r="M989" t="s">
        <v>58</v>
      </c>
      <c r="N989" t="str">
        <f t="shared" si="18"/>
        <v>Ireland</v>
      </c>
      <c r="O989" s="8">
        <f>IF(K989&gt;=1,K989,K989*1000)</f>
        <v>380</v>
      </c>
      <c r="P989">
        <f>ABS(H989)</f>
        <v>2</v>
      </c>
      <c r="Q989" t="str">
        <f>LEFT(I989,2)</f>
        <v>Â£</v>
      </c>
      <c r="R989" t="str">
        <f>RIGHT(I989,5)</f>
        <v>12,50</v>
      </c>
    </row>
    <row r="990" spans="1:18" x14ac:dyDescent="0.35">
      <c r="A990" t="s">
        <v>1985</v>
      </c>
      <c r="B990" s="2">
        <v>46129</v>
      </c>
      <c r="C990" t="s">
        <v>1986</v>
      </c>
      <c r="D990" s="3" t="s">
        <v>4612</v>
      </c>
      <c r="E990" t="s">
        <v>34</v>
      </c>
      <c r="F990" t="s">
        <v>17</v>
      </c>
      <c r="G990" t="s">
        <v>18</v>
      </c>
      <c r="H990" s="8">
        <v>1</v>
      </c>
      <c r="I990" s="10">
        <v>134.1</v>
      </c>
      <c r="J990" s="14">
        <f>P990*I990</f>
        <v>134.1</v>
      </c>
      <c r="K990" s="16">
        <v>520</v>
      </c>
      <c r="L990" s="1" t="s">
        <v>30</v>
      </c>
      <c r="M990" t="s">
        <v>58</v>
      </c>
      <c r="N990" t="str">
        <f t="shared" si="18"/>
        <v>United Kingdom</v>
      </c>
      <c r="O990" s="8">
        <f>IF(K990&gt;=1,K990,K990*1000)</f>
        <v>520</v>
      </c>
      <c r="P990">
        <f>ABS(H990)</f>
        <v>1</v>
      </c>
      <c r="R990"/>
    </row>
    <row r="991" spans="1:18" x14ac:dyDescent="0.35">
      <c r="A991" t="s">
        <v>1987</v>
      </c>
      <c r="B991" s="2">
        <v>46179</v>
      </c>
      <c r="C991" t="s">
        <v>1988</v>
      </c>
      <c r="D991" s="3" t="s">
        <v>116</v>
      </c>
      <c r="E991" t="s">
        <v>67</v>
      </c>
      <c r="F991" t="s">
        <v>47</v>
      </c>
      <c r="G991" t="s">
        <v>48</v>
      </c>
      <c r="H991" s="8">
        <v>2</v>
      </c>
      <c r="I991" s="10">
        <v>134.1</v>
      </c>
      <c r="J991" s="14">
        <f>P991*I991</f>
        <v>268.2</v>
      </c>
      <c r="K991" s="16">
        <v>0.38</v>
      </c>
      <c r="L991" s="1" t="s">
        <v>21</v>
      </c>
      <c r="M991" t="s">
        <v>22</v>
      </c>
      <c r="N991" t="str">
        <f t="shared" si="18"/>
        <v>Germany</v>
      </c>
      <c r="O991" s="8">
        <f>IF(K991&gt;=1,K991,K991*1000)</f>
        <v>380</v>
      </c>
      <c r="P991">
        <f>ABS(H991)</f>
        <v>2</v>
      </c>
      <c r="R991"/>
    </row>
    <row r="992" spans="1:18" x14ac:dyDescent="0.35">
      <c r="A992" t="s">
        <v>1989</v>
      </c>
      <c r="B992" s="2">
        <v>46078</v>
      </c>
      <c r="C992" t="s">
        <v>1990</v>
      </c>
      <c r="D992" s="3" t="s">
        <v>61</v>
      </c>
      <c r="E992" t="s">
        <v>25</v>
      </c>
      <c r="F992" t="s">
        <v>35</v>
      </c>
      <c r="G992" t="s">
        <v>36</v>
      </c>
      <c r="H992" s="8">
        <v>1</v>
      </c>
      <c r="I992" s="10">
        <v>95</v>
      </c>
      <c r="J992" s="14">
        <f>P992*I992</f>
        <v>95</v>
      </c>
      <c r="K992" s="16">
        <v>85</v>
      </c>
      <c r="L992" s="1" t="s">
        <v>21</v>
      </c>
      <c r="M992" t="s">
        <v>22</v>
      </c>
      <c r="N992" t="str">
        <f t="shared" si="18"/>
        <v>Ireland</v>
      </c>
      <c r="O992" s="8">
        <f>IF(K992&gt;=1,K992,K992*1000)</f>
        <v>85</v>
      </c>
      <c r="P992">
        <f>ABS(H992)</f>
        <v>1</v>
      </c>
      <c r="R992"/>
    </row>
    <row r="993" spans="1:18" x14ac:dyDescent="0.35">
      <c r="A993" t="s">
        <v>1991</v>
      </c>
      <c r="B993" s="2">
        <v>46121</v>
      </c>
      <c r="C993" t="s">
        <v>639</v>
      </c>
      <c r="D993" s="3" t="s">
        <v>15</v>
      </c>
      <c r="E993" t="s">
        <v>41</v>
      </c>
      <c r="F993" t="s">
        <v>17</v>
      </c>
      <c r="G993" t="s">
        <v>18</v>
      </c>
      <c r="H993" s="8">
        <v>3</v>
      </c>
      <c r="I993" s="10">
        <v>12.5</v>
      </c>
      <c r="J993" s="14">
        <f>P993*I993</f>
        <v>37.5</v>
      </c>
      <c r="K993" s="16">
        <v>520</v>
      </c>
      <c r="L993" s="1" t="s">
        <v>30</v>
      </c>
      <c r="M993" t="s">
        <v>58</v>
      </c>
      <c r="N993" t="str">
        <f t="shared" si="18"/>
        <v>France</v>
      </c>
      <c r="O993" s="8">
        <f>IF(K993&gt;=1,K993,K993*1000)</f>
        <v>520</v>
      </c>
      <c r="P993">
        <f>ABS(H993)</f>
        <v>3</v>
      </c>
      <c r="R993"/>
    </row>
    <row r="994" spans="1:18" x14ac:dyDescent="0.35">
      <c r="A994" t="s">
        <v>1992</v>
      </c>
      <c r="B994" s="2">
        <v>46042</v>
      </c>
      <c r="C994" t="s">
        <v>1993</v>
      </c>
      <c r="D994" s="3" t="s">
        <v>116</v>
      </c>
      <c r="E994" t="s">
        <v>16</v>
      </c>
      <c r="F994" t="s">
        <v>89</v>
      </c>
      <c r="G994" t="s">
        <v>90</v>
      </c>
      <c r="H994" s="8">
        <v>1</v>
      </c>
      <c r="I994" s="10">
        <v>12.5</v>
      </c>
      <c r="J994" s="14">
        <f>P994*I994</f>
        <v>12.5</v>
      </c>
      <c r="K994" s="16">
        <v>640</v>
      </c>
      <c r="L994" s="1" t="s">
        <v>30</v>
      </c>
      <c r="M994" t="s">
        <v>22</v>
      </c>
      <c r="N994" t="str">
        <f t="shared" si="18"/>
        <v>Germany</v>
      </c>
      <c r="O994" s="8">
        <f>IF(K994&gt;=1,K994,K994*1000)</f>
        <v>640</v>
      </c>
      <c r="P994">
        <f>ABS(H994)</f>
        <v>1</v>
      </c>
      <c r="R994"/>
    </row>
    <row r="995" spans="1:18" x14ac:dyDescent="0.35">
      <c r="A995" t="s">
        <v>1994</v>
      </c>
      <c r="B995" s="2">
        <v>46080</v>
      </c>
      <c r="C995" t="s">
        <v>293</v>
      </c>
      <c r="D995" s="3" t="s">
        <v>66</v>
      </c>
      <c r="E995" t="s">
        <v>34</v>
      </c>
      <c r="F995" t="s">
        <v>74</v>
      </c>
      <c r="G995" t="s">
        <v>75</v>
      </c>
      <c r="H995" s="8">
        <v>2</v>
      </c>
      <c r="I995" s="10">
        <v>11.25</v>
      </c>
      <c r="J995" s="14">
        <f>P995*I995</f>
        <v>22.5</v>
      </c>
      <c r="K995" s="16">
        <v>410</v>
      </c>
      <c r="L995" s="1" t="s">
        <v>30</v>
      </c>
      <c r="M995" t="s">
        <v>22</v>
      </c>
      <c r="N995" t="str">
        <f t="shared" si="18"/>
        <v>Gb</v>
      </c>
      <c r="O995" s="8">
        <f>IF(K995&gt;=1,K995,K995*1000)</f>
        <v>410</v>
      </c>
      <c r="P995">
        <f>ABS(H995)</f>
        <v>2</v>
      </c>
      <c r="R995"/>
    </row>
    <row r="996" spans="1:18" x14ac:dyDescent="0.35">
      <c r="A996" t="s">
        <v>1995</v>
      </c>
      <c r="B996" s="2">
        <v>46094</v>
      </c>
      <c r="C996" t="s">
        <v>1876</v>
      </c>
      <c r="D996" s="3" t="s">
        <v>99</v>
      </c>
      <c r="E996" t="s">
        <v>16</v>
      </c>
      <c r="F996" t="s">
        <v>47</v>
      </c>
      <c r="G996" t="s">
        <v>48</v>
      </c>
      <c r="H996" s="8">
        <v>3</v>
      </c>
      <c r="I996" s="10">
        <v>116.1</v>
      </c>
      <c r="J996" s="14">
        <f>P996*I996</f>
        <v>348.29999999999995</v>
      </c>
      <c r="K996" s="16">
        <v>380</v>
      </c>
      <c r="L996" s="1" t="s">
        <v>30</v>
      </c>
      <c r="M996" t="s">
        <v>22</v>
      </c>
      <c r="N996" t="str">
        <f t="shared" si="18"/>
        <v>United Kingdom</v>
      </c>
      <c r="O996" s="8">
        <f>IF(K996&gt;=1,K996,K996*1000)</f>
        <v>380</v>
      </c>
      <c r="P996">
        <f>ABS(H996)</f>
        <v>3</v>
      </c>
      <c r="R996"/>
    </row>
    <row r="997" spans="1:18" x14ac:dyDescent="0.35">
      <c r="A997" t="s">
        <v>1996</v>
      </c>
      <c r="B997" s="2">
        <v>46073</v>
      </c>
      <c r="C997" t="s">
        <v>1997</v>
      </c>
      <c r="D997" s="3" t="s">
        <v>15</v>
      </c>
      <c r="E997" t="s">
        <v>67</v>
      </c>
      <c r="F997" t="s">
        <v>17</v>
      </c>
      <c r="G997" t="s">
        <v>18</v>
      </c>
      <c r="H997" s="8">
        <v>1</v>
      </c>
      <c r="I997" s="10">
        <v>45</v>
      </c>
      <c r="J997" s="14">
        <f>P997*I997</f>
        <v>45</v>
      </c>
      <c r="K997" s="16">
        <v>520</v>
      </c>
      <c r="L997" s="1" t="s">
        <v>21</v>
      </c>
      <c r="M997" t="s">
        <v>22</v>
      </c>
      <c r="N997" t="str">
        <f t="shared" si="18"/>
        <v>France</v>
      </c>
      <c r="O997" s="8">
        <f>IF(K997&gt;=1,K997,K997*1000)</f>
        <v>520</v>
      </c>
      <c r="P997">
        <f>ABS(H997)</f>
        <v>1</v>
      </c>
      <c r="R997"/>
    </row>
    <row r="998" spans="1:18" x14ac:dyDescent="0.35">
      <c r="A998" t="s">
        <v>1998</v>
      </c>
      <c r="B998" s="2">
        <v>46131</v>
      </c>
      <c r="C998" t="s">
        <v>1999</v>
      </c>
      <c r="D998" s="3" t="s">
        <v>99</v>
      </c>
      <c r="E998" t="s">
        <v>16</v>
      </c>
      <c r="F998" t="s">
        <v>26</v>
      </c>
      <c r="G998" t="s">
        <v>27</v>
      </c>
      <c r="H998" s="8">
        <v>1</v>
      </c>
      <c r="I998" s="12" t="s">
        <v>4619</v>
      </c>
      <c r="J998" s="14">
        <f>P998*R998</f>
        <v>12.5</v>
      </c>
      <c r="K998" s="16">
        <v>520</v>
      </c>
      <c r="L998" s="1" t="s">
        <v>30</v>
      </c>
      <c r="M998" t="s">
        <v>22</v>
      </c>
      <c r="N998" t="str">
        <f t="shared" si="18"/>
        <v>United Kingdom</v>
      </c>
      <c r="O998" s="8">
        <f>IF(K998&gt;=1,K998,K998*1000)</f>
        <v>520</v>
      </c>
      <c r="P998">
        <f>ABS(H998)</f>
        <v>1</v>
      </c>
      <c r="Q998" t="str">
        <f>LEFT(I998,3)</f>
        <v>GBP</v>
      </c>
      <c r="R998" s="10" t="str">
        <f>RIGHT(I998,5)</f>
        <v>12,50</v>
      </c>
    </row>
    <row r="999" spans="1:18" x14ac:dyDescent="0.35">
      <c r="A999" t="s">
        <v>2000</v>
      </c>
      <c r="B999" s="2">
        <v>46127</v>
      </c>
      <c r="C999" t="s">
        <v>1023</v>
      </c>
      <c r="D999" s="3" t="s">
        <v>53</v>
      </c>
      <c r="E999" t="s">
        <v>34</v>
      </c>
      <c r="F999" t="s">
        <v>74</v>
      </c>
      <c r="G999" t="s">
        <v>75</v>
      </c>
      <c r="H999" s="8">
        <v>2</v>
      </c>
      <c r="I999" s="10">
        <v>24</v>
      </c>
      <c r="J999" s="14">
        <f>P999*I999</f>
        <v>48</v>
      </c>
      <c r="K999" s="16">
        <v>410</v>
      </c>
      <c r="L999" s="1" t="s">
        <v>21</v>
      </c>
      <c r="M999" t="s">
        <v>22</v>
      </c>
      <c r="N999" t="str">
        <f t="shared" si="18"/>
        <v>Gb</v>
      </c>
      <c r="O999" s="8">
        <f>IF(K999&gt;=1,K999,K999*1000)</f>
        <v>410</v>
      </c>
      <c r="P999">
        <f>ABS(H999)</f>
        <v>2</v>
      </c>
      <c r="R999"/>
    </row>
    <row r="1000" spans="1:18" x14ac:dyDescent="0.35">
      <c r="A1000" t="s">
        <v>2001</v>
      </c>
      <c r="B1000" s="2">
        <v>46206</v>
      </c>
      <c r="C1000" t="s">
        <v>225</v>
      </c>
      <c r="D1000" s="3" t="s">
        <v>61</v>
      </c>
      <c r="E1000" t="s">
        <v>67</v>
      </c>
      <c r="F1000" t="s">
        <v>47</v>
      </c>
      <c r="G1000" t="s">
        <v>48</v>
      </c>
      <c r="H1000" s="8">
        <v>1</v>
      </c>
      <c r="I1000" s="10">
        <v>116.1</v>
      </c>
      <c r="J1000" s="14">
        <f>P1000*I1000</f>
        <v>116.1</v>
      </c>
      <c r="K1000" s="16">
        <v>0.38</v>
      </c>
      <c r="L1000" s="1" t="s">
        <v>30</v>
      </c>
      <c r="M1000" t="s">
        <v>22</v>
      </c>
      <c r="N1000" t="str">
        <f t="shared" si="18"/>
        <v>Ireland</v>
      </c>
      <c r="O1000" s="8">
        <f>IF(K1000&gt;=1,K1000,K1000*1000)</f>
        <v>380</v>
      </c>
      <c r="P1000">
        <f>ABS(H1000)</f>
        <v>1</v>
      </c>
      <c r="R1000"/>
    </row>
    <row r="1001" spans="1:18" x14ac:dyDescent="0.35">
      <c r="A1001" t="s">
        <v>2002</v>
      </c>
      <c r="B1001" s="2">
        <v>46037</v>
      </c>
      <c r="C1001" t="s">
        <v>2003</v>
      </c>
      <c r="D1001" s="3" t="s">
        <v>116</v>
      </c>
      <c r="E1001" t="s">
        <v>25</v>
      </c>
      <c r="F1001" t="s">
        <v>35</v>
      </c>
      <c r="G1001" t="s">
        <v>36</v>
      </c>
      <c r="H1001" s="8">
        <v>1</v>
      </c>
      <c r="I1001" s="10">
        <v>80.099999999999994</v>
      </c>
      <c r="J1001" s="14">
        <f>P1001*I1001</f>
        <v>80.099999999999994</v>
      </c>
      <c r="K1001" s="16">
        <v>85</v>
      </c>
      <c r="L1001" s="1" t="s">
        <v>30</v>
      </c>
      <c r="M1001" t="s">
        <v>58</v>
      </c>
      <c r="N1001" t="str">
        <f t="shared" si="18"/>
        <v>Germany</v>
      </c>
      <c r="O1001" s="8">
        <f>IF(K1001&gt;=1,K1001,K1001*1000)</f>
        <v>85</v>
      </c>
      <c r="P1001">
        <f>ABS(H1001)</f>
        <v>1</v>
      </c>
      <c r="R1001"/>
    </row>
    <row r="1002" spans="1:18" x14ac:dyDescent="0.35">
      <c r="A1002" t="s">
        <v>2004</v>
      </c>
      <c r="B1002" s="2">
        <v>46162</v>
      </c>
      <c r="C1002" t="s">
        <v>2005</v>
      </c>
      <c r="D1002" s="3" t="s">
        <v>61</v>
      </c>
      <c r="E1002" t="s">
        <v>67</v>
      </c>
      <c r="F1002" t="s">
        <v>47</v>
      </c>
      <c r="G1002" t="s">
        <v>48</v>
      </c>
      <c r="H1002" s="8">
        <v>2</v>
      </c>
      <c r="I1002" s="10">
        <v>80.099999999999994</v>
      </c>
      <c r="J1002" s="14">
        <f>P1002*I1002</f>
        <v>160.19999999999999</v>
      </c>
      <c r="K1002" s="16">
        <v>0.38</v>
      </c>
      <c r="L1002" s="1" t="s">
        <v>30</v>
      </c>
      <c r="M1002" t="s">
        <v>22</v>
      </c>
      <c r="N1002" t="str">
        <f t="shared" si="18"/>
        <v>Ireland</v>
      </c>
      <c r="O1002" s="8">
        <f>IF(K1002&gt;=1,K1002,K1002*1000)</f>
        <v>380</v>
      </c>
      <c r="P1002">
        <f>ABS(H1002)</f>
        <v>2</v>
      </c>
      <c r="R1002"/>
    </row>
    <row r="1003" spans="1:18" x14ac:dyDescent="0.35">
      <c r="A1003" t="s">
        <v>2006</v>
      </c>
      <c r="B1003" s="2">
        <v>46144</v>
      </c>
      <c r="C1003" t="s">
        <v>2007</v>
      </c>
      <c r="D1003" s="3" t="s">
        <v>4612</v>
      </c>
      <c r="E1003" t="s">
        <v>67</v>
      </c>
      <c r="F1003" t="s">
        <v>83</v>
      </c>
      <c r="G1003" t="s">
        <v>84</v>
      </c>
      <c r="H1003" s="8">
        <v>1</v>
      </c>
      <c r="I1003" s="10">
        <v>24</v>
      </c>
      <c r="J1003" s="14">
        <f>P1003*I1003</f>
        <v>24</v>
      </c>
      <c r="K1003" s="16">
        <v>0.34</v>
      </c>
      <c r="L1003" s="1" t="s">
        <v>30</v>
      </c>
      <c r="M1003" t="s">
        <v>22</v>
      </c>
      <c r="N1003" t="str">
        <f t="shared" si="18"/>
        <v>United Kingdom</v>
      </c>
      <c r="O1003" s="8">
        <f>IF(K1003&gt;=1,K1003,K1003*1000)</f>
        <v>340</v>
      </c>
      <c r="P1003">
        <f>ABS(H1003)</f>
        <v>1</v>
      </c>
      <c r="R1003"/>
    </row>
    <row r="1004" spans="1:18" x14ac:dyDescent="0.35">
      <c r="A1004" t="s">
        <v>2008</v>
      </c>
      <c r="B1004" s="2">
        <v>46140</v>
      </c>
      <c r="C1004" t="s">
        <v>1199</v>
      </c>
      <c r="D1004" s="3" t="s">
        <v>46</v>
      </c>
      <c r="E1004" t="s">
        <v>67</v>
      </c>
      <c r="F1004" t="s">
        <v>17</v>
      </c>
      <c r="G1004" t="s">
        <v>18</v>
      </c>
      <c r="H1004" s="8">
        <v>1</v>
      </c>
      <c r="I1004" s="10">
        <v>11.25</v>
      </c>
      <c r="J1004" s="14">
        <f>P1004*I1004</f>
        <v>11.25</v>
      </c>
      <c r="K1004" s="16">
        <v>0.52</v>
      </c>
      <c r="L1004" s="1" t="s">
        <v>30</v>
      </c>
      <c r="M1004" t="s">
        <v>58</v>
      </c>
      <c r="N1004" t="str">
        <f t="shared" si="18"/>
        <v>Ireland</v>
      </c>
      <c r="O1004" s="8">
        <f>IF(K1004&gt;=1,K1004,K1004*1000)</f>
        <v>520</v>
      </c>
      <c r="P1004">
        <f>ABS(H1004)</f>
        <v>1</v>
      </c>
      <c r="R1004"/>
    </row>
    <row r="1005" spans="1:18" x14ac:dyDescent="0.35">
      <c r="A1005" t="s">
        <v>2009</v>
      </c>
      <c r="B1005" s="2">
        <v>46038</v>
      </c>
      <c r="C1005" t="s">
        <v>1486</v>
      </c>
      <c r="D1005" s="3" t="s">
        <v>4613</v>
      </c>
      <c r="E1005" t="s">
        <v>67</v>
      </c>
      <c r="F1005" t="s">
        <v>17</v>
      </c>
      <c r="G1005" t="s">
        <v>18</v>
      </c>
      <c r="H1005" s="8">
        <v>1</v>
      </c>
      <c r="I1005" s="10">
        <v>24</v>
      </c>
      <c r="J1005" s="14">
        <f>P1005*I1005</f>
        <v>24</v>
      </c>
      <c r="K1005" s="16">
        <v>520</v>
      </c>
      <c r="L1005" s="1" t="s">
        <v>21</v>
      </c>
      <c r="M1005" t="s">
        <v>22</v>
      </c>
      <c r="N1005" t="str">
        <f t="shared" si="18"/>
        <v>United Kingdom</v>
      </c>
      <c r="O1005" s="8">
        <f>IF(K1005&gt;=1,K1005,K1005*1000)</f>
        <v>520</v>
      </c>
      <c r="P1005">
        <f>ABS(H1005)</f>
        <v>1</v>
      </c>
      <c r="R1005"/>
    </row>
    <row r="1006" spans="1:18" x14ac:dyDescent="0.35">
      <c r="A1006" t="s">
        <v>2010</v>
      </c>
      <c r="B1006" s="2">
        <v>46142</v>
      </c>
      <c r="C1006" t="s">
        <v>2011</v>
      </c>
      <c r="D1006" s="3" t="s">
        <v>61</v>
      </c>
      <c r="E1006" t="s">
        <v>34</v>
      </c>
      <c r="F1006" t="s">
        <v>89</v>
      </c>
      <c r="G1006" t="s">
        <v>90</v>
      </c>
      <c r="H1006" s="8">
        <v>1</v>
      </c>
      <c r="I1006" s="10">
        <v>79</v>
      </c>
      <c r="J1006" s="14">
        <f>P1006*I1006</f>
        <v>79</v>
      </c>
      <c r="K1006" s="16">
        <v>0.64</v>
      </c>
      <c r="L1006" s="1" t="s">
        <v>30</v>
      </c>
      <c r="M1006" t="s">
        <v>22</v>
      </c>
      <c r="N1006" t="str">
        <f t="shared" si="18"/>
        <v>Ireland</v>
      </c>
      <c r="O1006" s="8">
        <f>IF(K1006&gt;=1,K1006,K1006*1000)</f>
        <v>640</v>
      </c>
      <c r="P1006">
        <f>ABS(H1006)</f>
        <v>1</v>
      </c>
      <c r="R1006"/>
    </row>
    <row r="1007" spans="1:18" x14ac:dyDescent="0.35">
      <c r="A1007" t="s">
        <v>2012</v>
      </c>
      <c r="B1007" s="2">
        <v>46067</v>
      </c>
      <c r="C1007" t="s">
        <v>1999</v>
      </c>
      <c r="D1007" s="3" t="s">
        <v>61</v>
      </c>
      <c r="E1007" t="s">
        <v>25</v>
      </c>
      <c r="F1007" t="s">
        <v>83</v>
      </c>
      <c r="G1007" t="s">
        <v>84</v>
      </c>
      <c r="H1007" s="8">
        <v>1</v>
      </c>
      <c r="I1007" s="10">
        <v>95</v>
      </c>
      <c r="J1007" s="14">
        <f>P1007*I1007</f>
        <v>95</v>
      </c>
      <c r="K1007" s="16">
        <v>340</v>
      </c>
      <c r="L1007" s="1" t="s">
        <v>30</v>
      </c>
      <c r="M1007" t="s">
        <v>58</v>
      </c>
      <c r="N1007" t="str">
        <f t="shared" si="18"/>
        <v>Ireland</v>
      </c>
      <c r="O1007" s="8">
        <f>IF(K1007&gt;=1,K1007,K1007*1000)</f>
        <v>340</v>
      </c>
      <c r="P1007">
        <f>ABS(H1007)</f>
        <v>1</v>
      </c>
      <c r="R1007"/>
    </row>
    <row r="1008" spans="1:18" x14ac:dyDescent="0.35">
      <c r="A1008" t="s">
        <v>2013</v>
      </c>
      <c r="B1008" s="2">
        <v>46128</v>
      </c>
      <c r="C1008" t="s">
        <v>2014</v>
      </c>
      <c r="D1008" s="3" t="s">
        <v>15</v>
      </c>
      <c r="E1008" t="s">
        <v>41</v>
      </c>
      <c r="F1008" t="s">
        <v>35</v>
      </c>
      <c r="G1008" t="s">
        <v>36</v>
      </c>
      <c r="H1008" s="8">
        <v>1</v>
      </c>
      <c r="I1008" s="10">
        <v>129</v>
      </c>
      <c r="J1008" s="14">
        <f>P1008*I1008</f>
        <v>129</v>
      </c>
      <c r="K1008" s="16">
        <v>85</v>
      </c>
      <c r="L1008" s="1" t="s">
        <v>30</v>
      </c>
      <c r="M1008" t="s">
        <v>58</v>
      </c>
      <c r="N1008" t="str">
        <f t="shared" si="18"/>
        <v>France</v>
      </c>
      <c r="O1008" s="8">
        <f>IF(K1008&gt;=1,K1008,K1008*1000)</f>
        <v>85</v>
      </c>
      <c r="P1008">
        <f>ABS(H1008)</f>
        <v>1</v>
      </c>
      <c r="R1008"/>
    </row>
    <row r="1009" spans="1:18" x14ac:dyDescent="0.35">
      <c r="A1009" t="s">
        <v>2015</v>
      </c>
      <c r="B1009" s="2">
        <v>46150</v>
      </c>
      <c r="C1009" t="s">
        <v>2016</v>
      </c>
      <c r="D1009" s="3" t="s">
        <v>46</v>
      </c>
      <c r="E1009" t="s">
        <v>41</v>
      </c>
      <c r="F1009" t="s">
        <v>47</v>
      </c>
      <c r="G1009" t="s">
        <v>48</v>
      </c>
      <c r="H1009" s="8">
        <v>1</v>
      </c>
      <c r="I1009" s="10">
        <v>89</v>
      </c>
      <c r="J1009" s="14">
        <f>P1009*I1009</f>
        <v>89</v>
      </c>
      <c r="K1009" s="16">
        <v>0.38</v>
      </c>
      <c r="L1009" s="1" t="s">
        <v>30</v>
      </c>
      <c r="M1009" t="s">
        <v>22</v>
      </c>
      <c r="N1009" t="str">
        <f t="shared" si="18"/>
        <v>Ireland</v>
      </c>
      <c r="O1009" s="8">
        <f>IF(K1009&gt;=1,K1009,K1009*1000)</f>
        <v>380</v>
      </c>
      <c r="P1009">
        <f>ABS(H1009)</f>
        <v>1</v>
      </c>
      <c r="R1009"/>
    </row>
    <row r="1010" spans="1:18" x14ac:dyDescent="0.35">
      <c r="A1010" t="s">
        <v>2017</v>
      </c>
      <c r="B1010" s="2" t="s">
        <v>2018</v>
      </c>
      <c r="C1010" t="s">
        <v>1409</v>
      </c>
      <c r="D1010" s="3" t="s">
        <v>15</v>
      </c>
      <c r="E1010" t="s">
        <v>25</v>
      </c>
      <c r="F1010" t="s">
        <v>83</v>
      </c>
      <c r="G1010" t="s">
        <v>84</v>
      </c>
      <c r="H1010" s="8">
        <v>1</v>
      </c>
      <c r="I1010" s="10">
        <v>149</v>
      </c>
      <c r="J1010" s="14">
        <f>P1010*I1010</f>
        <v>149</v>
      </c>
      <c r="K1010" s="16">
        <v>340</v>
      </c>
      <c r="L1010" s="1" t="s">
        <v>21</v>
      </c>
      <c r="M1010" t="s">
        <v>58</v>
      </c>
      <c r="N1010" t="str">
        <f t="shared" si="18"/>
        <v>France</v>
      </c>
      <c r="O1010" s="8">
        <f>IF(K1010&gt;=1,K1010,K1010*1000)</f>
        <v>340</v>
      </c>
      <c r="P1010">
        <f>ABS(H1010)</f>
        <v>1</v>
      </c>
      <c r="R1010"/>
    </row>
    <row r="1011" spans="1:18" x14ac:dyDescent="0.35">
      <c r="A1011" t="s">
        <v>2019</v>
      </c>
      <c r="B1011" s="2">
        <v>46192</v>
      </c>
      <c r="C1011" t="s">
        <v>2020</v>
      </c>
      <c r="D1011" s="3" t="s">
        <v>99</v>
      </c>
      <c r="E1011" t="s">
        <v>41</v>
      </c>
      <c r="F1011" t="s">
        <v>89</v>
      </c>
      <c r="G1011" t="s">
        <v>90</v>
      </c>
      <c r="H1011" s="8">
        <v>1</v>
      </c>
      <c r="I1011" s="10">
        <v>80.099999999999994</v>
      </c>
      <c r="J1011" s="14">
        <f>P1011*I1011</f>
        <v>80.099999999999994</v>
      </c>
      <c r="K1011" s="16">
        <v>0.64</v>
      </c>
      <c r="L1011" s="1" t="s">
        <v>30</v>
      </c>
      <c r="M1011" t="s">
        <v>58</v>
      </c>
      <c r="N1011" t="str">
        <f t="shared" si="18"/>
        <v>United Kingdom</v>
      </c>
      <c r="O1011" s="8">
        <f>IF(K1011&gt;=1,K1011,K1011*1000)</f>
        <v>640</v>
      </c>
      <c r="P1011">
        <f>ABS(H1011)</f>
        <v>1</v>
      </c>
      <c r="R1011"/>
    </row>
    <row r="1012" spans="1:18" x14ac:dyDescent="0.35">
      <c r="A1012" t="s">
        <v>2021</v>
      </c>
      <c r="B1012" s="2">
        <v>46148</v>
      </c>
      <c r="C1012" t="s">
        <v>2022</v>
      </c>
      <c r="D1012" s="3" t="s">
        <v>53</v>
      </c>
      <c r="E1012" t="s">
        <v>34</v>
      </c>
      <c r="F1012" t="s">
        <v>47</v>
      </c>
      <c r="G1012" t="s">
        <v>48</v>
      </c>
      <c r="H1012" s="8">
        <v>1</v>
      </c>
      <c r="I1012" s="10">
        <v>149</v>
      </c>
      <c r="J1012" s="14">
        <f>P1012*I1012</f>
        <v>149</v>
      </c>
      <c r="K1012" s="16">
        <v>0.38</v>
      </c>
      <c r="L1012" s="1" t="s">
        <v>30</v>
      </c>
      <c r="M1012" t="s">
        <v>58</v>
      </c>
      <c r="N1012" t="str">
        <f t="shared" si="18"/>
        <v>Gb</v>
      </c>
      <c r="O1012" s="8">
        <f>IF(K1012&gt;=1,K1012,K1012*1000)</f>
        <v>380</v>
      </c>
      <c r="P1012">
        <f>ABS(H1012)</f>
        <v>1</v>
      </c>
      <c r="R1012"/>
    </row>
    <row r="1013" spans="1:18" x14ac:dyDescent="0.35">
      <c r="A1013" t="s">
        <v>2023</v>
      </c>
      <c r="B1013" s="2">
        <v>46105</v>
      </c>
      <c r="C1013" t="s">
        <v>2024</v>
      </c>
      <c r="D1013" s="3" t="s">
        <v>4613</v>
      </c>
      <c r="E1013" t="s">
        <v>16</v>
      </c>
      <c r="F1013" t="s">
        <v>26</v>
      </c>
      <c r="G1013" t="s">
        <v>27</v>
      </c>
      <c r="H1013" s="8">
        <v>1</v>
      </c>
      <c r="I1013" s="10">
        <v>12.5</v>
      </c>
      <c r="J1013" s="14">
        <f>P1013*I1013</f>
        <v>12.5</v>
      </c>
      <c r="K1013" s="16">
        <v>520</v>
      </c>
      <c r="L1013" s="1" t="s">
        <v>30</v>
      </c>
      <c r="M1013" t="s">
        <v>22</v>
      </c>
      <c r="N1013" t="str">
        <f t="shared" si="18"/>
        <v>United Kingdom</v>
      </c>
      <c r="O1013" s="8">
        <f>IF(K1013&gt;=1,K1013,K1013*1000)</f>
        <v>520</v>
      </c>
      <c r="P1013">
        <f>ABS(H1013)</f>
        <v>1</v>
      </c>
      <c r="R1013"/>
    </row>
    <row r="1014" spans="1:18" x14ac:dyDescent="0.35">
      <c r="A1014" t="s">
        <v>2025</v>
      </c>
      <c r="B1014" s="2">
        <v>46175</v>
      </c>
      <c r="C1014" t="s">
        <v>1890</v>
      </c>
      <c r="D1014" s="3" t="s">
        <v>4613</v>
      </c>
      <c r="E1014" t="s">
        <v>16</v>
      </c>
      <c r="F1014" t="s">
        <v>17</v>
      </c>
      <c r="G1014" t="s">
        <v>18</v>
      </c>
      <c r="H1014" s="8">
        <v>2</v>
      </c>
      <c r="I1014" s="10">
        <v>149</v>
      </c>
      <c r="J1014" s="14">
        <f>P1014*I1014</f>
        <v>298</v>
      </c>
      <c r="K1014" s="16">
        <v>0.52</v>
      </c>
      <c r="L1014" s="1" t="s">
        <v>30</v>
      </c>
      <c r="M1014" t="s">
        <v>58</v>
      </c>
      <c r="N1014" t="str">
        <f t="shared" si="18"/>
        <v>United Kingdom</v>
      </c>
      <c r="O1014" s="8">
        <f>IF(K1014&gt;=1,K1014,K1014*1000)</f>
        <v>520</v>
      </c>
      <c r="P1014">
        <f>ABS(H1014)</f>
        <v>2</v>
      </c>
      <c r="R1014"/>
    </row>
    <row r="1015" spans="1:18" x14ac:dyDescent="0.35">
      <c r="A1015" t="s">
        <v>2027</v>
      </c>
      <c r="B1015" s="2">
        <v>46050</v>
      </c>
      <c r="C1015" t="s">
        <v>2028</v>
      </c>
      <c r="D1015" s="3" t="s">
        <v>46</v>
      </c>
      <c r="E1015" t="s">
        <v>16</v>
      </c>
      <c r="F1015" t="s">
        <v>17</v>
      </c>
      <c r="G1015" t="s">
        <v>18</v>
      </c>
      <c r="H1015" s="8">
        <v>1</v>
      </c>
      <c r="I1015" s="10">
        <v>116.1</v>
      </c>
      <c r="J1015" s="14">
        <f>P1015*I1015</f>
        <v>116.1</v>
      </c>
      <c r="K1015" s="16">
        <v>520</v>
      </c>
      <c r="L1015" s="1" t="s">
        <v>30</v>
      </c>
      <c r="M1015" t="s">
        <v>22</v>
      </c>
      <c r="N1015" t="str">
        <f t="shared" si="18"/>
        <v>Ireland</v>
      </c>
      <c r="O1015" s="8">
        <f>IF(K1015&gt;=1,K1015,K1015*1000)</f>
        <v>520</v>
      </c>
      <c r="P1015">
        <f>ABS(H1015)</f>
        <v>1</v>
      </c>
      <c r="R1015"/>
    </row>
    <row r="1016" spans="1:18" x14ac:dyDescent="0.35">
      <c r="A1016" t="s">
        <v>2029</v>
      </c>
      <c r="B1016" s="2">
        <v>46181</v>
      </c>
      <c r="C1016" t="s">
        <v>334</v>
      </c>
      <c r="D1016" s="3" t="s">
        <v>99</v>
      </c>
      <c r="E1016" t="s">
        <v>16</v>
      </c>
      <c r="F1016" t="s">
        <v>42</v>
      </c>
      <c r="G1016" t="s">
        <v>43</v>
      </c>
      <c r="H1016" s="8">
        <v>2</v>
      </c>
      <c r="I1016" s="10">
        <v>80.099999999999994</v>
      </c>
      <c r="J1016" s="14">
        <f>P1016*I1016</f>
        <v>160.19999999999999</v>
      </c>
      <c r="K1016" s="16">
        <v>0.19</v>
      </c>
      <c r="L1016" s="1" t="s">
        <v>21</v>
      </c>
      <c r="M1016" t="s">
        <v>22</v>
      </c>
      <c r="N1016" t="str">
        <f t="shared" si="18"/>
        <v>United Kingdom</v>
      </c>
      <c r="O1016" s="8">
        <f>IF(K1016&gt;=1,K1016,K1016*1000)</f>
        <v>190</v>
      </c>
      <c r="P1016">
        <f>ABS(H1016)</f>
        <v>2</v>
      </c>
      <c r="R1016"/>
    </row>
    <row r="1017" spans="1:18" x14ac:dyDescent="0.35">
      <c r="A1017" t="s">
        <v>2030</v>
      </c>
      <c r="B1017" s="2">
        <v>46067</v>
      </c>
      <c r="C1017" t="s">
        <v>2031</v>
      </c>
      <c r="D1017" s="3" t="s">
        <v>4612</v>
      </c>
      <c r="E1017" t="s">
        <v>34</v>
      </c>
      <c r="F1017" t="s">
        <v>83</v>
      </c>
      <c r="G1017" t="s">
        <v>84</v>
      </c>
      <c r="H1017" s="8">
        <v>1</v>
      </c>
      <c r="I1017" s="10">
        <v>12.5</v>
      </c>
      <c r="J1017" s="14">
        <f>P1017*I1017</f>
        <v>12.5</v>
      </c>
      <c r="K1017" s="16">
        <v>340</v>
      </c>
      <c r="L1017" s="1" t="s">
        <v>30</v>
      </c>
      <c r="M1017" t="s">
        <v>58</v>
      </c>
      <c r="N1017" t="str">
        <f t="shared" si="18"/>
        <v>United Kingdom</v>
      </c>
      <c r="O1017" s="8">
        <f>IF(K1017&gt;=1,K1017,K1017*1000)</f>
        <v>340</v>
      </c>
      <c r="P1017">
        <f>ABS(H1017)</f>
        <v>1</v>
      </c>
      <c r="R1017"/>
    </row>
    <row r="1018" spans="1:18" x14ac:dyDescent="0.35">
      <c r="A1018" t="s">
        <v>2032</v>
      </c>
      <c r="B1018" s="2">
        <v>46117</v>
      </c>
      <c r="C1018" t="s">
        <v>1592</v>
      </c>
      <c r="D1018" s="3" t="s">
        <v>116</v>
      </c>
      <c r="E1018" t="s">
        <v>41</v>
      </c>
      <c r="F1018" t="s">
        <v>42</v>
      </c>
      <c r="G1018" t="s">
        <v>43</v>
      </c>
      <c r="H1018" s="8">
        <v>1</v>
      </c>
      <c r="I1018" s="10">
        <v>89</v>
      </c>
      <c r="J1018" s="14">
        <f>P1018*I1018</f>
        <v>89</v>
      </c>
      <c r="K1018" s="16">
        <v>190</v>
      </c>
      <c r="L1018" s="1" t="s">
        <v>30</v>
      </c>
      <c r="M1018" t="s">
        <v>58</v>
      </c>
      <c r="N1018" t="str">
        <f t="shared" si="18"/>
        <v>Germany</v>
      </c>
      <c r="O1018" s="8">
        <f>IF(K1018&gt;=1,K1018,K1018*1000)</f>
        <v>190</v>
      </c>
      <c r="P1018">
        <f>ABS(H1018)</f>
        <v>1</v>
      </c>
      <c r="R1018"/>
    </row>
    <row r="1019" spans="1:18" x14ac:dyDescent="0.35">
      <c r="A1019" t="s">
        <v>2033</v>
      </c>
      <c r="B1019" s="2">
        <v>46110</v>
      </c>
      <c r="C1019" t="s">
        <v>356</v>
      </c>
      <c r="D1019" s="3" t="s">
        <v>4613</v>
      </c>
      <c r="E1019" t="s">
        <v>16</v>
      </c>
      <c r="F1019" t="s">
        <v>89</v>
      </c>
      <c r="G1019" t="s">
        <v>90</v>
      </c>
      <c r="H1019" s="8">
        <v>1</v>
      </c>
      <c r="I1019" s="10">
        <v>89</v>
      </c>
      <c r="J1019" s="14">
        <f>P1019*I1019</f>
        <v>89</v>
      </c>
      <c r="K1019" s="16">
        <v>640</v>
      </c>
      <c r="L1019" s="1" t="s">
        <v>30</v>
      </c>
      <c r="M1019" t="s">
        <v>22</v>
      </c>
      <c r="N1019" t="str">
        <f t="shared" si="18"/>
        <v>United Kingdom</v>
      </c>
      <c r="O1019" s="8">
        <f>IF(K1019&gt;=1,K1019,K1019*1000)</f>
        <v>640</v>
      </c>
      <c r="P1019">
        <f>ABS(H1019)</f>
        <v>1</v>
      </c>
      <c r="R1019"/>
    </row>
    <row r="1020" spans="1:18" x14ac:dyDescent="0.35">
      <c r="A1020" t="s">
        <v>2034</v>
      </c>
      <c r="B1020" s="2">
        <v>46127</v>
      </c>
      <c r="C1020" t="s">
        <v>2035</v>
      </c>
      <c r="D1020" s="3" t="s">
        <v>116</v>
      </c>
      <c r="E1020" t="s">
        <v>34</v>
      </c>
      <c r="F1020" t="s">
        <v>47</v>
      </c>
      <c r="G1020" t="s">
        <v>48</v>
      </c>
      <c r="H1020" s="8">
        <v>2</v>
      </c>
      <c r="I1020" s="10">
        <v>89</v>
      </c>
      <c r="J1020" s="14">
        <f>P1020*I1020</f>
        <v>178</v>
      </c>
      <c r="K1020" s="16">
        <v>380</v>
      </c>
      <c r="L1020" s="1" t="s">
        <v>30</v>
      </c>
      <c r="M1020" t="s">
        <v>22</v>
      </c>
      <c r="N1020" t="str">
        <f t="shared" si="18"/>
        <v>Germany</v>
      </c>
      <c r="O1020" s="8">
        <f>IF(K1020&gt;=1,K1020,K1020*1000)</f>
        <v>380</v>
      </c>
      <c r="P1020">
        <f>ABS(H1020)</f>
        <v>2</v>
      </c>
      <c r="R1020"/>
    </row>
    <row r="1021" spans="1:18" x14ac:dyDescent="0.35">
      <c r="A1021" t="s">
        <v>2036</v>
      </c>
      <c r="B1021" s="2">
        <v>46128</v>
      </c>
      <c r="C1021" t="s">
        <v>1447</v>
      </c>
      <c r="D1021" s="3" t="s">
        <v>46</v>
      </c>
      <c r="E1021" t="s">
        <v>16</v>
      </c>
      <c r="F1021" t="s">
        <v>83</v>
      </c>
      <c r="G1021" t="s">
        <v>84</v>
      </c>
      <c r="H1021" s="8">
        <v>2</v>
      </c>
      <c r="I1021" s="10">
        <v>24</v>
      </c>
      <c r="J1021" s="14">
        <f>P1021*I1021</f>
        <v>48</v>
      </c>
      <c r="K1021" s="16">
        <v>340</v>
      </c>
      <c r="L1021" s="1" t="s">
        <v>21</v>
      </c>
      <c r="M1021" t="s">
        <v>22</v>
      </c>
      <c r="N1021" t="str">
        <f t="shared" si="18"/>
        <v>Ireland</v>
      </c>
      <c r="O1021" s="8">
        <f>IF(K1021&gt;=1,K1021,K1021*1000)</f>
        <v>340</v>
      </c>
      <c r="P1021">
        <f>ABS(H1021)</f>
        <v>2</v>
      </c>
      <c r="R1021"/>
    </row>
    <row r="1022" spans="1:18" x14ac:dyDescent="0.35">
      <c r="A1022" t="s">
        <v>2037</v>
      </c>
      <c r="B1022" s="2">
        <v>46097</v>
      </c>
      <c r="C1022" t="s">
        <v>1528</v>
      </c>
      <c r="D1022" s="3" t="s">
        <v>4612</v>
      </c>
      <c r="E1022" t="s">
        <v>67</v>
      </c>
      <c r="F1022" t="s">
        <v>42</v>
      </c>
      <c r="G1022" t="s">
        <v>43</v>
      </c>
      <c r="H1022" s="8">
        <v>2</v>
      </c>
      <c r="I1022" s="10">
        <v>71.099999999999994</v>
      </c>
      <c r="J1022" s="14">
        <f>P1022*I1022</f>
        <v>142.19999999999999</v>
      </c>
      <c r="K1022" s="16">
        <v>190</v>
      </c>
      <c r="L1022" s="1" t="s">
        <v>30</v>
      </c>
      <c r="M1022" t="s">
        <v>22</v>
      </c>
      <c r="N1022" t="str">
        <f t="shared" si="18"/>
        <v>United Kingdom</v>
      </c>
      <c r="O1022" s="8">
        <f>IF(K1022&gt;=1,K1022,K1022*1000)</f>
        <v>190</v>
      </c>
      <c r="P1022">
        <f>ABS(H1022)</f>
        <v>2</v>
      </c>
      <c r="R1022"/>
    </row>
    <row r="1023" spans="1:18" x14ac:dyDescent="0.35">
      <c r="A1023" t="s">
        <v>2038</v>
      </c>
      <c r="B1023" s="2">
        <v>46068</v>
      </c>
      <c r="C1023" t="s">
        <v>2039</v>
      </c>
      <c r="D1023" s="3" t="s">
        <v>46</v>
      </c>
      <c r="E1023" t="s">
        <v>67</v>
      </c>
      <c r="F1023" t="s">
        <v>35</v>
      </c>
      <c r="G1023" t="s">
        <v>36</v>
      </c>
      <c r="H1023" s="8">
        <v>1</v>
      </c>
      <c r="I1023" s="10">
        <v>129</v>
      </c>
      <c r="J1023" s="14">
        <f>P1023*I1023</f>
        <v>129</v>
      </c>
      <c r="K1023" s="16">
        <v>85</v>
      </c>
      <c r="L1023" s="1" t="s">
        <v>30</v>
      </c>
      <c r="M1023" t="s">
        <v>22</v>
      </c>
      <c r="N1023" t="str">
        <f t="shared" si="18"/>
        <v>Ireland</v>
      </c>
      <c r="O1023" s="8">
        <f>IF(K1023&gt;=1,K1023,K1023*1000)</f>
        <v>85</v>
      </c>
      <c r="P1023">
        <f>ABS(H1023)</f>
        <v>1</v>
      </c>
      <c r="R1023"/>
    </row>
    <row r="1024" spans="1:18" x14ac:dyDescent="0.35">
      <c r="A1024" t="s">
        <v>2040</v>
      </c>
      <c r="B1024" s="2">
        <v>46165</v>
      </c>
      <c r="C1024" t="s">
        <v>1196</v>
      </c>
      <c r="D1024" s="3" t="s">
        <v>15</v>
      </c>
      <c r="E1024" t="s">
        <v>67</v>
      </c>
      <c r="F1024" t="s">
        <v>35</v>
      </c>
      <c r="G1024" t="s">
        <v>36</v>
      </c>
      <c r="H1024" s="8">
        <v>3</v>
      </c>
      <c r="I1024" s="10">
        <v>95</v>
      </c>
      <c r="J1024" s="14">
        <f>P1024*I1024</f>
        <v>285</v>
      </c>
      <c r="K1024" s="16">
        <v>8.5000000000000006E-2</v>
      </c>
      <c r="L1024" s="1" t="s">
        <v>30</v>
      </c>
      <c r="M1024" t="s">
        <v>58</v>
      </c>
      <c r="N1024" t="str">
        <f t="shared" si="18"/>
        <v>France</v>
      </c>
      <c r="O1024" s="8">
        <f>IF(K1024&gt;=1,K1024,K1024*1000)</f>
        <v>85</v>
      </c>
      <c r="P1024">
        <f>ABS(H1024)</f>
        <v>3</v>
      </c>
      <c r="R1024"/>
    </row>
    <row r="1025" spans="1:18" x14ac:dyDescent="0.35">
      <c r="A1025" t="s">
        <v>2041</v>
      </c>
      <c r="B1025" s="2">
        <v>46114</v>
      </c>
      <c r="C1025" t="s">
        <v>2042</v>
      </c>
      <c r="D1025" s="3" t="s">
        <v>61</v>
      </c>
      <c r="E1025" t="s">
        <v>67</v>
      </c>
      <c r="F1025" t="s">
        <v>42</v>
      </c>
      <c r="G1025" t="s">
        <v>43</v>
      </c>
      <c r="H1025" s="8">
        <v>2</v>
      </c>
      <c r="I1025" s="10">
        <v>21.6</v>
      </c>
      <c r="J1025" s="14">
        <f>P1025*I1025</f>
        <v>43.2</v>
      </c>
      <c r="K1025" s="16">
        <v>190</v>
      </c>
      <c r="L1025" s="1" t="s">
        <v>30</v>
      </c>
      <c r="M1025" t="s">
        <v>22</v>
      </c>
      <c r="N1025" t="str">
        <f t="shared" si="18"/>
        <v>Ireland</v>
      </c>
      <c r="O1025" s="8">
        <f>IF(K1025&gt;=1,K1025,K1025*1000)</f>
        <v>190</v>
      </c>
      <c r="P1025">
        <f>ABS(H1025)</f>
        <v>2</v>
      </c>
      <c r="R1025"/>
    </row>
    <row r="1026" spans="1:18" x14ac:dyDescent="0.35">
      <c r="A1026" t="s">
        <v>2043</v>
      </c>
      <c r="B1026" s="2">
        <v>46120</v>
      </c>
      <c r="C1026" t="s">
        <v>2044</v>
      </c>
      <c r="D1026" s="3" t="s">
        <v>61</v>
      </c>
      <c r="E1026" t="s">
        <v>41</v>
      </c>
      <c r="F1026" t="s">
        <v>26</v>
      </c>
      <c r="G1026" t="s">
        <v>27</v>
      </c>
      <c r="H1026" s="8">
        <v>1</v>
      </c>
      <c r="I1026" s="10">
        <v>24</v>
      </c>
      <c r="J1026" s="14">
        <f>P1026*I1026</f>
        <v>24</v>
      </c>
      <c r="K1026" s="16">
        <v>520</v>
      </c>
      <c r="L1026" s="1" t="s">
        <v>30</v>
      </c>
      <c r="M1026" t="s">
        <v>58</v>
      </c>
      <c r="N1026" t="str">
        <f t="shared" si="18"/>
        <v>Ireland</v>
      </c>
      <c r="O1026" s="8">
        <f>IF(K1026&gt;=1,K1026,K1026*1000)</f>
        <v>520</v>
      </c>
      <c r="P1026">
        <f>ABS(H1026)</f>
        <v>1</v>
      </c>
      <c r="R1026"/>
    </row>
    <row r="1027" spans="1:18" x14ac:dyDescent="0.35">
      <c r="A1027" t="s">
        <v>2045</v>
      </c>
      <c r="B1027" s="2">
        <v>46130</v>
      </c>
      <c r="C1027" t="s">
        <v>788</v>
      </c>
      <c r="D1027" s="3" t="s">
        <v>4612</v>
      </c>
      <c r="E1027" t="s">
        <v>67</v>
      </c>
      <c r="F1027" t="s">
        <v>89</v>
      </c>
      <c r="G1027" t="s">
        <v>90</v>
      </c>
      <c r="H1027" s="8">
        <v>1</v>
      </c>
      <c r="I1027" s="10">
        <v>149</v>
      </c>
      <c r="J1027" s="14">
        <f>P1027*I1027</f>
        <v>149</v>
      </c>
      <c r="K1027" s="16">
        <v>640</v>
      </c>
      <c r="L1027" s="1" t="s">
        <v>30</v>
      </c>
      <c r="M1027" t="s">
        <v>22</v>
      </c>
      <c r="N1027" t="str">
        <f t="shared" ref="N1027:N1090" si="19">PROPER(TRIM(D1027))</f>
        <v>United Kingdom</v>
      </c>
      <c r="O1027" s="8">
        <f>IF(K1027&gt;=1,K1027,K1027*1000)</f>
        <v>640</v>
      </c>
      <c r="P1027">
        <f>ABS(H1027)</f>
        <v>1</v>
      </c>
      <c r="R1027"/>
    </row>
    <row r="1028" spans="1:18" x14ac:dyDescent="0.35">
      <c r="A1028" t="s">
        <v>2046</v>
      </c>
      <c r="B1028" s="2">
        <v>46119</v>
      </c>
      <c r="C1028" t="s">
        <v>1122</v>
      </c>
      <c r="D1028" s="3" t="s">
        <v>46</v>
      </c>
      <c r="E1028" t="s">
        <v>34</v>
      </c>
      <c r="F1028" t="s">
        <v>83</v>
      </c>
      <c r="G1028" t="s">
        <v>84</v>
      </c>
      <c r="H1028" s="8">
        <v>2</v>
      </c>
      <c r="I1028" s="10">
        <v>45</v>
      </c>
      <c r="J1028" s="14">
        <f>P1028*I1028</f>
        <v>90</v>
      </c>
      <c r="K1028" s="16">
        <v>340</v>
      </c>
      <c r="L1028" s="1" t="s">
        <v>30</v>
      </c>
      <c r="M1028" t="s">
        <v>22</v>
      </c>
      <c r="N1028" t="str">
        <f t="shared" si="19"/>
        <v>Ireland</v>
      </c>
      <c r="O1028" s="8">
        <f>IF(K1028&gt;=1,K1028,K1028*1000)</f>
        <v>340</v>
      </c>
      <c r="P1028">
        <f>ABS(H1028)</f>
        <v>2</v>
      </c>
      <c r="R1028"/>
    </row>
    <row r="1029" spans="1:18" x14ac:dyDescent="0.35">
      <c r="A1029" t="s">
        <v>2047</v>
      </c>
      <c r="B1029" s="2">
        <v>46159</v>
      </c>
      <c r="C1029" t="s">
        <v>2048</v>
      </c>
      <c r="D1029" s="3" t="s">
        <v>53</v>
      </c>
      <c r="E1029" t="s">
        <v>67</v>
      </c>
      <c r="F1029" t="s">
        <v>83</v>
      </c>
      <c r="G1029" t="s">
        <v>84</v>
      </c>
      <c r="H1029" s="8">
        <v>1</v>
      </c>
      <c r="I1029" s="10">
        <v>71.099999999999994</v>
      </c>
      <c r="J1029" s="14">
        <f>P1029*I1029</f>
        <v>71.099999999999994</v>
      </c>
      <c r="K1029" s="16">
        <v>0.34</v>
      </c>
      <c r="L1029" s="1" t="s">
        <v>30</v>
      </c>
      <c r="M1029" t="s">
        <v>22</v>
      </c>
      <c r="N1029" t="str">
        <f t="shared" si="19"/>
        <v>Gb</v>
      </c>
      <c r="O1029" s="8">
        <f>IF(K1029&gt;=1,K1029,K1029*1000)</f>
        <v>340</v>
      </c>
      <c r="P1029">
        <f>ABS(H1029)</f>
        <v>1</v>
      </c>
      <c r="R1029"/>
    </row>
    <row r="1030" spans="1:18" x14ac:dyDescent="0.35">
      <c r="A1030" t="s">
        <v>2049</v>
      </c>
      <c r="B1030" s="2">
        <v>46173</v>
      </c>
      <c r="C1030" t="s">
        <v>2050</v>
      </c>
      <c r="D1030" s="3" t="s">
        <v>99</v>
      </c>
      <c r="E1030" t="s">
        <v>41</v>
      </c>
      <c r="F1030" t="s">
        <v>83</v>
      </c>
      <c r="G1030" t="s">
        <v>84</v>
      </c>
      <c r="H1030" s="8">
        <v>1</v>
      </c>
      <c r="I1030" s="10">
        <v>24</v>
      </c>
      <c r="J1030" s="14">
        <f>P1030*I1030</f>
        <v>24</v>
      </c>
      <c r="K1030" s="16">
        <v>0.34</v>
      </c>
      <c r="L1030" s="1" t="s">
        <v>21</v>
      </c>
      <c r="M1030" t="s">
        <v>22</v>
      </c>
      <c r="N1030" t="str">
        <f t="shared" si="19"/>
        <v>United Kingdom</v>
      </c>
      <c r="O1030" s="8">
        <f>IF(K1030&gt;=1,K1030,K1030*1000)</f>
        <v>340</v>
      </c>
      <c r="P1030">
        <f>ABS(H1030)</f>
        <v>1</v>
      </c>
      <c r="R1030"/>
    </row>
    <row r="1031" spans="1:18" x14ac:dyDescent="0.35">
      <c r="A1031" t="s">
        <v>2051</v>
      </c>
      <c r="B1031" s="2">
        <v>46187</v>
      </c>
      <c r="C1031" t="s">
        <v>2052</v>
      </c>
      <c r="D1031" s="3" t="s">
        <v>46</v>
      </c>
      <c r="E1031" t="s">
        <v>25</v>
      </c>
      <c r="F1031" t="s">
        <v>47</v>
      </c>
      <c r="G1031" t="s">
        <v>48</v>
      </c>
      <c r="H1031" s="8">
        <v>1</v>
      </c>
      <c r="I1031" s="10">
        <v>134.1</v>
      </c>
      <c r="J1031" s="14">
        <f>P1031*I1031</f>
        <v>134.1</v>
      </c>
      <c r="K1031" s="16">
        <v>0.38</v>
      </c>
      <c r="L1031" s="1" t="s">
        <v>21</v>
      </c>
      <c r="M1031" t="s">
        <v>22</v>
      </c>
      <c r="N1031" t="str">
        <f t="shared" si="19"/>
        <v>Ireland</v>
      </c>
      <c r="O1031" s="8">
        <f>IF(K1031&gt;=1,K1031,K1031*1000)</f>
        <v>380</v>
      </c>
      <c r="P1031">
        <f>ABS(H1031)</f>
        <v>1</v>
      </c>
      <c r="R1031"/>
    </row>
    <row r="1032" spans="1:18" x14ac:dyDescent="0.35">
      <c r="A1032" t="s">
        <v>2053</v>
      </c>
      <c r="B1032" s="2">
        <v>46114</v>
      </c>
      <c r="C1032" t="s">
        <v>2054</v>
      </c>
      <c r="D1032" s="3" t="s">
        <v>53</v>
      </c>
      <c r="E1032" t="s">
        <v>16</v>
      </c>
      <c r="F1032" t="s">
        <v>83</v>
      </c>
      <c r="G1032" t="s">
        <v>84</v>
      </c>
      <c r="H1032" s="8">
        <v>1</v>
      </c>
      <c r="I1032" s="10">
        <v>24</v>
      </c>
      <c r="J1032" s="14">
        <f>P1032*I1032</f>
        <v>24</v>
      </c>
      <c r="K1032" s="16">
        <v>340</v>
      </c>
      <c r="L1032" s="1" t="s">
        <v>30</v>
      </c>
      <c r="M1032" t="s">
        <v>22</v>
      </c>
      <c r="N1032" t="str">
        <f t="shared" si="19"/>
        <v>Gb</v>
      </c>
      <c r="O1032" s="8">
        <f>IF(K1032&gt;=1,K1032,K1032*1000)</f>
        <v>340</v>
      </c>
      <c r="P1032">
        <f>ABS(H1032)</f>
        <v>1</v>
      </c>
      <c r="R1032"/>
    </row>
    <row r="1033" spans="1:18" x14ac:dyDescent="0.35">
      <c r="A1033" t="s">
        <v>2055</v>
      </c>
      <c r="B1033" s="2">
        <v>46100</v>
      </c>
      <c r="C1033" t="s">
        <v>2056</v>
      </c>
      <c r="D1033" s="3" t="s">
        <v>46</v>
      </c>
      <c r="E1033" t="s">
        <v>25</v>
      </c>
      <c r="F1033" t="s">
        <v>89</v>
      </c>
      <c r="G1033" t="s">
        <v>90</v>
      </c>
      <c r="H1033" s="8">
        <v>3</v>
      </c>
      <c r="I1033" s="10">
        <v>116.1</v>
      </c>
      <c r="J1033" s="14">
        <f>P1033*I1033</f>
        <v>348.29999999999995</v>
      </c>
      <c r="K1033" s="16">
        <v>640</v>
      </c>
      <c r="L1033" s="1" t="s">
        <v>30</v>
      </c>
      <c r="M1033" t="s">
        <v>22</v>
      </c>
      <c r="N1033" t="str">
        <f t="shared" si="19"/>
        <v>Ireland</v>
      </c>
      <c r="O1033" s="8">
        <f>IF(K1033&gt;=1,K1033,K1033*1000)</f>
        <v>640</v>
      </c>
      <c r="P1033">
        <f>ABS(H1033)</f>
        <v>3</v>
      </c>
      <c r="R1033"/>
    </row>
    <row r="1034" spans="1:18" x14ac:dyDescent="0.35">
      <c r="A1034" t="s">
        <v>2058</v>
      </c>
      <c r="B1034" s="2">
        <v>46121</v>
      </c>
      <c r="C1034" t="s">
        <v>1517</v>
      </c>
      <c r="D1034" s="3" t="s">
        <v>66</v>
      </c>
      <c r="E1034" t="s">
        <v>34</v>
      </c>
      <c r="F1034" t="s">
        <v>74</v>
      </c>
      <c r="G1034" t="s">
        <v>75</v>
      </c>
      <c r="H1034" s="8">
        <v>1</v>
      </c>
      <c r="I1034" s="12" t="s">
        <v>4633</v>
      </c>
      <c r="J1034" s="14">
        <f>P1034*R1034</f>
        <v>24</v>
      </c>
      <c r="K1034" s="16">
        <v>410</v>
      </c>
      <c r="L1034" s="1" t="s">
        <v>30</v>
      </c>
      <c r="M1034" t="s">
        <v>22</v>
      </c>
      <c r="N1034" t="str">
        <f t="shared" si="19"/>
        <v>Gb</v>
      </c>
      <c r="O1034" s="8">
        <f>IF(K1034&gt;=1,K1034,K1034*1000)</f>
        <v>410</v>
      </c>
      <c r="P1034">
        <f>ABS(H1034)</f>
        <v>1</v>
      </c>
      <c r="Q1034" t="str">
        <f>LEFT(I1034,3)</f>
        <v>GBP</v>
      </c>
      <c r="R1034" s="10" t="str">
        <f>RIGHT(I1034,5)</f>
        <v>24,00</v>
      </c>
    </row>
    <row r="1035" spans="1:18" x14ac:dyDescent="0.35">
      <c r="A1035" t="s">
        <v>2059</v>
      </c>
      <c r="B1035" s="2">
        <v>46086</v>
      </c>
      <c r="C1035" t="s">
        <v>2060</v>
      </c>
      <c r="D1035" s="3" t="s">
        <v>15</v>
      </c>
      <c r="E1035" t="s">
        <v>41</v>
      </c>
      <c r="F1035" t="s">
        <v>83</v>
      </c>
      <c r="G1035" t="s">
        <v>84</v>
      </c>
      <c r="H1035" s="8">
        <v>2</v>
      </c>
      <c r="I1035" s="10">
        <v>95</v>
      </c>
      <c r="J1035" s="14">
        <f>P1035*I1035</f>
        <v>190</v>
      </c>
      <c r="K1035" s="16">
        <v>340</v>
      </c>
      <c r="L1035" s="1" t="s">
        <v>30</v>
      </c>
      <c r="M1035" t="s">
        <v>22</v>
      </c>
      <c r="N1035" t="str">
        <f t="shared" si="19"/>
        <v>France</v>
      </c>
      <c r="O1035" s="8">
        <f>IF(K1035&gt;=1,K1035,K1035*1000)</f>
        <v>340</v>
      </c>
      <c r="P1035">
        <f>ABS(H1035)</f>
        <v>2</v>
      </c>
      <c r="R1035"/>
    </row>
    <row r="1036" spans="1:18" x14ac:dyDescent="0.35">
      <c r="A1036" t="s">
        <v>2062</v>
      </c>
      <c r="B1036" s="2">
        <v>46045</v>
      </c>
      <c r="C1036" t="s">
        <v>2063</v>
      </c>
      <c r="D1036" s="3" t="s">
        <v>66</v>
      </c>
      <c r="E1036" t="s">
        <v>34</v>
      </c>
      <c r="F1036" t="s">
        <v>89</v>
      </c>
      <c r="G1036" t="s">
        <v>90</v>
      </c>
      <c r="H1036" s="8">
        <v>1</v>
      </c>
      <c r="I1036" s="10">
        <v>129</v>
      </c>
      <c r="J1036" s="14">
        <f>P1036*I1036</f>
        <v>129</v>
      </c>
      <c r="K1036" s="16">
        <v>640</v>
      </c>
      <c r="L1036" s="1" t="s">
        <v>30</v>
      </c>
      <c r="M1036" t="s">
        <v>22</v>
      </c>
      <c r="N1036" t="str">
        <f t="shared" si="19"/>
        <v>Gb</v>
      </c>
      <c r="O1036" s="8">
        <f>IF(K1036&gt;=1,K1036,K1036*1000)</f>
        <v>640</v>
      </c>
      <c r="P1036">
        <f>ABS(H1036)</f>
        <v>1</v>
      </c>
      <c r="R1036"/>
    </row>
    <row r="1037" spans="1:18" x14ac:dyDescent="0.35">
      <c r="A1037" t="s">
        <v>2064</v>
      </c>
      <c r="B1037" s="2">
        <v>46049</v>
      </c>
      <c r="C1037" t="s">
        <v>2065</v>
      </c>
      <c r="D1037" s="3" t="s">
        <v>99</v>
      </c>
      <c r="E1037" t="s">
        <v>16</v>
      </c>
      <c r="F1037" t="s">
        <v>83</v>
      </c>
      <c r="G1037" t="s">
        <v>84</v>
      </c>
      <c r="H1037" s="8">
        <v>2</v>
      </c>
      <c r="I1037" s="12" t="s">
        <v>4640</v>
      </c>
      <c r="J1037" s="14">
        <f>P1037*R1037</f>
        <v>58</v>
      </c>
      <c r="K1037" s="16">
        <v>340</v>
      </c>
      <c r="L1037" s="1" t="s">
        <v>30</v>
      </c>
      <c r="M1037" t="s">
        <v>22</v>
      </c>
      <c r="N1037" t="str">
        <f t="shared" si="19"/>
        <v>United Kingdom</v>
      </c>
      <c r="O1037" s="8">
        <f>IF(K1037&gt;=1,K1037,K1037*1000)</f>
        <v>340</v>
      </c>
      <c r="P1037">
        <f>ABS(H1037)</f>
        <v>2</v>
      </c>
      <c r="Q1037" t="str">
        <f>LEFT(I1037,2)</f>
        <v>Â£</v>
      </c>
      <c r="R1037" t="str">
        <f>RIGHT(I1037,5)</f>
        <v>29,00</v>
      </c>
    </row>
    <row r="1038" spans="1:18" x14ac:dyDescent="0.35">
      <c r="A1038" t="s">
        <v>2066</v>
      </c>
      <c r="B1038" s="2" t="s">
        <v>2067</v>
      </c>
      <c r="C1038" t="s">
        <v>1706</v>
      </c>
      <c r="D1038" s="3" t="s">
        <v>15</v>
      </c>
      <c r="E1038" t="s">
        <v>41</v>
      </c>
      <c r="F1038" t="s">
        <v>83</v>
      </c>
      <c r="G1038" t="s">
        <v>84</v>
      </c>
      <c r="H1038" s="8">
        <v>1</v>
      </c>
      <c r="I1038" s="10">
        <v>85.5</v>
      </c>
      <c r="J1038" s="14">
        <f>P1038*I1038</f>
        <v>85.5</v>
      </c>
      <c r="K1038" s="16">
        <v>0.34</v>
      </c>
      <c r="L1038" s="1" t="s">
        <v>30</v>
      </c>
      <c r="M1038" t="s">
        <v>22</v>
      </c>
      <c r="N1038" t="str">
        <f t="shared" si="19"/>
        <v>France</v>
      </c>
      <c r="O1038" s="8">
        <f>IF(K1038&gt;=1,K1038,K1038*1000)</f>
        <v>340</v>
      </c>
      <c r="P1038">
        <f>ABS(H1038)</f>
        <v>1</v>
      </c>
      <c r="R1038"/>
    </row>
    <row r="1039" spans="1:18" x14ac:dyDescent="0.35">
      <c r="A1039" t="s">
        <v>2068</v>
      </c>
      <c r="B1039" s="2">
        <v>46135</v>
      </c>
      <c r="C1039" t="s">
        <v>1264</v>
      </c>
      <c r="D1039" s="3" t="s">
        <v>99</v>
      </c>
      <c r="E1039" t="s">
        <v>41</v>
      </c>
      <c r="F1039" t="s">
        <v>35</v>
      </c>
      <c r="G1039" t="s">
        <v>36</v>
      </c>
      <c r="H1039" s="8">
        <v>1</v>
      </c>
      <c r="I1039" s="10">
        <v>95</v>
      </c>
      <c r="J1039" s="14">
        <f>P1039*I1039</f>
        <v>95</v>
      </c>
      <c r="K1039" s="16">
        <v>8.5000000000000006E-2</v>
      </c>
      <c r="L1039" s="1" t="s">
        <v>21</v>
      </c>
      <c r="M1039" t="s">
        <v>22</v>
      </c>
      <c r="N1039" t="str">
        <f t="shared" si="19"/>
        <v>United Kingdom</v>
      </c>
      <c r="O1039" s="8">
        <f>IF(K1039&gt;=1,K1039,K1039*1000)</f>
        <v>85</v>
      </c>
      <c r="P1039">
        <f>ABS(H1039)</f>
        <v>1</v>
      </c>
      <c r="R1039"/>
    </row>
    <row r="1040" spans="1:18" x14ac:dyDescent="0.35">
      <c r="A1040" t="s">
        <v>2069</v>
      </c>
      <c r="B1040" s="2" t="s">
        <v>1430</v>
      </c>
      <c r="C1040" t="s">
        <v>2070</v>
      </c>
      <c r="D1040" s="3" t="s">
        <v>4613</v>
      </c>
      <c r="E1040" t="s">
        <v>41</v>
      </c>
      <c r="F1040" t="s">
        <v>83</v>
      </c>
      <c r="G1040" t="s">
        <v>84</v>
      </c>
      <c r="H1040" s="8">
        <v>2</v>
      </c>
      <c r="I1040" s="10">
        <v>129</v>
      </c>
      <c r="J1040" s="14">
        <f>P1040*I1040</f>
        <v>258</v>
      </c>
      <c r="K1040" s="16">
        <v>0.34</v>
      </c>
      <c r="L1040" s="1" t="s">
        <v>30</v>
      </c>
      <c r="M1040" t="s">
        <v>58</v>
      </c>
      <c r="N1040" t="str">
        <f t="shared" si="19"/>
        <v>United Kingdom</v>
      </c>
      <c r="O1040" s="8">
        <f>IF(K1040&gt;=1,K1040,K1040*1000)</f>
        <v>340</v>
      </c>
      <c r="P1040">
        <f>ABS(H1040)</f>
        <v>2</v>
      </c>
      <c r="R1040"/>
    </row>
    <row r="1041" spans="1:18" x14ac:dyDescent="0.35">
      <c r="A1041" t="s">
        <v>2071</v>
      </c>
      <c r="B1041" s="2">
        <v>46080</v>
      </c>
      <c r="C1041" t="s">
        <v>2072</v>
      </c>
      <c r="D1041" s="3" t="s">
        <v>99</v>
      </c>
      <c r="E1041" t="s">
        <v>34</v>
      </c>
      <c r="F1041" t="s">
        <v>89</v>
      </c>
      <c r="G1041" t="s">
        <v>90</v>
      </c>
      <c r="H1041" s="8">
        <v>3</v>
      </c>
      <c r="I1041" s="10">
        <v>45</v>
      </c>
      <c r="J1041" s="14">
        <f>P1041*I1041</f>
        <v>135</v>
      </c>
      <c r="K1041" s="16">
        <v>640</v>
      </c>
      <c r="L1041" s="1" t="s">
        <v>30</v>
      </c>
      <c r="M1041" t="s">
        <v>22</v>
      </c>
      <c r="N1041" t="str">
        <f t="shared" si="19"/>
        <v>United Kingdom</v>
      </c>
      <c r="O1041" s="8">
        <f>IF(K1041&gt;=1,K1041,K1041*1000)</f>
        <v>640</v>
      </c>
      <c r="P1041">
        <f>ABS(H1041)</f>
        <v>3</v>
      </c>
      <c r="R1041"/>
    </row>
    <row r="1042" spans="1:18" x14ac:dyDescent="0.35">
      <c r="A1042" t="s">
        <v>2073</v>
      </c>
      <c r="B1042" s="2">
        <v>46152</v>
      </c>
      <c r="C1042" t="s">
        <v>2074</v>
      </c>
      <c r="D1042" s="3" t="s">
        <v>66</v>
      </c>
      <c r="E1042" t="s">
        <v>41</v>
      </c>
      <c r="F1042" t="s">
        <v>26</v>
      </c>
      <c r="G1042" t="s">
        <v>27</v>
      </c>
      <c r="H1042" s="8">
        <v>2</v>
      </c>
      <c r="I1042" s="10">
        <v>80.099999999999994</v>
      </c>
      <c r="J1042" s="14">
        <f>P1042*I1042</f>
        <v>160.19999999999999</v>
      </c>
      <c r="K1042" s="16">
        <v>0.52</v>
      </c>
      <c r="L1042" s="1" t="s">
        <v>21</v>
      </c>
      <c r="M1042" t="s">
        <v>22</v>
      </c>
      <c r="N1042" t="str">
        <f t="shared" si="19"/>
        <v>Gb</v>
      </c>
      <c r="O1042" s="8">
        <f>IF(K1042&gt;=1,K1042,K1042*1000)</f>
        <v>520</v>
      </c>
      <c r="P1042">
        <f>ABS(H1042)</f>
        <v>2</v>
      </c>
      <c r="R1042"/>
    </row>
    <row r="1043" spans="1:18" x14ac:dyDescent="0.35">
      <c r="A1043" t="s">
        <v>2075</v>
      </c>
      <c r="B1043" s="2">
        <v>46202</v>
      </c>
      <c r="C1043" t="s">
        <v>2076</v>
      </c>
      <c r="D1043" s="3" t="s">
        <v>61</v>
      </c>
      <c r="E1043" t="s">
        <v>34</v>
      </c>
      <c r="F1043" t="s">
        <v>83</v>
      </c>
      <c r="G1043" t="s">
        <v>84</v>
      </c>
      <c r="H1043" s="8">
        <v>1</v>
      </c>
      <c r="I1043" s="10">
        <v>89</v>
      </c>
      <c r="J1043" s="14">
        <f>P1043*I1043</f>
        <v>89</v>
      </c>
      <c r="K1043" s="16">
        <v>0.34</v>
      </c>
      <c r="L1043" s="1" t="s">
        <v>30</v>
      </c>
      <c r="M1043" t="s">
        <v>22</v>
      </c>
      <c r="N1043" t="str">
        <f t="shared" si="19"/>
        <v>Ireland</v>
      </c>
      <c r="O1043" s="8">
        <f>IF(K1043&gt;=1,K1043,K1043*1000)</f>
        <v>340</v>
      </c>
      <c r="P1043">
        <f>ABS(H1043)</f>
        <v>1</v>
      </c>
      <c r="R1043"/>
    </row>
    <row r="1044" spans="1:18" x14ac:dyDescent="0.35">
      <c r="A1044" t="s">
        <v>2077</v>
      </c>
      <c r="B1044" s="2">
        <v>46135</v>
      </c>
      <c r="C1044" t="s">
        <v>2078</v>
      </c>
      <c r="D1044" s="3" t="s">
        <v>53</v>
      </c>
      <c r="E1044" t="s">
        <v>16</v>
      </c>
      <c r="F1044" t="s">
        <v>17</v>
      </c>
      <c r="G1044" t="s">
        <v>18</v>
      </c>
      <c r="H1044" s="8">
        <v>1</v>
      </c>
      <c r="I1044" s="10">
        <v>89</v>
      </c>
      <c r="J1044" s="14">
        <f>P1044*I1044</f>
        <v>89</v>
      </c>
      <c r="K1044" s="16">
        <v>0.52</v>
      </c>
      <c r="L1044" s="1" t="s">
        <v>30</v>
      </c>
      <c r="M1044" t="s">
        <v>58</v>
      </c>
      <c r="N1044" t="str">
        <f t="shared" si="19"/>
        <v>Gb</v>
      </c>
      <c r="O1044" s="8">
        <f>IF(K1044&gt;=1,K1044,K1044*1000)</f>
        <v>520</v>
      </c>
      <c r="P1044">
        <f>ABS(H1044)</f>
        <v>1</v>
      </c>
      <c r="R1044"/>
    </row>
    <row r="1045" spans="1:18" x14ac:dyDescent="0.35">
      <c r="A1045" t="s">
        <v>2079</v>
      </c>
      <c r="B1045" s="2">
        <v>46208</v>
      </c>
      <c r="C1045" t="s">
        <v>2080</v>
      </c>
      <c r="D1045" s="3" t="s">
        <v>4612</v>
      </c>
      <c r="E1045" t="s">
        <v>25</v>
      </c>
      <c r="F1045" t="s">
        <v>83</v>
      </c>
      <c r="G1045" t="s">
        <v>84</v>
      </c>
      <c r="H1045" s="8">
        <v>2</v>
      </c>
      <c r="I1045" s="10">
        <v>89</v>
      </c>
      <c r="J1045" s="14">
        <f>P1045*I1045</f>
        <v>178</v>
      </c>
      <c r="K1045" s="16">
        <v>0.34</v>
      </c>
      <c r="L1045" s="1" t="s">
        <v>30</v>
      </c>
      <c r="M1045" t="s">
        <v>22</v>
      </c>
      <c r="N1045" t="str">
        <f t="shared" si="19"/>
        <v>United Kingdom</v>
      </c>
      <c r="O1045" s="8">
        <f>IF(K1045&gt;=1,K1045,K1045*1000)</f>
        <v>340</v>
      </c>
      <c r="P1045">
        <f>ABS(H1045)</f>
        <v>2</v>
      </c>
      <c r="R1045"/>
    </row>
    <row r="1046" spans="1:18" x14ac:dyDescent="0.35">
      <c r="A1046" t="s">
        <v>2081</v>
      </c>
      <c r="B1046" s="2" t="s">
        <v>2082</v>
      </c>
      <c r="C1046" t="s">
        <v>2083</v>
      </c>
      <c r="D1046" s="3" t="s">
        <v>4613</v>
      </c>
      <c r="E1046" t="s">
        <v>41</v>
      </c>
      <c r="F1046" t="s">
        <v>89</v>
      </c>
      <c r="G1046" t="s">
        <v>90</v>
      </c>
      <c r="H1046" s="8">
        <v>1</v>
      </c>
      <c r="I1046" s="10">
        <v>79</v>
      </c>
      <c r="J1046" s="14">
        <f>P1046*I1046</f>
        <v>79</v>
      </c>
      <c r="K1046" s="16">
        <v>0.64</v>
      </c>
      <c r="L1046" s="1" t="s">
        <v>30</v>
      </c>
      <c r="M1046" t="s">
        <v>22</v>
      </c>
      <c r="N1046" t="str">
        <f t="shared" si="19"/>
        <v>United Kingdom</v>
      </c>
      <c r="O1046" s="8">
        <f>IF(K1046&gt;=1,K1046,K1046*1000)</f>
        <v>640</v>
      </c>
      <c r="P1046">
        <f>ABS(H1046)</f>
        <v>1</v>
      </c>
      <c r="R1046"/>
    </row>
    <row r="1047" spans="1:18" x14ac:dyDescent="0.35">
      <c r="A1047" t="s">
        <v>2084</v>
      </c>
      <c r="B1047" s="2">
        <v>46171</v>
      </c>
      <c r="C1047" t="s">
        <v>1672</v>
      </c>
      <c r="D1047" s="3" t="s">
        <v>4612</v>
      </c>
      <c r="E1047" t="s">
        <v>16</v>
      </c>
      <c r="F1047" t="s">
        <v>42</v>
      </c>
      <c r="G1047" t="s">
        <v>43</v>
      </c>
      <c r="H1047" s="8">
        <v>3</v>
      </c>
      <c r="I1047" s="10">
        <v>21.6</v>
      </c>
      <c r="J1047" s="14">
        <f>P1047*I1047</f>
        <v>64.800000000000011</v>
      </c>
      <c r="K1047" s="16">
        <v>0.19</v>
      </c>
      <c r="L1047" s="1" t="s">
        <v>30</v>
      </c>
      <c r="M1047" t="s">
        <v>22</v>
      </c>
      <c r="N1047" t="str">
        <f t="shared" si="19"/>
        <v>United Kingdom</v>
      </c>
      <c r="O1047" s="8">
        <f>IF(K1047&gt;=1,K1047,K1047*1000)</f>
        <v>190</v>
      </c>
      <c r="P1047">
        <f>ABS(H1047)</f>
        <v>3</v>
      </c>
      <c r="R1047"/>
    </row>
    <row r="1048" spans="1:18" x14ac:dyDescent="0.35">
      <c r="A1048" t="s">
        <v>2085</v>
      </c>
      <c r="B1048" s="2">
        <v>46161</v>
      </c>
      <c r="C1048" t="s">
        <v>2086</v>
      </c>
      <c r="D1048" s="3" t="s">
        <v>15</v>
      </c>
      <c r="E1048" t="s">
        <v>67</v>
      </c>
      <c r="F1048" t="s">
        <v>17</v>
      </c>
      <c r="G1048" t="s">
        <v>18</v>
      </c>
      <c r="H1048" s="8">
        <v>-1</v>
      </c>
      <c r="I1048" s="10">
        <v>89</v>
      </c>
      <c r="J1048" s="14">
        <f>P1048*I1048</f>
        <v>89</v>
      </c>
      <c r="K1048" s="16">
        <v>0.52</v>
      </c>
      <c r="L1048" s="1" t="s">
        <v>30</v>
      </c>
      <c r="M1048" t="s">
        <v>22</v>
      </c>
      <c r="N1048" t="str">
        <f t="shared" si="19"/>
        <v>France</v>
      </c>
      <c r="O1048" s="8">
        <f>IF(K1048&gt;=1,K1048,K1048*1000)</f>
        <v>520</v>
      </c>
      <c r="P1048">
        <f>ABS(H1048)</f>
        <v>1</v>
      </c>
      <c r="R1048"/>
    </row>
    <row r="1049" spans="1:18" x14ac:dyDescent="0.35">
      <c r="A1049" t="s">
        <v>2087</v>
      </c>
      <c r="B1049" s="2">
        <v>46193</v>
      </c>
      <c r="C1049" t="s">
        <v>1626</v>
      </c>
      <c r="D1049" s="3" t="s">
        <v>116</v>
      </c>
      <c r="E1049" t="s">
        <v>25</v>
      </c>
      <c r="F1049" t="s">
        <v>74</v>
      </c>
      <c r="G1049" t="s">
        <v>75</v>
      </c>
      <c r="H1049" s="8">
        <v>1</v>
      </c>
      <c r="I1049" s="10">
        <v>89</v>
      </c>
      <c r="J1049" s="14">
        <f>P1049*I1049</f>
        <v>89</v>
      </c>
      <c r="K1049" s="16">
        <v>0.41</v>
      </c>
      <c r="L1049" s="1" t="s">
        <v>30</v>
      </c>
      <c r="M1049" t="s">
        <v>22</v>
      </c>
      <c r="N1049" t="str">
        <f t="shared" si="19"/>
        <v>Germany</v>
      </c>
      <c r="O1049" s="8">
        <f>IF(K1049&gt;=1,K1049,K1049*1000)</f>
        <v>410</v>
      </c>
      <c r="P1049">
        <f>ABS(H1049)</f>
        <v>1</v>
      </c>
      <c r="R1049"/>
    </row>
    <row r="1050" spans="1:18" x14ac:dyDescent="0.35">
      <c r="A1050" t="s">
        <v>2088</v>
      </c>
      <c r="B1050" s="2">
        <v>46093</v>
      </c>
      <c r="C1050" t="s">
        <v>597</v>
      </c>
      <c r="D1050" s="3" t="s">
        <v>4612</v>
      </c>
      <c r="E1050" t="s">
        <v>67</v>
      </c>
      <c r="F1050" t="s">
        <v>35</v>
      </c>
      <c r="G1050" t="s">
        <v>36</v>
      </c>
      <c r="H1050" s="8">
        <v>1</v>
      </c>
      <c r="I1050" s="10">
        <v>45</v>
      </c>
      <c r="J1050" s="14">
        <f>P1050*I1050</f>
        <v>45</v>
      </c>
      <c r="K1050" s="16">
        <v>85</v>
      </c>
      <c r="L1050" s="1" t="s">
        <v>30</v>
      </c>
      <c r="M1050" t="s">
        <v>22</v>
      </c>
      <c r="N1050" t="str">
        <f t="shared" si="19"/>
        <v>United Kingdom</v>
      </c>
      <c r="O1050" s="8">
        <f>IF(K1050&gt;=1,K1050,K1050*1000)</f>
        <v>85</v>
      </c>
      <c r="P1050">
        <f>ABS(H1050)</f>
        <v>1</v>
      </c>
      <c r="R1050"/>
    </row>
    <row r="1051" spans="1:18" x14ac:dyDescent="0.35">
      <c r="A1051" t="s">
        <v>2089</v>
      </c>
      <c r="B1051" s="2">
        <v>46060</v>
      </c>
      <c r="C1051" t="s">
        <v>1789</v>
      </c>
      <c r="D1051" s="3" t="s">
        <v>99</v>
      </c>
      <c r="E1051" t="s">
        <v>25</v>
      </c>
      <c r="F1051" t="s">
        <v>74</v>
      </c>
      <c r="G1051" t="s">
        <v>75</v>
      </c>
      <c r="H1051" s="8">
        <v>1</v>
      </c>
      <c r="I1051" s="10">
        <v>12.5</v>
      </c>
      <c r="J1051" s="14">
        <f>P1051*I1051</f>
        <v>12.5</v>
      </c>
      <c r="K1051" s="16">
        <v>410</v>
      </c>
      <c r="L1051" s="1" t="s">
        <v>30</v>
      </c>
      <c r="M1051" t="s">
        <v>22</v>
      </c>
      <c r="N1051" t="str">
        <f t="shared" si="19"/>
        <v>United Kingdom</v>
      </c>
      <c r="O1051" s="8">
        <f>IF(K1051&gt;=1,K1051,K1051*1000)</f>
        <v>410</v>
      </c>
      <c r="P1051">
        <f>ABS(H1051)</f>
        <v>1</v>
      </c>
      <c r="R1051"/>
    </row>
    <row r="1052" spans="1:18" x14ac:dyDescent="0.35">
      <c r="A1052" t="s">
        <v>2090</v>
      </c>
      <c r="B1052" s="2">
        <v>46083</v>
      </c>
      <c r="C1052" t="s">
        <v>1808</v>
      </c>
      <c r="D1052" s="3" t="s">
        <v>99</v>
      </c>
      <c r="E1052" t="s">
        <v>34</v>
      </c>
      <c r="F1052" t="s">
        <v>35</v>
      </c>
      <c r="G1052" t="s">
        <v>36</v>
      </c>
      <c r="H1052" s="8">
        <v>2</v>
      </c>
      <c r="I1052" s="10">
        <v>95</v>
      </c>
      <c r="J1052" s="14">
        <f>P1052*I1052</f>
        <v>190</v>
      </c>
      <c r="K1052" s="16">
        <v>85</v>
      </c>
      <c r="L1052" s="1" t="s">
        <v>21</v>
      </c>
      <c r="M1052" t="s">
        <v>22</v>
      </c>
      <c r="N1052" t="str">
        <f t="shared" si="19"/>
        <v>United Kingdom</v>
      </c>
      <c r="O1052" s="8">
        <f>IF(K1052&gt;=1,K1052,K1052*1000)</f>
        <v>85</v>
      </c>
      <c r="P1052">
        <f>ABS(H1052)</f>
        <v>2</v>
      </c>
      <c r="R1052"/>
    </row>
    <row r="1053" spans="1:18" x14ac:dyDescent="0.35">
      <c r="A1053" t="s">
        <v>2091</v>
      </c>
      <c r="B1053" s="2">
        <v>46177</v>
      </c>
      <c r="C1053" t="s">
        <v>1442</v>
      </c>
      <c r="D1053" s="3" t="s">
        <v>99</v>
      </c>
      <c r="E1053" t="s">
        <v>67</v>
      </c>
      <c r="F1053" t="s">
        <v>17</v>
      </c>
      <c r="G1053" t="s">
        <v>18</v>
      </c>
      <c r="H1053" s="8">
        <v>2</v>
      </c>
      <c r="I1053" s="10">
        <v>89</v>
      </c>
      <c r="J1053" s="14">
        <f>P1053*I1053</f>
        <v>178</v>
      </c>
      <c r="K1053" s="16">
        <v>0.52</v>
      </c>
      <c r="L1053" s="1" t="s">
        <v>30</v>
      </c>
      <c r="M1053" t="s">
        <v>58</v>
      </c>
      <c r="N1053" t="str">
        <f t="shared" si="19"/>
        <v>United Kingdom</v>
      </c>
      <c r="O1053" s="8">
        <f>IF(K1053&gt;=1,K1053,K1053*1000)</f>
        <v>520</v>
      </c>
      <c r="P1053">
        <f>ABS(H1053)</f>
        <v>2</v>
      </c>
      <c r="R1053"/>
    </row>
    <row r="1054" spans="1:18" x14ac:dyDescent="0.35">
      <c r="A1054" t="s">
        <v>2092</v>
      </c>
      <c r="B1054" s="2">
        <v>46125</v>
      </c>
      <c r="C1054" t="s">
        <v>1364</v>
      </c>
      <c r="D1054" s="3" t="s">
        <v>99</v>
      </c>
      <c r="E1054" t="s">
        <v>25</v>
      </c>
      <c r="F1054" t="s">
        <v>89</v>
      </c>
      <c r="G1054" t="s">
        <v>90</v>
      </c>
      <c r="H1054" s="8">
        <v>2</v>
      </c>
      <c r="I1054" s="10">
        <v>71.099999999999994</v>
      </c>
      <c r="J1054" s="14">
        <f>P1054*I1054</f>
        <v>142.19999999999999</v>
      </c>
      <c r="K1054" s="16">
        <v>640</v>
      </c>
      <c r="L1054" s="1" t="s">
        <v>30</v>
      </c>
      <c r="M1054" t="s">
        <v>58</v>
      </c>
      <c r="N1054" t="str">
        <f t="shared" si="19"/>
        <v>United Kingdom</v>
      </c>
      <c r="O1054" s="8">
        <f>IF(K1054&gt;=1,K1054,K1054*1000)</f>
        <v>640</v>
      </c>
      <c r="P1054">
        <f>ABS(H1054)</f>
        <v>2</v>
      </c>
      <c r="R1054"/>
    </row>
    <row r="1055" spans="1:18" x14ac:dyDescent="0.35">
      <c r="A1055" t="s">
        <v>2093</v>
      </c>
      <c r="B1055" s="2">
        <v>46095</v>
      </c>
      <c r="C1055" t="s">
        <v>1731</v>
      </c>
      <c r="D1055" s="3" t="s">
        <v>66</v>
      </c>
      <c r="E1055" t="s">
        <v>25</v>
      </c>
      <c r="F1055" t="s">
        <v>42</v>
      </c>
      <c r="G1055" t="s">
        <v>43</v>
      </c>
      <c r="H1055" s="8">
        <v>2</v>
      </c>
      <c r="I1055" s="10">
        <v>40.5</v>
      </c>
      <c r="J1055" s="14">
        <f>P1055*I1055</f>
        <v>81</v>
      </c>
      <c r="K1055" s="16">
        <v>190</v>
      </c>
      <c r="L1055" s="1" t="s">
        <v>30</v>
      </c>
      <c r="M1055" t="s">
        <v>22</v>
      </c>
      <c r="N1055" t="str">
        <f t="shared" si="19"/>
        <v>Gb</v>
      </c>
      <c r="O1055" s="8">
        <f>IF(K1055&gt;=1,K1055,K1055*1000)</f>
        <v>190</v>
      </c>
      <c r="P1055">
        <f>ABS(H1055)</f>
        <v>2</v>
      </c>
      <c r="R1055"/>
    </row>
    <row r="1056" spans="1:18" x14ac:dyDescent="0.35">
      <c r="A1056" t="s">
        <v>2094</v>
      </c>
      <c r="B1056" s="2">
        <v>46129</v>
      </c>
      <c r="C1056" t="s">
        <v>2095</v>
      </c>
      <c r="D1056" s="3" t="s">
        <v>4612</v>
      </c>
      <c r="E1056" t="s">
        <v>67</v>
      </c>
      <c r="F1056" t="s">
        <v>26</v>
      </c>
      <c r="G1056" t="s">
        <v>27</v>
      </c>
      <c r="H1056" s="8">
        <v>1</v>
      </c>
      <c r="I1056" s="10">
        <v>45</v>
      </c>
      <c r="J1056" s="14">
        <f>P1056*I1056</f>
        <v>45</v>
      </c>
      <c r="K1056" s="16">
        <v>520</v>
      </c>
      <c r="L1056" s="1" t="s">
        <v>30</v>
      </c>
      <c r="M1056" t="s">
        <v>22</v>
      </c>
      <c r="N1056" t="str">
        <f t="shared" si="19"/>
        <v>United Kingdom</v>
      </c>
      <c r="O1056" s="8">
        <f>IF(K1056&gt;=1,K1056,K1056*1000)</f>
        <v>520</v>
      </c>
      <c r="P1056">
        <f>ABS(H1056)</f>
        <v>1</v>
      </c>
      <c r="R1056"/>
    </row>
    <row r="1057" spans="1:18" x14ac:dyDescent="0.35">
      <c r="A1057" t="s">
        <v>2096</v>
      </c>
      <c r="B1057" s="2">
        <v>46124</v>
      </c>
      <c r="C1057" t="s">
        <v>1409</v>
      </c>
      <c r="D1057" s="3" t="s">
        <v>116</v>
      </c>
      <c r="E1057" t="s">
        <v>25</v>
      </c>
      <c r="F1057" t="s">
        <v>83</v>
      </c>
      <c r="G1057" t="s">
        <v>84</v>
      </c>
      <c r="H1057" s="8">
        <v>3</v>
      </c>
      <c r="I1057" s="12" t="s">
        <v>4639</v>
      </c>
      <c r="J1057" s="14">
        <f>P1057*R1057</f>
        <v>37.5</v>
      </c>
      <c r="K1057" s="16">
        <v>340</v>
      </c>
      <c r="L1057" s="1" t="s">
        <v>30</v>
      </c>
      <c r="M1057" t="s">
        <v>22</v>
      </c>
      <c r="N1057" t="str">
        <f t="shared" si="19"/>
        <v>Germany</v>
      </c>
      <c r="O1057" s="8">
        <f>IF(K1057&gt;=1,K1057,K1057*1000)</f>
        <v>340</v>
      </c>
      <c r="P1057">
        <f>ABS(H1057)</f>
        <v>3</v>
      </c>
      <c r="Q1057" t="str">
        <f>LEFT(I1057,2)</f>
        <v>Â£</v>
      </c>
      <c r="R1057" t="str">
        <f>RIGHT(I1057,5)</f>
        <v>12,50</v>
      </c>
    </row>
    <row r="1058" spans="1:18" x14ac:dyDescent="0.35">
      <c r="A1058" t="s">
        <v>2097</v>
      </c>
      <c r="B1058" s="2">
        <v>46106</v>
      </c>
      <c r="C1058" t="s">
        <v>2098</v>
      </c>
      <c r="D1058" s="3" t="s">
        <v>53</v>
      </c>
      <c r="E1058" t="s">
        <v>25</v>
      </c>
      <c r="F1058" t="s">
        <v>47</v>
      </c>
      <c r="G1058" t="s">
        <v>48</v>
      </c>
      <c r="H1058" s="8">
        <v>1</v>
      </c>
      <c r="I1058" s="10">
        <v>149</v>
      </c>
      <c r="J1058" s="14">
        <f>P1058*I1058</f>
        <v>149</v>
      </c>
      <c r="K1058" s="16">
        <v>380</v>
      </c>
      <c r="L1058" s="1" t="s">
        <v>30</v>
      </c>
      <c r="M1058" t="s">
        <v>22</v>
      </c>
      <c r="N1058" t="str">
        <f t="shared" si="19"/>
        <v>Gb</v>
      </c>
      <c r="O1058" s="8">
        <f>IF(K1058&gt;=1,K1058,K1058*1000)</f>
        <v>380</v>
      </c>
      <c r="P1058">
        <f>ABS(H1058)</f>
        <v>1</v>
      </c>
      <c r="R1058"/>
    </row>
    <row r="1059" spans="1:18" x14ac:dyDescent="0.35">
      <c r="A1059" t="s">
        <v>2099</v>
      </c>
      <c r="B1059" s="2">
        <v>46150</v>
      </c>
      <c r="C1059" t="s">
        <v>2100</v>
      </c>
      <c r="D1059" s="3" t="s">
        <v>99</v>
      </c>
      <c r="E1059" t="s">
        <v>25</v>
      </c>
      <c r="F1059" t="s">
        <v>26</v>
      </c>
      <c r="G1059" t="s">
        <v>27</v>
      </c>
      <c r="H1059" s="8">
        <v>2</v>
      </c>
      <c r="I1059" s="10">
        <v>12.5</v>
      </c>
      <c r="J1059" s="14">
        <f>P1059*I1059</f>
        <v>25</v>
      </c>
      <c r="K1059" s="16">
        <v>0.52</v>
      </c>
      <c r="L1059" s="1" t="s">
        <v>30</v>
      </c>
      <c r="M1059" t="s">
        <v>22</v>
      </c>
      <c r="N1059" t="str">
        <f t="shared" si="19"/>
        <v>United Kingdom</v>
      </c>
      <c r="O1059" s="8">
        <f>IF(K1059&gt;=1,K1059,K1059*1000)</f>
        <v>520</v>
      </c>
      <c r="P1059">
        <f>ABS(H1059)</f>
        <v>2</v>
      </c>
      <c r="R1059"/>
    </row>
    <row r="1060" spans="1:18" x14ac:dyDescent="0.35">
      <c r="A1060" t="s">
        <v>2101</v>
      </c>
      <c r="B1060" s="2">
        <v>46208</v>
      </c>
      <c r="C1060" t="s">
        <v>2102</v>
      </c>
      <c r="D1060" s="3" t="s">
        <v>61</v>
      </c>
      <c r="E1060" t="s">
        <v>25</v>
      </c>
      <c r="F1060" t="s">
        <v>47</v>
      </c>
      <c r="G1060" t="s">
        <v>48</v>
      </c>
      <c r="H1060" s="8">
        <v>2</v>
      </c>
      <c r="I1060" s="10">
        <v>45</v>
      </c>
      <c r="J1060" s="14">
        <f>P1060*I1060</f>
        <v>90</v>
      </c>
      <c r="K1060" s="16">
        <v>0.38</v>
      </c>
      <c r="L1060" s="1" t="s">
        <v>30</v>
      </c>
      <c r="M1060" t="s">
        <v>58</v>
      </c>
      <c r="N1060" t="str">
        <f t="shared" si="19"/>
        <v>Ireland</v>
      </c>
      <c r="O1060" s="8">
        <f>IF(K1060&gt;=1,K1060,K1060*1000)</f>
        <v>380</v>
      </c>
      <c r="P1060">
        <f>ABS(H1060)</f>
        <v>2</v>
      </c>
      <c r="R1060"/>
    </row>
    <row r="1061" spans="1:18" x14ac:dyDescent="0.35">
      <c r="A1061" t="s">
        <v>2103</v>
      </c>
      <c r="B1061" s="2">
        <v>46156</v>
      </c>
      <c r="C1061" t="s">
        <v>2104</v>
      </c>
      <c r="D1061" s="3" t="s">
        <v>61</v>
      </c>
      <c r="E1061" t="s">
        <v>25</v>
      </c>
      <c r="F1061" t="s">
        <v>35</v>
      </c>
      <c r="G1061" t="s">
        <v>36</v>
      </c>
      <c r="H1061" s="8">
        <v>2</v>
      </c>
      <c r="I1061" s="10">
        <v>21.6</v>
      </c>
      <c r="J1061" s="14">
        <f>P1061*I1061</f>
        <v>43.2</v>
      </c>
      <c r="K1061" s="16">
        <v>8.5000000000000006E-2</v>
      </c>
      <c r="L1061" s="1" t="s">
        <v>30</v>
      </c>
      <c r="M1061" t="s">
        <v>22</v>
      </c>
      <c r="N1061" t="str">
        <f t="shared" si="19"/>
        <v>Ireland</v>
      </c>
      <c r="O1061" s="8">
        <f>IF(K1061&gt;=1,K1061,K1061*1000)</f>
        <v>85</v>
      </c>
      <c r="P1061">
        <f>ABS(H1061)</f>
        <v>2</v>
      </c>
      <c r="R1061"/>
    </row>
    <row r="1062" spans="1:18" x14ac:dyDescent="0.35">
      <c r="A1062" t="s">
        <v>2106</v>
      </c>
      <c r="B1062" s="2">
        <v>46043</v>
      </c>
      <c r="C1062" t="s">
        <v>1189</v>
      </c>
      <c r="D1062" s="3" t="s">
        <v>61</v>
      </c>
      <c r="E1062" t="s">
        <v>16</v>
      </c>
      <c r="F1062" t="s">
        <v>89</v>
      </c>
      <c r="G1062" t="s">
        <v>90</v>
      </c>
      <c r="H1062" s="8">
        <v>3</v>
      </c>
      <c r="I1062" s="10">
        <v>116.1</v>
      </c>
      <c r="J1062" s="14">
        <f>P1062*I1062</f>
        <v>348.29999999999995</v>
      </c>
      <c r="K1062" s="16">
        <v>640</v>
      </c>
      <c r="L1062" s="1" t="s">
        <v>30</v>
      </c>
      <c r="M1062" t="s">
        <v>22</v>
      </c>
      <c r="N1062" t="str">
        <f t="shared" si="19"/>
        <v>Ireland</v>
      </c>
      <c r="O1062" s="8">
        <f>IF(K1062&gt;=1,K1062,K1062*1000)</f>
        <v>640</v>
      </c>
      <c r="P1062">
        <f>ABS(H1062)</f>
        <v>3</v>
      </c>
      <c r="R1062"/>
    </row>
    <row r="1063" spans="1:18" x14ac:dyDescent="0.35">
      <c r="A1063" t="s">
        <v>2107</v>
      </c>
      <c r="B1063" s="2">
        <v>46271</v>
      </c>
      <c r="C1063" t="s">
        <v>2108</v>
      </c>
      <c r="D1063" s="3" t="s">
        <v>99</v>
      </c>
      <c r="E1063" t="s">
        <v>16</v>
      </c>
      <c r="F1063" t="s">
        <v>47</v>
      </c>
      <c r="G1063" t="s">
        <v>48</v>
      </c>
      <c r="H1063" s="8">
        <v>1</v>
      </c>
      <c r="I1063" s="10">
        <v>149</v>
      </c>
      <c r="J1063" s="14">
        <f>P1063*I1063</f>
        <v>149</v>
      </c>
      <c r="K1063" s="16">
        <v>0.38</v>
      </c>
      <c r="L1063" s="1" t="s">
        <v>30</v>
      </c>
      <c r="M1063" t="s">
        <v>22</v>
      </c>
      <c r="N1063" t="str">
        <f t="shared" si="19"/>
        <v>United Kingdom</v>
      </c>
      <c r="O1063" s="8">
        <f>IF(K1063&gt;=1,K1063,K1063*1000)</f>
        <v>380</v>
      </c>
      <c r="P1063">
        <f>ABS(H1063)</f>
        <v>1</v>
      </c>
      <c r="R1063"/>
    </row>
    <row r="1064" spans="1:18" x14ac:dyDescent="0.35">
      <c r="A1064" t="s">
        <v>2109</v>
      </c>
      <c r="B1064" s="2">
        <v>46117</v>
      </c>
      <c r="C1064" t="s">
        <v>2110</v>
      </c>
      <c r="D1064" s="3" t="s">
        <v>4613</v>
      </c>
      <c r="E1064" t="s">
        <v>67</v>
      </c>
      <c r="F1064" t="s">
        <v>89</v>
      </c>
      <c r="G1064" t="s">
        <v>90</v>
      </c>
      <c r="H1064" s="8">
        <v>3</v>
      </c>
      <c r="I1064" s="10">
        <v>149</v>
      </c>
      <c r="J1064" s="14">
        <f>P1064*I1064</f>
        <v>447</v>
      </c>
      <c r="K1064" s="16">
        <v>640</v>
      </c>
      <c r="L1064" s="1" t="s">
        <v>30</v>
      </c>
      <c r="M1064" t="s">
        <v>58</v>
      </c>
      <c r="N1064" t="str">
        <f t="shared" si="19"/>
        <v>United Kingdom</v>
      </c>
      <c r="O1064" s="8">
        <f>IF(K1064&gt;=1,K1064,K1064*1000)</f>
        <v>640</v>
      </c>
      <c r="P1064">
        <f>ABS(H1064)</f>
        <v>3</v>
      </c>
      <c r="R1064"/>
    </row>
    <row r="1065" spans="1:18" x14ac:dyDescent="0.35">
      <c r="A1065" t="s">
        <v>2111</v>
      </c>
      <c r="B1065" s="2" t="s">
        <v>1294</v>
      </c>
      <c r="C1065" t="s">
        <v>2112</v>
      </c>
      <c r="D1065" s="3" t="s">
        <v>4612</v>
      </c>
      <c r="E1065" t="s">
        <v>34</v>
      </c>
      <c r="F1065" t="s">
        <v>42</v>
      </c>
      <c r="G1065" t="s">
        <v>43</v>
      </c>
      <c r="H1065" s="8">
        <v>1</v>
      </c>
      <c r="I1065" s="10">
        <v>95</v>
      </c>
      <c r="J1065" s="14">
        <f>P1065*I1065</f>
        <v>95</v>
      </c>
      <c r="K1065" s="16">
        <v>0.19</v>
      </c>
      <c r="L1065" s="1" t="s">
        <v>30</v>
      </c>
      <c r="M1065" t="s">
        <v>22</v>
      </c>
      <c r="N1065" t="str">
        <f t="shared" si="19"/>
        <v>United Kingdom</v>
      </c>
      <c r="O1065" s="8">
        <f>IF(K1065&gt;=1,K1065,K1065*1000)</f>
        <v>190</v>
      </c>
      <c r="P1065">
        <f>ABS(H1065)</f>
        <v>1</v>
      </c>
      <c r="R1065"/>
    </row>
    <row r="1066" spans="1:18" x14ac:dyDescent="0.35">
      <c r="A1066" t="s">
        <v>2113</v>
      </c>
      <c r="B1066" s="2">
        <v>46051</v>
      </c>
      <c r="C1066" t="s">
        <v>651</v>
      </c>
      <c r="D1066" s="3" t="s">
        <v>61</v>
      </c>
      <c r="E1066" t="s">
        <v>34</v>
      </c>
      <c r="F1066" t="s">
        <v>42</v>
      </c>
      <c r="G1066" t="s">
        <v>43</v>
      </c>
      <c r="H1066" s="8">
        <v>3</v>
      </c>
      <c r="I1066" s="10">
        <v>95</v>
      </c>
      <c r="J1066" s="14">
        <f>P1066*I1066</f>
        <v>285</v>
      </c>
      <c r="K1066" s="16">
        <v>190</v>
      </c>
      <c r="L1066" s="1" t="s">
        <v>21</v>
      </c>
      <c r="M1066" t="s">
        <v>58</v>
      </c>
      <c r="N1066" t="str">
        <f t="shared" si="19"/>
        <v>Ireland</v>
      </c>
      <c r="O1066" s="8">
        <f>IF(K1066&gt;=1,K1066,K1066*1000)</f>
        <v>190</v>
      </c>
      <c r="P1066">
        <f>ABS(H1066)</f>
        <v>3</v>
      </c>
      <c r="R1066"/>
    </row>
    <row r="1067" spans="1:18" x14ac:dyDescent="0.35">
      <c r="A1067" t="s">
        <v>2114</v>
      </c>
      <c r="B1067" s="2">
        <v>46052</v>
      </c>
      <c r="C1067" t="s">
        <v>2115</v>
      </c>
      <c r="D1067" s="3" t="s">
        <v>61</v>
      </c>
      <c r="E1067" t="s">
        <v>34</v>
      </c>
      <c r="F1067" t="s">
        <v>42</v>
      </c>
      <c r="G1067" t="s">
        <v>43</v>
      </c>
      <c r="H1067" s="8">
        <v>2</v>
      </c>
      <c r="I1067" s="10">
        <v>79</v>
      </c>
      <c r="J1067" s="14">
        <f>P1067*I1067</f>
        <v>158</v>
      </c>
      <c r="K1067" s="16">
        <v>190</v>
      </c>
      <c r="L1067" s="1" t="s">
        <v>30</v>
      </c>
      <c r="M1067" t="s">
        <v>22</v>
      </c>
      <c r="N1067" t="str">
        <f t="shared" si="19"/>
        <v>Ireland</v>
      </c>
      <c r="O1067" s="8">
        <f>IF(K1067&gt;=1,K1067,K1067*1000)</f>
        <v>190</v>
      </c>
      <c r="P1067">
        <f>ABS(H1067)</f>
        <v>2</v>
      </c>
      <c r="R1067"/>
    </row>
    <row r="1068" spans="1:18" x14ac:dyDescent="0.35">
      <c r="A1068" t="s">
        <v>2116</v>
      </c>
      <c r="B1068" s="2">
        <v>46102</v>
      </c>
      <c r="C1068" t="s">
        <v>2117</v>
      </c>
      <c r="D1068" s="3" t="s">
        <v>99</v>
      </c>
      <c r="E1068" t="s">
        <v>34</v>
      </c>
      <c r="F1068" t="s">
        <v>89</v>
      </c>
      <c r="G1068" t="s">
        <v>90</v>
      </c>
      <c r="H1068" s="8">
        <v>1</v>
      </c>
      <c r="I1068" s="10">
        <v>95</v>
      </c>
      <c r="J1068" s="14">
        <f>P1068*I1068</f>
        <v>95</v>
      </c>
      <c r="K1068" s="16">
        <v>640</v>
      </c>
      <c r="L1068" s="1" t="s">
        <v>21</v>
      </c>
      <c r="M1068" t="s">
        <v>58</v>
      </c>
      <c r="N1068" t="str">
        <f t="shared" si="19"/>
        <v>United Kingdom</v>
      </c>
      <c r="O1068" s="8">
        <f>IF(K1068&gt;=1,K1068,K1068*1000)</f>
        <v>640</v>
      </c>
      <c r="P1068">
        <f>ABS(H1068)</f>
        <v>1</v>
      </c>
      <c r="R1068"/>
    </row>
    <row r="1069" spans="1:18" x14ac:dyDescent="0.35">
      <c r="A1069" t="s">
        <v>2118</v>
      </c>
      <c r="B1069" s="2" t="s">
        <v>552</v>
      </c>
      <c r="C1069" t="s">
        <v>2119</v>
      </c>
      <c r="D1069" s="3" t="s">
        <v>66</v>
      </c>
      <c r="E1069" t="s">
        <v>16</v>
      </c>
      <c r="F1069" t="s">
        <v>26</v>
      </c>
      <c r="G1069" t="s">
        <v>27</v>
      </c>
      <c r="H1069" s="8">
        <v>2</v>
      </c>
      <c r="I1069" s="10">
        <v>95</v>
      </c>
      <c r="J1069" s="14">
        <f>P1069*I1069</f>
        <v>190</v>
      </c>
      <c r="K1069" s="16">
        <v>520</v>
      </c>
      <c r="L1069" s="1" t="s">
        <v>30</v>
      </c>
      <c r="M1069" t="s">
        <v>58</v>
      </c>
      <c r="N1069" t="str">
        <f t="shared" si="19"/>
        <v>Gb</v>
      </c>
      <c r="O1069" s="8">
        <f>IF(K1069&gt;=1,K1069,K1069*1000)</f>
        <v>520</v>
      </c>
      <c r="P1069">
        <f>ABS(H1069)</f>
        <v>2</v>
      </c>
      <c r="R1069"/>
    </row>
    <row r="1070" spans="1:18" x14ac:dyDescent="0.35">
      <c r="A1070" t="s">
        <v>2120</v>
      </c>
      <c r="B1070" s="2" t="s">
        <v>2018</v>
      </c>
      <c r="C1070" t="s">
        <v>870</v>
      </c>
      <c r="D1070" s="3" t="s">
        <v>46</v>
      </c>
      <c r="E1070" t="s">
        <v>34</v>
      </c>
      <c r="F1070" t="s">
        <v>74</v>
      </c>
      <c r="G1070" t="s">
        <v>75</v>
      </c>
      <c r="H1070" s="8">
        <v>1</v>
      </c>
      <c r="I1070" s="10">
        <v>116.1</v>
      </c>
      <c r="J1070" s="14">
        <f>P1070*I1070</f>
        <v>116.1</v>
      </c>
      <c r="K1070" s="16">
        <v>410</v>
      </c>
      <c r="L1070" s="1" t="s">
        <v>30</v>
      </c>
      <c r="M1070" t="s">
        <v>58</v>
      </c>
      <c r="N1070" t="str">
        <f t="shared" si="19"/>
        <v>Ireland</v>
      </c>
      <c r="O1070" s="8">
        <f>IF(K1070&gt;=1,K1070,K1070*1000)</f>
        <v>410</v>
      </c>
      <c r="P1070">
        <f>ABS(H1070)</f>
        <v>1</v>
      </c>
      <c r="R1070"/>
    </row>
    <row r="1071" spans="1:18" x14ac:dyDescent="0.35">
      <c r="A1071" t="s">
        <v>2121</v>
      </c>
      <c r="B1071" s="2" t="s">
        <v>2122</v>
      </c>
      <c r="C1071" t="s">
        <v>670</v>
      </c>
      <c r="D1071" s="3" t="s">
        <v>99</v>
      </c>
      <c r="E1071" t="s">
        <v>41</v>
      </c>
      <c r="F1071" t="s">
        <v>35</v>
      </c>
      <c r="G1071" t="s">
        <v>36</v>
      </c>
      <c r="H1071" s="8">
        <v>1</v>
      </c>
      <c r="I1071" s="10">
        <v>85.5</v>
      </c>
      <c r="J1071" s="14">
        <f>P1071*I1071</f>
        <v>85.5</v>
      </c>
      <c r="K1071" s="16">
        <v>85</v>
      </c>
      <c r="L1071" s="1" t="s">
        <v>30</v>
      </c>
      <c r="M1071" t="s">
        <v>22</v>
      </c>
      <c r="N1071" t="str">
        <f t="shared" si="19"/>
        <v>United Kingdom</v>
      </c>
      <c r="O1071" s="8">
        <f>IF(K1071&gt;=1,K1071,K1071*1000)</f>
        <v>85</v>
      </c>
      <c r="P1071">
        <f>ABS(H1071)</f>
        <v>1</v>
      </c>
      <c r="R1071"/>
    </row>
    <row r="1072" spans="1:18" x14ac:dyDescent="0.35">
      <c r="A1072" t="s">
        <v>2123</v>
      </c>
      <c r="B1072" s="2">
        <v>46160</v>
      </c>
      <c r="C1072" t="s">
        <v>1369</v>
      </c>
      <c r="D1072" s="3" t="s">
        <v>66</v>
      </c>
      <c r="E1072" t="s">
        <v>67</v>
      </c>
      <c r="F1072" t="s">
        <v>17</v>
      </c>
      <c r="G1072" t="s">
        <v>18</v>
      </c>
      <c r="H1072" s="8">
        <v>3</v>
      </c>
      <c r="I1072" s="10">
        <v>79</v>
      </c>
      <c r="J1072" s="14">
        <f>P1072*I1072</f>
        <v>237</v>
      </c>
      <c r="K1072" s="16">
        <v>0.52</v>
      </c>
      <c r="L1072" s="1" t="s">
        <v>21</v>
      </c>
      <c r="M1072" t="s">
        <v>58</v>
      </c>
      <c r="N1072" t="str">
        <f t="shared" si="19"/>
        <v>Gb</v>
      </c>
      <c r="O1072" s="8">
        <f>IF(K1072&gt;=1,K1072,K1072*1000)</f>
        <v>520</v>
      </c>
      <c r="P1072">
        <f>ABS(H1072)</f>
        <v>3</v>
      </c>
      <c r="R1072"/>
    </row>
    <row r="1073" spans="1:18" x14ac:dyDescent="0.35">
      <c r="A1073" t="s">
        <v>2124</v>
      </c>
      <c r="B1073" s="2">
        <v>46181</v>
      </c>
      <c r="C1073" t="s">
        <v>1960</v>
      </c>
      <c r="D1073" s="3" t="s">
        <v>99</v>
      </c>
      <c r="E1073" t="s">
        <v>16</v>
      </c>
      <c r="F1073" t="s">
        <v>17</v>
      </c>
      <c r="G1073" t="s">
        <v>18</v>
      </c>
      <c r="H1073" s="8">
        <v>3</v>
      </c>
      <c r="I1073" s="10">
        <v>45</v>
      </c>
      <c r="J1073" s="14">
        <f>P1073*I1073</f>
        <v>135</v>
      </c>
      <c r="K1073" s="16">
        <v>0.52</v>
      </c>
      <c r="L1073" s="1" t="s">
        <v>30</v>
      </c>
      <c r="M1073" t="s">
        <v>22</v>
      </c>
      <c r="N1073" t="str">
        <f t="shared" si="19"/>
        <v>United Kingdom</v>
      </c>
      <c r="O1073" s="8">
        <f>IF(K1073&gt;=1,K1073,K1073*1000)</f>
        <v>520</v>
      </c>
      <c r="P1073">
        <f>ABS(H1073)</f>
        <v>3</v>
      </c>
      <c r="R1073"/>
    </row>
    <row r="1074" spans="1:18" x14ac:dyDescent="0.35">
      <c r="A1074" t="s">
        <v>2125</v>
      </c>
      <c r="B1074" s="2">
        <v>46152</v>
      </c>
      <c r="C1074" t="s">
        <v>2126</v>
      </c>
      <c r="D1074" s="3" t="s">
        <v>15</v>
      </c>
      <c r="E1074" t="s">
        <v>41</v>
      </c>
      <c r="F1074" t="s">
        <v>47</v>
      </c>
      <c r="G1074" t="s">
        <v>48</v>
      </c>
      <c r="H1074" s="8">
        <v>2</v>
      </c>
      <c r="I1074" s="10">
        <v>79</v>
      </c>
      <c r="J1074" s="14">
        <f>P1074*I1074</f>
        <v>158</v>
      </c>
      <c r="K1074" s="16">
        <v>0.38</v>
      </c>
      <c r="L1074" s="1" t="s">
        <v>21</v>
      </c>
      <c r="M1074" t="s">
        <v>22</v>
      </c>
      <c r="N1074" t="str">
        <f t="shared" si="19"/>
        <v>France</v>
      </c>
      <c r="O1074" s="8">
        <f>IF(K1074&gt;=1,K1074,K1074*1000)</f>
        <v>380</v>
      </c>
      <c r="P1074">
        <f>ABS(H1074)</f>
        <v>2</v>
      </c>
      <c r="R1074"/>
    </row>
    <row r="1075" spans="1:18" x14ac:dyDescent="0.35">
      <c r="A1075" t="s">
        <v>2127</v>
      </c>
      <c r="B1075" s="2">
        <v>46186</v>
      </c>
      <c r="C1075" t="s">
        <v>2128</v>
      </c>
      <c r="D1075" s="3" t="s">
        <v>4612</v>
      </c>
      <c r="E1075" t="s">
        <v>34</v>
      </c>
      <c r="F1075" t="s">
        <v>83</v>
      </c>
      <c r="G1075" t="s">
        <v>84</v>
      </c>
      <c r="H1075" s="8">
        <v>1</v>
      </c>
      <c r="I1075" s="10">
        <v>71.099999999999994</v>
      </c>
      <c r="J1075" s="14">
        <f>P1075*I1075</f>
        <v>71.099999999999994</v>
      </c>
      <c r="K1075" s="16">
        <v>0.34</v>
      </c>
      <c r="L1075" s="1" t="s">
        <v>30</v>
      </c>
      <c r="M1075" t="s">
        <v>22</v>
      </c>
      <c r="N1075" t="str">
        <f t="shared" si="19"/>
        <v>United Kingdom</v>
      </c>
      <c r="O1075" s="8">
        <f>IF(K1075&gt;=1,K1075,K1075*1000)</f>
        <v>340</v>
      </c>
      <c r="P1075">
        <f>ABS(H1075)</f>
        <v>1</v>
      </c>
      <c r="R1075"/>
    </row>
    <row r="1076" spans="1:18" x14ac:dyDescent="0.35">
      <c r="A1076" t="s">
        <v>2129</v>
      </c>
      <c r="B1076" s="2">
        <v>46157</v>
      </c>
      <c r="C1076" t="s">
        <v>1762</v>
      </c>
      <c r="D1076" s="3" t="s">
        <v>4613</v>
      </c>
      <c r="E1076" t="s">
        <v>16</v>
      </c>
      <c r="F1076" t="s">
        <v>42</v>
      </c>
      <c r="G1076" t="s">
        <v>43</v>
      </c>
      <c r="H1076" s="8">
        <v>3</v>
      </c>
      <c r="I1076" s="10">
        <v>45</v>
      </c>
      <c r="J1076" s="14">
        <f>P1076*I1076</f>
        <v>135</v>
      </c>
      <c r="K1076" s="16">
        <v>0.19</v>
      </c>
      <c r="L1076" s="1" t="s">
        <v>30</v>
      </c>
      <c r="M1076" t="s">
        <v>22</v>
      </c>
      <c r="N1076" t="str">
        <f t="shared" si="19"/>
        <v>United Kingdom</v>
      </c>
      <c r="O1076" s="8">
        <f>IF(K1076&gt;=1,K1076,K1076*1000)</f>
        <v>190</v>
      </c>
      <c r="P1076">
        <f>ABS(H1076)</f>
        <v>3</v>
      </c>
      <c r="R1076"/>
    </row>
    <row r="1077" spans="1:18" x14ac:dyDescent="0.35">
      <c r="A1077" t="s">
        <v>2130</v>
      </c>
      <c r="B1077" s="2">
        <v>46131</v>
      </c>
      <c r="C1077" t="s">
        <v>1177</v>
      </c>
      <c r="D1077" s="3" t="s">
        <v>99</v>
      </c>
      <c r="E1077" t="s">
        <v>16</v>
      </c>
      <c r="F1077" t="s">
        <v>26</v>
      </c>
      <c r="G1077" t="s">
        <v>27</v>
      </c>
      <c r="H1077" s="8">
        <v>1</v>
      </c>
      <c r="I1077" s="10">
        <v>11.25</v>
      </c>
      <c r="J1077" s="14">
        <f>P1077*I1077</f>
        <v>11.25</v>
      </c>
      <c r="K1077" s="16">
        <v>520</v>
      </c>
      <c r="L1077" s="1" t="s">
        <v>30</v>
      </c>
      <c r="M1077" t="s">
        <v>22</v>
      </c>
      <c r="N1077" t="str">
        <f t="shared" si="19"/>
        <v>United Kingdom</v>
      </c>
      <c r="O1077" s="8">
        <f>IF(K1077&gt;=1,K1077,K1077*1000)</f>
        <v>520</v>
      </c>
      <c r="P1077">
        <f>ABS(H1077)</f>
        <v>1</v>
      </c>
      <c r="R1077"/>
    </row>
    <row r="1078" spans="1:18" x14ac:dyDescent="0.35">
      <c r="A1078" t="s">
        <v>2131</v>
      </c>
      <c r="B1078" s="2">
        <v>46073</v>
      </c>
      <c r="C1078" t="s">
        <v>253</v>
      </c>
      <c r="D1078" s="3" t="s">
        <v>46</v>
      </c>
      <c r="E1078" t="s">
        <v>41</v>
      </c>
      <c r="F1078" t="s">
        <v>47</v>
      </c>
      <c r="G1078" t="s">
        <v>48</v>
      </c>
      <c r="H1078" s="8">
        <v>3</v>
      </c>
      <c r="I1078" s="10">
        <v>134.1</v>
      </c>
      <c r="J1078" s="14">
        <f>P1078*I1078</f>
        <v>402.29999999999995</v>
      </c>
      <c r="K1078" s="16">
        <v>380</v>
      </c>
      <c r="L1078" s="1" t="s">
        <v>30</v>
      </c>
      <c r="M1078" t="s">
        <v>58</v>
      </c>
      <c r="N1078" t="str">
        <f t="shared" si="19"/>
        <v>Ireland</v>
      </c>
      <c r="O1078" s="8">
        <f>IF(K1078&gt;=1,K1078,K1078*1000)</f>
        <v>380</v>
      </c>
      <c r="P1078">
        <f>ABS(H1078)</f>
        <v>3</v>
      </c>
      <c r="R1078"/>
    </row>
    <row r="1079" spans="1:18" x14ac:dyDescent="0.35">
      <c r="A1079" t="s">
        <v>2132</v>
      </c>
      <c r="B1079" s="2">
        <v>46172</v>
      </c>
      <c r="C1079" t="s">
        <v>376</v>
      </c>
      <c r="D1079" s="3" t="s">
        <v>61</v>
      </c>
      <c r="E1079" t="s">
        <v>41</v>
      </c>
      <c r="F1079" t="s">
        <v>89</v>
      </c>
      <c r="G1079" t="s">
        <v>90</v>
      </c>
      <c r="H1079" s="8">
        <v>1</v>
      </c>
      <c r="I1079" s="10">
        <v>11.25</v>
      </c>
      <c r="J1079" s="14">
        <f>P1079*I1079</f>
        <v>11.25</v>
      </c>
      <c r="K1079" s="16">
        <v>0.64</v>
      </c>
      <c r="L1079" s="1" t="s">
        <v>30</v>
      </c>
      <c r="M1079" t="s">
        <v>22</v>
      </c>
      <c r="N1079" t="str">
        <f t="shared" si="19"/>
        <v>Ireland</v>
      </c>
      <c r="O1079" s="8">
        <f>IF(K1079&gt;=1,K1079,K1079*1000)</f>
        <v>640</v>
      </c>
      <c r="P1079">
        <f>ABS(H1079)</f>
        <v>1</v>
      </c>
      <c r="R1079"/>
    </row>
    <row r="1080" spans="1:18" x14ac:dyDescent="0.35">
      <c r="A1080" t="s">
        <v>2133</v>
      </c>
      <c r="B1080" s="2">
        <v>46055</v>
      </c>
      <c r="C1080" t="s">
        <v>275</v>
      </c>
      <c r="D1080" s="3" t="s">
        <v>4612</v>
      </c>
      <c r="E1080" t="s">
        <v>34</v>
      </c>
      <c r="F1080" t="s">
        <v>83</v>
      </c>
      <c r="G1080" t="s">
        <v>84</v>
      </c>
      <c r="H1080" s="8">
        <v>1</v>
      </c>
      <c r="I1080" s="10">
        <v>24</v>
      </c>
      <c r="J1080" s="14">
        <f>P1080*I1080</f>
        <v>24</v>
      </c>
      <c r="K1080" s="16">
        <v>340</v>
      </c>
      <c r="L1080" s="1" t="s">
        <v>30</v>
      </c>
      <c r="M1080" t="s">
        <v>22</v>
      </c>
      <c r="N1080" t="str">
        <f t="shared" si="19"/>
        <v>United Kingdom</v>
      </c>
      <c r="O1080" s="8">
        <f>IF(K1080&gt;=1,K1080,K1080*1000)</f>
        <v>340</v>
      </c>
      <c r="P1080">
        <f>ABS(H1080)</f>
        <v>1</v>
      </c>
      <c r="R1080"/>
    </row>
    <row r="1081" spans="1:18" x14ac:dyDescent="0.35">
      <c r="A1081" t="s">
        <v>2134</v>
      </c>
      <c r="B1081" s="2">
        <v>46127</v>
      </c>
      <c r="C1081" t="s">
        <v>2135</v>
      </c>
      <c r="D1081" s="3" t="s">
        <v>99</v>
      </c>
      <c r="E1081" t="s">
        <v>16</v>
      </c>
      <c r="F1081" t="s">
        <v>26</v>
      </c>
      <c r="G1081" t="s">
        <v>27</v>
      </c>
      <c r="H1081" s="8">
        <v>1</v>
      </c>
      <c r="I1081" s="10">
        <v>11.25</v>
      </c>
      <c r="J1081" s="14">
        <f>P1081*I1081</f>
        <v>11.25</v>
      </c>
      <c r="K1081" s="16">
        <v>520</v>
      </c>
      <c r="L1081" s="1" t="s">
        <v>30</v>
      </c>
      <c r="M1081" t="s">
        <v>22</v>
      </c>
      <c r="N1081" t="str">
        <f t="shared" si="19"/>
        <v>United Kingdom</v>
      </c>
      <c r="O1081" s="8">
        <f>IF(K1081&gt;=1,K1081,K1081*1000)</f>
        <v>520</v>
      </c>
      <c r="P1081">
        <f>ABS(H1081)</f>
        <v>1</v>
      </c>
      <c r="R1081"/>
    </row>
    <row r="1082" spans="1:18" x14ac:dyDescent="0.35">
      <c r="A1082" t="s">
        <v>2136</v>
      </c>
      <c r="B1082" s="2">
        <v>46041</v>
      </c>
      <c r="C1082" t="s">
        <v>453</v>
      </c>
      <c r="D1082" s="3" t="s">
        <v>99</v>
      </c>
      <c r="E1082" t="s">
        <v>16</v>
      </c>
      <c r="F1082" t="s">
        <v>35</v>
      </c>
      <c r="G1082" t="s">
        <v>36</v>
      </c>
      <c r="H1082" s="8">
        <v>1</v>
      </c>
      <c r="I1082" s="10">
        <v>95</v>
      </c>
      <c r="J1082" s="14">
        <f>P1082*I1082</f>
        <v>95</v>
      </c>
      <c r="K1082" s="16">
        <v>85</v>
      </c>
      <c r="L1082" s="1" t="s">
        <v>30</v>
      </c>
      <c r="M1082" t="s">
        <v>58</v>
      </c>
      <c r="N1082" t="str">
        <f t="shared" si="19"/>
        <v>United Kingdom</v>
      </c>
      <c r="O1082" s="8">
        <f>IF(K1082&gt;=1,K1082,K1082*1000)</f>
        <v>85</v>
      </c>
      <c r="P1082">
        <f>ABS(H1082)</f>
        <v>1</v>
      </c>
      <c r="R1082"/>
    </row>
    <row r="1083" spans="1:18" x14ac:dyDescent="0.35">
      <c r="A1083" t="s">
        <v>2137</v>
      </c>
      <c r="B1083" s="2">
        <v>46102</v>
      </c>
      <c r="C1083" t="s">
        <v>2138</v>
      </c>
      <c r="D1083" s="3" t="s">
        <v>99</v>
      </c>
      <c r="E1083" t="s">
        <v>16</v>
      </c>
      <c r="F1083" t="s">
        <v>83</v>
      </c>
      <c r="G1083" t="s">
        <v>84</v>
      </c>
      <c r="H1083" s="8">
        <v>1</v>
      </c>
      <c r="I1083" s="10">
        <v>95</v>
      </c>
      <c r="J1083" s="14">
        <f>P1083*I1083</f>
        <v>95</v>
      </c>
      <c r="K1083" s="16">
        <v>340</v>
      </c>
      <c r="L1083" s="1" t="s">
        <v>30</v>
      </c>
      <c r="M1083" t="s">
        <v>22</v>
      </c>
      <c r="N1083" t="str">
        <f t="shared" si="19"/>
        <v>United Kingdom</v>
      </c>
      <c r="O1083" s="8">
        <f>IF(K1083&gt;=1,K1083,K1083*1000)</f>
        <v>340</v>
      </c>
      <c r="P1083">
        <f>ABS(H1083)</f>
        <v>1</v>
      </c>
      <c r="R1083"/>
    </row>
    <row r="1084" spans="1:18" x14ac:dyDescent="0.35">
      <c r="A1084" t="s">
        <v>2139</v>
      </c>
      <c r="B1084" s="2">
        <v>46208</v>
      </c>
      <c r="C1084" t="s">
        <v>2140</v>
      </c>
      <c r="D1084" s="3" t="s">
        <v>99</v>
      </c>
      <c r="E1084" t="s">
        <v>34</v>
      </c>
      <c r="F1084" t="s">
        <v>89</v>
      </c>
      <c r="G1084" t="s">
        <v>90</v>
      </c>
      <c r="H1084" s="8">
        <v>2</v>
      </c>
      <c r="I1084" s="10">
        <v>12.5</v>
      </c>
      <c r="J1084" s="14">
        <f>P1084*I1084</f>
        <v>25</v>
      </c>
      <c r="K1084" s="16">
        <v>0.64</v>
      </c>
      <c r="L1084" s="1" t="s">
        <v>30</v>
      </c>
      <c r="M1084" t="s">
        <v>58</v>
      </c>
      <c r="N1084" t="str">
        <f t="shared" si="19"/>
        <v>United Kingdom</v>
      </c>
      <c r="O1084" s="8">
        <f>IF(K1084&gt;=1,K1084,K1084*1000)</f>
        <v>640</v>
      </c>
      <c r="P1084">
        <f>ABS(H1084)</f>
        <v>2</v>
      </c>
      <c r="R1084"/>
    </row>
    <row r="1085" spans="1:18" x14ac:dyDescent="0.35">
      <c r="A1085" t="s">
        <v>2141</v>
      </c>
      <c r="B1085" s="2">
        <v>46076</v>
      </c>
      <c r="C1085" t="s">
        <v>2142</v>
      </c>
      <c r="D1085" s="3" t="s">
        <v>99</v>
      </c>
      <c r="E1085" t="s">
        <v>16</v>
      </c>
      <c r="F1085" t="s">
        <v>74</v>
      </c>
      <c r="G1085" t="s">
        <v>75</v>
      </c>
      <c r="H1085" s="8">
        <v>1</v>
      </c>
      <c r="I1085" s="10">
        <v>21.6</v>
      </c>
      <c r="J1085" s="14">
        <f>P1085*I1085</f>
        <v>21.6</v>
      </c>
      <c r="K1085" s="16">
        <v>410</v>
      </c>
      <c r="L1085" s="1" t="s">
        <v>30</v>
      </c>
      <c r="M1085" t="s">
        <v>22</v>
      </c>
      <c r="N1085" t="str">
        <f t="shared" si="19"/>
        <v>United Kingdom</v>
      </c>
      <c r="O1085" s="8">
        <f>IF(K1085&gt;=1,K1085,K1085*1000)</f>
        <v>410</v>
      </c>
      <c r="P1085">
        <f>ABS(H1085)</f>
        <v>1</v>
      </c>
      <c r="R1085"/>
    </row>
    <row r="1086" spans="1:18" x14ac:dyDescent="0.35">
      <c r="A1086" t="s">
        <v>2143</v>
      </c>
      <c r="B1086" s="2">
        <v>46164</v>
      </c>
      <c r="C1086" t="s">
        <v>1789</v>
      </c>
      <c r="D1086" s="3" t="s">
        <v>99</v>
      </c>
      <c r="E1086" t="s">
        <v>16</v>
      </c>
      <c r="F1086" t="s">
        <v>42</v>
      </c>
      <c r="G1086" t="s">
        <v>43</v>
      </c>
      <c r="H1086" s="8">
        <v>3</v>
      </c>
      <c r="I1086" s="10">
        <v>79</v>
      </c>
      <c r="J1086" s="14">
        <f>P1086*I1086</f>
        <v>237</v>
      </c>
      <c r="K1086" s="16">
        <v>0.19</v>
      </c>
      <c r="L1086" s="1" t="s">
        <v>30</v>
      </c>
      <c r="M1086" t="s">
        <v>22</v>
      </c>
      <c r="N1086" t="str">
        <f t="shared" si="19"/>
        <v>United Kingdom</v>
      </c>
      <c r="O1086" s="8">
        <f>IF(K1086&gt;=1,K1086,K1086*1000)</f>
        <v>190</v>
      </c>
      <c r="P1086">
        <f>ABS(H1086)</f>
        <v>3</v>
      </c>
      <c r="R1086"/>
    </row>
    <row r="1087" spans="1:18" x14ac:dyDescent="0.35">
      <c r="A1087" t="s">
        <v>2144</v>
      </c>
      <c r="B1087" s="2">
        <v>46183</v>
      </c>
      <c r="C1087" t="s">
        <v>263</v>
      </c>
      <c r="D1087" s="3" t="s">
        <v>99</v>
      </c>
      <c r="E1087" t="s">
        <v>41</v>
      </c>
      <c r="F1087" t="s">
        <v>47</v>
      </c>
      <c r="G1087" t="s">
        <v>48</v>
      </c>
      <c r="H1087" s="8">
        <v>1</v>
      </c>
      <c r="I1087" s="10">
        <v>129</v>
      </c>
      <c r="J1087" s="14">
        <f>P1087*I1087</f>
        <v>129</v>
      </c>
      <c r="K1087" s="16">
        <v>0.38</v>
      </c>
      <c r="L1087" s="1" t="s">
        <v>30</v>
      </c>
      <c r="M1087" t="s">
        <v>22</v>
      </c>
      <c r="N1087" t="str">
        <f t="shared" si="19"/>
        <v>United Kingdom</v>
      </c>
      <c r="O1087" s="8">
        <f>IF(K1087&gt;=1,K1087,K1087*1000)</f>
        <v>380</v>
      </c>
      <c r="P1087">
        <f>ABS(H1087)</f>
        <v>1</v>
      </c>
      <c r="R1087"/>
    </row>
    <row r="1088" spans="1:18" x14ac:dyDescent="0.35">
      <c r="A1088" t="s">
        <v>2145</v>
      </c>
      <c r="B1088" s="2">
        <v>46155</v>
      </c>
      <c r="C1088" t="s">
        <v>1044</v>
      </c>
      <c r="D1088" s="3" t="s">
        <v>53</v>
      </c>
      <c r="E1088" t="s">
        <v>25</v>
      </c>
      <c r="F1088" t="s">
        <v>83</v>
      </c>
      <c r="G1088" t="s">
        <v>84</v>
      </c>
      <c r="H1088" s="8">
        <v>1</v>
      </c>
      <c r="I1088" s="12" t="s">
        <v>4640</v>
      </c>
      <c r="J1088" s="14">
        <f>P1088*R1088</f>
        <v>29</v>
      </c>
      <c r="K1088" s="16">
        <v>0.34</v>
      </c>
      <c r="L1088" s="1" t="s">
        <v>30</v>
      </c>
      <c r="M1088" t="s">
        <v>58</v>
      </c>
      <c r="N1088" t="str">
        <f t="shared" si="19"/>
        <v>Gb</v>
      </c>
      <c r="O1088" s="8">
        <f>IF(K1088&gt;=1,K1088,K1088*1000)</f>
        <v>340</v>
      </c>
      <c r="P1088">
        <f>ABS(H1088)</f>
        <v>1</v>
      </c>
      <c r="Q1088" t="str">
        <f>LEFT(I1088,2)</f>
        <v>Â£</v>
      </c>
      <c r="R1088" t="str">
        <f>RIGHT(I1088,5)</f>
        <v>29,00</v>
      </c>
    </row>
    <row r="1089" spans="1:18" x14ac:dyDescent="0.35">
      <c r="A1089" t="s">
        <v>2146</v>
      </c>
      <c r="B1089" s="2">
        <v>46124</v>
      </c>
      <c r="C1089" t="s">
        <v>877</v>
      </c>
      <c r="D1089" s="3" t="s">
        <v>66</v>
      </c>
      <c r="E1089" t="s">
        <v>67</v>
      </c>
      <c r="F1089" t="s">
        <v>42</v>
      </c>
      <c r="G1089" t="s">
        <v>43</v>
      </c>
      <c r="H1089" s="8">
        <v>1</v>
      </c>
      <c r="I1089" s="10">
        <v>95</v>
      </c>
      <c r="J1089" s="14">
        <f>P1089*I1089</f>
        <v>95</v>
      </c>
      <c r="K1089" s="16">
        <v>190</v>
      </c>
      <c r="L1089" s="1" t="s">
        <v>30</v>
      </c>
      <c r="M1089" t="s">
        <v>58</v>
      </c>
      <c r="N1089" t="str">
        <f t="shared" si="19"/>
        <v>Gb</v>
      </c>
      <c r="O1089" s="8">
        <f>IF(K1089&gt;=1,K1089,K1089*1000)</f>
        <v>190</v>
      </c>
      <c r="P1089">
        <f>ABS(H1089)</f>
        <v>1</v>
      </c>
      <c r="R1089"/>
    </row>
    <row r="1090" spans="1:18" x14ac:dyDescent="0.35">
      <c r="A1090" t="s">
        <v>2147</v>
      </c>
      <c r="B1090" s="2">
        <v>46328</v>
      </c>
      <c r="C1090" t="s">
        <v>2148</v>
      </c>
      <c r="D1090" s="3" t="s">
        <v>99</v>
      </c>
      <c r="E1090" t="s">
        <v>34</v>
      </c>
      <c r="F1090" t="s">
        <v>17</v>
      </c>
      <c r="G1090" t="s">
        <v>18</v>
      </c>
      <c r="H1090" s="8">
        <v>1</v>
      </c>
      <c r="I1090" s="10">
        <v>95</v>
      </c>
      <c r="J1090" s="14">
        <f>P1090*I1090</f>
        <v>95</v>
      </c>
      <c r="K1090" s="16">
        <v>520</v>
      </c>
      <c r="L1090" s="1" t="s">
        <v>30</v>
      </c>
      <c r="M1090" t="s">
        <v>22</v>
      </c>
      <c r="N1090" t="str">
        <f t="shared" si="19"/>
        <v>United Kingdom</v>
      </c>
      <c r="O1090" s="8">
        <f>IF(K1090&gt;=1,K1090,K1090*1000)</f>
        <v>520</v>
      </c>
      <c r="P1090">
        <f>ABS(H1090)</f>
        <v>1</v>
      </c>
      <c r="R1090"/>
    </row>
    <row r="1091" spans="1:18" x14ac:dyDescent="0.35">
      <c r="A1091" t="s">
        <v>2149</v>
      </c>
      <c r="B1091" s="2">
        <v>46077</v>
      </c>
      <c r="C1091" t="s">
        <v>2150</v>
      </c>
      <c r="D1091" s="3" t="s">
        <v>4612</v>
      </c>
      <c r="E1091" t="s">
        <v>25</v>
      </c>
      <c r="F1091" t="s">
        <v>47</v>
      </c>
      <c r="G1091" t="s">
        <v>48</v>
      </c>
      <c r="H1091" s="8">
        <v>2</v>
      </c>
      <c r="I1091" s="10">
        <v>149</v>
      </c>
      <c r="J1091" s="14">
        <f>P1091*I1091</f>
        <v>298</v>
      </c>
      <c r="K1091" s="16">
        <v>380</v>
      </c>
      <c r="L1091" s="1" t="s">
        <v>30</v>
      </c>
      <c r="M1091" t="s">
        <v>22</v>
      </c>
      <c r="N1091" t="str">
        <f t="shared" ref="N1091:N1154" si="20">PROPER(TRIM(D1091))</f>
        <v>United Kingdom</v>
      </c>
      <c r="O1091" s="8">
        <f>IF(K1091&gt;=1,K1091,K1091*1000)</f>
        <v>380</v>
      </c>
      <c r="P1091">
        <f>ABS(H1091)</f>
        <v>2</v>
      </c>
      <c r="R1091"/>
    </row>
    <row r="1092" spans="1:18" x14ac:dyDescent="0.35">
      <c r="A1092" t="s">
        <v>2151</v>
      </c>
      <c r="B1092" s="2">
        <v>46127</v>
      </c>
      <c r="C1092" t="s">
        <v>1258</v>
      </c>
      <c r="D1092" s="3" t="s">
        <v>15</v>
      </c>
      <c r="E1092" t="s">
        <v>41</v>
      </c>
      <c r="F1092" t="s">
        <v>83</v>
      </c>
      <c r="G1092" t="s">
        <v>84</v>
      </c>
      <c r="H1092" s="8">
        <v>3</v>
      </c>
      <c r="I1092" s="10">
        <v>129</v>
      </c>
      <c r="J1092" s="14">
        <f>P1092*I1092</f>
        <v>387</v>
      </c>
      <c r="K1092" s="16">
        <v>340</v>
      </c>
      <c r="L1092" s="1" t="s">
        <v>30</v>
      </c>
      <c r="M1092" t="s">
        <v>22</v>
      </c>
      <c r="N1092" t="str">
        <f t="shared" si="20"/>
        <v>France</v>
      </c>
      <c r="O1092" s="8">
        <f>IF(K1092&gt;=1,K1092,K1092*1000)</f>
        <v>340</v>
      </c>
      <c r="P1092">
        <f>ABS(H1092)</f>
        <v>3</v>
      </c>
      <c r="R1092"/>
    </row>
    <row r="1093" spans="1:18" x14ac:dyDescent="0.35">
      <c r="A1093" t="s">
        <v>2152</v>
      </c>
      <c r="B1093" s="2">
        <v>46028</v>
      </c>
      <c r="C1093" t="s">
        <v>2153</v>
      </c>
      <c r="D1093" s="3" t="s">
        <v>46</v>
      </c>
      <c r="E1093" t="s">
        <v>25</v>
      </c>
      <c r="F1093" t="s">
        <v>42</v>
      </c>
      <c r="G1093" t="s">
        <v>43</v>
      </c>
      <c r="H1093" s="8">
        <v>3</v>
      </c>
      <c r="I1093" s="10">
        <v>12.5</v>
      </c>
      <c r="J1093" s="14">
        <f>P1093*I1093</f>
        <v>37.5</v>
      </c>
      <c r="K1093" s="16">
        <v>190</v>
      </c>
      <c r="L1093" s="1" t="s">
        <v>30</v>
      </c>
      <c r="M1093" t="s">
        <v>22</v>
      </c>
      <c r="N1093" t="str">
        <f t="shared" si="20"/>
        <v>Ireland</v>
      </c>
      <c r="O1093" s="8">
        <f>IF(K1093&gt;=1,K1093,K1093*1000)</f>
        <v>190</v>
      </c>
      <c r="P1093">
        <f>ABS(H1093)</f>
        <v>3</v>
      </c>
      <c r="R1093"/>
    </row>
    <row r="1094" spans="1:18" x14ac:dyDescent="0.35">
      <c r="A1094" t="s">
        <v>2154</v>
      </c>
      <c r="B1094" s="2">
        <v>46051</v>
      </c>
      <c r="C1094" t="s">
        <v>2155</v>
      </c>
      <c r="D1094" s="3" t="s">
        <v>116</v>
      </c>
      <c r="E1094" t="s">
        <v>25</v>
      </c>
      <c r="F1094" t="s">
        <v>17</v>
      </c>
      <c r="G1094" t="s">
        <v>18</v>
      </c>
      <c r="H1094" s="8">
        <v>2</v>
      </c>
      <c r="I1094" s="10">
        <v>24</v>
      </c>
      <c r="J1094" s="14">
        <f>P1094*I1094</f>
        <v>48</v>
      </c>
      <c r="K1094" s="16">
        <v>520</v>
      </c>
      <c r="L1094" s="1" t="s">
        <v>30</v>
      </c>
      <c r="M1094" t="s">
        <v>22</v>
      </c>
      <c r="N1094" t="str">
        <f t="shared" si="20"/>
        <v>Germany</v>
      </c>
      <c r="O1094" s="8">
        <f>IF(K1094&gt;=1,K1094,K1094*1000)</f>
        <v>520</v>
      </c>
      <c r="P1094">
        <f>ABS(H1094)</f>
        <v>2</v>
      </c>
      <c r="R1094"/>
    </row>
    <row r="1095" spans="1:18" x14ac:dyDescent="0.35">
      <c r="A1095" t="s">
        <v>2156</v>
      </c>
      <c r="B1095" s="2" t="s">
        <v>1948</v>
      </c>
      <c r="C1095" t="s">
        <v>515</v>
      </c>
      <c r="D1095" s="3" t="s">
        <v>66</v>
      </c>
      <c r="E1095" t="s">
        <v>34</v>
      </c>
      <c r="F1095" t="s">
        <v>74</v>
      </c>
      <c r="G1095" t="s">
        <v>75</v>
      </c>
      <c r="H1095" s="8">
        <v>2</v>
      </c>
      <c r="I1095" s="10">
        <v>116.1</v>
      </c>
      <c r="J1095" s="14">
        <f>P1095*I1095</f>
        <v>232.2</v>
      </c>
      <c r="K1095" s="16">
        <v>410</v>
      </c>
      <c r="L1095" s="1" t="s">
        <v>30</v>
      </c>
      <c r="M1095" t="s">
        <v>58</v>
      </c>
      <c r="N1095" t="str">
        <f t="shared" si="20"/>
        <v>Gb</v>
      </c>
      <c r="O1095" s="8">
        <f>IF(K1095&gt;=1,K1095,K1095*1000)</f>
        <v>410</v>
      </c>
      <c r="P1095">
        <f>ABS(H1095)</f>
        <v>2</v>
      </c>
      <c r="R1095"/>
    </row>
    <row r="1096" spans="1:18" x14ac:dyDescent="0.35">
      <c r="A1096" t="s">
        <v>2157</v>
      </c>
      <c r="B1096" s="2" t="s">
        <v>470</v>
      </c>
      <c r="C1096" t="s">
        <v>2158</v>
      </c>
      <c r="D1096" s="3" t="s">
        <v>116</v>
      </c>
      <c r="E1096" t="s">
        <v>16</v>
      </c>
      <c r="F1096" t="s">
        <v>89</v>
      </c>
      <c r="G1096" t="s">
        <v>90</v>
      </c>
      <c r="H1096" s="8">
        <v>2</v>
      </c>
      <c r="I1096" s="10">
        <v>79</v>
      </c>
      <c r="J1096" s="14">
        <f>P1096*I1096</f>
        <v>158</v>
      </c>
      <c r="K1096" s="16">
        <v>640</v>
      </c>
      <c r="L1096" s="1" t="s">
        <v>30</v>
      </c>
      <c r="M1096" t="s">
        <v>22</v>
      </c>
      <c r="N1096" t="str">
        <f t="shared" si="20"/>
        <v>Germany</v>
      </c>
      <c r="O1096" s="8">
        <f>IF(K1096&gt;=1,K1096,K1096*1000)</f>
        <v>640</v>
      </c>
      <c r="P1096">
        <f>ABS(H1096)</f>
        <v>2</v>
      </c>
      <c r="R1096"/>
    </row>
    <row r="1097" spans="1:18" x14ac:dyDescent="0.35">
      <c r="A1097" t="s">
        <v>2159</v>
      </c>
      <c r="B1097" s="2">
        <v>46176</v>
      </c>
      <c r="C1097" t="s">
        <v>2160</v>
      </c>
      <c r="D1097" s="3" t="s">
        <v>15</v>
      </c>
      <c r="E1097" t="s">
        <v>25</v>
      </c>
      <c r="F1097" t="s">
        <v>42</v>
      </c>
      <c r="G1097" t="s">
        <v>43</v>
      </c>
      <c r="H1097" s="8">
        <v>2</v>
      </c>
      <c r="I1097" s="10">
        <v>95</v>
      </c>
      <c r="J1097" s="14">
        <f>P1097*I1097</f>
        <v>190</v>
      </c>
      <c r="K1097" s="16">
        <v>0.19</v>
      </c>
      <c r="L1097" s="1" t="s">
        <v>30</v>
      </c>
      <c r="M1097" t="s">
        <v>22</v>
      </c>
      <c r="N1097" t="str">
        <f t="shared" si="20"/>
        <v>France</v>
      </c>
      <c r="O1097" s="8">
        <f>IF(K1097&gt;=1,K1097,K1097*1000)</f>
        <v>190</v>
      </c>
      <c r="P1097">
        <f>ABS(H1097)</f>
        <v>2</v>
      </c>
      <c r="R1097"/>
    </row>
    <row r="1098" spans="1:18" x14ac:dyDescent="0.35">
      <c r="A1098" t="s">
        <v>2161</v>
      </c>
      <c r="B1098" s="2" t="s">
        <v>1398</v>
      </c>
      <c r="C1098" t="s">
        <v>1435</v>
      </c>
      <c r="D1098" s="3" t="s">
        <v>15</v>
      </c>
      <c r="E1098" t="s">
        <v>34</v>
      </c>
      <c r="F1098" t="s">
        <v>74</v>
      </c>
      <c r="G1098" t="s">
        <v>75</v>
      </c>
      <c r="H1098" s="8">
        <v>1</v>
      </c>
      <c r="I1098" s="10">
        <v>95</v>
      </c>
      <c r="J1098" s="14">
        <f>P1098*I1098</f>
        <v>95</v>
      </c>
      <c r="K1098" s="16">
        <v>410</v>
      </c>
      <c r="L1098" s="1" t="s">
        <v>30</v>
      </c>
      <c r="M1098" t="s">
        <v>58</v>
      </c>
      <c r="N1098" t="str">
        <f t="shared" si="20"/>
        <v>France</v>
      </c>
      <c r="O1098" s="8">
        <f>IF(K1098&gt;=1,K1098,K1098*1000)</f>
        <v>410</v>
      </c>
      <c r="P1098">
        <f>ABS(H1098)</f>
        <v>1</v>
      </c>
      <c r="R1098"/>
    </row>
    <row r="1099" spans="1:18" x14ac:dyDescent="0.35">
      <c r="A1099" t="s">
        <v>2162</v>
      </c>
      <c r="B1099" s="2">
        <v>46185</v>
      </c>
      <c r="C1099" t="s">
        <v>2163</v>
      </c>
      <c r="D1099" s="3" t="s">
        <v>4613</v>
      </c>
      <c r="E1099" t="s">
        <v>16</v>
      </c>
      <c r="F1099" t="s">
        <v>47</v>
      </c>
      <c r="G1099" t="s">
        <v>48</v>
      </c>
      <c r="H1099" s="8">
        <v>2</v>
      </c>
      <c r="I1099" s="12" t="s">
        <v>4619</v>
      </c>
      <c r="J1099" s="14">
        <f>P1099*R1099</f>
        <v>25</v>
      </c>
      <c r="K1099" s="16">
        <v>0.38</v>
      </c>
      <c r="L1099" s="1" t="s">
        <v>21</v>
      </c>
      <c r="M1099" t="s">
        <v>22</v>
      </c>
      <c r="N1099" t="str">
        <f t="shared" si="20"/>
        <v>United Kingdom</v>
      </c>
      <c r="O1099" s="8">
        <f>IF(K1099&gt;=1,K1099,K1099*1000)</f>
        <v>380</v>
      </c>
      <c r="P1099">
        <f>ABS(H1099)</f>
        <v>2</v>
      </c>
      <c r="Q1099" t="str">
        <f>LEFT(I1099,3)</f>
        <v>GBP</v>
      </c>
      <c r="R1099" s="10" t="str">
        <f>RIGHT(I1099,5)</f>
        <v>12,50</v>
      </c>
    </row>
    <row r="1100" spans="1:18" x14ac:dyDescent="0.35">
      <c r="A1100" t="s">
        <v>2164</v>
      </c>
      <c r="B1100" s="2">
        <v>46100</v>
      </c>
      <c r="C1100" t="s">
        <v>291</v>
      </c>
      <c r="D1100" s="3" t="s">
        <v>116</v>
      </c>
      <c r="E1100" t="s">
        <v>41</v>
      </c>
      <c r="F1100" t="s">
        <v>17</v>
      </c>
      <c r="G1100" t="s">
        <v>18</v>
      </c>
      <c r="H1100" s="8">
        <v>1</v>
      </c>
      <c r="I1100" s="10">
        <v>45</v>
      </c>
      <c r="J1100" s="14">
        <f>P1100*I1100</f>
        <v>45</v>
      </c>
      <c r="K1100" s="16">
        <v>520</v>
      </c>
      <c r="L1100" s="1" t="s">
        <v>30</v>
      </c>
      <c r="M1100" t="s">
        <v>22</v>
      </c>
      <c r="N1100" t="str">
        <f t="shared" si="20"/>
        <v>Germany</v>
      </c>
      <c r="O1100" s="8">
        <f>IF(K1100&gt;=1,K1100,K1100*1000)</f>
        <v>520</v>
      </c>
      <c r="P1100">
        <f>ABS(H1100)</f>
        <v>1</v>
      </c>
      <c r="R1100"/>
    </row>
    <row r="1101" spans="1:18" x14ac:dyDescent="0.35">
      <c r="A1101" t="s">
        <v>2165</v>
      </c>
      <c r="B1101" s="2">
        <v>46196</v>
      </c>
      <c r="C1101" t="s">
        <v>1431</v>
      </c>
      <c r="D1101" s="3" t="s">
        <v>46</v>
      </c>
      <c r="E1101" t="s">
        <v>25</v>
      </c>
      <c r="F1101" t="s">
        <v>83</v>
      </c>
      <c r="G1101" t="s">
        <v>84</v>
      </c>
      <c r="H1101" s="8">
        <v>2</v>
      </c>
      <c r="I1101" s="10">
        <v>24</v>
      </c>
      <c r="J1101" s="14">
        <f>P1101*I1101</f>
        <v>48</v>
      </c>
      <c r="K1101" s="16">
        <v>0.34</v>
      </c>
      <c r="L1101" s="1" t="s">
        <v>30</v>
      </c>
      <c r="M1101" t="s">
        <v>22</v>
      </c>
      <c r="N1101" t="str">
        <f t="shared" si="20"/>
        <v>Ireland</v>
      </c>
      <c r="O1101" s="8">
        <f>IF(K1101&gt;=1,K1101,K1101*1000)</f>
        <v>340</v>
      </c>
      <c r="P1101">
        <f>ABS(H1101)</f>
        <v>2</v>
      </c>
      <c r="R1101"/>
    </row>
    <row r="1102" spans="1:18" x14ac:dyDescent="0.35">
      <c r="A1102" t="s">
        <v>2166</v>
      </c>
      <c r="B1102" s="2">
        <v>46159</v>
      </c>
      <c r="C1102" t="s">
        <v>1960</v>
      </c>
      <c r="D1102" s="3" t="s">
        <v>4612</v>
      </c>
      <c r="E1102" t="s">
        <v>25</v>
      </c>
      <c r="F1102" t="s">
        <v>26</v>
      </c>
      <c r="G1102" t="s">
        <v>27</v>
      </c>
      <c r="H1102" s="8">
        <v>-2</v>
      </c>
      <c r="I1102" s="10">
        <v>116.1</v>
      </c>
      <c r="J1102" s="14">
        <f>P1102*I1102</f>
        <v>232.2</v>
      </c>
      <c r="K1102" s="16">
        <v>0.52</v>
      </c>
      <c r="L1102" s="1" t="s">
        <v>30</v>
      </c>
      <c r="M1102" t="s">
        <v>22</v>
      </c>
      <c r="N1102" t="str">
        <f t="shared" si="20"/>
        <v>United Kingdom</v>
      </c>
      <c r="O1102" s="8">
        <f>IF(K1102&gt;=1,K1102,K1102*1000)</f>
        <v>520</v>
      </c>
      <c r="P1102">
        <f>ABS(H1102)</f>
        <v>2</v>
      </c>
      <c r="R1102"/>
    </row>
    <row r="1103" spans="1:18" x14ac:dyDescent="0.35">
      <c r="A1103" t="s">
        <v>2167</v>
      </c>
      <c r="B1103" s="2">
        <v>46107</v>
      </c>
      <c r="C1103" t="s">
        <v>2168</v>
      </c>
      <c r="D1103" s="3" t="s">
        <v>99</v>
      </c>
      <c r="E1103" t="s">
        <v>25</v>
      </c>
      <c r="F1103" t="s">
        <v>35</v>
      </c>
      <c r="G1103" t="s">
        <v>36</v>
      </c>
      <c r="H1103" s="8">
        <v>1</v>
      </c>
      <c r="I1103" s="10">
        <v>85.5</v>
      </c>
      <c r="J1103" s="14">
        <f>P1103*I1103</f>
        <v>85.5</v>
      </c>
      <c r="K1103" s="16">
        <v>85</v>
      </c>
      <c r="L1103" s="1" t="s">
        <v>30</v>
      </c>
      <c r="M1103" t="s">
        <v>58</v>
      </c>
      <c r="N1103" t="str">
        <f t="shared" si="20"/>
        <v>United Kingdom</v>
      </c>
      <c r="O1103" s="8">
        <f>IF(K1103&gt;=1,K1103,K1103*1000)</f>
        <v>85</v>
      </c>
      <c r="P1103">
        <f>ABS(H1103)</f>
        <v>1</v>
      </c>
      <c r="R1103"/>
    </row>
    <row r="1104" spans="1:18" x14ac:dyDescent="0.35">
      <c r="A1104" t="s">
        <v>2169</v>
      </c>
      <c r="B1104" s="2">
        <v>46200</v>
      </c>
      <c r="C1104" t="s">
        <v>1140</v>
      </c>
      <c r="D1104" s="3" t="s">
        <v>4613</v>
      </c>
      <c r="E1104" t="s">
        <v>41</v>
      </c>
      <c r="F1104" t="s">
        <v>74</v>
      </c>
      <c r="G1104" t="s">
        <v>75</v>
      </c>
      <c r="H1104" s="8">
        <v>2</v>
      </c>
      <c r="I1104" s="10">
        <v>80.099999999999994</v>
      </c>
      <c r="J1104" s="14">
        <f>P1104*I1104</f>
        <v>160.19999999999999</v>
      </c>
      <c r="K1104" s="16">
        <v>0.41</v>
      </c>
      <c r="L1104" s="1" t="s">
        <v>30</v>
      </c>
      <c r="M1104" t="s">
        <v>22</v>
      </c>
      <c r="N1104" t="str">
        <f t="shared" si="20"/>
        <v>United Kingdom</v>
      </c>
      <c r="O1104" s="8">
        <f>IF(K1104&gt;=1,K1104,K1104*1000)</f>
        <v>410</v>
      </c>
      <c r="P1104">
        <f>ABS(H1104)</f>
        <v>2</v>
      </c>
      <c r="R1104"/>
    </row>
    <row r="1105" spans="1:18" x14ac:dyDescent="0.35">
      <c r="A1105" t="s">
        <v>2170</v>
      </c>
      <c r="B1105" s="2">
        <v>46045</v>
      </c>
      <c r="C1105" t="s">
        <v>2171</v>
      </c>
      <c r="D1105" s="3" t="s">
        <v>116</v>
      </c>
      <c r="E1105" t="s">
        <v>25</v>
      </c>
      <c r="F1105" t="s">
        <v>74</v>
      </c>
      <c r="G1105" t="s">
        <v>75</v>
      </c>
      <c r="H1105" s="8">
        <v>1</v>
      </c>
      <c r="I1105" s="10">
        <v>134.1</v>
      </c>
      <c r="J1105" s="14">
        <f>P1105*I1105</f>
        <v>134.1</v>
      </c>
      <c r="K1105" s="16">
        <v>410</v>
      </c>
      <c r="L1105" s="1" t="s">
        <v>30</v>
      </c>
      <c r="M1105" t="s">
        <v>58</v>
      </c>
      <c r="N1105" t="str">
        <f t="shared" si="20"/>
        <v>Germany</v>
      </c>
      <c r="O1105" s="8">
        <f>IF(K1105&gt;=1,K1105,K1105*1000)</f>
        <v>410</v>
      </c>
      <c r="P1105">
        <f>ABS(H1105)</f>
        <v>1</v>
      </c>
      <c r="R1105"/>
    </row>
    <row r="1106" spans="1:18" x14ac:dyDescent="0.35">
      <c r="A1106" t="s">
        <v>2172</v>
      </c>
      <c r="B1106" s="2">
        <v>46042</v>
      </c>
      <c r="C1106" t="s">
        <v>773</v>
      </c>
      <c r="D1106" s="3" t="s">
        <v>53</v>
      </c>
      <c r="E1106" t="s">
        <v>16</v>
      </c>
      <c r="F1106" t="s">
        <v>47</v>
      </c>
      <c r="G1106" t="s">
        <v>48</v>
      </c>
      <c r="H1106" s="8">
        <v>-2</v>
      </c>
      <c r="I1106" s="10">
        <v>129</v>
      </c>
      <c r="J1106" s="14">
        <f>P1106*I1106</f>
        <v>258</v>
      </c>
      <c r="K1106" s="16">
        <v>380</v>
      </c>
      <c r="L1106" s="1" t="s">
        <v>30</v>
      </c>
      <c r="M1106" t="s">
        <v>22</v>
      </c>
      <c r="N1106" t="str">
        <f t="shared" si="20"/>
        <v>Gb</v>
      </c>
      <c r="O1106" s="8">
        <f>IF(K1106&gt;=1,K1106,K1106*1000)</f>
        <v>380</v>
      </c>
      <c r="P1106">
        <f>ABS(H1106)</f>
        <v>2</v>
      </c>
      <c r="R1106"/>
    </row>
    <row r="1107" spans="1:18" x14ac:dyDescent="0.35">
      <c r="A1107" t="s">
        <v>2173</v>
      </c>
      <c r="B1107" s="2">
        <v>46104</v>
      </c>
      <c r="C1107" t="s">
        <v>2174</v>
      </c>
      <c r="D1107" s="3" t="s">
        <v>61</v>
      </c>
      <c r="E1107" t="s">
        <v>34</v>
      </c>
      <c r="F1107" t="s">
        <v>17</v>
      </c>
      <c r="G1107" t="s">
        <v>18</v>
      </c>
      <c r="H1107" s="8">
        <v>1</v>
      </c>
      <c r="I1107" s="10">
        <v>45</v>
      </c>
      <c r="J1107" s="14">
        <f>P1107*I1107</f>
        <v>45</v>
      </c>
      <c r="K1107" s="16">
        <v>520</v>
      </c>
      <c r="L1107" s="1" t="s">
        <v>21</v>
      </c>
      <c r="M1107" t="s">
        <v>58</v>
      </c>
      <c r="N1107" t="str">
        <f t="shared" si="20"/>
        <v>Ireland</v>
      </c>
      <c r="O1107" s="8">
        <f>IF(K1107&gt;=1,K1107,K1107*1000)</f>
        <v>520</v>
      </c>
      <c r="P1107">
        <f>ABS(H1107)</f>
        <v>1</v>
      </c>
      <c r="R1107"/>
    </row>
    <row r="1108" spans="1:18" x14ac:dyDescent="0.35">
      <c r="A1108" t="s">
        <v>2175</v>
      </c>
      <c r="B1108" s="2">
        <v>46086</v>
      </c>
      <c r="C1108" t="s">
        <v>682</v>
      </c>
      <c r="D1108" s="3" t="s">
        <v>99</v>
      </c>
      <c r="E1108" t="s">
        <v>67</v>
      </c>
      <c r="F1108" t="s">
        <v>42</v>
      </c>
      <c r="G1108" t="s">
        <v>43</v>
      </c>
      <c r="H1108" s="8">
        <v>2</v>
      </c>
      <c r="I1108" s="10">
        <v>45</v>
      </c>
      <c r="J1108" s="14">
        <f>P1108*I1108</f>
        <v>90</v>
      </c>
      <c r="K1108" s="16">
        <v>190</v>
      </c>
      <c r="L1108" s="1" t="s">
        <v>30</v>
      </c>
      <c r="M1108" t="s">
        <v>22</v>
      </c>
      <c r="N1108" t="str">
        <f t="shared" si="20"/>
        <v>United Kingdom</v>
      </c>
      <c r="O1108" s="8">
        <f>IF(K1108&gt;=1,K1108,K1108*1000)</f>
        <v>190</v>
      </c>
      <c r="P1108">
        <f>ABS(H1108)</f>
        <v>2</v>
      </c>
      <c r="R1108"/>
    </row>
    <row r="1109" spans="1:18" x14ac:dyDescent="0.35">
      <c r="A1109" t="s">
        <v>2176</v>
      </c>
      <c r="B1109" s="2">
        <v>46198</v>
      </c>
      <c r="C1109" t="s">
        <v>1802</v>
      </c>
      <c r="D1109" s="3" t="s">
        <v>15</v>
      </c>
      <c r="E1109" t="s">
        <v>16</v>
      </c>
      <c r="F1109" t="s">
        <v>89</v>
      </c>
      <c r="G1109" t="s">
        <v>90</v>
      </c>
      <c r="H1109" s="8">
        <v>1</v>
      </c>
      <c r="I1109" s="10">
        <v>45</v>
      </c>
      <c r="J1109" s="14">
        <f>P1109*I1109</f>
        <v>45</v>
      </c>
      <c r="K1109" s="16">
        <v>0.64</v>
      </c>
      <c r="L1109" s="1" t="s">
        <v>30</v>
      </c>
      <c r="M1109" t="s">
        <v>22</v>
      </c>
      <c r="N1109" t="str">
        <f t="shared" si="20"/>
        <v>France</v>
      </c>
      <c r="O1109" s="8">
        <f>IF(K1109&gt;=1,K1109,K1109*1000)</f>
        <v>640</v>
      </c>
      <c r="P1109">
        <f>ABS(H1109)</f>
        <v>1</v>
      </c>
      <c r="R1109"/>
    </row>
    <row r="1110" spans="1:18" x14ac:dyDescent="0.35">
      <c r="A1110" t="s">
        <v>2177</v>
      </c>
      <c r="B1110" s="2">
        <v>46357</v>
      </c>
      <c r="C1110" t="s">
        <v>78</v>
      </c>
      <c r="D1110" s="3" t="s">
        <v>53</v>
      </c>
      <c r="E1110" t="s">
        <v>41</v>
      </c>
      <c r="F1110" t="s">
        <v>74</v>
      </c>
      <c r="G1110" t="s">
        <v>75</v>
      </c>
      <c r="H1110" s="8">
        <v>1</v>
      </c>
      <c r="I1110" s="10">
        <v>71.099999999999994</v>
      </c>
      <c r="J1110" s="14">
        <f>P1110*I1110</f>
        <v>71.099999999999994</v>
      </c>
      <c r="K1110" s="16">
        <v>410</v>
      </c>
      <c r="L1110" s="1" t="s">
        <v>21</v>
      </c>
      <c r="M1110" t="s">
        <v>58</v>
      </c>
      <c r="N1110" t="str">
        <f t="shared" si="20"/>
        <v>Gb</v>
      </c>
      <c r="O1110" s="8">
        <f>IF(K1110&gt;=1,K1110,K1110*1000)</f>
        <v>410</v>
      </c>
      <c r="P1110">
        <f>ABS(H1110)</f>
        <v>1</v>
      </c>
      <c r="R1110"/>
    </row>
    <row r="1111" spans="1:18" x14ac:dyDescent="0.35">
      <c r="A1111" t="s">
        <v>2178</v>
      </c>
      <c r="B1111" s="2">
        <v>46034</v>
      </c>
      <c r="C1111" t="s">
        <v>1364</v>
      </c>
      <c r="D1111" s="3" t="s">
        <v>116</v>
      </c>
      <c r="E1111" t="s">
        <v>41</v>
      </c>
      <c r="F1111" t="s">
        <v>35</v>
      </c>
      <c r="G1111" t="s">
        <v>36</v>
      </c>
      <c r="H1111" s="8">
        <v>-2</v>
      </c>
      <c r="I1111" s="10">
        <v>149</v>
      </c>
      <c r="J1111" s="14">
        <f>P1111*I1111</f>
        <v>298</v>
      </c>
      <c r="K1111" s="16">
        <v>85</v>
      </c>
      <c r="L1111" s="1" t="s">
        <v>30</v>
      </c>
      <c r="M1111" t="s">
        <v>22</v>
      </c>
      <c r="N1111" t="str">
        <f t="shared" si="20"/>
        <v>Germany</v>
      </c>
      <c r="O1111" s="8">
        <f>IF(K1111&gt;=1,K1111,K1111*1000)</f>
        <v>85</v>
      </c>
      <c r="P1111">
        <f>ABS(H1111)</f>
        <v>2</v>
      </c>
      <c r="R1111"/>
    </row>
    <row r="1112" spans="1:18" x14ac:dyDescent="0.35">
      <c r="A1112" t="s">
        <v>2180</v>
      </c>
      <c r="B1112" s="2">
        <v>46360</v>
      </c>
      <c r="C1112" t="s">
        <v>385</v>
      </c>
      <c r="D1112" s="3" t="s">
        <v>53</v>
      </c>
      <c r="E1112" t="s">
        <v>67</v>
      </c>
      <c r="F1112" t="s">
        <v>47</v>
      </c>
      <c r="G1112" t="s">
        <v>48</v>
      </c>
      <c r="H1112" s="8">
        <v>1</v>
      </c>
      <c r="I1112" s="12" t="s">
        <v>4626</v>
      </c>
      <c r="J1112" s="14">
        <f>P1112*R1112</f>
        <v>29</v>
      </c>
      <c r="K1112" s="16">
        <v>380</v>
      </c>
      <c r="L1112" s="1" t="s">
        <v>21</v>
      </c>
      <c r="M1112" t="s">
        <v>22</v>
      </c>
      <c r="N1112" t="str">
        <f t="shared" si="20"/>
        <v>Gb</v>
      </c>
      <c r="O1112" s="8">
        <f>IF(K1112&gt;=1,K1112,K1112*1000)</f>
        <v>380</v>
      </c>
      <c r="P1112">
        <f>ABS(H1112)</f>
        <v>1</v>
      </c>
      <c r="Q1112" t="str">
        <f>LEFT(I1112,3)</f>
        <v>GBP</v>
      </c>
      <c r="R1112" s="10" t="str">
        <f>RIGHT(I1112,5)</f>
        <v>29,00</v>
      </c>
    </row>
    <row r="1113" spans="1:18" x14ac:dyDescent="0.35">
      <c r="A1113" t="s">
        <v>2181</v>
      </c>
      <c r="B1113" s="2">
        <v>46119</v>
      </c>
      <c r="C1113" t="s">
        <v>2182</v>
      </c>
      <c r="D1113" s="3" t="s">
        <v>99</v>
      </c>
      <c r="E1113" t="s">
        <v>25</v>
      </c>
      <c r="F1113" t="s">
        <v>17</v>
      </c>
      <c r="G1113" t="s">
        <v>18</v>
      </c>
      <c r="H1113" s="8">
        <v>2</v>
      </c>
      <c r="I1113" s="10">
        <v>79</v>
      </c>
      <c r="J1113" s="14">
        <f>P1113*I1113</f>
        <v>158</v>
      </c>
      <c r="K1113" s="16">
        <v>520</v>
      </c>
      <c r="L1113" s="1" t="s">
        <v>30</v>
      </c>
      <c r="M1113" t="s">
        <v>22</v>
      </c>
      <c r="N1113" t="str">
        <f t="shared" si="20"/>
        <v>United Kingdom</v>
      </c>
      <c r="O1113" s="8">
        <f>IF(K1113&gt;=1,K1113,K1113*1000)</f>
        <v>520</v>
      </c>
      <c r="P1113">
        <f>ABS(H1113)</f>
        <v>2</v>
      </c>
      <c r="R1113"/>
    </row>
    <row r="1114" spans="1:18" x14ac:dyDescent="0.35">
      <c r="A1114" t="s">
        <v>2183</v>
      </c>
      <c r="B1114" s="2">
        <v>46050</v>
      </c>
      <c r="C1114" t="s">
        <v>2184</v>
      </c>
      <c r="D1114" s="3" t="s">
        <v>99</v>
      </c>
      <c r="E1114" t="s">
        <v>25</v>
      </c>
      <c r="F1114" t="s">
        <v>47</v>
      </c>
      <c r="G1114" t="s">
        <v>48</v>
      </c>
      <c r="H1114" s="8">
        <v>2</v>
      </c>
      <c r="I1114" s="10">
        <v>11.25</v>
      </c>
      <c r="J1114" s="14">
        <f>P1114*I1114</f>
        <v>22.5</v>
      </c>
      <c r="K1114" s="16">
        <v>380</v>
      </c>
      <c r="L1114" s="1" t="s">
        <v>30</v>
      </c>
      <c r="M1114" t="s">
        <v>22</v>
      </c>
      <c r="N1114" t="str">
        <f t="shared" si="20"/>
        <v>United Kingdom</v>
      </c>
      <c r="O1114" s="8">
        <f>IF(K1114&gt;=1,K1114,K1114*1000)</f>
        <v>380</v>
      </c>
      <c r="P1114">
        <f>ABS(H1114)</f>
        <v>2</v>
      </c>
      <c r="R1114"/>
    </row>
    <row r="1115" spans="1:18" x14ac:dyDescent="0.35">
      <c r="A1115" t="s">
        <v>2185</v>
      </c>
      <c r="B1115" s="2">
        <v>46101</v>
      </c>
      <c r="C1115" t="s">
        <v>1636</v>
      </c>
      <c r="D1115" s="3" t="s">
        <v>61</v>
      </c>
      <c r="E1115" t="s">
        <v>25</v>
      </c>
      <c r="F1115" t="s">
        <v>26</v>
      </c>
      <c r="G1115" t="s">
        <v>27</v>
      </c>
      <c r="H1115" s="8">
        <v>1</v>
      </c>
      <c r="I1115" s="10">
        <v>79</v>
      </c>
      <c r="J1115" s="14">
        <f>P1115*I1115</f>
        <v>79</v>
      </c>
      <c r="K1115" s="16">
        <v>520</v>
      </c>
      <c r="L1115" s="1" t="s">
        <v>30</v>
      </c>
      <c r="M1115" t="s">
        <v>22</v>
      </c>
      <c r="N1115" t="str">
        <f t="shared" si="20"/>
        <v>Ireland</v>
      </c>
      <c r="O1115" s="8">
        <f>IF(K1115&gt;=1,K1115,K1115*1000)</f>
        <v>520</v>
      </c>
      <c r="P1115">
        <f>ABS(H1115)</f>
        <v>1</v>
      </c>
      <c r="R1115"/>
    </row>
    <row r="1116" spans="1:18" x14ac:dyDescent="0.35">
      <c r="A1116" t="s">
        <v>2186</v>
      </c>
      <c r="B1116" s="2">
        <v>46125</v>
      </c>
      <c r="C1116" t="s">
        <v>2187</v>
      </c>
      <c r="D1116" s="3" t="s">
        <v>4612</v>
      </c>
      <c r="E1116" t="s">
        <v>41</v>
      </c>
      <c r="F1116" t="s">
        <v>42</v>
      </c>
      <c r="G1116" t="s">
        <v>43</v>
      </c>
      <c r="H1116" s="8">
        <v>1</v>
      </c>
      <c r="I1116" s="10">
        <v>89</v>
      </c>
      <c r="J1116" s="14">
        <f>P1116*I1116</f>
        <v>89</v>
      </c>
      <c r="K1116" s="16">
        <v>190</v>
      </c>
      <c r="L1116" s="1" t="s">
        <v>21</v>
      </c>
      <c r="M1116" t="s">
        <v>22</v>
      </c>
      <c r="N1116" t="str">
        <f t="shared" si="20"/>
        <v>United Kingdom</v>
      </c>
      <c r="O1116" s="8">
        <f>IF(K1116&gt;=1,K1116,K1116*1000)</f>
        <v>190</v>
      </c>
      <c r="P1116">
        <f>ABS(H1116)</f>
        <v>1</v>
      </c>
      <c r="R1116"/>
    </row>
    <row r="1117" spans="1:18" x14ac:dyDescent="0.35">
      <c r="A1117" t="s">
        <v>2188</v>
      </c>
      <c r="B1117" s="2">
        <v>46084</v>
      </c>
      <c r="C1117" t="s">
        <v>2189</v>
      </c>
      <c r="D1117" s="3" t="s">
        <v>53</v>
      </c>
      <c r="E1117" t="s">
        <v>25</v>
      </c>
      <c r="F1117" t="s">
        <v>42</v>
      </c>
      <c r="G1117" t="s">
        <v>43</v>
      </c>
      <c r="H1117" s="8">
        <v>1</v>
      </c>
      <c r="I1117" s="10">
        <v>80.099999999999994</v>
      </c>
      <c r="J1117" s="14">
        <f>P1117*I1117</f>
        <v>80.099999999999994</v>
      </c>
      <c r="K1117" s="16">
        <v>190</v>
      </c>
      <c r="L1117" s="1" t="s">
        <v>30</v>
      </c>
      <c r="M1117" t="s">
        <v>58</v>
      </c>
      <c r="N1117" t="str">
        <f t="shared" si="20"/>
        <v>Gb</v>
      </c>
      <c r="O1117" s="8">
        <f>IF(K1117&gt;=1,K1117,K1117*1000)</f>
        <v>190</v>
      </c>
      <c r="P1117">
        <f>ABS(H1117)</f>
        <v>1</v>
      </c>
      <c r="R1117"/>
    </row>
    <row r="1118" spans="1:18" x14ac:dyDescent="0.35">
      <c r="A1118" t="s">
        <v>2190</v>
      </c>
      <c r="B1118" s="2">
        <v>46100</v>
      </c>
      <c r="C1118" t="s">
        <v>2191</v>
      </c>
      <c r="D1118" s="3" t="s">
        <v>15</v>
      </c>
      <c r="E1118" t="s">
        <v>41</v>
      </c>
      <c r="F1118" t="s">
        <v>89</v>
      </c>
      <c r="G1118" t="s">
        <v>90</v>
      </c>
      <c r="H1118" s="8">
        <v>1</v>
      </c>
      <c r="I1118" s="10">
        <v>24</v>
      </c>
      <c r="J1118" s="14">
        <f>P1118*I1118</f>
        <v>24</v>
      </c>
      <c r="K1118" s="16">
        <v>640</v>
      </c>
      <c r="L1118" s="1" t="s">
        <v>21</v>
      </c>
      <c r="M1118" t="s">
        <v>22</v>
      </c>
      <c r="N1118" t="str">
        <f t="shared" si="20"/>
        <v>France</v>
      </c>
      <c r="O1118" s="8">
        <f>IF(K1118&gt;=1,K1118,K1118*1000)</f>
        <v>640</v>
      </c>
      <c r="P1118">
        <f>ABS(H1118)</f>
        <v>1</v>
      </c>
      <c r="R1118"/>
    </row>
    <row r="1119" spans="1:18" x14ac:dyDescent="0.35">
      <c r="A1119" t="s">
        <v>2192</v>
      </c>
      <c r="B1119" s="2">
        <v>46201</v>
      </c>
      <c r="C1119" t="s">
        <v>2193</v>
      </c>
      <c r="D1119" s="3" t="s">
        <v>116</v>
      </c>
      <c r="E1119" t="s">
        <v>16</v>
      </c>
      <c r="F1119" t="s">
        <v>35</v>
      </c>
      <c r="G1119" t="s">
        <v>36</v>
      </c>
      <c r="H1119" s="8">
        <v>-2</v>
      </c>
      <c r="I1119" s="10">
        <v>12.5</v>
      </c>
      <c r="J1119" s="14">
        <f>P1119*I1119</f>
        <v>25</v>
      </c>
      <c r="K1119" s="16">
        <v>8.5000000000000006E-2</v>
      </c>
      <c r="L1119" s="1" t="s">
        <v>30</v>
      </c>
      <c r="M1119" t="s">
        <v>22</v>
      </c>
      <c r="N1119" t="str">
        <f t="shared" si="20"/>
        <v>Germany</v>
      </c>
      <c r="O1119" s="8">
        <f>IF(K1119&gt;=1,K1119,K1119*1000)</f>
        <v>85</v>
      </c>
      <c r="P1119">
        <f>ABS(H1119)</f>
        <v>2</v>
      </c>
      <c r="R1119"/>
    </row>
    <row r="1120" spans="1:18" x14ac:dyDescent="0.35">
      <c r="A1120" t="s">
        <v>2194</v>
      </c>
      <c r="B1120" s="2">
        <v>46052</v>
      </c>
      <c r="C1120" t="s">
        <v>2100</v>
      </c>
      <c r="D1120" s="3" t="s">
        <v>99</v>
      </c>
      <c r="E1120" t="s">
        <v>25</v>
      </c>
      <c r="F1120" t="s">
        <v>74</v>
      </c>
      <c r="G1120" t="s">
        <v>75</v>
      </c>
      <c r="H1120" s="8">
        <v>2</v>
      </c>
      <c r="I1120" s="10">
        <v>149</v>
      </c>
      <c r="J1120" s="14">
        <f>P1120*I1120</f>
        <v>298</v>
      </c>
      <c r="K1120" s="16">
        <v>410</v>
      </c>
      <c r="L1120" s="1" t="s">
        <v>30</v>
      </c>
      <c r="M1120" t="s">
        <v>22</v>
      </c>
      <c r="N1120" t="str">
        <f t="shared" si="20"/>
        <v>United Kingdom</v>
      </c>
      <c r="O1120" s="8">
        <f>IF(K1120&gt;=1,K1120,K1120*1000)</f>
        <v>410</v>
      </c>
      <c r="P1120">
        <f>ABS(H1120)</f>
        <v>2</v>
      </c>
      <c r="R1120"/>
    </row>
    <row r="1121" spans="1:18" x14ac:dyDescent="0.35">
      <c r="A1121" t="s">
        <v>2195</v>
      </c>
      <c r="B1121" s="2">
        <v>46060</v>
      </c>
      <c r="C1121" t="s">
        <v>885</v>
      </c>
      <c r="D1121" s="3" t="s">
        <v>53</v>
      </c>
      <c r="E1121" t="s">
        <v>67</v>
      </c>
      <c r="F1121" t="s">
        <v>89</v>
      </c>
      <c r="G1121" t="s">
        <v>90</v>
      </c>
      <c r="H1121" s="8">
        <v>1</v>
      </c>
      <c r="I1121" s="10">
        <v>79</v>
      </c>
      <c r="J1121" s="14">
        <f>P1121*I1121</f>
        <v>79</v>
      </c>
      <c r="K1121" s="16">
        <v>640</v>
      </c>
      <c r="L1121" s="1" t="s">
        <v>30</v>
      </c>
      <c r="M1121" t="s">
        <v>22</v>
      </c>
      <c r="N1121" t="str">
        <f t="shared" si="20"/>
        <v>Gb</v>
      </c>
      <c r="O1121" s="8">
        <f>IF(K1121&gt;=1,K1121,K1121*1000)</f>
        <v>640</v>
      </c>
      <c r="P1121">
        <f>ABS(H1121)</f>
        <v>1</v>
      </c>
      <c r="R1121"/>
    </row>
    <row r="1122" spans="1:18" x14ac:dyDescent="0.35">
      <c r="A1122" t="s">
        <v>2196</v>
      </c>
      <c r="B1122" s="2">
        <v>46046</v>
      </c>
      <c r="C1122" t="s">
        <v>1854</v>
      </c>
      <c r="D1122" s="3" t="s">
        <v>99</v>
      </c>
      <c r="E1122" t="s">
        <v>25</v>
      </c>
      <c r="F1122" t="s">
        <v>26</v>
      </c>
      <c r="G1122" t="s">
        <v>27</v>
      </c>
      <c r="H1122" s="8">
        <v>2</v>
      </c>
      <c r="I1122" s="10">
        <v>129</v>
      </c>
      <c r="J1122" s="14">
        <f>P1122*I1122</f>
        <v>258</v>
      </c>
      <c r="K1122" s="16">
        <v>520</v>
      </c>
      <c r="L1122" s="1" t="s">
        <v>30</v>
      </c>
      <c r="M1122" t="s">
        <v>22</v>
      </c>
      <c r="N1122" t="str">
        <f t="shared" si="20"/>
        <v>United Kingdom</v>
      </c>
      <c r="O1122" s="8">
        <f>IF(K1122&gt;=1,K1122,K1122*1000)</f>
        <v>520</v>
      </c>
      <c r="P1122">
        <f>ABS(H1122)</f>
        <v>2</v>
      </c>
      <c r="R1122"/>
    </row>
    <row r="1123" spans="1:18" x14ac:dyDescent="0.35">
      <c r="A1123" t="s">
        <v>2197</v>
      </c>
      <c r="B1123" s="2">
        <v>46085</v>
      </c>
      <c r="C1123" t="s">
        <v>2070</v>
      </c>
      <c r="D1123" s="3" t="s">
        <v>4613</v>
      </c>
      <c r="E1123" t="s">
        <v>34</v>
      </c>
      <c r="F1123" t="s">
        <v>17</v>
      </c>
      <c r="G1123" t="s">
        <v>18</v>
      </c>
      <c r="H1123" s="8">
        <v>2</v>
      </c>
      <c r="I1123" s="10">
        <v>21.6</v>
      </c>
      <c r="J1123" s="14">
        <f>P1123*I1123</f>
        <v>43.2</v>
      </c>
      <c r="K1123" s="16">
        <v>520</v>
      </c>
      <c r="L1123" s="1" t="s">
        <v>30</v>
      </c>
      <c r="M1123" t="s">
        <v>58</v>
      </c>
      <c r="N1123" t="str">
        <f t="shared" si="20"/>
        <v>United Kingdom</v>
      </c>
      <c r="O1123" s="8">
        <f>IF(K1123&gt;=1,K1123,K1123*1000)</f>
        <v>520</v>
      </c>
      <c r="P1123">
        <f>ABS(H1123)</f>
        <v>2</v>
      </c>
      <c r="R1123"/>
    </row>
    <row r="1124" spans="1:18" x14ac:dyDescent="0.35">
      <c r="A1124" t="s">
        <v>2198</v>
      </c>
      <c r="B1124" s="2">
        <v>46208</v>
      </c>
      <c r="C1124" t="s">
        <v>2199</v>
      </c>
      <c r="D1124" s="3" t="s">
        <v>66</v>
      </c>
      <c r="E1124" t="s">
        <v>25</v>
      </c>
      <c r="F1124" t="s">
        <v>47</v>
      </c>
      <c r="G1124" t="s">
        <v>48</v>
      </c>
      <c r="H1124" s="8">
        <v>3</v>
      </c>
      <c r="I1124" s="10">
        <v>129</v>
      </c>
      <c r="J1124" s="14">
        <f>P1124*I1124</f>
        <v>387</v>
      </c>
      <c r="K1124" s="16">
        <v>0.38</v>
      </c>
      <c r="L1124" s="1" t="s">
        <v>30</v>
      </c>
      <c r="M1124" t="s">
        <v>22</v>
      </c>
      <c r="N1124" t="str">
        <f t="shared" si="20"/>
        <v>Gb</v>
      </c>
      <c r="O1124" s="8">
        <f>IF(K1124&gt;=1,K1124,K1124*1000)</f>
        <v>380</v>
      </c>
      <c r="P1124">
        <f>ABS(H1124)</f>
        <v>3</v>
      </c>
      <c r="R1124"/>
    </row>
    <row r="1125" spans="1:18" x14ac:dyDescent="0.35">
      <c r="A1125" t="s">
        <v>2200</v>
      </c>
      <c r="B1125" s="2">
        <v>46268</v>
      </c>
      <c r="C1125" t="s">
        <v>121</v>
      </c>
      <c r="D1125" s="3" t="s">
        <v>116</v>
      </c>
      <c r="E1125" t="s">
        <v>41</v>
      </c>
      <c r="F1125" t="s">
        <v>74</v>
      </c>
      <c r="G1125" t="s">
        <v>75</v>
      </c>
      <c r="H1125" s="8">
        <v>2</v>
      </c>
      <c r="I1125" s="12" t="s">
        <v>4639</v>
      </c>
      <c r="J1125" s="14">
        <f>P1125*R1125</f>
        <v>25</v>
      </c>
      <c r="K1125" s="16">
        <v>410</v>
      </c>
      <c r="L1125" s="1" t="s">
        <v>21</v>
      </c>
      <c r="M1125" t="s">
        <v>58</v>
      </c>
      <c r="N1125" t="str">
        <f t="shared" si="20"/>
        <v>Germany</v>
      </c>
      <c r="O1125" s="8">
        <f>IF(K1125&gt;=1,K1125,K1125*1000)</f>
        <v>410</v>
      </c>
      <c r="P1125">
        <f>ABS(H1125)</f>
        <v>2</v>
      </c>
      <c r="Q1125" t="str">
        <f>LEFT(I1125,2)</f>
        <v>Â£</v>
      </c>
      <c r="R1125" t="str">
        <f>RIGHT(I1125,5)</f>
        <v>12,50</v>
      </c>
    </row>
    <row r="1126" spans="1:18" x14ac:dyDescent="0.35">
      <c r="A1126" t="s">
        <v>2201</v>
      </c>
      <c r="B1126" s="2" t="s">
        <v>336</v>
      </c>
      <c r="C1126" t="s">
        <v>557</v>
      </c>
      <c r="D1126" s="3" t="s">
        <v>4613</v>
      </c>
      <c r="E1126" t="s">
        <v>16</v>
      </c>
      <c r="F1126" t="s">
        <v>89</v>
      </c>
      <c r="G1126" t="s">
        <v>90</v>
      </c>
      <c r="H1126" s="8">
        <v>2</v>
      </c>
      <c r="I1126" s="10">
        <v>129</v>
      </c>
      <c r="J1126" s="14">
        <f>P1126*I1126</f>
        <v>258</v>
      </c>
      <c r="K1126" s="16">
        <v>640</v>
      </c>
      <c r="L1126" s="1" t="s">
        <v>21</v>
      </c>
      <c r="M1126" t="s">
        <v>22</v>
      </c>
      <c r="N1126" t="str">
        <f t="shared" si="20"/>
        <v>United Kingdom</v>
      </c>
      <c r="O1126" s="8">
        <f>IF(K1126&gt;=1,K1126,K1126*1000)</f>
        <v>640</v>
      </c>
      <c r="P1126">
        <f>ABS(H1126)</f>
        <v>2</v>
      </c>
      <c r="R1126"/>
    </row>
    <row r="1127" spans="1:18" x14ac:dyDescent="0.35">
      <c r="A1127" t="s">
        <v>2202</v>
      </c>
      <c r="B1127" s="2">
        <v>46196</v>
      </c>
      <c r="C1127" t="s">
        <v>2203</v>
      </c>
      <c r="D1127" s="3" t="s">
        <v>15</v>
      </c>
      <c r="E1127" t="s">
        <v>16</v>
      </c>
      <c r="F1127" t="s">
        <v>26</v>
      </c>
      <c r="G1127" t="s">
        <v>27</v>
      </c>
      <c r="H1127" s="8">
        <v>3</v>
      </c>
      <c r="I1127" s="10">
        <v>71.099999999999994</v>
      </c>
      <c r="J1127" s="14">
        <f>P1127*I1127</f>
        <v>213.29999999999998</v>
      </c>
      <c r="K1127" s="16">
        <v>0.52</v>
      </c>
      <c r="L1127" s="1" t="s">
        <v>30</v>
      </c>
      <c r="M1127" t="s">
        <v>22</v>
      </c>
      <c r="N1127" t="str">
        <f t="shared" si="20"/>
        <v>France</v>
      </c>
      <c r="O1127" s="8">
        <f>IF(K1127&gt;=1,K1127,K1127*1000)</f>
        <v>520</v>
      </c>
      <c r="P1127">
        <f>ABS(H1127)</f>
        <v>3</v>
      </c>
      <c r="R1127"/>
    </row>
    <row r="1128" spans="1:18" x14ac:dyDescent="0.35">
      <c r="A1128" t="s">
        <v>2204</v>
      </c>
      <c r="B1128" s="2">
        <v>46198</v>
      </c>
      <c r="C1128" t="s">
        <v>2205</v>
      </c>
      <c r="D1128" s="3" t="s">
        <v>53</v>
      </c>
      <c r="E1128" t="s">
        <v>16</v>
      </c>
      <c r="F1128" t="s">
        <v>47</v>
      </c>
      <c r="G1128" t="s">
        <v>48</v>
      </c>
      <c r="H1128" s="8">
        <v>1</v>
      </c>
      <c r="I1128" s="10">
        <v>40.5</v>
      </c>
      <c r="J1128" s="14">
        <f>P1128*I1128</f>
        <v>40.5</v>
      </c>
      <c r="K1128" s="16">
        <v>0.38</v>
      </c>
      <c r="L1128" s="1" t="s">
        <v>30</v>
      </c>
      <c r="M1128" t="s">
        <v>58</v>
      </c>
      <c r="N1128" t="str">
        <f t="shared" si="20"/>
        <v>Gb</v>
      </c>
      <c r="O1128" s="8">
        <f>IF(K1128&gt;=1,K1128,K1128*1000)</f>
        <v>380</v>
      </c>
      <c r="P1128">
        <f>ABS(H1128)</f>
        <v>1</v>
      </c>
      <c r="R1128"/>
    </row>
    <row r="1129" spans="1:18" x14ac:dyDescent="0.35">
      <c r="A1129" t="s">
        <v>2207</v>
      </c>
      <c r="B1129" s="2">
        <v>46057</v>
      </c>
      <c r="C1129" t="s">
        <v>919</v>
      </c>
      <c r="D1129" s="3" t="s">
        <v>15</v>
      </c>
      <c r="E1129" t="s">
        <v>67</v>
      </c>
      <c r="F1129" t="s">
        <v>83</v>
      </c>
      <c r="G1129" t="s">
        <v>84</v>
      </c>
      <c r="H1129" s="8">
        <v>1</v>
      </c>
      <c r="I1129" s="10">
        <v>129</v>
      </c>
      <c r="J1129" s="14">
        <f>P1129*I1129</f>
        <v>129</v>
      </c>
      <c r="K1129" s="16">
        <v>340</v>
      </c>
      <c r="L1129" s="1" t="s">
        <v>30</v>
      </c>
      <c r="M1129" t="s">
        <v>22</v>
      </c>
      <c r="N1129" t="str">
        <f t="shared" si="20"/>
        <v>France</v>
      </c>
      <c r="O1129" s="8">
        <f>IF(K1129&gt;=1,K1129,K1129*1000)</f>
        <v>340</v>
      </c>
      <c r="P1129">
        <f>ABS(H1129)</f>
        <v>1</v>
      </c>
      <c r="R1129"/>
    </row>
    <row r="1130" spans="1:18" x14ac:dyDescent="0.35">
      <c r="A1130" t="s">
        <v>2208</v>
      </c>
      <c r="B1130" s="2">
        <v>46057</v>
      </c>
      <c r="C1130" t="s">
        <v>1076</v>
      </c>
      <c r="D1130" s="3" t="s">
        <v>61</v>
      </c>
      <c r="E1130" t="s">
        <v>34</v>
      </c>
      <c r="F1130" t="s">
        <v>89</v>
      </c>
      <c r="G1130" t="s">
        <v>90</v>
      </c>
      <c r="H1130" s="8">
        <v>1</v>
      </c>
      <c r="I1130" s="10">
        <v>71.099999999999994</v>
      </c>
      <c r="J1130" s="14">
        <f>P1130*I1130</f>
        <v>71.099999999999994</v>
      </c>
      <c r="K1130" s="16">
        <v>640</v>
      </c>
      <c r="L1130" s="1" t="s">
        <v>30</v>
      </c>
      <c r="M1130" t="s">
        <v>22</v>
      </c>
      <c r="N1130" t="str">
        <f t="shared" si="20"/>
        <v>Ireland</v>
      </c>
      <c r="O1130" s="8">
        <f>IF(K1130&gt;=1,K1130,K1130*1000)</f>
        <v>640</v>
      </c>
      <c r="P1130">
        <f>ABS(H1130)</f>
        <v>1</v>
      </c>
      <c r="R1130"/>
    </row>
    <row r="1131" spans="1:18" x14ac:dyDescent="0.35">
      <c r="A1131" t="s">
        <v>2209</v>
      </c>
      <c r="B1131" s="2">
        <v>46129</v>
      </c>
      <c r="C1131" t="s">
        <v>679</v>
      </c>
      <c r="D1131" s="3" t="s">
        <v>116</v>
      </c>
      <c r="E1131" t="s">
        <v>67</v>
      </c>
      <c r="F1131" t="s">
        <v>89</v>
      </c>
      <c r="G1131" t="s">
        <v>90</v>
      </c>
      <c r="H1131" s="8">
        <v>1</v>
      </c>
      <c r="I1131" s="10">
        <v>11.25</v>
      </c>
      <c r="J1131" s="14">
        <f>P1131*I1131</f>
        <v>11.25</v>
      </c>
      <c r="K1131" s="16">
        <v>640</v>
      </c>
      <c r="L1131" s="1" t="s">
        <v>21</v>
      </c>
      <c r="M1131" t="s">
        <v>22</v>
      </c>
      <c r="N1131" t="str">
        <f t="shared" si="20"/>
        <v>Germany</v>
      </c>
      <c r="O1131" s="8">
        <f>IF(K1131&gt;=1,K1131,K1131*1000)</f>
        <v>640</v>
      </c>
      <c r="P1131">
        <f>ABS(H1131)</f>
        <v>1</v>
      </c>
      <c r="R1131"/>
    </row>
    <row r="1132" spans="1:18" x14ac:dyDescent="0.35">
      <c r="A1132" t="s">
        <v>2210</v>
      </c>
      <c r="B1132" s="2">
        <v>46101</v>
      </c>
      <c r="C1132" t="s">
        <v>2211</v>
      </c>
      <c r="D1132" s="3" t="s">
        <v>116</v>
      </c>
      <c r="E1132" t="s">
        <v>34</v>
      </c>
      <c r="F1132" t="s">
        <v>83</v>
      </c>
      <c r="G1132" t="s">
        <v>84</v>
      </c>
      <c r="H1132" s="8">
        <v>1</v>
      </c>
      <c r="I1132" s="10">
        <v>129</v>
      </c>
      <c r="J1132" s="14">
        <f>P1132*I1132</f>
        <v>129</v>
      </c>
      <c r="K1132" s="16">
        <v>340</v>
      </c>
      <c r="L1132" s="1" t="s">
        <v>30</v>
      </c>
      <c r="M1132" t="s">
        <v>22</v>
      </c>
      <c r="N1132" t="str">
        <f t="shared" si="20"/>
        <v>Germany</v>
      </c>
      <c r="O1132" s="8">
        <f>IF(K1132&gt;=1,K1132,K1132*1000)</f>
        <v>340</v>
      </c>
      <c r="P1132">
        <f>ABS(H1132)</f>
        <v>1</v>
      </c>
      <c r="R1132"/>
    </row>
    <row r="1133" spans="1:18" x14ac:dyDescent="0.35">
      <c r="A1133" t="s">
        <v>2212</v>
      </c>
      <c r="B1133" s="2">
        <v>46078</v>
      </c>
      <c r="C1133" t="s">
        <v>457</v>
      </c>
      <c r="D1133" s="3" t="s">
        <v>99</v>
      </c>
      <c r="E1133" t="s">
        <v>41</v>
      </c>
      <c r="F1133" t="s">
        <v>83</v>
      </c>
      <c r="G1133" t="s">
        <v>84</v>
      </c>
      <c r="H1133" s="8">
        <v>1</v>
      </c>
      <c r="I1133" s="12" t="s">
        <v>4645</v>
      </c>
      <c r="J1133" s="14">
        <f>P1133*R1133</f>
        <v>40.5</v>
      </c>
      <c r="K1133" s="16">
        <v>340</v>
      </c>
      <c r="L1133" s="1" t="s">
        <v>30</v>
      </c>
      <c r="M1133" t="s">
        <v>58</v>
      </c>
      <c r="N1133" t="str">
        <f t="shared" si="20"/>
        <v>United Kingdom</v>
      </c>
      <c r="O1133" s="8">
        <f>IF(K1133&gt;=1,K1133,K1133*1000)</f>
        <v>340</v>
      </c>
      <c r="P1133">
        <f>ABS(H1133)</f>
        <v>1</v>
      </c>
      <c r="Q1133" t="str">
        <f>LEFT(I1133,3)</f>
        <v>GBP</v>
      </c>
      <c r="R1133" s="10" t="str">
        <f>RIGHT(I1133,5)</f>
        <v>40,50</v>
      </c>
    </row>
    <row r="1134" spans="1:18" x14ac:dyDescent="0.35">
      <c r="A1134" t="s">
        <v>2213</v>
      </c>
      <c r="B1134" s="2">
        <v>46060</v>
      </c>
      <c r="C1134" t="s">
        <v>2214</v>
      </c>
      <c r="D1134" s="3" t="s">
        <v>61</v>
      </c>
      <c r="E1134" t="s">
        <v>16</v>
      </c>
      <c r="F1134" t="s">
        <v>89</v>
      </c>
      <c r="G1134" t="s">
        <v>90</v>
      </c>
      <c r="H1134" s="8">
        <v>1</v>
      </c>
      <c r="I1134" s="10">
        <v>79</v>
      </c>
      <c r="J1134" s="14">
        <f>P1134*I1134</f>
        <v>79</v>
      </c>
      <c r="K1134" s="16">
        <v>0.64</v>
      </c>
      <c r="L1134" s="1" t="s">
        <v>30</v>
      </c>
      <c r="M1134" t="s">
        <v>22</v>
      </c>
      <c r="N1134" t="str">
        <f t="shared" si="20"/>
        <v>Ireland</v>
      </c>
      <c r="O1134" s="8">
        <f>IF(K1134&gt;=1,K1134,K1134*1000)</f>
        <v>640</v>
      </c>
      <c r="P1134">
        <f>ABS(H1134)</f>
        <v>1</v>
      </c>
      <c r="R1134"/>
    </row>
    <row r="1135" spans="1:18" x14ac:dyDescent="0.35">
      <c r="A1135" t="s">
        <v>2215</v>
      </c>
      <c r="B1135" s="2">
        <v>46123</v>
      </c>
      <c r="C1135" t="s">
        <v>1644</v>
      </c>
      <c r="D1135" s="3" t="s">
        <v>53</v>
      </c>
      <c r="E1135" t="s">
        <v>25</v>
      </c>
      <c r="F1135" t="s">
        <v>35</v>
      </c>
      <c r="G1135" t="s">
        <v>36</v>
      </c>
      <c r="H1135" s="8">
        <v>1</v>
      </c>
      <c r="I1135" s="10">
        <v>21.6</v>
      </c>
      <c r="J1135" s="14">
        <f>P1135*I1135</f>
        <v>21.6</v>
      </c>
      <c r="K1135" s="16">
        <v>85</v>
      </c>
      <c r="L1135" s="1" t="s">
        <v>30</v>
      </c>
      <c r="M1135" t="s">
        <v>22</v>
      </c>
      <c r="N1135" t="str">
        <f t="shared" si="20"/>
        <v>Gb</v>
      </c>
      <c r="O1135" s="8">
        <f>IF(K1135&gt;=1,K1135,K1135*1000)</f>
        <v>85</v>
      </c>
      <c r="P1135">
        <f>ABS(H1135)</f>
        <v>1</v>
      </c>
      <c r="R1135"/>
    </row>
    <row r="1136" spans="1:18" x14ac:dyDescent="0.35">
      <c r="A1136" t="s">
        <v>2216</v>
      </c>
      <c r="B1136" s="2">
        <v>46167</v>
      </c>
      <c r="C1136" t="s">
        <v>1872</v>
      </c>
      <c r="D1136" s="3" t="s">
        <v>116</v>
      </c>
      <c r="E1136" t="s">
        <v>16</v>
      </c>
      <c r="F1136" t="s">
        <v>17</v>
      </c>
      <c r="G1136" t="s">
        <v>18</v>
      </c>
      <c r="H1136" s="8">
        <v>2</v>
      </c>
      <c r="I1136" s="12" t="s">
        <v>4637</v>
      </c>
      <c r="J1136" s="14">
        <f>P1136*R1136</f>
        <v>98</v>
      </c>
      <c r="K1136" s="16">
        <v>0.52</v>
      </c>
      <c r="L1136" s="1" t="s">
        <v>30</v>
      </c>
      <c r="M1136" t="s">
        <v>22</v>
      </c>
      <c r="N1136" t="str">
        <f t="shared" si="20"/>
        <v>Germany</v>
      </c>
      <c r="O1136" s="8">
        <f>IF(K1136&gt;=1,K1136,K1136*1000)</f>
        <v>520</v>
      </c>
      <c r="P1136">
        <f>ABS(H1136)</f>
        <v>2</v>
      </c>
      <c r="Q1136" t="str">
        <f>LEFT(I1136,2)</f>
        <v>Â£</v>
      </c>
      <c r="R1136" t="str">
        <f>RIGHT(I1136,5)</f>
        <v>49,00</v>
      </c>
    </row>
    <row r="1137" spans="1:18" x14ac:dyDescent="0.35">
      <c r="A1137" t="s">
        <v>2217</v>
      </c>
      <c r="B1137" s="2">
        <v>46155</v>
      </c>
      <c r="C1137" t="s">
        <v>2218</v>
      </c>
      <c r="D1137" s="3" t="s">
        <v>99</v>
      </c>
      <c r="E1137" t="s">
        <v>67</v>
      </c>
      <c r="F1137" t="s">
        <v>89</v>
      </c>
      <c r="G1137" t="s">
        <v>90</v>
      </c>
      <c r="H1137" s="8">
        <v>2</v>
      </c>
      <c r="I1137" s="10">
        <v>80.099999999999994</v>
      </c>
      <c r="J1137" s="14">
        <f>P1137*I1137</f>
        <v>160.19999999999999</v>
      </c>
      <c r="K1137" s="16">
        <v>0.64</v>
      </c>
      <c r="L1137" s="1" t="s">
        <v>30</v>
      </c>
      <c r="M1137" t="s">
        <v>22</v>
      </c>
      <c r="N1137" t="str">
        <f t="shared" si="20"/>
        <v>United Kingdom</v>
      </c>
      <c r="O1137" s="8">
        <f>IF(K1137&gt;=1,K1137,K1137*1000)</f>
        <v>640</v>
      </c>
      <c r="P1137">
        <f>ABS(H1137)</f>
        <v>2</v>
      </c>
      <c r="R1137"/>
    </row>
    <row r="1138" spans="1:18" x14ac:dyDescent="0.35">
      <c r="A1138" t="s">
        <v>2219</v>
      </c>
      <c r="B1138" s="2">
        <v>46266</v>
      </c>
      <c r="C1138" t="s">
        <v>2220</v>
      </c>
      <c r="D1138" s="3" t="s">
        <v>53</v>
      </c>
      <c r="E1138" t="s">
        <v>67</v>
      </c>
      <c r="F1138" t="s">
        <v>89</v>
      </c>
      <c r="G1138" t="s">
        <v>90</v>
      </c>
      <c r="H1138" s="8">
        <v>1</v>
      </c>
      <c r="I1138" s="12" t="s">
        <v>4621</v>
      </c>
      <c r="J1138" s="14">
        <f>P1138*R1138</f>
        <v>85.5</v>
      </c>
      <c r="K1138" s="16">
        <v>640</v>
      </c>
      <c r="L1138" s="1" t="s">
        <v>30</v>
      </c>
      <c r="M1138" t="s">
        <v>22</v>
      </c>
      <c r="N1138" t="str">
        <f t="shared" si="20"/>
        <v>Gb</v>
      </c>
      <c r="O1138" s="8">
        <f>IF(K1138&gt;=1,K1138,K1138*1000)</f>
        <v>640</v>
      </c>
      <c r="P1138">
        <f>ABS(H1138)</f>
        <v>1</v>
      </c>
      <c r="Q1138" t="str">
        <f>LEFT(I1138,2)</f>
        <v>Â£</v>
      </c>
      <c r="R1138" t="str">
        <f>RIGHT(I1138,5)</f>
        <v>85,50</v>
      </c>
    </row>
    <row r="1139" spans="1:18" x14ac:dyDescent="0.35">
      <c r="A1139" t="s">
        <v>2221</v>
      </c>
      <c r="B1139" s="2">
        <v>46031</v>
      </c>
      <c r="C1139" t="s">
        <v>2222</v>
      </c>
      <c r="D1139" s="3" t="s">
        <v>15</v>
      </c>
      <c r="E1139" t="s">
        <v>67</v>
      </c>
      <c r="F1139" t="s">
        <v>35</v>
      </c>
      <c r="G1139" t="s">
        <v>36</v>
      </c>
      <c r="H1139" s="8">
        <v>1</v>
      </c>
      <c r="I1139" s="10">
        <v>24</v>
      </c>
      <c r="J1139" s="14">
        <f>P1139*I1139</f>
        <v>24</v>
      </c>
      <c r="K1139" s="16">
        <v>85</v>
      </c>
      <c r="L1139" s="1" t="s">
        <v>30</v>
      </c>
      <c r="M1139" t="s">
        <v>58</v>
      </c>
      <c r="N1139" t="str">
        <f t="shared" si="20"/>
        <v>France</v>
      </c>
      <c r="O1139" s="8">
        <f>IF(K1139&gt;=1,K1139,K1139*1000)</f>
        <v>85</v>
      </c>
      <c r="P1139">
        <f>ABS(H1139)</f>
        <v>1</v>
      </c>
      <c r="R1139"/>
    </row>
    <row r="1140" spans="1:18" x14ac:dyDescent="0.35">
      <c r="A1140" t="s">
        <v>2223</v>
      </c>
      <c r="B1140" s="2">
        <v>46202</v>
      </c>
      <c r="C1140" t="s">
        <v>1091</v>
      </c>
      <c r="D1140" s="3" t="s">
        <v>4613</v>
      </c>
      <c r="E1140" t="s">
        <v>41</v>
      </c>
      <c r="F1140" t="s">
        <v>83</v>
      </c>
      <c r="G1140" t="s">
        <v>84</v>
      </c>
      <c r="H1140" s="8">
        <v>3</v>
      </c>
      <c r="I1140" s="10">
        <v>45</v>
      </c>
      <c r="J1140" s="14">
        <f>P1140*I1140</f>
        <v>135</v>
      </c>
      <c r="K1140" s="16">
        <v>0.34</v>
      </c>
      <c r="L1140" s="1" t="s">
        <v>21</v>
      </c>
      <c r="M1140" t="s">
        <v>22</v>
      </c>
      <c r="N1140" t="str">
        <f t="shared" si="20"/>
        <v>United Kingdom</v>
      </c>
      <c r="O1140" s="8">
        <f>IF(K1140&gt;=1,K1140,K1140*1000)</f>
        <v>340</v>
      </c>
      <c r="P1140">
        <f>ABS(H1140)</f>
        <v>3</v>
      </c>
      <c r="R1140"/>
    </row>
    <row r="1141" spans="1:18" x14ac:dyDescent="0.35">
      <c r="A1141" t="s">
        <v>2224</v>
      </c>
      <c r="B1141" s="2">
        <v>46094</v>
      </c>
      <c r="C1141" t="s">
        <v>2225</v>
      </c>
      <c r="D1141" s="3" t="s">
        <v>53</v>
      </c>
      <c r="E1141" t="s">
        <v>25</v>
      </c>
      <c r="F1141" t="s">
        <v>26</v>
      </c>
      <c r="G1141" t="s">
        <v>27</v>
      </c>
      <c r="H1141" s="8">
        <v>1</v>
      </c>
      <c r="I1141" s="12" t="s">
        <v>4630</v>
      </c>
      <c r="J1141" s="14">
        <f>P1141*R1141</f>
        <v>11.25</v>
      </c>
      <c r="K1141" s="16">
        <v>520</v>
      </c>
      <c r="L1141" s="1" t="s">
        <v>30</v>
      </c>
      <c r="M1141" t="s">
        <v>22</v>
      </c>
      <c r="N1141" t="str">
        <f t="shared" si="20"/>
        <v>Gb</v>
      </c>
      <c r="O1141" s="8">
        <f>IF(K1141&gt;=1,K1141,K1141*1000)</f>
        <v>520</v>
      </c>
      <c r="P1141">
        <f>ABS(H1141)</f>
        <v>1</v>
      </c>
      <c r="Q1141" t="str">
        <f>LEFT(I1141,2)</f>
        <v>Â£</v>
      </c>
      <c r="R1141" t="str">
        <f>RIGHT(I1141,5)</f>
        <v>11,25</v>
      </c>
    </row>
    <row r="1142" spans="1:18" x14ac:dyDescent="0.35">
      <c r="A1142" t="s">
        <v>2227</v>
      </c>
      <c r="B1142" s="2">
        <v>46066</v>
      </c>
      <c r="C1142" t="s">
        <v>2228</v>
      </c>
      <c r="D1142" s="3" t="s">
        <v>4613</v>
      </c>
      <c r="E1142" t="s">
        <v>16</v>
      </c>
      <c r="F1142" t="s">
        <v>17</v>
      </c>
      <c r="G1142" t="s">
        <v>18</v>
      </c>
      <c r="H1142" s="8">
        <v>1</v>
      </c>
      <c r="I1142" s="12" t="s">
        <v>4627</v>
      </c>
      <c r="J1142" s="14">
        <f>P1142*R1142</f>
        <v>95</v>
      </c>
      <c r="K1142" s="16">
        <v>520</v>
      </c>
      <c r="L1142" s="1" t="s">
        <v>30</v>
      </c>
      <c r="M1142" t="s">
        <v>22</v>
      </c>
      <c r="N1142" t="str">
        <f t="shared" si="20"/>
        <v>United Kingdom</v>
      </c>
      <c r="O1142" s="8">
        <f>IF(K1142&gt;=1,K1142,K1142*1000)</f>
        <v>520</v>
      </c>
      <c r="P1142">
        <f>ABS(H1142)</f>
        <v>1</v>
      </c>
      <c r="Q1142" t="str">
        <f>LEFT(I1142,3)</f>
        <v>GBP</v>
      </c>
      <c r="R1142" s="10" t="str">
        <f>RIGHT(I1142,5)</f>
        <v>95,00</v>
      </c>
    </row>
    <row r="1143" spans="1:18" x14ac:dyDescent="0.35">
      <c r="A1143" t="s">
        <v>2229</v>
      </c>
      <c r="B1143" s="2">
        <v>46051</v>
      </c>
      <c r="C1143" t="s">
        <v>2230</v>
      </c>
      <c r="D1143" s="3" t="s">
        <v>99</v>
      </c>
      <c r="E1143" t="s">
        <v>41</v>
      </c>
      <c r="F1143" t="s">
        <v>26</v>
      </c>
      <c r="G1143" t="s">
        <v>27</v>
      </c>
      <c r="H1143" s="8">
        <v>2</v>
      </c>
      <c r="I1143" s="10">
        <v>79</v>
      </c>
      <c r="J1143" s="14">
        <f>P1143*I1143</f>
        <v>158</v>
      </c>
      <c r="K1143" s="16">
        <v>520</v>
      </c>
      <c r="L1143" s="1" t="s">
        <v>21</v>
      </c>
      <c r="M1143" t="s">
        <v>22</v>
      </c>
      <c r="N1143" t="str">
        <f t="shared" si="20"/>
        <v>United Kingdom</v>
      </c>
      <c r="O1143" s="8">
        <f>IF(K1143&gt;=1,K1143,K1143*1000)</f>
        <v>520</v>
      </c>
      <c r="P1143">
        <f>ABS(H1143)</f>
        <v>2</v>
      </c>
      <c r="R1143"/>
    </row>
    <row r="1144" spans="1:18" x14ac:dyDescent="0.35">
      <c r="A1144" t="s">
        <v>2231</v>
      </c>
      <c r="B1144" s="2">
        <v>46182</v>
      </c>
      <c r="C1144" t="s">
        <v>1223</v>
      </c>
      <c r="D1144" s="3" t="s">
        <v>4613</v>
      </c>
      <c r="E1144" t="s">
        <v>16</v>
      </c>
      <c r="F1144" t="s">
        <v>26</v>
      </c>
      <c r="G1144" t="s">
        <v>27</v>
      </c>
      <c r="H1144" s="8">
        <v>1</v>
      </c>
      <c r="I1144" s="10">
        <v>45</v>
      </c>
      <c r="J1144" s="14">
        <f>P1144*I1144</f>
        <v>45</v>
      </c>
      <c r="K1144" s="16">
        <v>0.52</v>
      </c>
      <c r="L1144" s="1" t="s">
        <v>30</v>
      </c>
      <c r="M1144" t="s">
        <v>22</v>
      </c>
      <c r="N1144" t="str">
        <f t="shared" si="20"/>
        <v>United Kingdom</v>
      </c>
      <c r="O1144" s="8">
        <f>IF(K1144&gt;=1,K1144,K1144*1000)</f>
        <v>520</v>
      </c>
      <c r="P1144">
        <f>ABS(H1144)</f>
        <v>1</v>
      </c>
      <c r="R1144"/>
    </row>
    <row r="1145" spans="1:18" x14ac:dyDescent="0.35">
      <c r="A1145" t="s">
        <v>2232</v>
      </c>
      <c r="B1145" s="2" t="s">
        <v>775</v>
      </c>
      <c r="C1145" t="s">
        <v>977</v>
      </c>
      <c r="D1145" s="3" t="s">
        <v>46</v>
      </c>
      <c r="E1145" t="s">
        <v>25</v>
      </c>
      <c r="F1145" t="s">
        <v>35</v>
      </c>
      <c r="G1145" t="s">
        <v>36</v>
      </c>
      <c r="H1145" s="8">
        <v>1</v>
      </c>
      <c r="I1145" s="10">
        <v>149</v>
      </c>
      <c r="J1145" s="14">
        <f>P1145*I1145</f>
        <v>149</v>
      </c>
      <c r="K1145" s="16">
        <v>85</v>
      </c>
      <c r="L1145" s="1" t="s">
        <v>30</v>
      </c>
      <c r="M1145" t="s">
        <v>58</v>
      </c>
      <c r="N1145" t="str">
        <f t="shared" si="20"/>
        <v>Ireland</v>
      </c>
      <c r="O1145" s="8">
        <f>IF(K1145&gt;=1,K1145,K1145*1000)</f>
        <v>85</v>
      </c>
      <c r="P1145">
        <f>ABS(H1145)</f>
        <v>1</v>
      </c>
      <c r="R1145"/>
    </row>
    <row r="1146" spans="1:18" x14ac:dyDescent="0.35">
      <c r="A1146" t="s">
        <v>2233</v>
      </c>
      <c r="B1146" s="2">
        <v>46063</v>
      </c>
      <c r="C1146" t="s">
        <v>409</v>
      </c>
      <c r="D1146" s="3" t="s">
        <v>53</v>
      </c>
      <c r="E1146" t="s">
        <v>34</v>
      </c>
      <c r="F1146" t="s">
        <v>74</v>
      </c>
      <c r="G1146" t="s">
        <v>75</v>
      </c>
      <c r="H1146" s="8">
        <v>2</v>
      </c>
      <c r="I1146" s="12" t="s">
        <v>4621</v>
      </c>
      <c r="J1146" s="14">
        <f>P1146*R1146</f>
        <v>171</v>
      </c>
      <c r="K1146" s="16">
        <v>410</v>
      </c>
      <c r="L1146" s="1" t="s">
        <v>30</v>
      </c>
      <c r="M1146" t="s">
        <v>22</v>
      </c>
      <c r="N1146" t="str">
        <f t="shared" si="20"/>
        <v>Gb</v>
      </c>
      <c r="O1146" s="8">
        <f>IF(K1146&gt;=1,K1146,K1146*1000)</f>
        <v>410</v>
      </c>
      <c r="P1146">
        <f>ABS(H1146)</f>
        <v>2</v>
      </c>
      <c r="Q1146" t="str">
        <f>LEFT(I1146,2)</f>
        <v>Â£</v>
      </c>
      <c r="R1146" t="str">
        <f>RIGHT(I1146,5)</f>
        <v>85,50</v>
      </c>
    </row>
    <row r="1147" spans="1:18" x14ac:dyDescent="0.35">
      <c r="A1147" t="s">
        <v>2234</v>
      </c>
      <c r="B1147" s="2">
        <v>46183</v>
      </c>
      <c r="C1147" t="s">
        <v>356</v>
      </c>
      <c r="D1147" s="3" t="s">
        <v>4612</v>
      </c>
      <c r="E1147" t="s">
        <v>34</v>
      </c>
      <c r="F1147" t="s">
        <v>35</v>
      </c>
      <c r="G1147" t="s">
        <v>36</v>
      </c>
      <c r="H1147" s="8">
        <v>2</v>
      </c>
      <c r="I1147" s="10">
        <v>11.25</v>
      </c>
      <c r="J1147" s="14">
        <f>P1147*I1147</f>
        <v>22.5</v>
      </c>
      <c r="K1147" s="16">
        <v>8.5000000000000006E-2</v>
      </c>
      <c r="L1147" s="1" t="s">
        <v>30</v>
      </c>
      <c r="M1147" t="s">
        <v>22</v>
      </c>
      <c r="N1147" t="str">
        <f t="shared" si="20"/>
        <v>United Kingdom</v>
      </c>
      <c r="O1147" s="8">
        <f>IF(K1147&gt;=1,K1147,K1147*1000)</f>
        <v>85</v>
      </c>
      <c r="P1147">
        <f>ABS(H1147)</f>
        <v>2</v>
      </c>
      <c r="R1147"/>
    </row>
    <row r="1148" spans="1:18" x14ac:dyDescent="0.35">
      <c r="A1148" t="s">
        <v>2235</v>
      </c>
      <c r="B1148" s="2">
        <v>46129</v>
      </c>
      <c r="C1148" t="s">
        <v>2236</v>
      </c>
      <c r="D1148" s="3" t="s">
        <v>4613</v>
      </c>
      <c r="E1148" t="s">
        <v>67</v>
      </c>
      <c r="F1148" t="s">
        <v>83</v>
      </c>
      <c r="G1148" t="s">
        <v>84</v>
      </c>
      <c r="H1148" s="8">
        <v>2</v>
      </c>
      <c r="I1148" s="10">
        <v>79</v>
      </c>
      <c r="J1148" s="14">
        <f>P1148*I1148</f>
        <v>158</v>
      </c>
      <c r="K1148" s="16">
        <v>340</v>
      </c>
      <c r="L1148" s="1" t="s">
        <v>30</v>
      </c>
      <c r="M1148" t="s">
        <v>22</v>
      </c>
      <c r="N1148" t="str">
        <f t="shared" si="20"/>
        <v>United Kingdom</v>
      </c>
      <c r="O1148" s="8">
        <f>IF(K1148&gt;=1,K1148,K1148*1000)</f>
        <v>340</v>
      </c>
      <c r="P1148">
        <f>ABS(H1148)</f>
        <v>2</v>
      </c>
      <c r="R1148"/>
    </row>
    <row r="1149" spans="1:18" x14ac:dyDescent="0.35">
      <c r="A1149" t="s">
        <v>2237</v>
      </c>
      <c r="B1149" s="2">
        <v>46030</v>
      </c>
      <c r="C1149" t="s">
        <v>2238</v>
      </c>
      <c r="D1149" s="3" t="s">
        <v>15</v>
      </c>
      <c r="E1149" t="s">
        <v>67</v>
      </c>
      <c r="F1149" t="s">
        <v>47</v>
      </c>
      <c r="G1149" t="s">
        <v>48</v>
      </c>
      <c r="H1149" s="8">
        <v>1</v>
      </c>
      <c r="I1149" s="10">
        <v>71.099999999999994</v>
      </c>
      <c r="J1149" s="14">
        <f>P1149*I1149</f>
        <v>71.099999999999994</v>
      </c>
      <c r="K1149" s="16">
        <v>380</v>
      </c>
      <c r="L1149" s="1" t="s">
        <v>30</v>
      </c>
      <c r="M1149" t="s">
        <v>58</v>
      </c>
      <c r="N1149" t="str">
        <f t="shared" si="20"/>
        <v>France</v>
      </c>
      <c r="O1149" s="8">
        <f>IF(K1149&gt;=1,K1149,K1149*1000)</f>
        <v>380</v>
      </c>
      <c r="P1149">
        <f>ABS(H1149)</f>
        <v>1</v>
      </c>
      <c r="R1149"/>
    </row>
    <row r="1150" spans="1:18" x14ac:dyDescent="0.35">
      <c r="A1150" t="s">
        <v>2240</v>
      </c>
      <c r="B1150" s="2">
        <v>46082</v>
      </c>
      <c r="C1150" t="s">
        <v>2241</v>
      </c>
      <c r="D1150" s="3" t="s">
        <v>66</v>
      </c>
      <c r="E1150" t="s">
        <v>16</v>
      </c>
      <c r="F1150" t="s">
        <v>17</v>
      </c>
      <c r="G1150" t="s">
        <v>18</v>
      </c>
      <c r="H1150" s="8">
        <v>3</v>
      </c>
      <c r="I1150" s="10">
        <v>89</v>
      </c>
      <c r="J1150" s="14">
        <f>P1150*I1150</f>
        <v>267</v>
      </c>
      <c r="K1150" s="16">
        <v>520</v>
      </c>
      <c r="L1150" s="1" t="s">
        <v>30</v>
      </c>
      <c r="M1150" t="s">
        <v>22</v>
      </c>
      <c r="N1150" t="str">
        <f t="shared" si="20"/>
        <v>Gb</v>
      </c>
      <c r="O1150" s="8">
        <f>IF(K1150&gt;=1,K1150,K1150*1000)</f>
        <v>520</v>
      </c>
      <c r="P1150">
        <f>ABS(H1150)</f>
        <v>3</v>
      </c>
      <c r="R1150"/>
    </row>
    <row r="1151" spans="1:18" x14ac:dyDescent="0.35">
      <c r="A1151" t="s">
        <v>2242</v>
      </c>
      <c r="B1151" s="2">
        <v>46127</v>
      </c>
      <c r="C1151" t="s">
        <v>123</v>
      </c>
      <c r="D1151" s="3" t="s">
        <v>4612</v>
      </c>
      <c r="E1151" t="s">
        <v>67</v>
      </c>
      <c r="F1151" t="s">
        <v>35</v>
      </c>
      <c r="G1151" t="s">
        <v>36</v>
      </c>
      <c r="H1151" s="8">
        <v>3</v>
      </c>
      <c r="I1151" s="10">
        <v>149</v>
      </c>
      <c r="J1151" s="14">
        <f>P1151*I1151</f>
        <v>447</v>
      </c>
      <c r="K1151" s="16">
        <v>85</v>
      </c>
      <c r="L1151" s="1" t="s">
        <v>21</v>
      </c>
      <c r="M1151" t="s">
        <v>22</v>
      </c>
      <c r="N1151" t="str">
        <f t="shared" si="20"/>
        <v>United Kingdom</v>
      </c>
      <c r="O1151" s="8">
        <f>IF(K1151&gt;=1,K1151,K1151*1000)</f>
        <v>85</v>
      </c>
      <c r="P1151">
        <f>ABS(H1151)</f>
        <v>3</v>
      </c>
      <c r="R1151"/>
    </row>
    <row r="1152" spans="1:18" x14ac:dyDescent="0.35">
      <c r="A1152" t="s">
        <v>2243</v>
      </c>
      <c r="B1152" s="2">
        <v>46192</v>
      </c>
      <c r="C1152" t="s">
        <v>956</v>
      </c>
      <c r="D1152" s="3" t="s">
        <v>4613</v>
      </c>
      <c r="E1152" t="s">
        <v>16</v>
      </c>
      <c r="F1152" t="s">
        <v>17</v>
      </c>
      <c r="G1152" t="s">
        <v>18</v>
      </c>
      <c r="H1152" s="8">
        <v>2</v>
      </c>
      <c r="I1152" s="10">
        <v>12.5</v>
      </c>
      <c r="J1152" s="14">
        <f>P1152*I1152</f>
        <v>25</v>
      </c>
      <c r="K1152" s="16">
        <v>0.52</v>
      </c>
      <c r="L1152" s="1" t="s">
        <v>30</v>
      </c>
      <c r="M1152" t="s">
        <v>22</v>
      </c>
      <c r="N1152" t="str">
        <f t="shared" si="20"/>
        <v>United Kingdom</v>
      </c>
      <c r="O1152" s="8">
        <f>IF(K1152&gt;=1,K1152,K1152*1000)</f>
        <v>520</v>
      </c>
      <c r="P1152">
        <f>ABS(H1152)</f>
        <v>2</v>
      </c>
      <c r="R1152"/>
    </row>
    <row r="1153" spans="1:18" x14ac:dyDescent="0.35">
      <c r="A1153" t="s">
        <v>2244</v>
      </c>
      <c r="B1153" s="2">
        <v>46058</v>
      </c>
      <c r="C1153" t="s">
        <v>2245</v>
      </c>
      <c r="D1153" s="3" t="s">
        <v>4613</v>
      </c>
      <c r="E1153" t="s">
        <v>67</v>
      </c>
      <c r="F1153" t="s">
        <v>26</v>
      </c>
      <c r="G1153" t="s">
        <v>27</v>
      </c>
      <c r="H1153" s="8">
        <v>1</v>
      </c>
      <c r="I1153" s="10">
        <v>134.1</v>
      </c>
      <c r="J1153" s="14">
        <f>P1153*I1153</f>
        <v>134.1</v>
      </c>
      <c r="K1153" s="16">
        <v>520</v>
      </c>
      <c r="L1153" s="1" t="s">
        <v>30</v>
      </c>
      <c r="M1153" t="s">
        <v>58</v>
      </c>
      <c r="N1153" t="str">
        <f t="shared" si="20"/>
        <v>United Kingdom</v>
      </c>
      <c r="O1153" s="8">
        <f>IF(K1153&gt;=1,K1153,K1153*1000)</f>
        <v>520</v>
      </c>
      <c r="P1153">
        <f>ABS(H1153)</f>
        <v>1</v>
      </c>
      <c r="R1153"/>
    </row>
    <row r="1154" spans="1:18" x14ac:dyDescent="0.35">
      <c r="A1154" t="s">
        <v>2246</v>
      </c>
      <c r="B1154" s="2">
        <v>46146</v>
      </c>
      <c r="C1154" t="s">
        <v>1275</v>
      </c>
      <c r="D1154" s="3" t="s">
        <v>99</v>
      </c>
      <c r="E1154" t="s">
        <v>41</v>
      </c>
      <c r="F1154" t="s">
        <v>47</v>
      </c>
      <c r="G1154" t="s">
        <v>48</v>
      </c>
      <c r="H1154" s="8">
        <v>2</v>
      </c>
      <c r="I1154" s="10">
        <v>24</v>
      </c>
      <c r="J1154" s="14">
        <f>P1154*I1154</f>
        <v>48</v>
      </c>
      <c r="K1154" s="16">
        <v>0.38</v>
      </c>
      <c r="L1154" s="1" t="s">
        <v>30</v>
      </c>
      <c r="M1154" t="s">
        <v>22</v>
      </c>
      <c r="N1154" t="str">
        <f t="shared" si="20"/>
        <v>United Kingdom</v>
      </c>
      <c r="O1154" s="8">
        <f>IF(K1154&gt;=1,K1154,K1154*1000)</f>
        <v>380</v>
      </c>
      <c r="P1154">
        <f>ABS(H1154)</f>
        <v>2</v>
      </c>
      <c r="R1154"/>
    </row>
    <row r="1155" spans="1:18" x14ac:dyDescent="0.35">
      <c r="A1155" t="s">
        <v>2248</v>
      </c>
      <c r="B1155" s="2">
        <v>46187</v>
      </c>
      <c r="C1155" t="s">
        <v>992</v>
      </c>
      <c r="D1155" s="3" t="s">
        <v>15</v>
      </c>
      <c r="E1155" t="s">
        <v>67</v>
      </c>
      <c r="F1155" t="s">
        <v>83</v>
      </c>
      <c r="G1155" t="s">
        <v>84</v>
      </c>
      <c r="H1155" s="8">
        <v>3</v>
      </c>
      <c r="I1155" s="10">
        <v>89</v>
      </c>
      <c r="J1155" s="14">
        <f>P1155*I1155</f>
        <v>267</v>
      </c>
      <c r="K1155" s="16">
        <v>0.34</v>
      </c>
      <c r="L1155" s="1" t="s">
        <v>30</v>
      </c>
      <c r="M1155" t="s">
        <v>22</v>
      </c>
      <c r="N1155" t="str">
        <f t="shared" ref="N1155:N1218" si="21">PROPER(TRIM(D1155))</f>
        <v>France</v>
      </c>
      <c r="O1155" s="8">
        <f>IF(K1155&gt;=1,K1155,K1155*1000)</f>
        <v>340</v>
      </c>
      <c r="P1155">
        <f>ABS(H1155)</f>
        <v>3</v>
      </c>
      <c r="R1155"/>
    </row>
    <row r="1156" spans="1:18" x14ac:dyDescent="0.35">
      <c r="A1156" t="s">
        <v>2249</v>
      </c>
      <c r="B1156" s="2">
        <v>46104</v>
      </c>
      <c r="C1156" t="s">
        <v>2086</v>
      </c>
      <c r="D1156" s="3" t="s">
        <v>61</v>
      </c>
      <c r="E1156" t="s">
        <v>25</v>
      </c>
      <c r="F1156" t="s">
        <v>17</v>
      </c>
      <c r="G1156" t="s">
        <v>18</v>
      </c>
      <c r="H1156" s="8">
        <v>3</v>
      </c>
      <c r="I1156" s="10">
        <v>45</v>
      </c>
      <c r="J1156" s="14">
        <f>P1156*I1156</f>
        <v>135</v>
      </c>
      <c r="K1156" s="16">
        <v>520</v>
      </c>
      <c r="L1156" s="1" t="s">
        <v>30</v>
      </c>
      <c r="M1156" t="s">
        <v>58</v>
      </c>
      <c r="N1156" t="str">
        <f t="shared" si="21"/>
        <v>Ireland</v>
      </c>
      <c r="O1156" s="8">
        <f>IF(K1156&gt;=1,K1156,K1156*1000)</f>
        <v>520</v>
      </c>
      <c r="P1156">
        <f>ABS(H1156)</f>
        <v>3</v>
      </c>
      <c r="R1156"/>
    </row>
    <row r="1157" spans="1:18" x14ac:dyDescent="0.35">
      <c r="A1157" t="s">
        <v>2250</v>
      </c>
      <c r="B1157" s="2">
        <v>46060</v>
      </c>
      <c r="C1157" t="s">
        <v>2251</v>
      </c>
      <c r="D1157" s="3" t="s">
        <v>99</v>
      </c>
      <c r="E1157" t="s">
        <v>25</v>
      </c>
      <c r="F1157" t="s">
        <v>74</v>
      </c>
      <c r="G1157" t="s">
        <v>75</v>
      </c>
      <c r="H1157" s="8">
        <v>2</v>
      </c>
      <c r="I1157" s="10">
        <v>116.1</v>
      </c>
      <c r="J1157" s="14">
        <f>P1157*I1157</f>
        <v>232.2</v>
      </c>
      <c r="K1157" s="16">
        <v>410</v>
      </c>
      <c r="L1157" s="1" t="s">
        <v>30</v>
      </c>
      <c r="M1157" t="s">
        <v>22</v>
      </c>
      <c r="N1157" t="str">
        <f t="shared" si="21"/>
        <v>United Kingdom</v>
      </c>
      <c r="O1157" s="8">
        <f>IF(K1157&gt;=1,K1157,K1157*1000)</f>
        <v>410</v>
      </c>
      <c r="P1157">
        <f>ABS(H1157)</f>
        <v>2</v>
      </c>
      <c r="R1157"/>
    </row>
    <row r="1158" spans="1:18" x14ac:dyDescent="0.35">
      <c r="A1158" t="s">
        <v>2252</v>
      </c>
      <c r="B1158" s="2">
        <v>46129</v>
      </c>
      <c r="C1158" t="s">
        <v>968</v>
      </c>
      <c r="D1158" s="3" t="s">
        <v>15</v>
      </c>
      <c r="E1158" t="s">
        <v>25</v>
      </c>
      <c r="F1158" t="s">
        <v>47</v>
      </c>
      <c r="G1158" t="s">
        <v>48</v>
      </c>
      <c r="H1158" s="8">
        <v>2</v>
      </c>
      <c r="I1158" s="10">
        <v>12.5</v>
      </c>
      <c r="J1158" s="14">
        <f>P1158*I1158</f>
        <v>25</v>
      </c>
      <c r="K1158" s="16">
        <v>380</v>
      </c>
      <c r="L1158" s="1" t="s">
        <v>21</v>
      </c>
      <c r="M1158" t="s">
        <v>22</v>
      </c>
      <c r="N1158" t="str">
        <f t="shared" si="21"/>
        <v>France</v>
      </c>
      <c r="O1158" s="8">
        <f>IF(K1158&gt;=1,K1158,K1158*1000)</f>
        <v>380</v>
      </c>
      <c r="P1158">
        <f>ABS(H1158)</f>
        <v>2</v>
      </c>
      <c r="R1158"/>
    </row>
    <row r="1159" spans="1:18" x14ac:dyDescent="0.35">
      <c r="A1159" t="s">
        <v>2253</v>
      </c>
      <c r="B1159" s="2">
        <v>46140</v>
      </c>
      <c r="C1159" t="s">
        <v>214</v>
      </c>
      <c r="D1159" s="3" t="s">
        <v>4613</v>
      </c>
      <c r="E1159" t="s">
        <v>25</v>
      </c>
      <c r="F1159" t="s">
        <v>26</v>
      </c>
      <c r="G1159" t="s">
        <v>27</v>
      </c>
      <c r="H1159" s="8">
        <v>1</v>
      </c>
      <c r="I1159" s="10">
        <v>71.099999999999994</v>
      </c>
      <c r="J1159" s="14">
        <f>P1159*I1159</f>
        <v>71.099999999999994</v>
      </c>
      <c r="K1159" s="16">
        <v>0.52</v>
      </c>
      <c r="L1159" s="1" t="s">
        <v>30</v>
      </c>
      <c r="M1159" t="s">
        <v>22</v>
      </c>
      <c r="N1159" t="str">
        <f t="shared" si="21"/>
        <v>United Kingdom</v>
      </c>
      <c r="O1159" s="8">
        <f>IF(K1159&gt;=1,K1159,K1159*1000)</f>
        <v>520</v>
      </c>
      <c r="P1159">
        <f>ABS(H1159)</f>
        <v>1</v>
      </c>
      <c r="R1159"/>
    </row>
    <row r="1160" spans="1:18" x14ac:dyDescent="0.35">
      <c r="A1160" t="s">
        <v>2254</v>
      </c>
      <c r="B1160" s="2">
        <v>46071</v>
      </c>
      <c r="C1160" t="s">
        <v>1640</v>
      </c>
      <c r="D1160" s="3" t="s">
        <v>99</v>
      </c>
      <c r="E1160" t="s">
        <v>67</v>
      </c>
      <c r="F1160" t="s">
        <v>74</v>
      </c>
      <c r="G1160" t="s">
        <v>75</v>
      </c>
      <c r="H1160" s="8">
        <v>2</v>
      </c>
      <c r="I1160" s="10">
        <v>116.1</v>
      </c>
      <c r="J1160" s="14">
        <f>P1160*I1160</f>
        <v>232.2</v>
      </c>
      <c r="K1160" s="16">
        <v>410</v>
      </c>
      <c r="L1160" s="1" t="s">
        <v>30</v>
      </c>
      <c r="M1160" t="s">
        <v>22</v>
      </c>
      <c r="N1160" t="str">
        <f t="shared" si="21"/>
        <v>United Kingdom</v>
      </c>
      <c r="O1160" s="8">
        <f>IF(K1160&gt;=1,K1160,K1160*1000)</f>
        <v>410</v>
      </c>
      <c r="P1160">
        <f>ABS(H1160)</f>
        <v>2</v>
      </c>
      <c r="R1160"/>
    </row>
    <row r="1161" spans="1:18" x14ac:dyDescent="0.35">
      <c r="A1161" t="s">
        <v>2255</v>
      </c>
      <c r="B1161" s="2">
        <v>46166</v>
      </c>
      <c r="C1161" t="s">
        <v>1305</v>
      </c>
      <c r="D1161" s="3" t="s">
        <v>99</v>
      </c>
      <c r="E1161" t="s">
        <v>34</v>
      </c>
      <c r="F1161" t="s">
        <v>42</v>
      </c>
      <c r="G1161" t="s">
        <v>43</v>
      </c>
      <c r="H1161" s="8">
        <v>1</v>
      </c>
      <c r="I1161" s="10">
        <v>89</v>
      </c>
      <c r="J1161" s="14">
        <f>P1161*I1161</f>
        <v>89</v>
      </c>
      <c r="K1161" s="16">
        <v>0.19</v>
      </c>
      <c r="L1161" s="1" t="s">
        <v>30</v>
      </c>
      <c r="M1161" t="s">
        <v>58</v>
      </c>
      <c r="N1161" t="str">
        <f t="shared" si="21"/>
        <v>United Kingdom</v>
      </c>
      <c r="O1161" s="8">
        <f>IF(K1161&gt;=1,K1161,K1161*1000)</f>
        <v>190</v>
      </c>
      <c r="P1161">
        <f>ABS(H1161)</f>
        <v>1</v>
      </c>
      <c r="R1161"/>
    </row>
    <row r="1162" spans="1:18" x14ac:dyDescent="0.35">
      <c r="A1162" t="s">
        <v>2256</v>
      </c>
      <c r="B1162" s="2">
        <v>46127</v>
      </c>
      <c r="C1162" t="s">
        <v>1688</v>
      </c>
      <c r="D1162" s="3" t="s">
        <v>61</v>
      </c>
      <c r="E1162" t="s">
        <v>34</v>
      </c>
      <c r="F1162" t="s">
        <v>89</v>
      </c>
      <c r="G1162" t="s">
        <v>90</v>
      </c>
      <c r="H1162" s="8">
        <v>1</v>
      </c>
      <c r="I1162" s="10">
        <v>89</v>
      </c>
      <c r="J1162" s="14">
        <f>P1162*I1162</f>
        <v>89</v>
      </c>
      <c r="K1162" s="16">
        <v>640</v>
      </c>
      <c r="L1162" s="1" t="s">
        <v>30</v>
      </c>
      <c r="M1162" t="s">
        <v>22</v>
      </c>
      <c r="N1162" t="str">
        <f t="shared" si="21"/>
        <v>Ireland</v>
      </c>
      <c r="O1162" s="8">
        <f>IF(K1162&gt;=1,K1162,K1162*1000)</f>
        <v>640</v>
      </c>
      <c r="P1162">
        <f>ABS(H1162)</f>
        <v>1</v>
      </c>
      <c r="R1162"/>
    </row>
    <row r="1163" spans="1:18" x14ac:dyDescent="0.35">
      <c r="A1163" t="s">
        <v>2257</v>
      </c>
      <c r="B1163" s="2">
        <v>46330</v>
      </c>
      <c r="C1163" t="s">
        <v>1953</v>
      </c>
      <c r="D1163" s="3" t="s">
        <v>99</v>
      </c>
      <c r="E1163" t="s">
        <v>25</v>
      </c>
      <c r="F1163" t="s">
        <v>47</v>
      </c>
      <c r="G1163" t="s">
        <v>48</v>
      </c>
      <c r="H1163" s="8">
        <v>2</v>
      </c>
      <c r="I1163" s="10">
        <v>71.099999999999994</v>
      </c>
      <c r="J1163" s="14">
        <f>P1163*I1163</f>
        <v>142.19999999999999</v>
      </c>
      <c r="K1163" s="16">
        <v>380</v>
      </c>
      <c r="L1163" s="1" t="s">
        <v>30</v>
      </c>
      <c r="M1163" t="s">
        <v>22</v>
      </c>
      <c r="N1163" t="str">
        <f t="shared" si="21"/>
        <v>United Kingdom</v>
      </c>
      <c r="O1163" s="8">
        <f>IF(K1163&gt;=1,K1163,K1163*1000)</f>
        <v>380</v>
      </c>
      <c r="P1163">
        <f>ABS(H1163)</f>
        <v>2</v>
      </c>
      <c r="R1163"/>
    </row>
    <row r="1164" spans="1:18" x14ac:dyDescent="0.35">
      <c r="A1164" t="s">
        <v>2258</v>
      </c>
      <c r="B1164" s="2">
        <v>46076</v>
      </c>
      <c r="C1164" t="s">
        <v>2259</v>
      </c>
      <c r="D1164" s="3" t="s">
        <v>61</v>
      </c>
      <c r="E1164" t="s">
        <v>67</v>
      </c>
      <c r="F1164" t="s">
        <v>47</v>
      </c>
      <c r="G1164" t="s">
        <v>48</v>
      </c>
      <c r="H1164" s="8">
        <v>1</v>
      </c>
      <c r="I1164" s="10">
        <v>21.6</v>
      </c>
      <c r="J1164" s="14">
        <f>P1164*I1164</f>
        <v>21.6</v>
      </c>
      <c r="K1164" s="16">
        <v>380</v>
      </c>
      <c r="L1164" s="1" t="s">
        <v>21</v>
      </c>
      <c r="M1164" t="s">
        <v>22</v>
      </c>
      <c r="N1164" t="str">
        <f t="shared" si="21"/>
        <v>Ireland</v>
      </c>
      <c r="O1164" s="8">
        <f>IF(K1164&gt;=1,K1164,K1164*1000)</f>
        <v>380</v>
      </c>
      <c r="P1164">
        <f>ABS(H1164)</f>
        <v>1</v>
      </c>
      <c r="R1164"/>
    </row>
    <row r="1165" spans="1:18" x14ac:dyDescent="0.35">
      <c r="A1165" t="s">
        <v>2260</v>
      </c>
      <c r="B1165" s="2" t="s">
        <v>2261</v>
      </c>
      <c r="C1165" t="s">
        <v>2262</v>
      </c>
      <c r="D1165" s="3" t="s">
        <v>99</v>
      </c>
      <c r="E1165" t="s">
        <v>41</v>
      </c>
      <c r="F1165" t="s">
        <v>26</v>
      </c>
      <c r="G1165" t="s">
        <v>27</v>
      </c>
      <c r="H1165" s="8">
        <v>3</v>
      </c>
      <c r="I1165" s="10">
        <v>45</v>
      </c>
      <c r="J1165" s="14">
        <f>P1165*I1165</f>
        <v>135</v>
      </c>
      <c r="K1165" s="16">
        <v>520</v>
      </c>
      <c r="L1165" s="1" t="s">
        <v>30</v>
      </c>
      <c r="M1165" t="s">
        <v>22</v>
      </c>
      <c r="N1165" t="str">
        <f t="shared" si="21"/>
        <v>United Kingdom</v>
      </c>
      <c r="O1165" s="8">
        <f>IF(K1165&gt;=1,K1165,K1165*1000)</f>
        <v>520</v>
      </c>
      <c r="P1165">
        <f>ABS(H1165)</f>
        <v>3</v>
      </c>
      <c r="R1165"/>
    </row>
    <row r="1166" spans="1:18" x14ac:dyDescent="0.35">
      <c r="A1166" t="s">
        <v>2263</v>
      </c>
      <c r="B1166" s="2">
        <v>46057</v>
      </c>
      <c r="C1166" t="s">
        <v>2264</v>
      </c>
      <c r="D1166" s="3" t="s">
        <v>4613</v>
      </c>
      <c r="E1166" t="s">
        <v>67</v>
      </c>
      <c r="F1166" t="s">
        <v>17</v>
      </c>
      <c r="G1166" t="s">
        <v>18</v>
      </c>
      <c r="H1166" s="8">
        <v>2</v>
      </c>
      <c r="I1166" s="10">
        <v>12.5</v>
      </c>
      <c r="J1166" s="14">
        <f>P1166*I1166</f>
        <v>25</v>
      </c>
      <c r="K1166" s="16">
        <v>520</v>
      </c>
      <c r="L1166" s="1" t="s">
        <v>30</v>
      </c>
      <c r="M1166" t="s">
        <v>22</v>
      </c>
      <c r="N1166" t="str">
        <f t="shared" si="21"/>
        <v>United Kingdom</v>
      </c>
      <c r="O1166" s="8">
        <f>IF(K1166&gt;=1,K1166,K1166*1000)</f>
        <v>520</v>
      </c>
      <c r="P1166">
        <f>ABS(H1166)</f>
        <v>2</v>
      </c>
      <c r="R1166"/>
    </row>
    <row r="1167" spans="1:18" x14ac:dyDescent="0.35">
      <c r="A1167" t="s">
        <v>2265</v>
      </c>
      <c r="B1167" s="2" t="s">
        <v>2266</v>
      </c>
      <c r="C1167" t="s">
        <v>2267</v>
      </c>
      <c r="D1167" s="3" t="s">
        <v>4613</v>
      </c>
      <c r="E1167" t="s">
        <v>16</v>
      </c>
      <c r="F1167" t="s">
        <v>83</v>
      </c>
      <c r="G1167" t="s">
        <v>84</v>
      </c>
      <c r="H1167" s="8">
        <v>3</v>
      </c>
      <c r="I1167" s="10">
        <v>89</v>
      </c>
      <c r="J1167" s="14">
        <f>P1167*I1167</f>
        <v>267</v>
      </c>
      <c r="K1167" s="16">
        <v>0.34</v>
      </c>
      <c r="L1167" s="1" t="s">
        <v>21</v>
      </c>
      <c r="M1167" t="s">
        <v>58</v>
      </c>
      <c r="N1167" t="str">
        <f t="shared" si="21"/>
        <v>United Kingdom</v>
      </c>
      <c r="O1167" s="8">
        <f>IF(K1167&gt;=1,K1167,K1167*1000)</f>
        <v>340</v>
      </c>
      <c r="P1167">
        <f>ABS(H1167)</f>
        <v>3</v>
      </c>
      <c r="R1167"/>
    </row>
    <row r="1168" spans="1:18" x14ac:dyDescent="0.35">
      <c r="A1168" t="s">
        <v>2268</v>
      </c>
      <c r="B1168" s="2">
        <v>46150</v>
      </c>
      <c r="C1168" t="s">
        <v>2269</v>
      </c>
      <c r="D1168" s="3" t="s">
        <v>66</v>
      </c>
      <c r="E1168" t="s">
        <v>34</v>
      </c>
      <c r="F1168" t="s">
        <v>74</v>
      </c>
      <c r="G1168" t="s">
        <v>75</v>
      </c>
      <c r="H1168" s="8">
        <v>2</v>
      </c>
      <c r="I1168" s="10">
        <v>45</v>
      </c>
      <c r="J1168" s="14">
        <f>P1168*I1168</f>
        <v>90</v>
      </c>
      <c r="K1168" s="16">
        <v>0.41</v>
      </c>
      <c r="L1168" s="1" t="s">
        <v>30</v>
      </c>
      <c r="M1168" t="s">
        <v>58</v>
      </c>
      <c r="N1168" t="str">
        <f t="shared" si="21"/>
        <v>Gb</v>
      </c>
      <c r="O1168" s="8">
        <f>IF(K1168&gt;=1,K1168,K1168*1000)</f>
        <v>410</v>
      </c>
      <c r="P1168">
        <f>ABS(H1168)</f>
        <v>2</v>
      </c>
      <c r="R1168"/>
    </row>
    <row r="1169" spans="1:18" x14ac:dyDescent="0.35">
      <c r="A1169" t="s">
        <v>2270</v>
      </c>
      <c r="B1169" s="2">
        <v>46044</v>
      </c>
      <c r="C1169" t="s">
        <v>1951</v>
      </c>
      <c r="D1169" s="3" t="s">
        <v>99</v>
      </c>
      <c r="E1169" t="s">
        <v>67</v>
      </c>
      <c r="F1169" t="s">
        <v>26</v>
      </c>
      <c r="G1169" t="s">
        <v>27</v>
      </c>
      <c r="H1169" s="8">
        <v>1</v>
      </c>
      <c r="I1169" s="12" t="s">
        <v>4639</v>
      </c>
      <c r="J1169" s="14">
        <f>P1169*R1169</f>
        <v>12.5</v>
      </c>
      <c r="K1169" s="16">
        <v>520</v>
      </c>
      <c r="L1169" s="1" t="s">
        <v>30</v>
      </c>
      <c r="M1169" t="s">
        <v>58</v>
      </c>
      <c r="N1169" t="str">
        <f t="shared" si="21"/>
        <v>United Kingdom</v>
      </c>
      <c r="O1169" s="8">
        <f>IF(K1169&gt;=1,K1169,K1169*1000)</f>
        <v>520</v>
      </c>
      <c r="P1169">
        <f>ABS(H1169)</f>
        <v>1</v>
      </c>
      <c r="Q1169" t="str">
        <f>LEFT(I1169,2)</f>
        <v>Â£</v>
      </c>
      <c r="R1169" t="str">
        <f>RIGHT(I1169,5)</f>
        <v>12,50</v>
      </c>
    </row>
    <row r="1170" spans="1:18" x14ac:dyDescent="0.35">
      <c r="A1170" t="s">
        <v>2271</v>
      </c>
      <c r="B1170" s="2" t="s">
        <v>2272</v>
      </c>
      <c r="C1170" t="s">
        <v>2273</v>
      </c>
      <c r="D1170" s="3" t="s">
        <v>99</v>
      </c>
      <c r="E1170" t="s">
        <v>41</v>
      </c>
      <c r="F1170" t="s">
        <v>74</v>
      </c>
      <c r="G1170" t="s">
        <v>75</v>
      </c>
      <c r="H1170" s="8">
        <v>1</v>
      </c>
      <c r="I1170" s="10">
        <v>95</v>
      </c>
      <c r="J1170" s="14">
        <f>P1170*I1170</f>
        <v>95</v>
      </c>
      <c r="K1170" s="16">
        <v>0.41</v>
      </c>
      <c r="L1170" s="1" t="s">
        <v>30</v>
      </c>
      <c r="M1170" t="s">
        <v>22</v>
      </c>
      <c r="N1170" t="str">
        <f t="shared" si="21"/>
        <v>United Kingdom</v>
      </c>
      <c r="O1170" s="8">
        <f>IF(K1170&gt;=1,K1170,K1170*1000)</f>
        <v>410</v>
      </c>
      <c r="P1170">
        <f>ABS(H1170)</f>
        <v>1</v>
      </c>
      <c r="R1170"/>
    </row>
    <row r="1171" spans="1:18" x14ac:dyDescent="0.35">
      <c r="A1171" t="s">
        <v>2274</v>
      </c>
      <c r="B1171" s="2">
        <v>46140</v>
      </c>
      <c r="C1171" t="s">
        <v>2076</v>
      </c>
      <c r="D1171" s="3" t="s">
        <v>4613</v>
      </c>
      <c r="E1171" t="s">
        <v>16</v>
      </c>
      <c r="F1171" t="s">
        <v>26</v>
      </c>
      <c r="G1171" t="s">
        <v>27</v>
      </c>
      <c r="H1171" s="8">
        <v>2</v>
      </c>
      <c r="I1171" s="12" t="s">
        <v>4633</v>
      </c>
      <c r="J1171" s="14">
        <f>P1171*R1171</f>
        <v>48</v>
      </c>
      <c r="K1171" s="16">
        <v>0.52</v>
      </c>
      <c r="L1171" s="1" t="s">
        <v>30</v>
      </c>
      <c r="M1171" t="s">
        <v>22</v>
      </c>
      <c r="N1171" t="str">
        <f t="shared" si="21"/>
        <v>United Kingdom</v>
      </c>
      <c r="O1171" s="8">
        <f>IF(K1171&gt;=1,K1171,K1171*1000)</f>
        <v>520</v>
      </c>
      <c r="P1171">
        <f>ABS(H1171)</f>
        <v>2</v>
      </c>
      <c r="Q1171" t="str">
        <f>LEFT(I1171,3)</f>
        <v>GBP</v>
      </c>
      <c r="R1171" s="10" t="str">
        <f>RIGHT(I1171,5)</f>
        <v>24,00</v>
      </c>
    </row>
    <row r="1172" spans="1:18" x14ac:dyDescent="0.35">
      <c r="A1172" t="s">
        <v>2275</v>
      </c>
      <c r="B1172" s="2">
        <v>46162</v>
      </c>
      <c r="C1172" t="s">
        <v>1312</v>
      </c>
      <c r="D1172" s="3" t="s">
        <v>66</v>
      </c>
      <c r="E1172" t="s">
        <v>34</v>
      </c>
      <c r="F1172" t="s">
        <v>83</v>
      </c>
      <c r="G1172" t="s">
        <v>84</v>
      </c>
      <c r="H1172" s="8">
        <v>-2</v>
      </c>
      <c r="I1172" s="12" t="s">
        <v>4640</v>
      </c>
      <c r="J1172" s="14">
        <f>P1172*R1172</f>
        <v>58</v>
      </c>
      <c r="K1172" s="16">
        <v>0.34</v>
      </c>
      <c r="L1172" s="1" t="s">
        <v>21</v>
      </c>
      <c r="M1172" t="s">
        <v>58</v>
      </c>
      <c r="N1172" t="str">
        <f t="shared" si="21"/>
        <v>Gb</v>
      </c>
      <c r="O1172" s="8">
        <f>IF(K1172&gt;=1,K1172,K1172*1000)</f>
        <v>340</v>
      </c>
      <c r="P1172">
        <f>ABS(H1172)</f>
        <v>2</v>
      </c>
      <c r="Q1172" t="str">
        <f>LEFT(I1172,2)</f>
        <v>Â£</v>
      </c>
      <c r="R1172" t="str">
        <f>RIGHT(I1172,5)</f>
        <v>29,00</v>
      </c>
    </row>
    <row r="1173" spans="1:18" x14ac:dyDescent="0.35">
      <c r="A1173" t="s">
        <v>2276</v>
      </c>
      <c r="B1173" s="2">
        <v>46171</v>
      </c>
      <c r="C1173" t="s">
        <v>2277</v>
      </c>
      <c r="D1173" s="3" t="s">
        <v>116</v>
      </c>
      <c r="E1173" t="s">
        <v>67</v>
      </c>
      <c r="F1173" t="s">
        <v>74</v>
      </c>
      <c r="G1173" t="s">
        <v>75</v>
      </c>
      <c r="H1173" s="8">
        <v>2</v>
      </c>
      <c r="I1173" s="10">
        <v>85.5</v>
      </c>
      <c r="J1173" s="14">
        <f>P1173*I1173</f>
        <v>171</v>
      </c>
      <c r="K1173" s="16">
        <v>0.41</v>
      </c>
      <c r="L1173" s="1" t="s">
        <v>30</v>
      </c>
      <c r="M1173" t="s">
        <v>22</v>
      </c>
      <c r="N1173" t="str">
        <f t="shared" si="21"/>
        <v>Germany</v>
      </c>
      <c r="O1173" s="8">
        <f>IF(K1173&gt;=1,K1173,K1173*1000)</f>
        <v>410</v>
      </c>
      <c r="P1173">
        <f>ABS(H1173)</f>
        <v>2</v>
      </c>
      <c r="R1173"/>
    </row>
    <row r="1174" spans="1:18" x14ac:dyDescent="0.35">
      <c r="A1174" t="s">
        <v>2278</v>
      </c>
      <c r="B1174" s="2">
        <v>46199</v>
      </c>
      <c r="C1174" t="s">
        <v>2056</v>
      </c>
      <c r="D1174" s="3" t="s">
        <v>4612</v>
      </c>
      <c r="E1174" t="s">
        <v>41</v>
      </c>
      <c r="F1174" t="s">
        <v>83</v>
      </c>
      <c r="G1174" t="s">
        <v>84</v>
      </c>
      <c r="H1174" s="8">
        <v>1</v>
      </c>
      <c r="I1174" s="10">
        <v>45</v>
      </c>
      <c r="J1174" s="14">
        <f>P1174*I1174</f>
        <v>45</v>
      </c>
      <c r="K1174" s="16">
        <v>0.34</v>
      </c>
      <c r="L1174" s="1" t="s">
        <v>30</v>
      </c>
      <c r="M1174" t="s">
        <v>22</v>
      </c>
      <c r="N1174" t="str">
        <f t="shared" si="21"/>
        <v>United Kingdom</v>
      </c>
      <c r="O1174" s="8">
        <f>IF(K1174&gt;=1,K1174,K1174*1000)</f>
        <v>340</v>
      </c>
      <c r="P1174">
        <f>ABS(H1174)</f>
        <v>1</v>
      </c>
      <c r="R1174"/>
    </row>
    <row r="1175" spans="1:18" x14ac:dyDescent="0.35">
      <c r="A1175" t="s">
        <v>2279</v>
      </c>
      <c r="B1175" s="2">
        <v>46329</v>
      </c>
      <c r="C1175" t="s">
        <v>498</v>
      </c>
      <c r="D1175" s="3" t="s">
        <v>99</v>
      </c>
      <c r="E1175" t="s">
        <v>16</v>
      </c>
      <c r="F1175" t="s">
        <v>89</v>
      </c>
      <c r="G1175" t="s">
        <v>90</v>
      </c>
      <c r="H1175" s="8">
        <v>1</v>
      </c>
      <c r="I1175" s="10">
        <v>40.5</v>
      </c>
      <c r="J1175" s="14">
        <f>P1175*I1175</f>
        <v>40.5</v>
      </c>
      <c r="K1175" s="16">
        <v>640</v>
      </c>
      <c r="L1175" s="1" t="s">
        <v>30</v>
      </c>
      <c r="M1175" t="s">
        <v>22</v>
      </c>
      <c r="N1175" t="str">
        <f t="shared" si="21"/>
        <v>United Kingdom</v>
      </c>
      <c r="O1175" s="8">
        <f>IF(K1175&gt;=1,K1175,K1175*1000)</f>
        <v>640</v>
      </c>
      <c r="P1175">
        <f>ABS(H1175)</f>
        <v>1</v>
      </c>
      <c r="R1175"/>
    </row>
    <row r="1176" spans="1:18" x14ac:dyDescent="0.35">
      <c r="A1176" t="s">
        <v>2280</v>
      </c>
      <c r="B1176" s="2" t="s">
        <v>1439</v>
      </c>
      <c r="C1176" t="s">
        <v>2281</v>
      </c>
      <c r="D1176" s="3" t="s">
        <v>4612</v>
      </c>
      <c r="E1176" t="s">
        <v>16</v>
      </c>
      <c r="F1176" t="s">
        <v>26</v>
      </c>
      <c r="G1176" t="s">
        <v>27</v>
      </c>
      <c r="H1176" s="8">
        <v>2</v>
      </c>
      <c r="I1176" s="10">
        <v>95</v>
      </c>
      <c r="J1176" s="14">
        <f>P1176*I1176</f>
        <v>190</v>
      </c>
      <c r="K1176" s="16">
        <v>520</v>
      </c>
      <c r="L1176" s="1" t="s">
        <v>30</v>
      </c>
      <c r="M1176" t="s">
        <v>22</v>
      </c>
      <c r="N1176" t="str">
        <f t="shared" si="21"/>
        <v>United Kingdom</v>
      </c>
      <c r="O1176" s="8">
        <f>IF(K1176&gt;=1,K1176,K1176*1000)</f>
        <v>520</v>
      </c>
      <c r="P1176">
        <f>ABS(H1176)</f>
        <v>2</v>
      </c>
      <c r="R1176"/>
    </row>
    <row r="1177" spans="1:18" x14ac:dyDescent="0.35">
      <c r="A1177" t="s">
        <v>2282</v>
      </c>
      <c r="B1177" s="2">
        <v>46166</v>
      </c>
      <c r="C1177" t="s">
        <v>648</v>
      </c>
      <c r="D1177" s="3" t="s">
        <v>99</v>
      </c>
      <c r="E1177" t="s">
        <v>67</v>
      </c>
      <c r="F1177" t="s">
        <v>42</v>
      </c>
      <c r="G1177" t="s">
        <v>43</v>
      </c>
      <c r="H1177" s="8">
        <v>2</v>
      </c>
      <c r="I1177" s="10">
        <v>80.099999999999994</v>
      </c>
      <c r="J1177" s="14">
        <f>P1177*I1177</f>
        <v>160.19999999999999</v>
      </c>
      <c r="K1177" s="16">
        <v>0.19</v>
      </c>
      <c r="L1177" s="1" t="s">
        <v>30</v>
      </c>
      <c r="M1177" t="s">
        <v>58</v>
      </c>
      <c r="N1177" t="str">
        <f t="shared" si="21"/>
        <v>United Kingdom</v>
      </c>
      <c r="O1177" s="8">
        <f>IF(K1177&gt;=1,K1177,K1177*1000)</f>
        <v>190</v>
      </c>
      <c r="P1177">
        <f>ABS(H1177)</f>
        <v>2</v>
      </c>
      <c r="R1177"/>
    </row>
    <row r="1178" spans="1:18" x14ac:dyDescent="0.35">
      <c r="A1178" t="s">
        <v>2283</v>
      </c>
      <c r="B1178" s="2">
        <v>46075</v>
      </c>
      <c r="C1178" t="s">
        <v>1000</v>
      </c>
      <c r="D1178" s="3" t="s">
        <v>4612</v>
      </c>
      <c r="E1178" t="s">
        <v>16</v>
      </c>
      <c r="F1178" t="s">
        <v>42</v>
      </c>
      <c r="G1178" t="s">
        <v>43</v>
      </c>
      <c r="H1178" s="8">
        <v>2</v>
      </c>
      <c r="I1178" s="10">
        <v>95</v>
      </c>
      <c r="J1178" s="14">
        <f>P1178*I1178</f>
        <v>190</v>
      </c>
      <c r="K1178" s="16">
        <v>190</v>
      </c>
      <c r="L1178" s="1" t="s">
        <v>30</v>
      </c>
      <c r="M1178" t="s">
        <v>22</v>
      </c>
      <c r="N1178" t="str">
        <f t="shared" si="21"/>
        <v>United Kingdom</v>
      </c>
      <c r="O1178" s="8">
        <f>IF(K1178&gt;=1,K1178,K1178*1000)</f>
        <v>190</v>
      </c>
      <c r="P1178">
        <f>ABS(H1178)</f>
        <v>2</v>
      </c>
      <c r="R1178"/>
    </row>
    <row r="1179" spans="1:18" x14ac:dyDescent="0.35">
      <c r="A1179" t="s">
        <v>2284</v>
      </c>
      <c r="B1179" s="2">
        <v>46097</v>
      </c>
      <c r="C1179" t="s">
        <v>509</v>
      </c>
      <c r="D1179" s="3" t="s">
        <v>15</v>
      </c>
      <c r="E1179" t="s">
        <v>67</v>
      </c>
      <c r="F1179" t="s">
        <v>47</v>
      </c>
      <c r="G1179" t="s">
        <v>48</v>
      </c>
      <c r="H1179" s="8">
        <v>1</v>
      </c>
      <c r="I1179" s="10">
        <v>24</v>
      </c>
      <c r="J1179" s="14">
        <f>P1179*I1179</f>
        <v>24</v>
      </c>
      <c r="K1179" s="16">
        <v>380</v>
      </c>
      <c r="L1179" s="1" t="s">
        <v>30</v>
      </c>
      <c r="M1179" t="s">
        <v>22</v>
      </c>
      <c r="N1179" t="str">
        <f t="shared" si="21"/>
        <v>France</v>
      </c>
      <c r="O1179" s="8">
        <f>IF(K1179&gt;=1,K1179,K1179*1000)</f>
        <v>380</v>
      </c>
      <c r="P1179">
        <f>ABS(H1179)</f>
        <v>1</v>
      </c>
      <c r="R1179"/>
    </row>
    <row r="1180" spans="1:18" x14ac:dyDescent="0.35">
      <c r="A1180" t="s">
        <v>2285</v>
      </c>
      <c r="B1180" s="2">
        <v>46189</v>
      </c>
      <c r="C1180" t="s">
        <v>1951</v>
      </c>
      <c r="D1180" s="3" t="s">
        <v>116</v>
      </c>
      <c r="E1180" t="s">
        <v>25</v>
      </c>
      <c r="F1180" t="s">
        <v>47</v>
      </c>
      <c r="G1180" t="s">
        <v>48</v>
      </c>
      <c r="H1180" s="8">
        <v>2</v>
      </c>
      <c r="I1180" s="10">
        <v>71.099999999999994</v>
      </c>
      <c r="J1180" s="14">
        <f>P1180*I1180</f>
        <v>142.19999999999999</v>
      </c>
      <c r="K1180" s="16">
        <v>0.38</v>
      </c>
      <c r="L1180" s="1" t="s">
        <v>21</v>
      </c>
      <c r="M1180" t="s">
        <v>22</v>
      </c>
      <c r="N1180" t="str">
        <f t="shared" si="21"/>
        <v>Germany</v>
      </c>
      <c r="O1180" s="8">
        <f>IF(K1180&gt;=1,K1180,K1180*1000)</f>
        <v>380</v>
      </c>
      <c r="P1180">
        <f>ABS(H1180)</f>
        <v>2</v>
      </c>
      <c r="R1180"/>
    </row>
    <row r="1181" spans="1:18" x14ac:dyDescent="0.35">
      <c r="A1181" t="s">
        <v>2286</v>
      </c>
      <c r="B1181" s="2">
        <v>46187</v>
      </c>
      <c r="C1181" t="s">
        <v>1042</v>
      </c>
      <c r="D1181" s="3" t="s">
        <v>46</v>
      </c>
      <c r="E1181" t="s">
        <v>41</v>
      </c>
      <c r="F1181" t="s">
        <v>74</v>
      </c>
      <c r="G1181" t="s">
        <v>75</v>
      </c>
      <c r="H1181" s="8">
        <v>3</v>
      </c>
      <c r="I1181" s="12" t="s">
        <v>4637</v>
      </c>
      <c r="J1181" s="14">
        <f>P1181*R1181</f>
        <v>147</v>
      </c>
      <c r="K1181" s="16">
        <v>0.41</v>
      </c>
      <c r="L1181" s="1" t="s">
        <v>30</v>
      </c>
      <c r="M1181" t="s">
        <v>58</v>
      </c>
      <c r="N1181" t="str">
        <f t="shared" si="21"/>
        <v>Ireland</v>
      </c>
      <c r="O1181" s="8">
        <f>IF(K1181&gt;=1,K1181,K1181*1000)</f>
        <v>410</v>
      </c>
      <c r="P1181">
        <f>ABS(H1181)</f>
        <v>3</v>
      </c>
      <c r="Q1181" t="str">
        <f>LEFT(I1181,2)</f>
        <v>Â£</v>
      </c>
      <c r="R1181" t="str">
        <f>RIGHT(I1181,5)</f>
        <v>49,00</v>
      </c>
    </row>
    <row r="1182" spans="1:18" x14ac:dyDescent="0.35">
      <c r="A1182" t="s">
        <v>2287</v>
      </c>
      <c r="B1182" s="2">
        <v>46192</v>
      </c>
      <c r="C1182" t="s">
        <v>1296</v>
      </c>
      <c r="D1182" s="3" t="s">
        <v>46</v>
      </c>
      <c r="E1182" t="s">
        <v>67</v>
      </c>
      <c r="F1182" t="s">
        <v>74</v>
      </c>
      <c r="G1182" t="s">
        <v>75</v>
      </c>
      <c r="H1182" s="8">
        <v>2</v>
      </c>
      <c r="I1182" s="10">
        <v>149</v>
      </c>
      <c r="J1182" s="14">
        <f>P1182*I1182</f>
        <v>298</v>
      </c>
      <c r="K1182" s="16">
        <v>0.41</v>
      </c>
      <c r="L1182" s="1" t="s">
        <v>30</v>
      </c>
      <c r="M1182" t="s">
        <v>22</v>
      </c>
      <c r="N1182" t="str">
        <f t="shared" si="21"/>
        <v>Ireland</v>
      </c>
      <c r="O1182" s="8">
        <f>IF(K1182&gt;=1,K1182,K1182*1000)</f>
        <v>410</v>
      </c>
      <c r="P1182">
        <f>ABS(H1182)</f>
        <v>2</v>
      </c>
      <c r="R1182"/>
    </row>
    <row r="1183" spans="1:18" x14ac:dyDescent="0.35">
      <c r="A1183" t="s">
        <v>2288</v>
      </c>
      <c r="B1183" s="2">
        <v>46066</v>
      </c>
      <c r="C1183" t="s">
        <v>2289</v>
      </c>
      <c r="D1183" s="3" t="s">
        <v>99</v>
      </c>
      <c r="E1183" t="s">
        <v>41</v>
      </c>
      <c r="F1183" t="s">
        <v>42</v>
      </c>
      <c r="G1183" t="s">
        <v>43</v>
      </c>
      <c r="H1183" s="8">
        <v>1</v>
      </c>
      <c r="I1183" s="10">
        <v>45</v>
      </c>
      <c r="J1183" s="14">
        <f>P1183*I1183</f>
        <v>45</v>
      </c>
      <c r="K1183" s="16">
        <v>190</v>
      </c>
      <c r="L1183" s="1" t="s">
        <v>30</v>
      </c>
      <c r="M1183" t="s">
        <v>22</v>
      </c>
      <c r="N1183" t="str">
        <f t="shared" si="21"/>
        <v>United Kingdom</v>
      </c>
      <c r="O1183" s="8">
        <f>IF(K1183&gt;=1,K1183,K1183*1000)</f>
        <v>190</v>
      </c>
      <c r="P1183">
        <f>ABS(H1183)</f>
        <v>1</v>
      </c>
      <c r="R1183"/>
    </row>
    <row r="1184" spans="1:18" x14ac:dyDescent="0.35">
      <c r="A1184" t="s">
        <v>2290</v>
      </c>
      <c r="B1184" s="2">
        <v>46127</v>
      </c>
      <c r="C1184" t="s">
        <v>346</v>
      </c>
      <c r="D1184" s="3" t="s">
        <v>99</v>
      </c>
      <c r="E1184" t="s">
        <v>16</v>
      </c>
      <c r="F1184" t="s">
        <v>35</v>
      </c>
      <c r="G1184" t="s">
        <v>36</v>
      </c>
      <c r="H1184" s="8">
        <v>1</v>
      </c>
      <c r="I1184" s="10">
        <v>12.5</v>
      </c>
      <c r="J1184" s="14">
        <f>P1184*I1184</f>
        <v>12.5</v>
      </c>
      <c r="K1184" s="16">
        <v>85</v>
      </c>
      <c r="L1184" s="1" t="s">
        <v>30</v>
      </c>
      <c r="M1184" t="s">
        <v>22</v>
      </c>
      <c r="N1184" t="str">
        <f t="shared" si="21"/>
        <v>United Kingdom</v>
      </c>
      <c r="O1184" s="8">
        <f>IF(K1184&gt;=1,K1184,K1184*1000)</f>
        <v>85</v>
      </c>
      <c r="P1184">
        <f>ABS(H1184)</f>
        <v>1</v>
      </c>
      <c r="R1184"/>
    </row>
    <row r="1185" spans="1:18" x14ac:dyDescent="0.35">
      <c r="A1185" t="s">
        <v>2291</v>
      </c>
      <c r="B1185" s="2">
        <v>46203</v>
      </c>
      <c r="C1185" t="s">
        <v>2292</v>
      </c>
      <c r="D1185" s="3" t="s">
        <v>61</v>
      </c>
      <c r="E1185" t="s">
        <v>16</v>
      </c>
      <c r="F1185" t="s">
        <v>42</v>
      </c>
      <c r="G1185" t="s">
        <v>43</v>
      </c>
      <c r="H1185" s="8">
        <v>1</v>
      </c>
      <c r="I1185" s="10">
        <v>80.099999999999994</v>
      </c>
      <c r="J1185" s="14">
        <f>P1185*I1185</f>
        <v>80.099999999999994</v>
      </c>
      <c r="K1185" s="16">
        <v>0.19</v>
      </c>
      <c r="L1185" s="1" t="s">
        <v>30</v>
      </c>
      <c r="M1185" t="s">
        <v>22</v>
      </c>
      <c r="N1185" t="str">
        <f t="shared" si="21"/>
        <v>Ireland</v>
      </c>
      <c r="O1185" s="8">
        <f>IF(K1185&gt;=1,K1185,K1185*1000)</f>
        <v>190</v>
      </c>
      <c r="P1185">
        <f>ABS(H1185)</f>
        <v>1</v>
      </c>
      <c r="R1185"/>
    </row>
    <row r="1186" spans="1:18" x14ac:dyDescent="0.35">
      <c r="A1186" t="s">
        <v>2293</v>
      </c>
      <c r="B1186" s="2">
        <v>46103</v>
      </c>
      <c r="C1186" t="s">
        <v>883</v>
      </c>
      <c r="D1186" s="3" t="s">
        <v>46</v>
      </c>
      <c r="E1186" t="s">
        <v>34</v>
      </c>
      <c r="F1186" t="s">
        <v>26</v>
      </c>
      <c r="G1186" t="s">
        <v>27</v>
      </c>
      <c r="H1186" s="8">
        <v>2</v>
      </c>
      <c r="I1186" s="10">
        <v>45</v>
      </c>
      <c r="J1186" s="14">
        <f>P1186*I1186</f>
        <v>90</v>
      </c>
      <c r="K1186" s="16">
        <v>520</v>
      </c>
      <c r="L1186" s="1" t="s">
        <v>30</v>
      </c>
      <c r="M1186" t="s">
        <v>22</v>
      </c>
      <c r="N1186" t="str">
        <f t="shared" si="21"/>
        <v>Ireland</v>
      </c>
      <c r="O1186" s="8">
        <f>IF(K1186&gt;=1,K1186,K1186*1000)</f>
        <v>520</v>
      </c>
      <c r="P1186">
        <f>ABS(H1186)</f>
        <v>2</v>
      </c>
      <c r="R1186"/>
    </row>
    <row r="1187" spans="1:18" x14ac:dyDescent="0.35">
      <c r="A1187" t="s">
        <v>2294</v>
      </c>
      <c r="B1187" s="2">
        <v>46086</v>
      </c>
      <c r="C1187" t="s">
        <v>1854</v>
      </c>
      <c r="D1187" s="3" t="s">
        <v>46</v>
      </c>
      <c r="E1187" t="s">
        <v>16</v>
      </c>
      <c r="F1187" t="s">
        <v>42</v>
      </c>
      <c r="G1187" t="s">
        <v>43</v>
      </c>
      <c r="H1187" s="8">
        <v>3</v>
      </c>
      <c r="I1187" s="10">
        <v>79</v>
      </c>
      <c r="J1187" s="14">
        <f>P1187*I1187</f>
        <v>237</v>
      </c>
      <c r="K1187" s="16">
        <v>190</v>
      </c>
      <c r="L1187" s="1" t="s">
        <v>30</v>
      </c>
      <c r="M1187" t="s">
        <v>58</v>
      </c>
      <c r="N1187" t="str">
        <f t="shared" si="21"/>
        <v>Ireland</v>
      </c>
      <c r="O1187" s="8">
        <f>IF(K1187&gt;=1,K1187,K1187*1000)</f>
        <v>190</v>
      </c>
      <c r="P1187">
        <f>ABS(H1187)</f>
        <v>3</v>
      </c>
      <c r="R1187"/>
    </row>
    <row r="1188" spans="1:18" x14ac:dyDescent="0.35">
      <c r="A1188" t="s">
        <v>2295</v>
      </c>
      <c r="B1188" s="2">
        <v>46170</v>
      </c>
      <c r="C1188" t="s">
        <v>903</v>
      </c>
      <c r="D1188" s="3" t="s">
        <v>15</v>
      </c>
      <c r="E1188" t="s">
        <v>41</v>
      </c>
      <c r="F1188" t="s">
        <v>89</v>
      </c>
      <c r="G1188" t="s">
        <v>90</v>
      </c>
      <c r="H1188" s="8">
        <v>1</v>
      </c>
      <c r="I1188" s="10">
        <v>89</v>
      </c>
      <c r="J1188" s="14">
        <f>P1188*I1188</f>
        <v>89</v>
      </c>
      <c r="K1188" s="16">
        <v>0.64</v>
      </c>
      <c r="L1188" s="1" t="s">
        <v>30</v>
      </c>
      <c r="M1188" t="s">
        <v>22</v>
      </c>
      <c r="N1188" t="str">
        <f t="shared" si="21"/>
        <v>France</v>
      </c>
      <c r="O1188" s="8">
        <f>IF(K1188&gt;=1,K1188,K1188*1000)</f>
        <v>640</v>
      </c>
      <c r="P1188">
        <f>ABS(H1188)</f>
        <v>1</v>
      </c>
      <c r="R1188"/>
    </row>
    <row r="1189" spans="1:18" x14ac:dyDescent="0.35">
      <c r="A1189" t="s">
        <v>2296</v>
      </c>
      <c r="B1189" s="2">
        <v>46040</v>
      </c>
      <c r="C1189" t="s">
        <v>2297</v>
      </c>
      <c r="D1189" s="3" t="s">
        <v>4613</v>
      </c>
      <c r="E1189" t="s">
        <v>16</v>
      </c>
      <c r="F1189" t="s">
        <v>47</v>
      </c>
      <c r="G1189" t="s">
        <v>48</v>
      </c>
      <c r="H1189" s="8">
        <v>2</v>
      </c>
      <c r="I1189" s="10">
        <v>11.25</v>
      </c>
      <c r="J1189" s="14">
        <f>P1189*I1189</f>
        <v>22.5</v>
      </c>
      <c r="K1189" s="16">
        <v>380</v>
      </c>
      <c r="L1189" s="1" t="s">
        <v>21</v>
      </c>
      <c r="M1189" t="s">
        <v>22</v>
      </c>
      <c r="N1189" t="str">
        <f t="shared" si="21"/>
        <v>United Kingdom</v>
      </c>
      <c r="O1189" s="8">
        <f>IF(K1189&gt;=1,K1189,K1189*1000)</f>
        <v>380</v>
      </c>
      <c r="P1189">
        <f>ABS(H1189)</f>
        <v>2</v>
      </c>
      <c r="R1189"/>
    </row>
    <row r="1190" spans="1:18" x14ac:dyDescent="0.35">
      <c r="A1190" t="s">
        <v>2298</v>
      </c>
      <c r="B1190" s="2">
        <v>46129</v>
      </c>
      <c r="C1190" t="s">
        <v>2299</v>
      </c>
      <c r="D1190" s="3" t="s">
        <v>53</v>
      </c>
      <c r="E1190" t="s">
        <v>67</v>
      </c>
      <c r="F1190" t="s">
        <v>47</v>
      </c>
      <c r="G1190" t="s">
        <v>48</v>
      </c>
      <c r="H1190" s="8">
        <v>2</v>
      </c>
      <c r="I1190" s="10">
        <v>24</v>
      </c>
      <c r="J1190" s="14">
        <f>P1190*I1190</f>
        <v>48</v>
      </c>
      <c r="K1190" s="16">
        <v>380</v>
      </c>
      <c r="L1190" s="1" t="s">
        <v>30</v>
      </c>
      <c r="M1190" t="s">
        <v>22</v>
      </c>
      <c r="N1190" t="str">
        <f t="shared" si="21"/>
        <v>Gb</v>
      </c>
      <c r="O1190" s="8">
        <f>IF(K1190&gt;=1,K1190,K1190*1000)</f>
        <v>380</v>
      </c>
      <c r="P1190">
        <f>ABS(H1190)</f>
        <v>2</v>
      </c>
      <c r="R1190"/>
    </row>
    <row r="1191" spans="1:18" x14ac:dyDescent="0.35">
      <c r="A1191" t="s">
        <v>2300</v>
      </c>
      <c r="B1191" s="2" t="s">
        <v>2301</v>
      </c>
      <c r="C1191" t="s">
        <v>572</v>
      </c>
      <c r="D1191" s="3" t="s">
        <v>116</v>
      </c>
      <c r="E1191" t="s">
        <v>25</v>
      </c>
      <c r="F1191" t="s">
        <v>89</v>
      </c>
      <c r="G1191" t="s">
        <v>90</v>
      </c>
      <c r="H1191" s="8">
        <v>1</v>
      </c>
      <c r="I1191" s="10">
        <v>129</v>
      </c>
      <c r="J1191" s="14">
        <f>P1191*I1191</f>
        <v>129</v>
      </c>
      <c r="K1191" s="16">
        <v>0.64</v>
      </c>
      <c r="L1191" s="1" t="s">
        <v>30</v>
      </c>
      <c r="M1191" t="s">
        <v>58</v>
      </c>
      <c r="N1191" t="str">
        <f t="shared" si="21"/>
        <v>Germany</v>
      </c>
      <c r="O1191" s="8">
        <f>IF(K1191&gt;=1,K1191,K1191*1000)</f>
        <v>640</v>
      </c>
      <c r="P1191">
        <f>ABS(H1191)</f>
        <v>1</v>
      </c>
      <c r="R1191"/>
    </row>
    <row r="1192" spans="1:18" x14ac:dyDescent="0.35">
      <c r="A1192" t="s">
        <v>2302</v>
      </c>
      <c r="B1192" s="2">
        <v>46154</v>
      </c>
      <c r="C1192" t="s">
        <v>1133</v>
      </c>
      <c r="D1192" s="3" t="s">
        <v>116</v>
      </c>
      <c r="E1192" t="s">
        <v>16</v>
      </c>
      <c r="F1192" t="s">
        <v>35</v>
      </c>
      <c r="G1192" t="s">
        <v>36</v>
      </c>
      <c r="H1192" s="8">
        <v>3</v>
      </c>
      <c r="I1192" s="10">
        <v>129</v>
      </c>
      <c r="J1192" s="14">
        <f>P1192*I1192</f>
        <v>387</v>
      </c>
      <c r="K1192" s="16">
        <v>8.5000000000000006E-2</v>
      </c>
      <c r="L1192" s="1" t="s">
        <v>21</v>
      </c>
      <c r="M1192" t="s">
        <v>58</v>
      </c>
      <c r="N1192" t="str">
        <f t="shared" si="21"/>
        <v>Germany</v>
      </c>
      <c r="O1192" s="8">
        <f>IF(K1192&gt;=1,K1192,K1192*1000)</f>
        <v>85</v>
      </c>
      <c r="P1192">
        <f>ABS(H1192)</f>
        <v>3</v>
      </c>
      <c r="R1192"/>
    </row>
    <row r="1193" spans="1:18" x14ac:dyDescent="0.35">
      <c r="A1193" t="s">
        <v>2303</v>
      </c>
      <c r="B1193" s="2">
        <v>46157</v>
      </c>
      <c r="C1193" t="s">
        <v>2304</v>
      </c>
      <c r="D1193" s="3" t="s">
        <v>99</v>
      </c>
      <c r="E1193" t="s">
        <v>25</v>
      </c>
      <c r="F1193" t="s">
        <v>17</v>
      </c>
      <c r="G1193" t="s">
        <v>18</v>
      </c>
      <c r="H1193" s="8">
        <v>1</v>
      </c>
      <c r="I1193" s="10">
        <v>79</v>
      </c>
      <c r="J1193" s="14">
        <f>P1193*I1193</f>
        <v>79</v>
      </c>
      <c r="K1193" s="16">
        <v>0.52</v>
      </c>
      <c r="L1193" s="1" t="s">
        <v>30</v>
      </c>
      <c r="M1193" t="s">
        <v>58</v>
      </c>
      <c r="N1193" t="str">
        <f t="shared" si="21"/>
        <v>United Kingdom</v>
      </c>
      <c r="O1193" s="8">
        <f>IF(K1193&gt;=1,K1193,K1193*1000)</f>
        <v>520</v>
      </c>
      <c r="P1193">
        <f>ABS(H1193)</f>
        <v>1</v>
      </c>
      <c r="R1193"/>
    </row>
    <row r="1194" spans="1:18" x14ac:dyDescent="0.35">
      <c r="A1194" t="s">
        <v>2305</v>
      </c>
      <c r="B1194" s="2">
        <v>46052</v>
      </c>
      <c r="C1194" t="s">
        <v>2306</v>
      </c>
      <c r="D1194" s="3" t="s">
        <v>46</v>
      </c>
      <c r="E1194" t="s">
        <v>34</v>
      </c>
      <c r="F1194" t="s">
        <v>35</v>
      </c>
      <c r="G1194" t="s">
        <v>36</v>
      </c>
      <c r="H1194" s="8">
        <v>2</v>
      </c>
      <c r="I1194" s="10">
        <v>11.25</v>
      </c>
      <c r="J1194" s="14">
        <f>P1194*I1194</f>
        <v>22.5</v>
      </c>
      <c r="K1194" s="16">
        <v>85</v>
      </c>
      <c r="L1194" s="1" t="s">
        <v>30</v>
      </c>
      <c r="M1194" t="s">
        <v>22</v>
      </c>
      <c r="N1194" t="str">
        <f t="shared" si="21"/>
        <v>Ireland</v>
      </c>
      <c r="O1194" s="8">
        <f>IF(K1194&gt;=1,K1194,K1194*1000)</f>
        <v>85</v>
      </c>
      <c r="P1194">
        <f>ABS(H1194)</f>
        <v>2</v>
      </c>
      <c r="R1194"/>
    </row>
    <row r="1195" spans="1:18" x14ac:dyDescent="0.35">
      <c r="A1195" t="s">
        <v>2307</v>
      </c>
      <c r="B1195" s="2">
        <v>46122</v>
      </c>
      <c r="C1195" t="s">
        <v>1626</v>
      </c>
      <c r="D1195" s="3" t="s">
        <v>99</v>
      </c>
      <c r="E1195" t="s">
        <v>25</v>
      </c>
      <c r="F1195" t="s">
        <v>74</v>
      </c>
      <c r="G1195" t="s">
        <v>75</v>
      </c>
      <c r="H1195" s="8">
        <v>1</v>
      </c>
      <c r="I1195" s="10">
        <v>79</v>
      </c>
      <c r="J1195" s="14">
        <f>P1195*I1195</f>
        <v>79</v>
      </c>
      <c r="K1195" s="16">
        <v>410</v>
      </c>
      <c r="L1195" s="1" t="s">
        <v>21</v>
      </c>
      <c r="M1195" t="s">
        <v>22</v>
      </c>
      <c r="N1195" t="str">
        <f t="shared" si="21"/>
        <v>United Kingdom</v>
      </c>
      <c r="O1195" s="8">
        <f>IF(K1195&gt;=1,K1195,K1195*1000)</f>
        <v>410</v>
      </c>
      <c r="P1195">
        <f>ABS(H1195)</f>
        <v>1</v>
      </c>
      <c r="R1195"/>
    </row>
    <row r="1196" spans="1:18" x14ac:dyDescent="0.35">
      <c r="A1196" t="s">
        <v>2308</v>
      </c>
      <c r="B1196" s="2">
        <v>46070</v>
      </c>
      <c r="C1196" t="s">
        <v>2309</v>
      </c>
      <c r="D1196" s="3" t="s">
        <v>4612</v>
      </c>
      <c r="E1196" t="s">
        <v>67</v>
      </c>
      <c r="F1196" t="s">
        <v>17</v>
      </c>
      <c r="G1196" t="s">
        <v>18</v>
      </c>
      <c r="H1196" s="8">
        <v>1</v>
      </c>
      <c r="I1196" s="12" t="s">
        <v>4632</v>
      </c>
      <c r="J1196" s="14">
        <f>P1196*R1196</f>
        <v>89</v>
      </c>
      <c r="K1196" s="16">
        <v>520</v>
      </c>
      <c r="L1196" s="1" t="s">
        <v>30</v>
      </c>
      <c r="M1196" t="s">
        <v>58</v>
      </c>
      <c r="N1196" t="str">
        <f t="shared" si="21"/>
        <v>United Kingdom</v>
      </c>
      <c r="O1196" s="8">
        <f>IF(K1196&gt;=1,K1196,K1196*1000)</f>
        <v>520</v>
      </c>
      <c r="P1196">
        <f>ABS(H1196)</f>
        <v>1</v>
      </c>
      <c r="Q1196" t="str">
        <f>LEFT(I1196,3)</f>
        <v>GBP</v>
      </c>
      <c r="R1196" s="10" t="str">
        <f>RIGHT(I1196,5)</f>
        <v>89,00</v>
      </c>
    </row>
    <row r="1197" spans="1:18" x14ac:dyDescent="0.35">
      <c r="A1197" t="s">
        <v>2310</v>
      </c>
      <c r="B1197" s="2">
        <v>46144</v>
      </c>
      <c r="C1197" t="s">
        <v>2211</v>
      </c>
      <c r="D1197" s="3" t="s">
        <v>99</v>
      </c>
      <c r="E1197" t="s">
        <v>25</v>
      </c>
      <c r="F1197" t="s">
        <v>35</v>
      </c>
      <c r="G1197" t="s">
        <v>36</v>
      </c>
      <c r="H1197" s="8">
        <v>1</v>
      </c>
      <c r="I1197" s="10">
        <v>71.099999999999994</v>
      </c>
      <c r="J1197" s="14">
        <f>P1197*I1197</f>
        <v>71.099999999999994</v>
      </c>
      <c r="K1197" s="16">
        <v>85</v>
      </c>
      <c r="L1197" s="1" t="s">
        <v>30</v>
      </c>
      <c r="M1197" t="s">
        <v>22</v>
      </c>
      <c r="N1197" t="str">
        <f t="shared" si="21"/>
        <v>United Kingdom</v>
      </c>
      <c r="O1197" s="8">
        <f>IF(K1197&gt;=1,K1197,K1197*1000)</f>
        <v>85</v>
      </c>
      <c r="P1197">
        <f>ABS(H1197)</f>
        <v>1</v>
      </c>
      <c r="R1197"/>
    </row>
    <row r="1198" spans="1:18" x14ac:dyDescent="0.35">
      <c r="A1198" t="s">
        <v>2311</v>
      </c>
      <c r="B1198" s="2" t="s">
        <v>2312</v>
      </c>
      <c r="C1198" t="s">
        <v>1674</v>
      </c>
      <c r="D1198" s="3" t="s">
        <v>99</v>
      </c>
      <c r="E1198" t="s">
        <v>25</v>
      </c>
      <c r="F1198" t="s">
        <v>26</v>
      </c>
      <c r="G1198" t="s">
        <v>27</v>
      </c>
      <c r="H1198" s="8">
        <v>1</v>
      </c>
      <c r="I1198" s="10">
        <v>40.5</v>
      </c>
      <c r="J1198" s="14">
        <f>P1198*I1198</f>
        <v>40.5</v>
      </c>
      <c r="K1198" s="16">
        <v>520</v>
      </c>
      <c r="L1198" s="1" t="s">
        <v>21</v>
      </c>
      <c r="M1198" t="s">
        <v>22</v>
      </c>
      <c r="N1198" t="str">
        <f t="shared" si="21"/>
        <v>United Kingdom</v>
      </c>
      <c r="O1198" s="8">
        <f>IF(K1198&gt;=1,K1198,K1198*1000)</f>
        <v>520</v>
      </c>
      <c r="P1198">
        <f>ABS(H1198)</f>
        <v>1</v>
      </c>
      <c r="R1198"/>
    </row>
    <row r="1199" spans="1:18" x14ac:dyDescent="0.35">
      <c r="A1199" t="s">
        <v>2313</v>
      </c>
      <c r="B1199" s="2">
        <v>46078</v>
      </c>
      <c r="C1199" t="s">
        <v>515</v>
      </c>
      <c r="D1199" s="3" t="s">
        <v>116</v>
      </c>
      <c r="E1199" t="s">
        <v>41</v>
      </c>
      <c r="F1199" t="s">
        <v>74</v>
      </c>
      <c r="G1199" t="s">
        <v>75</v>
      </c>
      <c r="H1199" s="8">
        <v>1</v>
      </c>
      <c r="I1199" s="10">
        <v>11.25</v>
      </c>
      <c r="J1199" s="14">
        <f>P1199*I1199</f>
        <v>11.25</v>
      </c>
      <c r="K1199" s="16">
        <v>410</v>
      </c>
      <c r="L1199" s="1" t="s">
        <v>21</v>
      </c>
      <c r="M1199" t="s">
        <v>58</v>
      </c>
      <c r="N1199" t="str">
        <f t="shared" si="21"/>
        <v>Germany</v>
      </c>
      <c r="O1199" s="8">
        <f>IF(K1199&gt;=1,K1199,K1199*1000)</f>
        <v>410</v>
      </c>
      <c r="P1199">
        <f>ABS(H1199)</f>
        <v>1</v>
      </c>
      <c r="R1199"/>
    </row>
    <row r="1200" spans="1:18" x14ac:dyDescent="0.35">
      <c r="A1200" t="s">
        <v>2314</v>
      </c>
      <c r="B1200" s="2">
        <v>46181</v>
      </c>
      <c r="C1200" t="s">
        <v>2315</v>
      </c>
      <c r="D1200" s="3" t="s">
        <v>99</v>
      </c>
      <c r="E1200" t="s">
        <v>25</v>
      </c>
      <c r="F1200" t="s">
        <v>74</v>
      </c>
      <c r="G1200" t="s">
        <v>75</v>
      </c>
      <c r="H1200" s="8">
        <v>2</v>
      </c>
      <c r="I1200" s="10">
        <v>89</v>
      </c>
      <c r="J1200" s="14">
        <f>P1200*I1200</f>
        <v>178</v>
      </c>
      <c r="K1200" s="16">
        <v>0.41</v>
      </c>
      <c r="L1200" s="1" t="s">
        <v>30</v>
      </c>
      <c r="M1200" t="s">
        <v>22</v>
      </c>
      <c r="N1200" t="str">
        <f t="shared" si="21"/>
        <v>United Kingdom</v>
      </c>
      <c r="O1200" s="8">
        <f>IF(K1200&gt;=1,K1200,K1200*1000)</f>
        <v>410</v>
      </c>
      <c r="P1200">
        <f>ABS(H1200)</f>
        <v>2</v>
      </c>
      <c r="R1200"/>
    </row>
    <row r="1201" spans="1:18" x14ac:dyDescent="0.35">
      <c r="A1201" t="s">
        <v>2316</v>
      </c>
      <c r="B1201" s="2">
        <v>46098</v>
      </c>
      <c r="C1201" t="s">
        <v>1449</v>
      </c>
      <c r="D1201" s="3" t="s">
        <v>99</v>
      </c>
      <c r="E1201" t="s">
        <v>16</v>
      </c>
      <c r="F1201" t="s">
        <v>26</v>
      </c>
      <c r="G1201" t="s">
        <v>27</v>
      </c>
      <c r="H1201" s="8">
        <v>3</v>
      </c>
      <c r="I1201" s="10">
        <v>45</v>
      </c>
      <c r="J1201" s="14">
        <f>P1201*I1201</f>
        <v>135</v>
      </c>
      <c r="K1201" s="16">
        <v>520</v>
      </c>
      <c r="L1201" s="1" t="s">
        <v>30</v>
      </c>
      <c r="M1201" t="s">
        <v>22</v>
      </c>
      <c r="N1201" t="str">
        <f t="shared" si="21"/>
        <v>United Kingdom</v>
      </c>
      <c r="O1201" s="8">
        <f>IF(K1201&gt;=1,K1201,K1201*1000)</f>
        <v>520</v>
      </c>
      <c r="P1201">
        <f>ABS(H1201)</f>
        <v>3</v>
      </c>
      <c r="R1201"/>
    </row>
    <row r="1202" spans="1:18" x14ac:dyDescent="0.35">
      <c r="A1202" t="s">
        <v>2317</v>
      </c>
      <c r="B1202" s="2">
        <v>46105</v>
      </c>
      <c r="C1202" t="s">
        <v>2318</v>
      </c>
      <c r="D1202" s="3" t="s">
        <v>4613</v>
      </c>
      <c r="E1202" t="s">
        <v>41</v>
      </c>
      <c r="F1202" t="s">
        <v>42</v>
      </c>
      <c r="G1202" t="s">
        <v>43</v>
      </c>
      <c r="H1202" s="8">
        <v>1</v>
      </c>
      <c r="I1202" s="12" t="s">
        <v>4631</v>
      </c>
      <c r="J1202" s="14">
        <f>P1202*R1202</f>
        <v>79</v>
      </c>
      <c r="K1202" s="16">
        <v>190</v>
      </c>
      <c r="L1202" s="1" t="s">
        <v>30</v>
      </c>
      <c r="M1202" t="s">
        <v>22</v>
      </c>
      <c r="N1202" t="str">
        <f t="shared" si="21"/>
        <v>United Kingdom</v>
      </c>
      <c r="O1202" s="8">
        <f>IF(K1202&gt;=1,K1202,K1202*1000)</f>
        <v>190</v>
      </c>
      <c r="P1202">
        <f>ABS(H1202)</f>
        <v>1</v>
      </c>
      <c r="Q1202" t="str">
        <f>LEFT(I1202,2)</f>
        <v>Â£</v>
      </c>
      <c r="R1202" t="str">
        <f>RIGHT(I1202,5)</f>
        <v>79,00</v>
      </c>
    </row>
    <row r="1203" spans="1:18" x14ac:dyDescent="0.35">
      <c r="A1203" t="s">
        <v>2319</v>
      </c>
      <c r="B1203" s="2">
        <v>46076</v>
      </c>
      <c r="C1203" t="s">
        <v>2320</v>
      </c>
      <c r="D1203" s="3" t="s">
        <v>15</v>
      </c>
      <c r="E1203" t="s">
        <v>34</v>
      </c>
      <c r="F1203" t="s">
        <v>26</v>
      </c>
      <c r="G1203" t="s">
        <v>27</v>
      </c>
      <c r="H1203" s="8">
        <v>1</v>
      </c>
      <c r="I1203" s="10">
        <v>24</v>
      </c>
      <c r="J1203" s="14">
        <f>P1203*I1203</f>
        <v>24</v>
      </c>
      <c r="K1203" s="16">
        <v>520</v>
      </c>
      <c r="L1203" s="1" t="s">
        <v>30</v>
      </c>
      <c r="M1203" t="s">
        <v>58</v>
      </c>
      <c r="N1203" t="str">
        <f t="shared" si="21"/>
        <v>France</v>
      </c>
      <c r="O1203" s="8">
        <f>IF(K1203&gt;=1,K1203,K1203*1000)</f>
        <v>520</v>
      </c>
      <c r="P1203">
        <f>ABS(H1203)</f>
        <v>1</v>
      </c>
      <c r="R1203"/>
    </row>
    <row r="1204" spans="1:18" x14ac:dyDescent="0.35">
      <c r="A1204" t="s">
        <v>2321</v>
      </c>
      <c r="B1204" s="2">
        <v>46129</v>
      </c>
      <c r="C1204" t="s">
        <v>2322</v>
      </c>
      <c r="D1204" s="3" t="s">
        <v>99</v>
      </c>
      <c r="E1204" t="s">
        <v>34</v>
      </c>
      <c r="F1204" t="s">
        <v>17</v>
      </c>
      <c r="G1204" t="s">
        <v>18</v>
      </c>
      <c r="H1204" s="8">
        <v>2</v>
      </c>
      <c r="I1204" s="10">
        <v>149</v>
      </c>
      <c r="J1204" s="14">
        <f>P1204*I1204</f>
        <v>298</v>
      </c>
      <c r="K1204" s="16">
        <v>520</v>
      </c>
      <c r="L1204" s="1" t="s">
        <v>30</v>
      </c>
      <c r="M1204" t="s">
        <v>22</v>
      </c>
      <c r="N1204" t="str">
        <f t="shared" si="21"/>
        <v>United Kingdom</v>
      </c>
      <c r="O1204" s="8">
        <f>IF(K1204&gt;=1,K1204,K1204*1000)</f>
        <v>520</v>
      </c>
      <c r="P1204">
        <f>ABS(H1204)</f>
        <v>2</v>
      </c>
      <c r="R1204"/>
    </row>
    <row r="1205" spans="1:18" x14ac:dyDescent="0.35">
      <c r="A1205" t="s">
        <v>2323</v>
      </c>
      <c r="B1205" s="2">
        <v>46202</v>
      </c>
      <c r="C1205" t="s">
        <v>1028</v>
      </c>
      <c r="D1205" s="3" t="s">
        <v>4612</v>
      </c>
      <c r="E1205" t="s">
        <v>25</v>
      </c>
      <c r="F1205" t="s">
        <v>26</v>
      </c>
      <c r="G1205" t="s">
        <v>27</v>
      </c>
      <c r="H1205" s="8">
        <v>3</v>
      </c>
      <c r="I1205" s="10">
        <v>116.1</v>
      </c>
      <c r="J1205" s="14">
        <f>P1205*I1205</f>
        <v>348.29999999999995</v>
      </c>
      <c r="K1205" s="16">
        <v>0.52</v>
      </c>
      <c r="L1205" s="1" t="s">
        <v>30</v>
      </c>
      <c r="M1205" t="s">
        <v>22</v>
      </c>
      <c r="N1205" t="str">
        <f t="shared" si="21"/>
        <v>United Kingdom</v>
      </c>
      <c r="O1205" s="8">
        <f>IF(K1205&gt;=1,K1205,K1205*1000)</f>
        <v>520</v>
      </c>
      <c r="P1205">
        <f>ABS(H1205)</f>
        <v>3</v>
      </c>
      <c r="R1205"/>
    </row>
    <row r="1206" spans="1:18" x14ac:dyDescent="0.35">
      <c r="A1206" t="s">
        <v>2324</v>
      </c>
      <c r="B1206" s="2">
        <v>46088</v>
      </c>
      <c r="C1206" t="s">
        <v>2325</v>
      </c>
      <c r="D1206" s="3" t="s">
        <v>116</v>
      </c>
      <c r="E1206" t="s">
        <v>34</v>
      </c>
      <c r="F1206" t="s">
        <v>26</v>
      </c>
      <c r="G1206" t="s">
        <v>27</v>
      </c>
      <c r="H1206" s="8">
        <v>2</v>
      </c>
      <c r="I1206" s="10">
        <v>149</v>
      </c>
      <c r="J1206" s="14">
        <f>P1206*I1206</f>
        <v>298</v>
      </c>
      <c r="K1206" s="16">
        <v>520</v>
      </c>
      <c r="L1206" s="1" t="s">
        <v>30</v>
      </c>
      <c r="M1206" t="s">
        <v>22</v>
      </c>
      <c r="N1206" t="str">
        <f t="shared" si="21"/>
        <v>Germany</v>
      </c>
      <c r="O1206" s="8">
        <f>IF(K1206&gt;=1,K1206,K1206*1000)</f>
        <v>520</v>
      </c>
      <c r="P1206">
        <f>ABS(H1206)</f>
        <v>2</v>
      </c>
      <c r="R1206"/>
    </row>
    <row r="1207" spans="1:18" x14ac:dyDescent="0.35">
      <c r="A1207" t="s">
        <v>2326</v>
      </c>
      <c r="B1207" s="2">
        <v>46180</v>
      </c>
      <c r="C1207" t="s">
        <v>1608</v>
      </c>
      <c r="D1207" s="3" t="s">
        <v>61</v>
      </c>
      <c r="E1207" t="s">
        <v>41</v>
      </c>
      <c r="F1207" t="s">
        <v>42</v>
      </c>
      <c r="G1207" t="s">
        <v>43</v>
      </c>
      <c r="H1207" s="8">
        <v>2</v>
      </c>
      <c r="I1207" s="10">
        <v>149</v>
      </c>
      <c r="J1207" s="14">
        <f>P1207*I1207</f>
        <v>298</v>
      </c>
      <c r="K1207" s="16">
        <v>0.19</v>
      </c>
      <c r="L1207" s="1" t="s">
        <v>30</v>
      </c>
      <c r="M1207" t="s">
        <v>22</v>
      </c>
      <c r="N1207" t="str">
        <f t="shared" si="21"/>
        <v>Ireland</v>
      </c>
      <c r="O1207" s="8">
        <f>IF(K1207&gt;=1,K1207,K1207*1000)</f>
        <v>190</v>
      </c>
      <c r="P1207">
        <f>ABS(H1207)</f>
        <v>2</v>
      </c>
      <c r="R1207"/>
    </row>
    <row r="1208" spans="1:18" x14ac:dyDescent="0.35">
      <c r="A1208" t="s">
        <v>2327</v>
      </c>
      <c r="B1208" s="2">
        <v>46207</v>
      </c>
      <c r="C1208" t="s">
        <v>2328</v>
      </c>
      <c r="D1208" s="3" t="s">
        <v>99</v>
      </c>
      <c r="E1208" t="s">
        <v>25</v>
      </c>
      <c r="F1208" t="s">
        <v>47</v>
      </c>
      <c r="G1208" t="s">
        <v>48</v>
      </c>
      <c r="H1208" s="8">
        <v>1</v>
      </c>
      <c r="I1208" s="10">
        <v>45</v>
      </c>
      <c r="J1208" s="14">
        <f>P1208*I1208</f>
        <v>45</v>
      </c>
      <c r="K1208" s="16">
        <v>0.38</v>
      </c>
      <c r="L1208" s="1" t="s">
        <v>30</v>
      </c>
      <c r="M1208" t="s">
        <v>22</v>
      </c>
      <c r="N1208" t="str">
        <f t="shared" si="21"/>
        <v>United Kingdom</v>
      </c>
      <c r="O1208" s="8">
        <f>IF(K1208&gt;=1,K1208,K1208*1000)</f>
        <v>380</v>
      </c>
      <c r="P1208">
        <f>ABS(H1208)</f>
        <v>1</v>
      </c>
      <c r="R1208"/>
    </row>
    <row r="1209" spans="1:18" x14ac:dyDescent="0.35">
      <c r="A1209" t="s">
        <v>2329</v>
      </c>
      <c r="B1209" s="2">
        <v>46102</v>
      </c>
      <c r="C1209" t="s">
        <v>2330</v>
      </c>
      <c r="D1209" s="3" t="s">
        <v>4613</v>
      </c>
      <c r="E1209" t="s">
        <v>34</v>
      </c>
      <c r="F1209" t="s">
        <v>74</v>
      </c>
      <c r="G1209" t="s">
        <v>75</v>
      </c>
      <c r="H1209" s="8">
        <v>2</v>
      </c>
      <c r="I1209" s="10">
        <v>24</v>
      </c>
      <c r="J1209" s="14">
        <f>P1209*I1209</f>
        <v>48</v>
      </c>
      <c r="K1209" s="16">
        <v>410</v>
      </c>
      <c r="L1209" s="1" t="s">
        <v>30</v>
      </c>
      <c r="M1209" t="s">
        <v>22</v>
      </c>
      <c r="N1209" t="str">
        <f t="shared" si="21"/>
        <v>United Kingdom</v>
      </c>
      <c r="O1209" s="8">
        <f>IF(K1209&gt;=1,K1209,K1209*1000)</f>
        <v>410</v>
      </c>
      <c r="P1209">
        <f>ABS(H1209)</f>
        <v>2</v>
      </c>
      <c r="R1209"/>
    </row>
    <row r="1210" spans="1:18" x14ac:dyDescent="0.35">
      <c r="A1210" t="s">
        <v>2331</v>
      </c>
      <c r="B1210" s="2">
        <v>46104</v>
      </c>
      <c r="C1210" t="s">
        <v>332</v>
      </c>
      <c r="D1210" s="3" t="s">
        <v>99</v>
      </c>
      <c r="E1210" t="s">
        <v>34</v>
      </c>
      <c r="F1210" t="s">
        <v>35</v>
      </c>
      <c r="G1210" t="s">
        <v>36</v>
      </c>
      <c r="H1210" s="8">
        <v>2</v>
      </c>
      <c r="I1210" s="10">
        <v>40.5</v>
      </c>
      <c r="J1210" s="14">
        <f>P1210*I1210</f>
        <v>81</v>
      </c>
      <c r="K1210" s="16">
        <v>85</v>
      </c>
      <c r="L1210" s="1" t="s">
        <v>30</v>
      </c>
      <c r="M1210" t="s">
        <v>58</v>
      </c>
      <c r="N1210" t="str">
        <f t="shared" si="21"/>
        <v>United Kingdom</v>
      </c>
      <c r="O1210" s="8">
        <f>IF(K1210&gt;=1,K1210,K1210*1000)</f>
        <v>85</v>
      </c>
      <c r="P1210">
        <f>ABS(H1210)</f>
        <v>2</v>
      </c>
      <c r="R1210"/>
    </row>
    <row r="1211" spans="1:18" x14ac:dyDescent="0.35">
      <c r="A1211" t="s">
        <v>2332</v>
      </c>
      <c r="B1211" s="2">
        <v>46052</v>
      </c>
      <c r="C1211" t="s">
        <v>2333</v>
      </c>
      <c r="D1211" s="3" t="s">
        <v>99</v>
      </c>
      <c r="E1211" t="s">
        <v>25</v>
      </c>
      <c r="F1211" t="s">
        <v>26</v>
      </c>
      <c r="G1211" t="s">
        <v>27</v>
      </c>
      <c r="H1211" s="8">
        <v>2</v>
      </c>
      <c r="I1211" s="10">
        <v>95</v>
      </c>
      <c r="J1211" s="14">
        <f>P1211*I1211</f>
        <v>190</v>
      </c>
      <c r="K1211" s="16">
        <v>520</v>
      </c>
      <c r="L1211" s="1" t="s">
        <v>30</v>
      </c>
      <c r="M1211" t="s">
        <v>22</v>
      </c>
      <c r="N1211" t="str">
        <f t="shared" si="21"/>
        <v>United Kingdom</v>
      </c>
      <c r="O1211" s="8">
        <f>IF(K1211&gt;=1,K1211,K1211*1000)</f>
        <v>520</v>
      </c>
      <c r="P1211">
        <f>ABS(H1211)</f>
        <v>2</v>
      </c>
      <c r="R1211"/>
    </row>
    <row r="1212" spans="1:18" x14ac:dyDescent="0.35">
      <c r="A1212" t="s">
        <v>2334</v>
      </c>
      <c r="B1212" s="2">
        <v>46185</v>
      </c>
      <c r="C1212" t="s">
        <v>231</v>
      </c>
      <c r="D1212" s="3" t="s">
        <v>46</v>
      </c>
      <c r="E1212" t="s">
        <v>67</v>
      </c>
      <c r="F1212" t="s">
        <v>74</v>
      </c>
      <c r="G1212" t="s">
        <v>75</v>
      </c>
      <c r="H1212" s="8">
        <v>1</v>
      </c>
      <c r="I1212" s="10">
        <v>95</v>
      </c>
      <c r="J1212" s="14">
        <f>P1212*I1212</f>
        <v>95</v>
      </c>
      <c r="K1212" s="16">
        <v>0.41</v>
      </c>
      <c r="L1212" s="1" t="s">
        <v>21</v>
      </c>
      <c r="M1212" t="s">
        <v>58</v>
      </c>
      <c r="N1212" t="str">
        <f t="shared" si="21"/>
        <v>Ireland</v>
      </c>
      <c r="O1212" s="8">
        <f>IF(K1212&gt;=1,K1212,K1212*1000)</f>
        <v>410</v>
      </c>
      <c r="P1212">
        <f>ABS(H1212)</f>
        <v>1</v>
      </c>
      <c r="R1212"/>
    </row>
    <row r="1213" spans="1:18" x14ac:dyDescent="0.35">
      <c r="A1213" t="s">
        <v>2335</v>
      </c>
      <c r="B1213" s="2">
        <v>46174</v>
      </c>
      <c r="C1213" t="s">
        <v>672</v>
      </c>
      <c r="D1213" s="3" t="s">
        <v>66</v>
      </c>
      <c r="E1213" t="s">
        <v>16</v>
      </c>
      <c r="F1213" t="s">
        <v>42</v>
      </c>
      <c r="G1213" t="s">
        <v>43</v>
      </c>
      <c r="H1213" s="8">
        <v>1</v>
      </c>
      <c r="I1213" s="10">
        <v>45</v>
      </c>
      <c r="J1213" s="14">
        <f>P1213*I1213</f>
        <v>45</v>
      </c>
      <c r="K1213" s="16">
        <v>190</v>
      </c>
      <c r="L1213" s="1" t="s">
        <v>30</v>
      </c>
      <c r="M1213" t="s">
        <v>22</v>
      </c>
      <c r="N1213" t="str">
        <f t="shared" si="21"/>
        <v>Gb</v>
      </c>
      <c r="O1213" s="8">
        <f>IF(K1213&gt;=1,K1213,K1213*1000)</f>
        <v>190</v>
      </c>
      <c r="P1213">
        <f>ABS(H1213)</f>
        <v>1</v>
      </c>
      <c r="R1213"/>
    </row>
    <row r="1214" spans="1:18" x14ac:dyDescent="0.35">
      <c r="A1214" t="s">
        <v>2336</v>
      </c>
      <c r="B1214" s="2">
        <v>46112</v>
      </c>
      <c r="C1214" t="s">
        <v>147</v>
      </c>
      <c r="D1214" s="3" t="s">
        <v>116</v>
      </c>
      <c r="E1214" t="s">
        <v>16</v>
      </c>
      <c r="F1214" t="s">
        <v>35</v>
      </c>
      <c r="G1214" t="s">
        <v>36</v>
      </c>
      <c r="H1214" s="8">
        <v>3</v>
      </c>
      <c r="I1214" s="10">
        <v>21.6</v>
      </c>
      <c r="J1214" s="14">
        <f>P1214*I1214</f>
        <v>64.800000000000011</v>
      </c>
      <c r="K1214" s="16">
        <v>85</v>
      </c>
      <c r="L1214" s="1" t="s">
        <v>30</v>
      </c>
      <c r="M1214" t="s">
        <v>58</v>
      </c>
      <c r="N1214" t="str">
        <f t="shared" si="21"/>
        <v>Germany</v>
      </c>
      <c r="O1214" s="8">
        <f>IF(K1214&gt;=1,K1214,K1214*1000)</f>
        <v>85</v>
      </c>
      <c r="P1214">
        <f>ABS(H1214)</f>
        <v>3</v>
      </c>
      <c r="R1214"/>
    </row>
    <row r="1215" spans="1:18" x14ac:dyDescent="0.35">
      <c r="A1215" t="s">
        <v>2337</v>
      </c>
      <c r="B1215" s="2">
        <v>46149</v>
      </c>
      <c r="C1215" t="s">
        <v>661</v>
      </c>
      <c r="D1215" s="3" t="s">
        <v>99</v>
      </c>
      <c r="E1215" t="s">
        <v>41</v>
      </c>
      <c r="F1215" t="s">
        <v>35</v>
      </c>
      <c r="G1215" t="s">
        <v>36</v>
      </c>
      <c r="H1215" s="8">
        <v>2</v>
      </c>
      <c r="I1215" s="10">
        <v>129</v>
      </c>
      <c r="J1215" s="14">
        <f>P1215*I1215</f>
        <v>258</v>
      </c>
      <c r="K1215" s="16">
        <v>8.5000000000000006E-2</v>
      </c>
      <c r="L1215" s="1" t="s">
        <v>30</v>
      </c>
      <c r="M1215" t="s">
        <v>22</v>
      </c>
      <c r="N1215" t="str">
        <f t="shared" si="21"/>
        <v>United Kingdom</v>
      </c>
      <c r="O1215" s="8">
        <f>IF(K1215&gt;=1,K1215,K1215*1000)</f>
        <v>85</v>
      </c>
      <c r="P1215">
        <f>ABS(H1215)</f>
        <v>2</v>
      </c>
      <c r="R1215"/>
    </row>
    <row r="1216" spans="1:18" x14ac:dyDescent="0.35">
      <c r="A1216" t="s">
        <v>2338</v>
      </c>
      <c r="B1216" s="2">
        <v>46052</v>
      </c>
      <c r="C1216" t="s">
        <v>2339</v>
      </c>
      <c r="D1216" s="3" t="s">
        <v>99</v>
      </c>
      <c r="E1216" t="s">
        <v>25</v>
      </c>
      <c r="F1216" t="s">
        <v>89</v>
      </c>
      <c r="G1216" t="s">
        <v>90</v>
      </c>
      <c r="H1216" s="8">
        <v>2</v>
      </c>
      <c r="I1216" s="10">
        <v>45</v>
      </c>
      <c r="J1216" s="14">
        <f>P1216*I1216</f>
        <v>90</v>
      </c>
      <c r="K1216" s="16">
        <v>640</v>
      </c>
      <c r="L1216" s="1" t="s">
        <v>21</v>
      </c>
      <c r="M1216" t="s">
        <v>22</v>
      </c>
      <c r="N1216" t="str">
        <f t="shared" si="21"/>
        <v>United Kingdom</v>
      </c>
      <c r="O1216" s="8">
        <f>IF(K1216&gt;=1,K1216,K1216*1000)</f>
        <v>640</v>
      </c>
      <c r="P1216">
        <f>ABS(H1216)</f>
        <v>2</v>
      </c>
      <c r="R1216"/>
    </row>
    <row r="1217" spans="1:18" x14ac:dyDescent="0.35">
      <c r="A1217" t="s">
        <v>2340</v>
      </c>
      <c r="B1217" s="2">
        <v>46134</v>
      </c>
      <c r="C1217" t="s">
        <v>2341</v>
      </c>
      <c r="D1217" s="3" t="s">
        <v>66</v>
      </c>
      <c r="E1217" t="s">
        <v>41</v>
      </c>
      <c r="F1217" t="s">
        <v>47</v>
      </c>
      <c r="G1217" t="s">
        <v>48</v>
      </c>
      <c r="H1217" s="8">
        <v>2</v>
      </c>
      <c r="I1217" s="10">
        <v>12.5</v>
      </c>
      <c r="J1217" s="14">
        <f>P1217*I1217</f>
        <v>25</v>
      </c>
      <c r="K1217" s="16">
        <v>0.38</v>
      </c>
      <c r="L1217" s="1" t="s">
        <v>30</v>
      </c>
      <c r="M1217" t="s">
        <v>22</v>
      </c>
      <c r="N1217" t="str">
        <f t="shared" si="21"/>
        <v>Gb</v>
      </c>
      <c r="O1217" s="8">
        <f>IF(K1217&gt;=1,K1217,K1217*1000)</f>
        <v>380</v>
      </c>
      <c r="P1217">
        <f>ABS(H1217)</f>
        <v>2</v>
      </c>
      <c r="R1217"/>
    </row>
    <row r="1218" spans="1:18" x14ac:dyDescent="0.35">
      <c r="A1218" t="s">
        <v>2342</v>
      </c>
      <c r="B1218" s="2" t="s">
        <v>582</v>
      </c>
      <c r="C1218" t="s">
        <v>665</v>
      </c>
      <c r="D1218" s="3" t="s">
        <v>46</v>
      </c>
      <c r="E1218" t="s">
        <v>16</v>
      </c>
      <c r="F1218" t="s">
        <v>26</v>
      </c>
      <c r="G1218" t="s">
        <v>27</v>
      </c>
      <c r="H1218" s="8">
        <v>1</v>
      </c>
      <c r="I1218" s="10">
        <v>45</v>
      </c>
      <c r="J1218" s="14">
        <f>P1218*I1218</f>
        <v>45</v>
      </c>
      <c r="K1218" s="16">
        <v>0.52</v>
      </c>
      <c r="L1218" s="1" t="s">
        <v>30</v>
      </c>
      <c r="M1218" t="s">
        <v>58</v>
      </c>
      <c r="N1218" t="str">
        <f t="shared" si="21"/>
        <v>Ireland</v>
      </c>
      <c r="O1218" s="8">
        <f>IF(K1218&gt;=1,K1218,K1218*1000)</f>
        <v>520</v>
      </c>
      <c r="P1218">
        <f>ABS(H1218)</f>
        <v>1</v>
      </c>
      <c r="R1218"/>
    </row>
    <row r="1219" spans="1:18" x14ac:dyDescent="0.35">
      <c r="A1219" t="s">
        <v>2343</v>
      </c>
      <c r="B1219" s="2">
        <v>46049</v>
      </c>
      <c r="C1219" t="s">
        <v>1048</v>
      </c>
      <c r="D1219" s="3" t="s">
        <v>116</v>
      </c>
      <c r="E1219" t="s">
        <v>34</v>
      </c>
      <c r="F1219" t="s">
        <v>47</v>
      </c>
      <c r="G1219" t="s">
        <v>48</v>
      </c>
      <c r="H1219" s="8">
        <v>1</v>
      </c>
      <c r="I1219" s="10">
        <v>89</v>
      </c>
      <c r="J1219" s="14">
        <f>P1219*I1219</f>
        <v>89</v>
      </c>
      <c r="K1219" s="16">
        <v>380</v>
      </c>
      <c r="L1219" s="1" t="s">
        <v>30</v>
      </c>
      <c r="M1219" t="s">
        <v>58</v>
      </c>
      <c r="N1219" t="str">
        <f t="shared" ref="N1219:N1282" si="22">PROPER(TRIM(D1219))</f>
        <v>Germany</v>
      </c>
      <c r="O1219" s="8">
        <f>IF(K1219&gt;=1,K1219,K1219*1000)</f>
        <v>380</v>
      </c>
      <c r="P1219">
        <f>ABS(H1219)</f>
        <v>1</v>
      </c>
      <c r="R1219"/>
    </row>
    <row r="1220" spans="1:18" x14ac:dyDescent="0.35">
      <c r="A1220" t="s">
        <v>2344</v>
      </c>
      <c r="B1220" s="2">
        <v>46207</v>
      </c>
      <c r="C1220" t="s">
        <v>1519</v>
      </c>
      <c r="D1220" s="3" t="s">
        <v>116</v>
      </c>
      <c r="E1220" t="s">
        <v>41</v>
      </c>
      <c r="F1220" t="s">
        <v>26</v>
      </c>
      <c r="G1220" t="s">
        <v>27</v>
      </c>
      <c r="H1220" s="8">
        <v>2</v>
      </c>
      <c r="I1220" s="10">
        <v>24</v>
      </c>
      <c r="J1220" s="14">
        <f>P1220*I1220</f>
        <v>48</v>
      </c>
      <c r="K1220" s="16">
        <v>0.52</v>
      </c>
      <c r="L1220" s="1" t="s">
        <v>30</v>
      </c>
      <c r="M1220" t="s">
        <v>22</v>
      </c>
      <c r="N1220" t="str">
        <f t="shared" si="22"/>
        <v>Germany</v>
      </c>
      <c r="O1220" s="8">
        <f>IF(K1220&gt;=1,K1220,K1220*1000)</f>
        <v>520</v>
      </c>
      <c r="P1220">
        <f>ABS(H1220)</f>
        <v>2</v>
      </c>
      <c r="R1220"/>
    </row>
    <row r="1221" spans="1:18" x14ac:dyDescent="0.35">
      <c r="A1221" t="s">
        <v>2345</v>
      </c>
      <c r="B1221" s="2">
        <v>46152</v>
      </c>
      <c r="C1221" t="s">
        <v>2346</v>
      </c>
      <c r="D1221" s="3" t="s">
        <v>15</v>
      </c>
      <c r="E1221" t="s">
        <v>25</v>
      </c>
      <c r="F1221" t="s">
        <v>17</v>
      </c>
      <c r="G1221" t="s">
        <v>18</v>
      </c>
      <c r="H1221" s="8">
        <v>1</v>
      </c>
      <c r="I1221" s="10">
        <v>129</v>
      </c>
      <c r="J1221" s="14">
        <f>P1221*I1221</f>
        <v>129</v>
      </c>
      <c r="K1221" s="16">
        <v>0.52</v>
      </c>
      <c r="L1221" s="1" t="s">
        <v>30</v>
      </c>
      <c r="M1221" t="s">
        <v>22</v>
      </c>
      <c r="N1221" t="str">
        <f t="shared" si="22"/>
        <v>France</v>
      </c>
      <c r="O1221" s="8">
        <f>IF(K1221&gt;=1,K1221,K1221*1000)</f>
        <v>520</v>
      </c>
      <c r="P1221">
        <f>ABS(H1221)</f>
        <v>1</v>
      </c>
      <c r="R1221"/>
    </row>
    <row r="1222" spans="1:18" x14ac:dyDescent="0.35">
      <c r="A1222" t="s">
        <v>2347</v>
      </c>
      <c r="B1222" s="2">
        <v>46077</v>
      </c>
      <c r="C1222" t="s">
        <v>2348</v>
      </c>
      <c r="D1222" s="3" t="s">
        <v>4613</v>
      </c>
      <c r="E1222" t="s">
        <v>25</v>
      </c>
      <c r="F1222" t="s">
        <v>47</v>
      </c>
      <c r="G1222" t="s">
        <v>48</v>
      </c>
      <c r="H1222" s="8">
        <v>-1</v>
      </c>
      <c r="I1222" s="10">
        <v>79</v>
      </c>
      <c r="J1222" s="14">
        <f>P1222*I1222</f>
        <v>79</v>
      </c>
      <c r="K1222" s="16">
        <v>380</v>
      </c>
      <c r="L1222" s="1" t="s">
        <v>30</v>
      </c>
      <c r="M1222" t="s">
        <v>58</v>
      </c>
      <c r="N1222" t="str">
        <f t="shared" si="22"/>
        <v>United Kingdom</v>
      </c>
      <c r="O1222" s="8">
        <f>IF(K1222&gt;=1,K1222,K1222*1000)</f>
        <v>380</v>
      </c>
      <c r="P1222">
        <f>ABS(H1222)</f>
        <v>1</v>
      </c>
      <c r="R1222"/>
    </row>
    <row r="1223" spans="1:18" x14ac:dyDescent="0.35">
      <c r="A1223" t="s">
        <v>2349</v>
      </c>
      <c r="B1223" s="2">
        <v>46204</v>
      </c>
      <c r="C1223" t="s">
        <v>441</v>
      </c>
      <c r="D1223" s="3" t="s">
        <v>53</v>
      </c>
      <c r="E1223" t="s">
        <v>25</v>
      </c>
      <c r="F1223" t="s">
        <v>47</v>
      </c>
      <c r="G1223" t="s">
        <v>48</v>
      </c>
      <c r="H1223" s="8">
        <v>3</v>
      </c>
      <c r="I1223" s="10">
        <v>71.099999999999994</v>
      </c>
      <c r="J1223" s="14">
        <f>P1223*I1223</f>
        <v>213.29999999999998</v>
      </c>
      <c r="K1223" s="16">
        <v>0.38</v>
      </c>
      <c r="L1223" s="1" t="s">
        <v>21</v>
      </c>
      <c r="M1223" t="s">
        <v>58</v>
      </c>
      <c r="N1223" t="str">
        <f t="shared" si="22"/>
        <v>Gb</v>
      </c>
      <c r="O1223" s="8">
        <f>IF(K1223&gt;=1,K1223,K1223*1000)</f>
        <v>380</v>
      </c>
      <c r="P1223">
        <f>ABS(H1223)</f>
        <v>3</v>
      </c>
      <c r="R1223"/>
    </row>
    <row r="1224" spans="1:18" x14ac:dyDescent="0.35">
      <c r="A1224" t="s">
        <v>2350</v>
      </c>
      <c r="B1224" s="2">
        <v>46101</v>
      </c>
      <c r="C1224" t="s">
        <v>1599</v>
      </c>
      <c r="D1224" s="3" t="s">
        <v>99</v>
      </c>
      <c r="E1224" t="s">
        <v>67</v>
      </c>
      <c r="F1224" t="s">
        <v>35</v>
      </c>
      <c r="G1224" t="s">
        <v>36</v>
      </c>
      <c r="H1224" s="8">
        <v>1</v>
      </c>
      <c r="I1224" s="10">
        <v>85.5</v>
      </c>
      <c r="J1224" s="14">
        <f>P1224*I1224</f>
        <v>85.5</v>
      </c>
      <c r="K1224" s="16">
        <v>85</v>
      </c>
      <c r="L1224" s="1" t="s">
        <v>30</v>
      </c>
      <c r="M1224" t="s">
        <v>58</v>
      </c>
      <c r="N1224" t="str">
        <f t="shared" si="22"/>
        <v>United Kingdom</v>
      </c>
      <c r="O1224" s="8">
        <f>IF(K1224&gt;=1,K1224,K1224*1000)</f>
        <v>85</v>
      </c>
      <c r="P1224">
        <f>ABS(H1224)</f>
        <v>1</v>
      </c>
      <c r="R1224"/>
    </row>
    <row r="1225" spans="1:18" x14ac:dyDescent="0.35">
      <c r="A1225" t="s">
        <v>2351</v>
      </c>
      <c r="B1225" s="2">
        <v>46145</v>
      </c>
      <c r="C1225" t="s">
        <v>2352</v>
      </c>
      <c r="D1225" s="3" t="s">
        <v>99</v>
      </c>
      <c r="E1225" t="s">
        <v>25</v>
      </c>
      <c r="F1225" t="s">
        <v>89</v>
      </c>
      <c r="G1225" t="s">
        <v>90</v>
      </c>
      <c r="H1225" s="8">
        <v>1</v>
      </c>
      <c r="I1225" s="10">
        <v>11.25</v>
      </c>
      <c r="J1225" s="14">
        <f>P1225*I1225</f>
        <v>11.25</v>
      </c>
      <c r="K1225" s="16">
        <v>640</v>
      </c>
      <c r="L1225" s="1" t="s">
        <v>21</v>
      </c>
      <c r="M1225" t="s">
        <v>22</v>
      </c>
      <c r="N1225" t="str">
        <f t="shared" si="22"/>
        <v>United Kingdom</v>
      </c>
      <c r="O1225" s="8">
        <f>IF(K1225&gt;=1,K1225,K1225*1000)</f>
        <v>640</v>
      </c>
      <c r="P1225">
        <f>ABS(H1225)</f>
        <v>1</v>
      </c>
      <c r="R1225"/>
    </row>
    <row r="1226" spans="1:18" x14ac:dyDescent="0.35">
      <c r="A1226" t="s">
        <v>2354</v>
      </c>
      <c r="B1226" s="2">
        <v>46028</v>
      </c>
      <c r="C1226" t="s">
        <v>2171</v>
      </c>
      <c r="D1226" s="3" t="s">
        <v>46</v>
      </c>
      <c r="E1226" t="s">
        <v>34</v>
      </c>
      <c r="F1226" t="s">
        <v>26</v>
      </c>
      <c r="G1226" t="s">
        <v>27</v>
      </c>
      <c r="H1226" s="8">
        <v>1</v>
      </c>
      <c r="I1226" s="10">
        <v>79</v>
      </c>
      <c r="J1226" s="14">
        <f>P1226*I1226</f>
        <v>79</v>
      </c>
      <c r="K1226" s="16">
        <v>520</v>
      </c>
      <c r="L1226" s="1" t="s">
        <v>30</v>
      </c>
      <c r="M1226" t="s">
        <v>22</v>
      </c>
      <c r="N1226" t="str">
        <f t="shared" si="22"/>
        <v>Ireland</v>
      </c>
      <c r="O1226" s="8">
        <f>IF(K1226&gt;=1,K1226,K1226*1000)</f>
        <v>520</v>
      </c>
      <c r="P1226">
        <f>ABS(H1226)</f>
        <v>1</v>
      </c>
      <c r="R1226"/>
    </row>
    <row r="1227" spans="1:18" x14ac:dyDescent="0.35">
      <c r="A1227" t="s">
        <v>2355</v>
      </c>
      <c r="B1227" s="2">
        <v>46045</v>
      </c>
      <c r="C1227" t="s">
        <v>2356</v>
      </c>
      <c r="D1227" s="3" t="s">
        <v>4613</v>
      </c>
      <c r="E1227" t="s">
        <v>34</v>
      </c>
      <c r="F1227" t="s">
        <v>83</v>
      </c>
      <c r="G1227" t="s">
        <v>84</v>
      </c>
      <c r="H1227" s="8">
        <v>1</v>
      </c>
      <c r="I1227" s="10">
        <v>45</v>
      </c>
      <c r="J1227" s="14">
        <f>P1227*I1227</f>
        <v>45</v>
      </c>
      <c r="K1227" s="16">
        <v>340</v>
      </c>
      <c r="L1227" s="1" t="s">
        <v>30</v>
      </c>
      <c r="M1227" t="s">
        <v>22</v>
      </c>
      <c r="N1227" t="str">
        <f t="shared" si="22"/>
        <v>United Kingdom</v>
      </c>
      <c r="O1227" s="8">
        <f>IF(K1227&gt;=1,K1227,K1227*1000)</f>
        <v>340</v>
      </c>
      <c r="P1227">
        <f>ABS(H1227)</f>
        <v>1</v>
      </c>
      <c r="R1227"/>
    </row>
    <row r="1228" spans="1:18" x14ac:dyDescent="0.35">
      <c r="A1228" t="s">
        <v>2357</v>
      </c>
      <c r="B1228" s="2">
        <v>46104</v>
      </c>
      <c r="C1228" t="s">
        <v>1861</v>
      </c>
      <c r="D1228" s="3" t="s">
        <v>4613</v>
      </c>
      <c r="E1228" t="s">
        <v>16</v>
      </c>
      <c r="F1228" t="s">
        <v>17</v>
      </c>
      <c r="G1228" t="s">
        <v>18</v>
      </c>
      <c r="H1228" s="8">
        <v>1</v>
      </c>
      <c r="I1228" s="10">
        <v>45</v>
      </c>
      <c r="J1228" s="14">
        <f>P1228*I1228</f>
        <v>45</v>
      </c>
      <c r="K1228" s="16">
        <v>520</v>
      </c>
      <c r="L1228" s="1" t="s">
        <v>30</v>
      </c>
      <c r="M1228" t="s">
        <v>22</v>
      </c>
      <c r="N1228" t="str">
        <f t="shared" si="22"/>
        <v>United Kingdom</v>
      </c>
      <c r="O1228" s="8">
        <f>IF(K1228&gt;=1,K1228,K1228*1000)</f>
        <v>520</v>
      </c>
      <c r="P1228">
        <f>ABS(H1228)</f>
        <v>1</v>
      </c>
      <c r="R1228"/>
    </row>
    <row r="1229" spans="1:18" x14ac:dyDescent="0.35">
      <c r="A1229" t="s">
        <v>2358</v>
      </c>
      <c r="B1229" s="2">
        <v>46158</v>
      </c>
      <c r="C1229" t="s">
        <v>1811</v>
      </c>
      <c r="D1229" s="3" t="s">
        <v>61</v>
      </c>
      <c r="E1229" t="s">
        <v>41</v>
      </c>
      <c r="F1229" t="s">
        <v>83</v>
      </c>
      <c r="G1229" t="s">
        <v>84</v>
      </c>
      <c r="H1229" s="8">
        <v>1</v>
      </c>
      <c r="I1229" s="10">
        <v>116.1</v>
      </c>
      <c r="J1229" s="14">
        <f>P1229*I1229</f>
        <v>116.1</v>
      </c>
      <c r="K1229" s="16">
        <v>0.34</v>
      </c>
      <c r="L1229" s="1" t="s">
        <v>30</v>
      </c>
      <c r="M1229" t="s">
        <v>22</v>
      </c>
      <c r="N1229" t="str">
        <f t="shared" si="22"/>
        <v>Ireland</v>
      </c>
      <c r="O1229" s="8">
        <f>IF(K1229&gt;=1,K1229,K1229*1000)</f>
        <v>340</v>
      </c>
      <c r="P1229">
        <f>ABS(H1229)</f>
        <v>1</v>
      </c>
      <c r="R1229"/>
    </row>
    <row r="1230" spans="1:18" x14ac:dyDescent="0.35">
      <c r="A1230" t="s">
        <v>2359</v>
      </c>
      <c r="B1230" s="2">
        <v>46162</v>
      </c>
      <c r="C1230" t="s">
        <v>2360</v>
      </c>
      <c r="D1230" s="3" t="s">
        <v>15</v>
      </c>
      <c r="E1230" t="s">
        <v>16</v>
      </c>
      <c r="F1230" t="s">
        <v>42</v>
      </c>
      <c r="G1230" t="s">
        <v>43</v>
      </c>
      <c r="H1230" s="8">
        <v>2</v>
      </c>
      <c r="I1230" s="10">
        <v>24</v>
      </c>
      <c r="J1230" s="14">
        <f>P1230*I1230</f>
        <v>48</v>
      </c>
      <c r="K1230" s="16">
        <v>0.19</v>
      </c>
      <c r="L1230" s="1" t="s">
        <v>30</v>
      </c>
      <c r="M1230" t="s">
        <v>22</v>
      </c>
      <c r="N1230" t="str">
        <f t="shared" si="22"/>
        <v>France</v>
      </c>
      <c r="O1230" s="8">
        <f>IF(K1230&gt;=1,K1230,K1230*1000)</f>
        <v>190</v>
      </c>
      <c r="P1230">
        <f>ABS(H1230)</f>
        <v>2</v>
      </c>
      <c r="R1230"/>
    </row>
    <row r="1231" spans="1:18" x14ac:dyDescent="0.35">
      <c r="A1231" t="s">
        <v>2361</v>
      </c>
      <c r="B1231" s="2">
        <v>46103</v>
      </c>
      <c r="C1231" t="s">
        <v>769</v>
      </c>
      <c r="D1231" s="3" t="s">
        <v>15</v>
      </c>
      <c r="E1231" t="s">
        <v>41</v>
      </c>
      <c r="F1231" t="s">
        <v>47</v>
      </c>
      <c r="G1231" t="s">
        <v>48</v>
      </c>
      <c r="H1231" s="8">
        <v>1</v>
      </c>
      <c r="I1231" s="10">
        <v>95</v>
      </c>
      <c r="J1231" s="14">
        <f>P1231*I1231</f>
        <v>95</v>
      </c>
      <c r="K1231" s="16">
        <v>380</v>
      </c>
      <c r="L1231" s="1" t="s">
        <v>21</v>
      </c>
      <c r="M1231" t="s">
        <v>22</v>
      </c>
      <c r="N1231" t="str">
        <f t="shared" si="22"/>
        <v>France</v>
      </c>
      <c r="O1231" s="8">
        <f>IF(K1231&gt;=1,K1231,K1231*1000)</f>
        <v>380</v>
      </c>
      <c r="P1231">
        <f>ABS(H1231)</f>
        <v>1</v>
      </c>
      <c r="R1231"/>
    </row>
    <row r="1232" spans="1:18" x14ac:dyDescent="0.35">
      <c r="A1232" t="s">
        <v>2362</v>
      </c>
      <c r="B1232" s="2">
        <v>46030</v>
      </c>
      <c r="C1232" t="s">
        <v>340</v>
      </c>
      <c r="D1232" s="3" t="s">
        <v>15</v>
      </c>
      <c r="E1232" t="s">
        <v>41</v>
      </c>
      <c r="F1232" t="s">
        <v>17</v>
      </c>
      <c r="G1232" t="s">
        <v>18</v>
      </c>
      <c r="H1232" s="8">
        <v>2</v>
      </c>
      <c r="I1232" s="10">
        <v>21.6</v>
      </c>
      <c r="J1232" s="14">
        <f>P1232*I1232</f>
        <v>43.2</v>
      </c>
      <c r="K1232" s="16">
        <v>520</v>
      </c>
      <c r="L1232" s="1" t="s">
        <v>30</v>
      </c>
      <c r="M1232" t="s">
        <v>22</v>
      </c>
      <c r="N1232" t="str">
        <f t="shared" si="22"/>
        <v>France</v>
      </c>
      <c r="O1232" s="8">
        <f>IF(K1232&gt;=1,K1232,K1232*1000)</f>
        <v>520</v>
      </c>
      <c r="P1232">
        <f>ABS(H1232)</f>
        <v>2</v>
      </c>
      <c r="R1232"/>
    </row>
    <row r="1233" spans="1:18" x14ac:dyDescent="0.35">
      <c r="A1233" t="s">
        <v>2363</v>
      </c>
      <c r="B1233" s="2">
        <v>46028</v>
      </c>
      <c r="C1233" t="s">
        <v>2364</v>
      </c>
      <c r="D1233" s="3" t="s">
        <v>99</v>
      </c>
      <c r="E1233" t="s">
        <v>67</v>
      </c>
      <c r="F1233" t="s">
        <v>35</v>
      </c>
      <c r="G1233" t="s">
        <v>36</v>
      </c>
      <c r="H1233" s="8">
        <v>2</v>
      </c>
      <c r="I1233" s="10">
        <v>129</v>
      </c>
      <c r="J1233" s="14">
        <f>P1233*I1233</f>
        <v>258</v>
      </c>
      <c r="K1233" s="16">
        <v>85</v>
      </c>
      <c r="L1233" s="1" t="s">
        <v>30</v>
      </c>
      <c r="M1233" t="s">
        <v>22</v>
      </c>
      <c r="N1233" t="str">
        <f t="shared" si="22"/>
        <v>United Kingdom</v>
      </c>
      <c r="O1233" s="8">
        <f>IF(K1233&gt;=1,K1233,K1233*1000)</f>
        <v>85</v>
      </c>
      <c r="P1233">
        <f>ABS(H1233)</f>
        <v>2</v>
      </c>
      <c r="R1233"/>
    </row>
    <row r="1234" spans="1:18" x14ac:dyDescent="0.35">
      <c r="A1234" t="s">
        <v>2365</v>
      </c>
      <c r="B1234" s="2">
        <v>46090</v>
      </c>
      <c r="C1234" t="s">
        <v>2366</v>
      </c>
      <c r="D1234" s="3" t="s">
        <v>66</v>
      </c>
      <c r="E1234" t="s">
        <v>16</v>
      </c>
      <c r="F1234" t="s">
        <v>89</v>
      </c>
      <c r="G1234" t="s">
        <v>90</v>
      </c>
      <c r="H1234" s="8">
        <v>2</v>
      </c>
      <c r="I1234" s="10">
        <v>149</v>
      </c>
      <c r="J1234" s="14">
        <f>P1234*I1234</f>
        <v>298</v>
      </c>
      <c r="K1234" s="16">
        <v>640</v>
      </c>
      <c r="L1234" s="1" t="s">
        <v>30</v>
      </c>
      <c r="M1234" t="s">
        <v>58</v>
      </c>
      <c r="N1234" t="str">
        <f t="shared" si="22"/>
        <v>Gb</v>
      </c>
      <c r="O1234" s="8">
        <f>IF(K1234&gt;=1,K1234,K1234*1000)</f>
        <v>640</v>
      </c>
      <c r="P1234">
        <f>ABS(H1234)</f>
        <v>2</v>
      </c>
      <c r="R1234"/>
    </row>
    <row r="1235" spans="1:18" x14ac:dyDescent="0.35">
      <c r="A1235" t="s">
        <v>2367</v>
      </c>
      <c r="B1235" s="2">
        <v>46128</v>
      </c>
      <c r="C1235" t="s">
        <v>1364</v>
      </c>
      <c r="D1235" s="3" t="s">
        <v>61</v>
      </c>
      <c r="E1235" t="s">
        <v>34</v>
      </c>
      <c r="F1235" t="s">
        <v>74</v>
      </c>
      <c r="G1235" t="s">
        <v>75</v>
      </c>
      <c r="H1235" s="8">
        <v>2</v>
      </c>
      <c r="I1235" s="10">
        <v>149</v>
      </c>
      <c r="J1235" s="14">
        <f>P1235*I1235</f>
        <v>298</v>
      </c>
      <c r="K1235" s="16">
        <v>410</v>
      </c>
      <c r="L1235" s="1" t="s">
        <v>30</v>
      </c>
      <c r="M1235" t="s">
        <v>58</v>
      </c>
      <c r="N1235" t="str">
        <f t="shared" si="22"/>
        <v>Ireland</v>
      </c>
      <c r="O1235" s="8">
        <f>IF(K1235&gt;=1,K1235,K1235*1000)</f>
        <v>410</v>
      </c>
      <c r="P1235">
        <f>ABS(H1235)</f>
        <v>2</v>
      </c>
      <c r="R1235"/>
    </row>
    <row r="1236" spans="1:18" x14ac:dyDescent="0.35">
      <c r="A1236" t="s">
        <v>2368</v>
      </c>
      <c r="B1236" s="2">
        <v>46168</v>
      </c>
      <c r="C1236" t="s">
        <v>2369</v>
      </c>
      <c r="D1236" s="3" t="s">
        <v>4613</v>
      </c>
      <c r="E1236" t="s">
        <v>25</v>
      </c>
      <c r="F1236" t="s">
        <v>42</v>
      </c>
      <c r="G1236" t="s">
        <v>43</v>
      </c>
      <c r="H1236" s="8">
        <v>1</v>
      </c>
      <c r="I1236" s="10">
        <v>95</v>
      </c>
      <c r="J1236" s="14">
        <f>P1236*I1236</f>
        <v>95</v>
      </c>
      <c r="K1236" s="16">
        <v>0.19</v>
      </c>
      <c r="L1236" s="1" t="s">
        <v>30</v>
      </c>
      <c r="M1236" t="s">
        <v>58</v>
      </c>
      <c r="N1236" t="str">
        <f t="shared" si="22"/>
        <v>United Kingdom</v>
      </c>
      <c r="O1236" s="8">
        <f>IF(K1236&gt;=1,K1236,K1236*1000)</f>
        <v>190</v>
      </c>
      <c r="P1236">
        <f>ABS(H1236)</f>
        <v>1</v>
      </c>
      <c r="R1236"/>
    </row>
    <row r="1237" spans="1:18" x14ac:dyDescent="0.35">
      <c r="A1237" t="s">
        <v>2370</v>
      </c>
      <c r="B1237" s="2">
        <v>46152</v>
      </c>
      <c r="C1237" t="s">
        <v>2371</v>
      </c>
      <c r="D1237" s="3" t="s">
        <v>46</v>
      </c>
      <c r="E1237" t="s">
        <v>34</v>
      </c>
      <c r="F1237" t="s">
        <v>26</v>
      </c>
      <c r="G1237" t="s">
        <v>27</v>
      </c>
      <c r="H1237" s="8">
        <v>1</v>
      </c>
      <c r="I1237" s="10">
        <v>95</v>
      </c>
      <c r="J1237" s="14">
        <f>P1237*I1237</f>
        <v>95</v>
      </c>
      <c r="K1237" s="16">
        <v>0.52</v>
      </c>
      <c r="L1237" s="1" t="s">
        <v>30</v>
      </c>
      <c r="M1237" t="s">
        <v>58</v>
      </c>
      <c r="N1237" t="str">
        <f t="shared" si="22"/>
        <v>Ireland</v>
      </c>
      <c r="O1237" s="8">
        <f>IF(K1237&gt;=1,K1237,K1237*1000)</f>
        <v>520</v>
      </c>
      <c r="P1237">
        <f>ABS(H1237)</f>
        <v>1</v>
      </c>
      <c r="R1237"/>
    </row>
    <row r="1238" spans="1:18" x14ac:dyDescent="0.35">
      <c r="A1238" t="s">
        <v>2372</v>
      </c>
      <c r="B1238" s="2" t="s">
        <v>1274</v>
      </c>
      <c r="C1238" t="s">
        <v>1372</v>
      </c>
      <c r="D1238" s="3" t="s">
        <v>116</v>
      </c>
      <c r="E1238" t="s">
        <v>67</v>
      </c>
      <c r="F1238" t="s">
        <v>17</v>
      </c>
      <c r="G1238" t="s">
        <v>18</v>
      </c>
      <c r="H1238" s="8">
        <v>2</v>
      </c>
      <c r="I1238" s="10">
        <v>149</v>
      </c>
      <c r="J1238" s="14">
        <f>P1238*I1238</f>
        <v>298</v>
      </c>
      <c r="K1238" s="16">
        <v>0.52</v>
      </c>
      <c r="L1238" s="1" t="s">
        <v>21</v>
      </c>
      <c r="M1238" t="s">
        <v>22</v>
      </c>
      <c r="N1238" t="str">
        <f t="shared" si="22"/>
        <v>Germany</v>
      </c>
      <c r="O1238" s="8">
        <f>IF(K1238&gt;=1,K1238,K1238*1000)</f>
        <v>520</v>
      </c>
      <c r="P1238">
        <f>ABS(H1238)</f>
        <v>2</v>
      </c>
      <c r="R1238"/>
    </row>
    <row r="1239" spans="1:18" x14ac:dyDescent="0.35">
      <c r="A1239" t="s">
        <v>2373</v>
      </c>
      <c r="B1239" s="2">
        <v>46168</v>
      </c>
      <c r="C1239" t="s">
        <v>2374</v>
      </c>
      <c r="D1239" s="3" t="s">
        <v>61</v>
      </c>
      <c r="E1239" t="s">
        <v>34</v>
      </c>
      <c r="F1239" t="s">
        <v>26</v>
      </c>
      <c r="G1239" t="s">
        <v>27</v>
      </c>
      <c r="H1239" s="8">
        <v>1</v>
      </c>
      <c r="I1239" s="10">
        <v>129</v>
      </c>
      <c r="J1239" s="14">
        <f>P1239*I1239</f>
        <v>129</v>
      </c>
      <c r="K1239" s="16">
        <v>0.52</v>
      </c>
      <c r="L1239" s="1" t="s">
        <v>30</v>
      </c>
      <c r="M1239" t="s">
        <v>58</v>
      </c>
      <c r="N1239" t="str">
        <f t="shared" si="22"/>
        <v>Ireland</v>
      </c>
      <c r="O1239" s="8">
        <f>IF(K1239&gt;=1,K1239,K1239*1000)</f>
        <v>520</v>
      </c>
      <c r="P1239">
        <f>ABS(H1239)</f>
        <v>1</v>
      </c>
      <c r="R1239"/>
    </row>
    <row r="1240" spans="1:18" x14ac:dyDescent="0.35">
      <c r="A1240" t="s">
        <v>2375</v>
      </c>
      <c r="B1240" s="2">
        <v>46183</v>
      </c>
      <c r="C1240" t="s">
        <v>2376</v>
      </c>
      <c r="D1240" s="3" t="s">
        <v>4613</v>
      </c>
      <c r="E1240" t="s">
        <v>67</v>
      </c>
      <c r="F1240" t="s">
        <v>26</v>
      </c>
      <c r="G1240" t="s">
        <v>27</v>
      </c>
      <c r="H1240" s="8">
        <v>2</v>
      </c>
      <c r="I1240" s="10">
        <v>12.5</v>
      </c>
      <c r="J1240" s="14">
        <f>P1240*I1240</f>
        <v>25</v>
      </c>
      <c r="K1240" s="16">
        <v>0.52</v>
      </c>
      <c r="L1240" s="1" t="s">
        <v>30</v>
      </c>
      <c r="M1240" t="s">
        <v>22</v>
      </c>
      <c r="N1240" t="str">
        <f t="shared" si="22"/>
        <v>United Kingdom</v>
      </c>
      <c r="O1240" s="8">
        <f>IF(K1240&gt;=1,K1240,K1240*1000)</f>
        <v>520</v>
      </c>
      <c r="P1240">
        <f>ABS(H1240)</f>
        <v>2</v>
      </c>
      <c r="R1240"/>
    </row>
    <row r="1241" spans="1:18" x14ac:dyDescent="0.35">
      <c r="A1241" t="s">
        <v>2377</v>
      </c>
      <c r="B1241" s="2">
        <v>46091</v>
      </c>
      <c r="C1241" t="s">
        <v>1999</v>
      </c>
      <c r="D1241" s="3" t="s">
        <v>99</v>
      </c>
      <c r="E1241" t="s">
        <v>67</v>
      </c>
      <c r="F1241" t="s">
        <v>17</v>
      </c>
      <c r="G1241" t="s">
        <v>18</v>
      </c>
      <c r="H1241" s="8">
        <v>2</v>
      </c>
      <c r="I1241" s="10">
        <v>134.1</v>
      </c>
      <c r="J1241" s="14">
        <f>P1241*I1241</f>
        <v>268.2</v>
      </c>
      <c r="K1241" s="16">
        <v>520</v>
      </c>
      <c r="L1241" s="1" t="s">
        <v>30</v>
      </c>
      <c r="M1241" t="s">
        <v>22</v>
      </c>
      <c r="N1241" t="str">
        <f t="shared" si="22"/>
        <v>United Kingdom</v>
      </c>
      <c r="O1241" s="8">
        <f>IF(K1241&gt;=1,K1241,K1241*1000)</f>
        <v>520</v>
      </c>
      <c r="P1241">
        <f>ABS(H1241)</f>
        <v>2</v>
      </c>
      <c r="R1241"/>
    </row>
    <row r="1242" spans="1:18" x14ac:dyDescent="0.35">
      <c r="A1242" t="s">
        <v>2378</v>
      </c>
      <c r="B1242" s="2">
        <v>46155</v>
      </c>
      <c r="C1242" t="s">
        <v>1808</v>
      </c>
      <c r="D1242" s="3" t="s">
        <v>66</v>
      </c>
      <c r="E1242" t="s">
        <v>25</v>
      </c>
      <c r="F1242" t="s">
        <v>26</v>
      </c>
      <c r="G1242" t="s">
        <v>27</v>
      </c>
      <c r="H1242" s="8">
        <v>2</v>
      </c>
      <c r="I1242" s="10">
        <v>24</v>
      </c>
      <c r="J1242" s="14">
        <f>P1242*I1242</f>
        <v>48</v>
      </c>
      <c r="K1242" s="16">
        <v>0.52</v>
      </c>
      <c r="L1242" s="1" t="s">
        <v>30</v>
      </c>
      <c r="M1242" t="s">
        <v>22</v>
      </c>
      <c r="N1242" t="str">
        <f t="shared" si="22"/>
        <v>Gb</v>
      </c>
      <c r="O1242" s="8">
        <f>IF(K1242&gt;=1,K1242,K1242*1000)</f>
        <v>520</v>
      </c>
      <c r="P1242">
        <f>ABS(H1242)</f>
        <v>2</v>
      </c>
      <c r="R1242"/>
    </row>
    <row r="1243" spans="1:18" x14ac:dyDescent="0.35">
      <c r="A1243" t="s">
        <v>2379</v>
      </c>
      <c r="B1243" s="2">
        <v>46055</v>
      </c>
      <c r="C1243" t="s">
        <v>2380</v>
      </c>
      <c r="D1243" s="3" t="s">
        <v>15</v>
      </c>
      <c r="E1243" t="s">
        <v>41</v>
      </c>
      <c r="F1243" t="s">
        <v>42</v>
      </c>
      <c r="G1243" t="s">
        <v>43</v>
      </c>
      <c r="H1243" s="8">
        <v>1</v>
      </c>
      <c r="I1243" s="10">
        <v>95</v>
      </c>
      <c r="J1243" s="14">
        <f>P1243*I1243</f>
        <v>95</v>
      </c>
      <c r="K1243" s="16">
        <v>190</v>
      </c>
      <c r="L1243" s="1" t="s">
        <v>30</v>
      </c>
      <c r="M1243" t="s">
        <v>22</v>
      </c>
      <c r="N1243" t="str">
        <f t="shared" si="22"/>
        <v>France</v>
      </c>
      <c r="O1243" s="8">
        <f>IF(K1243&gt;=1,K1243,K1243*1000)</f>
        <v>190</v>
      </c>
      <c r="P1243">
        <f>ABS(H1243)</f>
        <v>1</v>
      </c>
      <c r="R1243"/>
    </row>
    <row r="1244" spans="1:18" x14ac:dyDescent="0.35">
      <c r="A1244" t="s">
        <v>2381</v>
      </c>
      <c r="B1244" s="2">
        <v>46170</v>
      </c>
      <c r="C1244" t="s">
        <v>229</v>
      </c>
      <c r="D1244" s="3" t="s">
        <v>66</v>
      </c>
      <c r="E1244" t="s">
        <v>67</v>
      </c>
      <c r="F1244" t="s">
        <v>42</v>
      </c>
      <c r="G1244" t="s">
        <v>43</v>
      </c>
      <c r="H1244" s="8">
        <v>2</v>
      </c>
      <c r="I1244" s="10">
        <v>129</v>
      </c>
      <c r="J1244" s="14">
        <f>P1244*I1244</f>
        <v>258</v>
      </c>
      <c r="K1244" s="16">
        <v>0.19</v>
      </c>
      <c r="L1244" s="1" t="s">
        <v>30</v>
      </c>
      <c r="M1244" t="s">
        <v>22</v>
      </c>
      <c r="N1244" t="str">
        <f t="shared" si="22"/>
        <v>Gb</v>
      </c>
      <c r="O1244" s="8">
        <f>IF(K1244&gt;=1,K1244,K1244*1000)</f>
        <v>190</v>
      </c>
      <c r="P1244">
        <f>ABS(H1244)</f>
        <v>2</v>
      </c>
      <c r="R1244"/>
    </row>
    <row r="1245" spans="1:18" x14ac:dyDescent="0.35">
      <c r="A1245" t="s">
        <v>2382</v>
      </c>
      <c r="B1245" s="2" t="s">
        <v>120</v>
      </c>
      <c r="C1245" t="s">
        <v>55</v>
      </c>
      <c r="D1245" s="3" t="s">
        <v>53</v>
      </c>
      <c r="E1245" t="s">
        <v>34</v>
      </c>
      <c r="F1245" t="s">
        <v>74</v>
      </c>
      <c r="G1245" t="s">
        <v>75</v>
      </c>
      <c r="H1245" s="8">
        <v>2</v>
      </c>
      <c r="I1245" s="12" t="s">
        <v>4632</v>
      </c>
      <c r="J1245" s="14">
        <f>P1245*R1245</f>
        <v>178</v>
      </c>
      <c r="K1245" s="16">
        <v>410</v>
      </c>
      <c r="L1245" s="1" t="s">
        <v>21</v>
      </c>
      <c r="M1245" t="s">
        <v>22</v>
      </c>
      <c r="N1245" t="str">
        <f t="shared" si="22"/>
        <v>Gb</v>
      </c>
      <c r="O1245" s="8">
        <f>IF(K1245&gt;=1,K1245,K1245*1000)</f>
        <v>410</v>
      </c>
      <c r="P1245">
        <f>ABS(H1245)</f>
        <v>2</v>
      </c>
      <c r="Q1245" t="str">
        <f>LEFT(I1245,3)</f>
        <v>GBP</v>
      </c>
      <c r="R1245" s="10" t="str">
        <f>RIGHT(I1245,5)</f>
        <v>89,00</v>
      </c>
    </row>
    <row r="1246" spans="1:18" x14ac:dyDescent="0.35">
      <c r="A1246" t="s">
        <v>2383</v>
      </c>
      <c r="B1246" s="2">
        <v>46058</v>
      </c>
      <c r="C1246" t="s">
        <v>2384</v>
      </c>
      <c r="D1246" s="3" t="s">
        <v>15</v>
      </c>
      <c r="E1246" t="s">
        <v>34</v>
      </c>
      <c r="F1246" t="s">
        <v>17</v>
      </c>
      <c r="G1246" t="s">
        <v>18</v>
      </c>
      <c r="H1246" s="8">
        <v>2</v>
      </c>
      <c r="I1246" s="10">
        <v>45</v>
      </c>
      <c r="J1246" s="14">
        <f>P1246*I1246</f>
        <v>90</v>
      </c>
      <c r="K1246" s="16">
        <v>520</v>
      </c>
      <c r="L1246" s="1" t="s">
        <v>30</v>
      </c>
      <c r="M1246" t="s">
        <v>22</v>
      </c>
      <c r="N1246" t="str">
        <f t="shared" si="22"/>
        <v>France</v>
      </c>
      <c r="O1246" s="8">
        <f>IF(K1246&gt;=1,K1246,K1246*1000)</f>
        <v>520</v>
      </c>
      <c r="P1246">
        <f>ABS(H1246)</f>
        <v>2</v>
      </c>
      <c r="R1246"/>
    </row>
    <row r="1247" spans="1:18" x14ac:dyDescent="0.35">
      <c r="A1247" t="s">
        <v>2385</v>
      </c>
      <c r="B1247" s="2">
        <v>46099</v>
      </c>
      <c r="C1247" t="s">
        <v>234</v>
      </c>
      <c r="D1247" s="3" t="s">
        <v>46</v>
      </c>
      <c r="E1247" t="s">
        <v>25</v>
      </c>
      <c r="F1247" t="s">
        <v>83</v>
      </c>
      <c r="G1247" t="s">
        <v>84</v>
      </c>
      <c r="H1247" s="8">
        <v>1</v>
      </c>
      <c r="I1247" s="10">
        <v>85.5</v>
      </c>
      <c r="J1247" s="14">
        <f>P1247*I1247</f>
        <v>85.5</v>
      </c>
      <c r="K1247" s="16">
        <v>340</v>
      </c>
      <c r="L1247" s="1" t="s">
        <v>30</v>
      </c>
      <c r="M1247" t="s">
        <v>22</v>
      </c>
      <c r="N1247" t="str">
        <f t="shared" si="22"/>
        <v>Ireland</v>
      </c>
      <c r="O1247" s="8">
        <f>IF(K1247&gt;=1,K1247,K1247*1000)</f>
        <v>340</v>
      </c>
      <c r="P1247">
        <f>ABS(H1247)</f>
        <v>1</v>
      </c>
      <c r="R1247"/>
    </row>
    <row r="1248" spans="1:18" x14ac:dyDescent="0.35">
      <c r="A1248" t="s">
        <v>2386</v>
      </c>
      <c r="B1248" s="2">
        <v>46140</v>
      </c>
      <c r="C1248" t="s">
        <v>2387</v>
      </c>
      <c r="D1248" s="3" t="s">
        <v>53</v>
      </c>
      <c r="E1248" t="s">
        <v>25</v>
      </c>
      <c r="F1248" t="s">
        <v>89</v>
      </c>
      <c r="G1248" t="s">
        <v>90</v>
      </c>
      <c r="H1248" s="8">
        <v>1</v>
      </c>
      <c r="I1248" s="10">
        <v>149</v>
      </c>
      <c r="J1248" s="14">
        <f>P1248*I1248</f>
        <v>149</v>
      </c>
      <c r="K1248" s="16">
        <v>0.64</v>
      </c>
      <c r="L1248" s="1" t="s">
        <v>30</v>
      </c>
      <c r="M1248" t="s">
        <v>22</v>
      </c>
      <c r="N1248" t="str">
        <f t="shared" si="22"/>
        <v>Gb</v>
      </c>
      <c r="O1248" s="8">
        <f>IF(K1248&gt;=1,K1248,K1248*1000)</f>
        <v>640</v>
      </c>
      <c r="P1248">
        <f>ABS(H1248)</f>
        <v>1</v>
      </c>
      <c r="R1248"/>
    </row>
    <row r="1249" spans="1:18" x14ac:dyDescent="0.35">
      <c r="A1249" t="s">
        <v>2388</v>
      </c>
      <c r="B1249" s="2">
        <v>46098</v>
      </c>
      <c r="C1249" t="s">
        <v>2389</v>
      </c>
      <c r="D1249" s="3" t="s">
        <v>116</v>
      </c>
      <c r="E1249" t="s">
        <v>41</v>
      </c>
      <c r="F1249" t="s">
        <v>17</v>
      </c>
      <c r="G1249" t="s">
        <v>18</v>
      </c>
      <c r="H1249" s="8">
        <v>1</v>
      </c>
      <c r="I1249" s="10">
        <v>79</v>
      </c>
      <c r="J1249" s="14">
        <f>P1249*I1249</f>
        <v>79</v>
      </c>
      <c r="K1249" s="16">
        <v>520</v>
      </c>
      <c r="L1249" s="1" t="s">
        <v>30</v>
      </c>
      <c r="M1249" t="s">
        <v>22</v>
      </c>
      <c r="N1249" t="str">
        <f t="shared" si="22"/>
        <v>Germany</v>
      </c>
      <c r="O1249" s="8">
        <f>IF(K1249&gt;=1,K1249,K1249*1000)</f>
        <v>520</v>
      </c>
      <c r="P1249">
        <f>ABS(H1249)</f>
        <v>1</v>
      </c>
      <c r="R1249"/>
    </row>
    <row r="1250" spans="1:18" x14ac:dyDescent="0.35">
      <c r="A1250" t="s">
        <v>2390</v>
      </c>
      <c r="B1250" s="2" t="s">
        <v>880</v>
      </c>
      <c r="C1250" t="s">
        <v>2391</v>
      </c>
      <c r="D1250" s="3" t="s">
        <v>61</v>
      </c>
      <c r="E1250" t="s">
        <v>16</v>
      </c>
      <c r="F1250" t="s">
        <v>83</v>
      </c>
      <c r="G1250" t="s">
        <v>84</v>
      </c>
      <c r="H1250" s="8">
        <v>1</v>
      </c>
      <c r="I1250" s="10">
        <v>80.099999999999994</v>
      </c>
      <c r="J1250" s="14">
        <f>P1250*I1250</f>
        <v>80.099999999999994</v>
      </c>
      <c r="K1250" s="16">
        <v>340</v>
      </c>
      <c r="L1250" s="1" t="s">
        <v>21</v>
      </c>
      <c r="M1250" t="s">
        <v>22</v>
      </c>
      <c r="N1250" t="str">
        <f t="shared" si="22"/>
        <v>Ireland</v>
      </c>
      <c r="O1250" s="8">
        <f>IF(K1250&gt;=1,K1250,K1250*1000)</f>
        <v>340</v>
      </c>
      <c r="P1250">
        <f>ABS(H1250)</f>
        <v>1</v>
      </c>
      <c r="R1250"/>
    </row>
    <row r="1251" spans="1:18" x14ac:dyDescent="0.35">
      <c r="A1251" t="s">
        <v>2392</v>
      </c>
      <c r="B1251" s="2">
        <v>46090</v>
      </c>
      <c r="C1251" t="s">
        <v>2393</v>
      </c>
      <c r="D1251" s="3" t="s">
        <v>116</v>
      </c>
      <c r="E1251" t="s">
        <v>25</v>
      </c>
      <c r="F1251" t="s">
        <v>35</v>
      </c>
      <c r="G1251" t="s">
        <v>36</v>
      </c>
      <c r="H1251" s="8">
        <v>-1</v>
      </c>
      <c r="I1251" s="10">
        <v>12.5</v>
      </c>
      <c r="J1251" s="14">
        <f>P1251*I1251</f>
        <v>12.5</v>
      </c>
      <c r="K1251" s="16">
        <v>85</v>
      </c>
      <c r="L1251" s="1" t="s">
        <v>21</v>
      </c>
      <c r="M1251" t="s">
        <v>22</v>
      </c>
      <c r="N1251" t="str">
        <f t="shared" si="22"/>
        <v>Germany</v>
      </c>
      <c r="O1251" s="8">
        <f>IF(K1251&gt;=1,K1251,K1251*1000)</f>
        <v>85</v>
      </c>
      <c r="P1251">
        <f>ABS(H1251)</f>
        <v>1</v>
      </c>
      <c r="R1251"/>
    </row>
    <row r="1252" spans="1:18" x14ac:dyDescent="0.35">
      <c r="A1252" t="s">
        <v>2394</v>
      </c>
      <c r="B1252" s="2">
        <v>46084</v>
      </c>
      <c r="C1252" t="s">
        <v>2193</v>
      </c>
      <c r="D1252" s="3" t="s">
        <v>53</v>
      </c>
      <c r="E1252" t="s">
        <v>16</v>
      </c>
      <c r="F1252" t="s">
        <v>17</v>
      </c>
      <c r="G1252" t="s">
        <v>18</v>
      </c>
      <c r="H1252" s="8">
        <v>2</v>
      </c>
      <c r="I1252" s="10">
        <v>21.6</v>
      </c>
      <c r="J1252" s="14">
        <f>P1252*I1252</f>
        <v>43.2</v>
      </c>
      <c r="K1252" s="16">
        <v>520</v>
      </c>
      <c r="L1252" s="1" t="s">
        <v>30</v>
      </c>
      <c r="M1252" t="s">
        <v>22</v>
      </c>
      <c r="N1252" t="str">
        <f t="shared" si="22"/>
        <v>Gb</v>
      </c>
      <c r="O1252" s="8">
        <f>IF(K1252&gt;=1,K1252,K1252*1000)</f>
        <v>520</v>
      </c>
      <c r="P1252">
        <f>ABS(H1252)</f>
        <v>2</v>
      </c>
      <c r="R1252"/>
    </row>
    <row r="1253" spans="1:18" x14ac:dyDescent="0.35">
      <c r="A1253" t="s">
        <v>2395</v>
      </c>
      <c r="B1253" s="2" t="s">
        <v>1926</v>
      </c>
      <c r="C1253" t="s">
        <v>1093</v>
      </c>
      <c r="D1253" s="3" t="s">
        <v>53</v>
      </c>
      <c r="E1253" t="s">
        <v>41</v>
      </c>
      <c r="F1253" t="s">
        <v>42</v>
      </c>
      <c r="G1253" t="s">
        <v>43</v>
      </c>
      <c r="H1253" s="8">
        <v>1</v>
      </c>
      <c r="I1253" s="10">
        <v>129</v>
      </c>
      <c r="J1253" s="14">
        <f>P1253*I1253</f>
        <v>129</v>
      </c>
      <c r="K1253" s="16">
        <v>0.19</v>
      </c>
      <c r="L1253" s="1" t="s">
        <v>30</v>
      </c>
      <c r="M1253" t="s">
        <v>58</v>
      </c>
      <c r="N1253" t="str">
        <f t="shared" si="22"/>
        <v>Gb</v>
      </c>
      <c r="O1253" s="8">
        <f>IF(K1253&gt;=1,K1253,K1253*1000)</f>
        <v>190</v>
      </c>
      <c r="P1253">
        <f>ABS(H1253)</f>
        <v>1</v>
      </c>
      <c r="R1253"/>
    </row>
    <row r="1254" spans="1:18" x14ac:dyDescent="0.35">
      <c r="A1254" t="s">
        <v>2396</v>
      </c>
      <c r="B1254" s="2">
        <v>46153</v>
      </c>
      <c r="C1254" t="s">
        <v>1349</v>
      </c>
      <c r="D1254" s="3" t="s">
        <v>46</v>
      </c>
      <c r="E1254" t="s">
        <v>34</v>
      </c>
      <c r="F1254" t="s">
        <v>17</v>
      </c>
      <c r="G1254" t="s">
        <v>18</v>
      </c>
      <c r="H1254" s="8">
        <v>2</v>
      </c>
      <c r="I1254" s="10">
        <v>85.5</v>
      </c>
      <c r="J1254" s="14">
        <f>P1254*I1254</f>
        <v>171</v>
      </c>
      <c r="K1254" s="16">
        <v>0.52</v>
      </c>
      <c r="L1254" s="1" t="s">
        <v>30</v>
      </c>
      <c r="M1254" t="s">
        <v>58</v>
      </c>
      <c r="N1254" t="str">
        <f t="shared" si="22"/>
        <v>Ireland</v>
      </c>
      <c r="O1254" s="8">
        <f>IF(K1254&gt;=1,K1254,K1254*1000)</f>
        <v>520</v>
      </c>
      <c r="P1254">
        <f>ABS(H1254)</f>
        <v>2</v>
      </c>
      <c r="R1254"/>
    </row>
    <row r="1255" spans="1:18" x14ac:dyDescent="0.35">
      <c r="A1255" t="s">
        <v>2397</v>
      </c>
      <c r="B1255" s="2">
        <v>46098</v>
      </c>
      <c r="C1255" t="s">
        <v>435</v>
      </c>
      <c r="D1255" s="3" t="s">
        <v>61</v>
      </c>
      <c r="E1255" t="s">
        <v>34</v>
      </c>
      <c r="F1255" t="s">
        <v>74</v>
      </c>
      <c r="G1255" t="s">
        <v>75</v>
      </c>
      <c r="H1255" s="8">
        <v>3</v>
      </c>
      <c r="I1255" s="10">
        <v>89</v>
      </c>
      <c r="J1255" s="14">
        <f>P1255*I1255</f>
        <v>267</v>
      </c>
      <c r="K1255" s="16">
        <v>410</v>
      </c>
      <c r="L1255" s="1" t="s">
        <v>30</v>
      </c>
      <c r="M1255" t="s">
        <v>22</v>
      </c>
      <c r="N1255" t="str">
        <f t="shared" si="22"/>
        <v>Ireland</v>
      </c>
      <c r="O1255" s="8">
        <f>IF(K1255&gt;=1,K1255,K1255*1000)</f>
        <v>410</v>
      </c>
      <c r="P1255">
        <f>ABS(H1255)</f>
        <v>3</v>
      </c>
      <c r="R1255"/>
    </row>
    <row r="1256" spans="1:18" x14ac:dyDescent="0.35">
      <c r="A1256" t="s">
        <v>2398</v>
      </c>
      <c r="B1256" s="2">
        <v>46079</v>
      </c>
      <c r="C1256" t="s">
        <v>2399</v>
      </c>
      <c r="D1256" s="3" t="s">
        <v>99</v>
      </c>
      <c r="E1256" t="s">
        <v>25</v>
      </c>
      <c r="F1256" t="s">
        <v>74</v>
      </c>
      <c r="G1256" t="s">
        <v>75</v>
      </c>
      <c r="H1256" s="8">
        <v>2</v>
      </c>
      <c r="I1256" s="10">
        <v>45</v>
      </c>
      <c r="J1256" s="14">
        <f>P1256*I1256</f>
        <v>90</v>
      </c>
      <c r="K1256" s="16">
        <v>410</v>
      </c>
      <c r="L1256" s="1" t="s">
        <v>30</v>
      </c>
      <c r="M1256" t="s">
        <v>22</v>
      </c>
      <c r="N1256" t="str">
        <f t="shared" si="22"/>
        <v>United Kingdom</v>
      </c>
      <c r="O1256" s="8">
        <f>IF(K1256&gt;=1,K1256,K1256*1000)</f>
        <v>410</v>
      </c>
      <c r="P1256">
        <f>ABS(H1256)</f>
        <v>2</v>
      </c>
      <c r="R1256"/>
    </row>
    <row r="1257" spans="1:18" x14ac:dyDescent="0.35">
      <c r="A1257" t="s">
        <v>2400</v>
      </c>
      <c r="B1257" s="2">
        <v>46170</v>
      </c>
      <c r="C1257" t="s">
        <v>2401</v>
      </c>
      <c r="D1257" s="3" t="s">
        <v>116</v>
      </c>
      <c r="E1257" t="s">
        <v>41</v>
      </c>
      <c r="F1257" t="s">
        <v>35</v>
      </c>
      <c r="G1257" t="s">
        <v>36</v>
      </c>
      <c r="H1257" s="8">
        <v>2</v>
      </c>
      <c r="I1257" s="10">
        <v>12.5</v>
      </c>
      <c r="J1257" s="14">
        <f>P1257*I1257</f>
        <v>25</v>
      </c>
      <c r="K1257" s="16">
        <v>8.5000000000000006E-2</v>
      </c>
      <c r="L1257" s="1" t="s">
        <v>30</v>
      </c>
      <c r="M1257" t="s">
        <v>58</v>
      </c>
      <c r="N1257" t="str">
        <f t="shared" si="22"/>
        <v>Germany</v>
      </c>
      <c r="O1257" s="8">
        <f>IF(K1257&gt;=1,K1257,K1257*1000)</f>
        <v>85</v>
      </c>
      <c r="P1257">
        <f>ABS(H1257)</f>
        <v>2</v>
      </c>
      <c r="R1257"/>
    </row>
    <row r="1258" spans="1:18" x14ac:dyDescent="0.35">
      <c r="A1258" t="s">
        <v>2402</v>
      </c>
      <c r="B1258" s="2">
        <v>46031</v>
      </c>
      <c r="C1258" t="s">
        <v>773</v>
      </c>
      <c r="D1258" s="3" t="s">
        <v>4612</v>
      </c>
      <c r="E1258" t="s">
        <v>16</v>
      </c>
      <c r="F1258" t="s">
        <v>42</v>
      </c>
      <c r="G1258" t="s">
        <v>43</v>
      </c>
      <c r="H1258" s="8">
        <v>2</v>
      </c>
      <c r="I1258" s="10">
        <v>89</v>
      </c>
      <c r="J1258" s="14">
        <f>P1258*I1258</f>
        <v>178</v>
      </c>
      <c r="K1258" s="16">
        <v>190</v>
      </c>
      <c r="L1258" s="1" t="s">
        <v>30</v>
      </c>
      <c r="M1258" t="s">
        <v>22</v>
      </c>
      <c r="N1258" t="str">
        <f t="shared" si="22"/>
        <v>United Kingdom</v>
      </c>
      <c r="O1258" s="8">
        <f>IF(K1258&gt;=1,K1258,K1258*1000)</f>
        <v>190</v>
      </c>
      <c r="P1258">
        <f>ABS(H1258)</f>
        <v>2</v>
      </c>
      <c r="R1258"/>
    </row>
    <row r="1259" spans="1:18" x14ac:dyDescent="0.35">
      <c r="A1259" t="s">
        <v>2403</v>
      </c>
      <c r="B1259" s="2">
        <v>46094</v>
      </c>
      <c r="C1259" t="s">
        <v>2262</v>
      </c>
      <c r="D1259" s="3" t="s">
        <v>99</v>
      </c>
      <c r="E1259" t="s">
        <v>41</v>
      </c>
      <c r="F1259" t="s">
        <v>17</v>
      </c>
      <c r="G1259" t="s">
        <v>18</v>
      </c>
      <c r="H1259" s="8">
        <v>1</v>
      </c>
      <c r="I1259" s="10">
        <v>80.099999999999994</v>
      </c>
      <c r="J1259" s="14">
        <f>P1259*I1259</f>
        <v>80.099999999999994</v>
      </c>
      <c r="K1259" s="16">
        <v>520</v>
      </c>
      <c r="L1259" s="1" t="s">
        <v>30</v>
      </c>
      <c r="M1259" t="s">
        <v>22</v>
      </c>
      <c r="N1259" t="str">
        <f t="shared" si="22"/>
        <v>United Kingdom</v>
      </c>
      <c r="O1259" s="8">
        <f>IF(K1259&gt;=1,K1259,K1259*1000)</f>
        <v>520</v>
      </c>
      <c r="P1259">
        <f>ABS(H1259)</f>
        <v>1</v>
      </c>
      <c r="R1259"/>
    </row>
    <row r="1260" spans="1:18" x14ac:dyDescent="0.35">
      <c r="A1260" t="s">
        <v>2404</v>
      </c>
      <c r="B1260" s="2">
        <v>46139</v>
      </c>
      <c r="C1260" t="s">
        <v>1191</v>
      </c>
      <c r="D1260" s="3" t="s">
        <v>99</v>
      </c>
      <c r="E1260" t="s">
        <v>67</v>
      </c>
      <c r="F1260" t="s">
        <v>42</v>
      </c>
      <c r="G1260" t="s">
        <v>43</v>
      </c>
      <c r="H1260" s="8">
        <v>1</v>
      </c>
      <c r="I1260" s="10">
        <v>24</v>
      </c>
      <c r="J1260" s="14">
        <f>P1260*I1260</f>
        <v>24</v>
      </c>
      <c r="K1260" s="16">
        <v>0.19</v>
      </c>
      <c r="L1260" s="1" t="s">
        <v>21</v>
      </c>
      <c r="M1260" t="s">
        <v>22</v>
      </c>
      <c r="N1260" t="str">
        <f t="shared" si="22"/>
        <v>United Kingdom</v>
      </c>
      <c r="O1260" s="8">
        <f>IF(K1260&gt;=1,K1260,K1260*1000)</f>
        <v>190</v>
      </c>
      <c r="P1260">
        <f>ABS(H1260)</f>
        <v>1</v>
      </c>
      <c r="R1260"/>
    </row>
    <row r="1261" spans="1:18" x14ac:dyDescent="0.35">
      <c r="A1261" t="s">
        <v>2405</v>
      </c>
      <c r="B1261" s="2">
        <v>46150</v>
      </c>
      <c r="C1261" t="s">
        <v>1500</v>
      </c>
      <c r="D1261" s="3" t="s">
        <v>66</v>
      </c>
      <c r="E1261" t="s">
        <v>41</v>
      </c>
      <c r="F1261" t="s">
        <v>17</v>
      </c>
      <c r="G1261" t="s">
        <v>18</v>
      </c>
      <c r="H1261" s="8">
        <v>2</v>
      </c>
      <c r="I1261" s="10">
        <v>80.099999999999994</v>
      </c>
      <c r="J1261" s="14">
        <f>P1261*I1261</f>
        <v>160.19999999999999</v>
      </c>
      <c r="K1261" s="16">
        <v>0.52</v>
      </c>
      <c r="L1261" s="1" t="s">
        <v>21</v>
      </c>
      <c r="M1261" t="s">
        <v>22</v>
      </c>
      <c r="N1261" t="str">
        <f t="shared" si="22"/>
        <v>Gb</v>
      </c>
      <c r="O1261" s="8">
        <f>IF(K1261&gt;=1,K1261,K1261*1000)</f>
        <v>520</v>
      </c>
      <c r="P1261">
        <f>ABS(H1261)</f>
        <v>2</v>
      </c>
      <c r="R1261"/>
    </row>
    <row r="1262" spans="1:18" x14ac:dyDescent="0.35">
      <c r="A1262" t="s">
        <v>2406</v>
      </c>
      <c r="B1262" s="2">
        <v>46040</v>
      </c>
      <c r="C1262" t="s">
        <v>977</v>
      </c>
      <c r="D1262" s="3" t="s">
        <v>61</v>
      </c>
      <c r="E1262" t="s">
        <v>34</v>
      </c>
      <c r="F1262" t="s">
        <v>42</v>
      </c>
      <c r="G1262" t="s">
        <v>43</v>
      </c>
      <c r="H1262" s="8">
        <v>1</v>
      </c>
      <c r="I1262" s="10">
        <v>79</v>
      </c>
      <c r="J1262" s="14">
        <f>P1262*I1262</f>
        <v>79</v>
      </c>
      <c r="K1262" s="16">
        <v>190</v>
      </c>
      <c r="L1262" s="1" t="s">
        <v>21</v>
      </c>
      <c r="M1262" t="s">
        <v>58</v>
      </c>
      <c r="N1262" t="str">
        <f t="shared" si="22"/>
        <v>Ireland</v>
      </c>
      <c r="O1262" s="8">
        <f>IF(K1262&gt;=1,K1262,K1262*1000)</f>
        <v>190</v>
      </c>
      <c r="P1262">
        <f>ABS(H1262)</f>
        <v>1</v>
      </c>
      <c r="R1262"/>
    </row>
    <row r="1263" spans="1:18" x14ac:dyDescent="0.35">
      <c r="A1263" t="s">
        <v>2407</v>
      </c>
      <c r="B1263" s="2">
        <v>46028</v>
      </c>
      <c r="C1263" t="s">
        <v>2408</v>
      </c>
      <c r="D1263" s="3" t="s">
        <v>116</v>
      </c>
      <c r="E1263" t="s">
        <v>25</v>
      </c>
      <c r="F1263" t="s">
        <v>47</v>
      </c>
      <c r="G1263" t="s">
        <v>48</v>
      </c>
      <c r="H1263" s="8">
        <v>2</v>
      </c>
      <c r="I1263" s="10">
        <v>89</v>
      </c>
      <c r="J1263" s="14">
        <f>P1263*I1263</f>
        <v>178</v>
      </c>
      <c r="K1263" s="16">
        <v>380</v>
      </c>
      <c r="L1263" s="1" t="s">
        <v>30</v>
      </c>
      <c r="M1263" t="s">
        <v>22</v>
      </c>
      <c r="N1263" t="str">
        <f t="shared" si="22"/>
        <v>Germany</v>
      </c>
      <c r="O1263" s="8">
        <f>IF(K1263&gt;=1,K1263,K1263*1000)</f>
        <v>380</v>
      </c>
      <c r="P1263">
        <f>ABS(H1263)</f>
        <v>2</v>
      </c>
      <c r="R1263"/>
    </row>
    <row r="1264" spans="1:18" x14ac:dyDescent="0.35">
      <c r="A1264" t="s">
        <v>2409</v>
      </c>
      <c r="B1264" s="2">
        <v>46127</v>
      </c>
      <c r="C1264" t="s">
        <v>2410</v>
      </c>
      <c r="D1264" s="3" t="s">
        <v>4612</v>
      </c>
      <c r="E1264" t="s">
        <v>41</v>
      </c>
      <c r="F1264" t="s">
        <v>89</v>
      </c>
      <c r="G1264" t="s">
        <v>90</v>
      </c>
      <c r="H1264" s="8">
        <v>3</v>
      </c>
      <c r="I1264" s="10">
        <v>129</v>
      </c>
      <c r="J1264" s="14">
        <f>P1264*I1264</f>
        <v>387</v>
      </c>
      <c r="K1264" s="16">
        <v>640</v>
      </c>
      <c r="L1264" s="1" t="s">
        <v>21</v>
      </c>
      <c r="M1264" t="s">
        <v>22</v>
      </c>
      <c r="N1264" t="str">
        <f t="shared" si="22"/>
        <v>United Kingdom</v>
      </c>
      <c r="O1264" s="8">
        <f>IF(K1264&gt;=1,K1264,K1264*1000)</f>
        <v>640</v>
      </c>
      <c r="P1264">
        <f>ABS(H1264)</f>
        <v>3</v>
      </c>
      <c r="R1264"/>
    </row>
    <row r="1265" spans="1:18" x14ac:dyDescent="0.35">
      <c r="A1265" t="s">
        <v>2411</v>
      </c>
      <c r="B1265" s="2">
        <v>46101</v>
      </c>
      <c r="C1265" t="s">
        <v>1431</v>
      </c>
      <c r="D1265" s="3" t="s">
        <v>4613</v>
      </c>
      <c r="E1265" t="s">
        <v>25</v>
      </c>
      <c r="F1265" t="s">
        <v>74</v>
      </c>
      <c r="G1265" t="s">
        <v>75</v>
      </c>
      <c r="H1265" s="8">
        <v>2</v>
      </c>
      <c r="I1265" s="10">
        <v>79</v>
      </c>
      <c r="J1265" s="14">
        <f>P1265*I1265</f>
        <v>158</v>
      </c>
      <c r="K1265" s="16">
        <v>410</v>
      </c>
      <c r="L1265" s="1" t="s">
        <v>30</v>
      </c>
      <c r="M1265" t="s">
        <v>22</v>
      </c>
      <c r="N1265" t="str">
        <f t="shared" si="22"/>
        <v>United Kingdom</v>
      </c>
      <c r="O1265" s="8">
        <f>IF(K1265&gt;=1,K1265,K1265*1000)</f>
        <v>410</v>
      </c>
      <c r="P1265">
        <f>ABS(H1265)</f>
        <v>2</v>
      </c>
      <c r="R1265"/>
    </row>
    <row r="1266" spans="1:18" x14ac:dyDescent="0.35">
      <c r="A1266" t="s">
        <v>2412</v>
      </c>
      <c r="B1266" s="2">
        <v>46056</v>
      </c>
      <c r="C1266" t="s">
        <v>1128</v>
      </c>
      <c r="D1266" s="3" t="s">
        <v>46</v>
      </c>
      <c r="E1266" t="s">
        <v>41</v>
      </c>
      <c r="F1266" t="s">
        <v>17</v>
      </c>
      <c r="G1266" t="s">
        <v>18</v>
      </c>
      <c r="H1266" s="8">
        <v>2</v>
      </c>
      <c r="I1266" s="10">
        <v>79</v>
      </c>
      <c r="J1266" s="14">
        <f>P1266*I1266</f>
        <v>158</v>
      </c>
      <c r="K1266" s="16">
        <v>520</v>
      </c>
      <c r="L1266" s="1" t="s">
        <v>30</v>
      </c>
      <c r="M1266" t="s">
        <v>22</v>
      </c>
      <c r="N1266" t="str">
        <f t="shared" si="22"/>
        <v>Ireland</v>
      </c>
      <c r="O1266" s="8">
        <f>IF(K1266&gt;=1,K1266,K1266*1000)</f>
        <v>520</v>
      </c>
      <c r="P1266">
        <f>ABS(H1266)</f>
        <v>2</v>
      </c>
      <c r="R1266"/>
    </row>
    <row r="1267" spans="1:18" x14ac:dyDescent="0.35">
      <c r="A1267" t="s">
        <v>2413</v>
      </c>
      <c r="B1267" s="2">
        <v>46109</v>
      </c>
      <c r="C1267" t="s">
        <v>2414</v>
      </c>
      <c r="D1267" s="3" t="s">
        <v>4613</v>
      </c>
      <c r="E1267" t="s">
        <v>34</v>
      </c>
      <c r="F1267" t="s">
        <v>17</v>
      </c>
      <c r="G1267" t="s">
        <v>18</v>
      </c>
      <c r="H1267" s="8">
        <v>1</v>
      </c>
      <c r="I1267" s="10">
        <v>89</v>
      </c>
      <c r="J1267" s="14">
        <f>P1267*I1267</f>
        <v>89</v>
      </c>
      <c r="K1267" s="16">
        <v>520</v>
      </c>
      <c r="L1267" s="1" t="s">
        <v>30</v>
      </c>
      <c r="M1267" t="s">
        <v>22</v>
      </c>
      <c r="N1267" t="str">
        <f t="shared" si="22"/>
        <v>United Kingdom</v>
      </c>
      <c r="O1267" s="8">
        <f>IF(K1267&gt;=1,K1267,K1267*1000)</f>
        <v>520</v>
      </c>
      <c r="P1267">
        <f>ABS(H1267)</f>
        <v>1</v>
      </c>
      <c r="R1267"/>
    </row>
    <row r="1268" spans="1:18" x14ac:dyDescent="0.35">
      <c r="A1268" t="s">
        <v>2415</v>
      </c>
      <c r="B1268" s="2">
        <v>46146</v>
      </c>
      <c r="C1268" t="s">
        <v>150</v>
      </c>
      <c r="D1268" s="3" t="s">
        <v>99</v>
      </c>
      <c r="E1268" t="s">
        <v>25</v>
      </c>
      <c r="F1268" t="s">
        <v>47</v>
      </c>
      <c r="G1268" t="s">
        <v>48</v>
      </c>
      <c r="H1268" s="8">
        <v>1</v>
      </c>
      <c r="I1268" s="10">
        <v>40.5</v>
      </c>
      <c r="J1268" s="14">
        <f>P1268*I1268</f>
        <v>40.5</v>
      </c>
      <c r="K1268" s="16">
        <v>0.38</v>
      </c>
      <c r="L1268" s="1" t="s">
        <v>30</v>
      </c>
      <c r="M1268" t="s">
        <v>58</v>
      </c>
      <c r="N1268" t="str">
        <f t="shared" si="22"/>
        <v>United Kingdom</v>
      </c>
      <c r="O1268" s="8">
        <f>IF(K1268&gt;=1,K1268,K1268*1000)</f>
        <v>380</v>
      </c>
      <c r="P1268">
        <f>ABS(H1268)</f>
        <v>1</v>
      </c>
      <c r="R1268"/>
    </row>
    <row r="1269" spans="1:18" x14ac:dyDescent="0.35">
      <c r="A1269" t="s">
        <v>2416</v>
      </c>
      <c r="B1269" s="2">
        <v>46028</v>
      </c>
      <c r="C1269" t="s">
        <v>2108</v>
      </c>
      <c r="D1269" s="3" t="s">
        <v>66</v>
      </c>
      <c r="E1269" t="s">
        <v>34</v>
      </c>
      <c r="F1269" t="s">
        <v>17</v>
      </c>
      <c r="G1269" t="s">
        <v>18</v>
      </c>
      <c r="H1269" s="8">
        <v>2</v>
      </c>
      <c r="I1269" s="10">
        <v>85.5</v>
      </c>
      <c r="J1269" s="14">
        <f>P1269*I1269</f>
        <v>171</v>
      </c>
      <c r="K1269" s="16">
        <v>520</v>
      </c>
      <c r="L1269" s="1" t="s">
        <v>21</v>
      </c>
      <c r="M1269" t="s">
        <v>58</v>
      </c>
      <c r="N1269" t="str">
        <f t="shared" si="22"/>
        <v>Gb</v>
      </c>
      <c r="O1269" s="8">
        <f>IF(K1269&gt;=1,K1269,K1269*1000)</f>
        <v>520</v>
      </c>
      <c r="P1269">
        <f>ABS(H1269)</f>
        <v>2</v>
      </c>
      <c r="R1269"/>
    </row>
    <row r="1270" spans="1:18" x14ac:dyDescent="0.35">
      <c r="A1270" t="s">
        <v>2417</v>
      </c>
      <c r="B1270" s="2" t="s">
        <v>162</v>
      </c>
      <c r="C1270" t="s">
        <v>562</v>
      </c>
      <c r="D1270" s="3" t="s">
        <v>15</v>
      </c>
      <c r="E1270" t="s">
        <v>41</v>
      </c>
      <c r="F1270" t="s">
        <v>47</v>
      </c>
      <c r="G1270" t="s">
        <v>48</v>
      </c>
      <c r="H1270" s="8">
        <v>-2</v>
      </c>
      <c r="I1270" s="10">
        <v>40.5</v>
      </c>
      <c r="J1270" s="14">
        <f>P1270*I1270</f>
        <v>81</v>
      </c>
      <c r="K1270" s="16">
        <v>0.38</v>
      </c>
      <c r="L1270" s="1" t="s">
        <v>21</v>
      </c>
      <c r="M1270" t="s">
        <v>22</v>
      </c>
      <c r="N1270" t="str">
        <f t="shared" si="22"/>
        <v>France</v>
      </c>
      <c r="O1270" s="8">
        <f>IF(K1270&gt;=1,K1270,K1270*1000)</f>
        <v>380</v>
      </c>
      <c r="P1270">
        <f>ABS(H1270)</f>
        <v>2</v>
      </c>
      <c r="R1270"/>
    </row>
    <row r="1271" spans="1:18" x14ac:dyDescent="0.35">
      <c r="A1271" t="s">
        <v>2419</v>
      </c>
      <c r="B1271" s="2">
        <v>46107</v>
      </c>
      <c r="C1271" t="s">
        <v>2262</v>
      </c>
      <c r="D1271" s="3" t="s">
        <v>99</v>
      </c>
      <c r="E1271" t="s">
        <v>34</v>
      </c>
      <c r="F1271" t="s">
        <v>26</v>
      </c>
      <c r="G1271" t="s">
        <v>27</v>
      </c>
      <c r="H1271" s="8">
        <v>1</v>
      </c>
      <c r="I1271" s="10">
        <v>85.5</v>
      </c>
      <c r="J1271" s="14">
        <f>P1271*I1271</f>
        <v>85.5</v>
      </c>
      <c r="K1271" s="16">
        <v>520</v>
      </c>
      <c r="L1271" s="1" t="s">
        <v>21</v>
      </c>
      <c r="M1271" t="s">
        <v>22</v>
      </c>
      <c r="N1271" t="str">
        <f t="shared" si="22"/>
        <v>United Kingdom</v>
      </c>
      <c r="O1271" s="8">
        <f>IF(K1271&gt;=1,K1271,K1271*1000)</f>
        <v>520</v>
      </c>
      <c r="P1271">
        <f>ABS(H1271)</f>
        <v>1</v>
      </c>
      <c r="R1271"/>
    </row>
    <row r="1272" spans="1:18" x14ac:dyDescent="0.35">
      <c r="A1272" t="s">
        <v>2420</v>
      </c>
      <c r="B1272" s="2">
        <v>46065</v>
      </c>
      <c r="C1272" t="s">
        <v>2421</v>
      </c>
      <c r="D1272" s="3" t="s">
        <v>4612</v>
      </c>
      <c r="E1272" t="s">
        <v>16</v>
      </c>
      <c r="F1272" t="s">
        <v>74</v>
      </c>
      <c r="G1272" t="s">
        <v>75</v>
      </c>
      <c r="H1272" s="8">
        <v>3</v>
      </c>
      <c r="I1272" s="10">
        <v>149</v>
      </c>
      <c r="J1272" s="14">
        <f>P1272*I1272</f>
        <v>447</v>
      </c>
      <c r="K1272" s="16">
        <v>410</v>
      </c>
      <c r="L1272" s="1" t="s">
        <v>21</v>
      </c>
      <c r="M1272" t="s">
        <v>22</v>
      </c>
      <c r="N1272" t="str">
        <f t="shared" si="22"/>
        <v>United Kingdom</v>
      </c>
      <c r="O1272" s="8">
        <f>IF(K1272&gt;=1,K1272,K1272*1000)</f>
        <v>410</v>
      </c>
      <c r="P1272">
        <f>ABS(H1272)</f>
        <v>3</v>
      </c>
      <c r="R1272"/>
    </row>
    <row r="1273" spans="1:18" x14ac:dyDescent="0.35">
      <c r="A1273" t="s">
        <v>2422</v>
      </c>
      <c r="B1273" s="2">
        <v>46073</v>
      </c>
      <c r="C1273" t="s">
        <v>265</v>
      </c>
      <c r="D1273" s="3" t="s">
        <v>99</v>
      </c>
      <c r="E1273" t="s">
        <v>34</v>
      </c>
      <c r="F1273" t="s">
        <v>47</v>
      </c>
      <c r="G1273" t="s">
        <v>48</v>
      </c>
      <c r="H1273" s="8">
        <v>2</v>
      </c>
      <c r="I1273" s="10">
        <v>89</v>
      </c>
      <c r="J1273" s="14">
        <f>P1273*I1273</f>
        <v>178</v>
      </c>
      <c r="K1273" s="16">
        <v>380</v>
      </c>
      <c r="L1273" s="1" t="s">
        <v>30</v>
      </c>
      <c r="M1273" t="s">
        <v>58</v>
      </c>
      <c r="N1273" t="str">
        <f t="shared" si="22"/>
        <v>United Kingdom</v>
      </c>
      <c r="O1273" s="8">
        <f>IF(K1273&gt;=1,K1273,K1273*1000)</f>
        <v>380</v>
      </c>
      <c r="P1273">
        <f>ABS(H1273)</f>
        <v>2</v>
      </c>
      <c r="R1273"/>
    </row>
    <row r="1274" spans="1:18" x14ac:dyDescent="0.35">
      <c r="A1274" t="s">
        <v>2423</v>
      </c>
      <c r="B1274" s="2">
        <v>46038</v>
      </c>
      <c r="C1274" t="s">
        <v>313</v>
      </c>
      <c r="D1274" s="3" t="s">
        <v>46</v>
      </c>
      <c r="E1274" t="s">
        <v>34</v>
      </c>
      <c r="F1274" t="s">
        <v>42</v>
      </c>
      <c r="G1274" t="s">
        <v>43</v>
      </c>
      <c r="H1274" s="8">
        <v>2</v>
      </c>
      <c r="I1274" s="10">
        <v>24</v>
      </c>
      <c r="J1274" s="14">
        <f>P1274*I1274</f>
        <v>48</v>
      </c>
      <c r="K1274" s="16">
        <v>190</v>
      </c>
      <c r="L1274" s="1" t="s">
        <v>30</v>
      </c>
      <c r="M1274" t="s">
        <v>22</v>
      </c>
      <c r="N1274" t="str">
        <f t="shared" si="22"/>
        <v>Ireland</v>
      </c>
      <c r="O1274" s="8">
        <f>IF(K1274&gt;=1,K1274,K1274*1000)</f>
        <v>190</v>
      </c>
      <c r="P1274">
        <f>ABS(H1274)</f>
        <v>2</v>
      </c>
      <c r="R1274"/>
    </row>
    <row r="1275" spans="1:18" x14ac:dyDescent="0.35">
      <c r="A1275" t="s">
        <v>2424</v>
      </c>
      <c r="B1275" s="2">
        <v>46191</v>
      </c>
      <c r="C1275" t="s">
        <v>2184</v>
      </c>
      <c r="D1275" s="3" t="s">
        <v>99</v>
      </c>
      <c r="E1275" t="s">
        <v>16</v>
      </c>
      <c r="F1275" t="s">
        <v>35</v>
      </c>
      <c r="G1275" t="s">
        <v>36</v>
      </c>
      <c r="H1275" s="8">
        <v>1</v>
      </c>
      <c r="I1275" s="10">
        <v>11.25</v>
      </c>
      <c r="J1275" s="14">
        <f>P1275*I1275</f>
        <v>11.25</v>
      </c>
      <c r="K1275" s="16">
        <v>8.5000000000000006E-2</v>
      </c>
      <c r="L1275" s="1" t="s">
        <v>30</v>
      </c>
      <c r="M1275" t="s">
        <v>22</v>
      </c>
      <c r="N1275" t="str">
        <f t="shared" si="22"/>
        <v>United Kingdom</v>
      </c>
      <c r="O1275" s="8">
        <f>IF(K1275&gt;=1,K1275,K1275*1000)</f>
        <v>85</v>
      </c>
      <c r="P1275">
        <f>ABS(H1275)</f>
        <v>1</v>
      </c>
      <c r="R1275"/>
    </row>
    <row r="1276" spans="1:18" x14ac:dyDescent="0.35">
      <c r="A1276" t="s">
        <v>2425</v>
      </c>
      <c r="B1276" s="2" t="s">
        <v>1820</v>
      </c>
      <c r="C1276" t="s">
        <v>2426</v>
      </c>
      <c r="D1276" s="3" t="s">
        <v>116</v>
      </c>
      <c r="E1276" t="s">
        <v>34</v>
      </c>
      <c r="F1276" t="s">
        <v>17</v>
      </c>
      <c r="G1276" t="s">
        <v>18</v>
      </c>
      <c r="H1276" s="8">
        <v>2</v>
      </c>
      <c r="I1276" s="10">
        <v>95</v>
      </c>
      <c r="J1276" s="14">
        <f>P1276*I1276</f>
        <v>190</v>
      </c>
      <c r="K1276" s="16">
        <v>520</v>
      </c>
      <c r="L1276" s="1" t="s">
        <v>30</v>
      </c>
      <c r="M1276" t="s">
        <v>22</v>
      </c>
      <c r="N1276" t="str">
        <f t="shared" si="22"/>
        <v>Germany</v>
      </c>
      <c r="O1276" s="8">
        <f>IF(K1276&gt;=1,K1276,K1276*1000)</f>
        <v>520</v>
      </c>
      <c r="P1276">
        <f>ABS(H1276)</f>
        <v>2</v>
      </c>
      <c r="R1276"/>
    </row>
    <row r="1277" spans="1:18" x14ac:dyDescent="0.35">
      <c r="A1277" t="s">
        <v>2427</v>
      </c>
      <c r="B1277" s="2">
        <v>46059</v>
      </c>
      <c r="C1277" t="s">
        <v>2428</v>
      </c>
      <c r="D1277" s="3" t="s">
        <v>99</v>
      </c>
      <c r="E1277" t="s">
        <v>41</v>
      </c>
      <c r="F1277" t="s">
        <v>26</v>
      </c>
      <c r="G1277" t="s">
        <v>27</v>
      </c>
      <c r="H1277" s="8">
        <v>2</v>
      </c>
      <c r="I1277" s="12" t="s">
        <v>4636</v>
      </c>
      <c r="J1277" s="14">
        <f>P1277*R1277</f>
        <v>178</v>
      </c>
      <c r="K1277" s="16">
        <v>520</v>
      </c>
      <c r="L1277" s="1" t="s">
        <v>30</v>
      </c>
      <c r="M1277" t="s">
        <v>22</v>
      </c>
      <c r="N1277" t="str">
        <f t="shared" si="22"/>
        <v>United Kingdom</v>
      </c>
      <c r="O1277" s="8">
        <f>IF(K1277&gt;=1,K1277,K1277*1000)</f>
        <v>520</v>
      </c>
      <c r="P1277">
        <f>ABS(H1277)</f>
        <v>2</v>
      </c>
      <c r="Q1277" t="str">
        <f>LEFT(I1277,2)</f>
        <v>Â£</v>
      </c>
      <c r="R1277" t="str">
        <f>RIGHT(I1277,5)</f>
        <v>89,00</v>
      </c>
    </row>
    <row r="1278" spans="1:18" x14ac:dyDescent="0.35">
      <c r="A1278" t="s">
        <v>2429</v>
      </c>
      <c r="B1278" s="2">
        <v>46164</v>
      </c>
      <c r="C1278" t="s">
        <v>1866</v>
      </c>
      <c r="D1278" s="3" t="s">
        <v>99</v>
      </c>
      <c r="E1278" t="s">
        <v>16</v>
      </c>
      <c r="F1278" t="s">
        <v>42</v>
      </c>
      <c r="G1278" t="s">
        <v>43</v>
      </c>
      <c r="H1278" s="8">
        <v>1</v>
      </c>
      <c r="I1278" s="10">
        <v>89</v>
      </c>
      <c r="J1278" s="14">
        <f>P1278*I1278</f>
        <v>89</v>
      </c>
      <c r="K1278" s="16">
        <v>0.19</v>
      </c>
      <c r="L1278" s="1" t="s">
        <v>30</v>
      </c>
      <c r="M1278" t="s">
        <v>22</v>
      </c>
      <c r="N1278" t="str">
        <f t="shared" si="22"/>
        <v>United Kingdom</v>
      </c>
      <c r="O1278" s="8">
        <f>IF(K1278&gt;=1,K1278,K1278*1000)</f>
        <v>190</v>
      </c>
      <c r="P1278">
        <f>ABS(H1278)</f>
        <v>1</v>
      </c>
      <c r="R1278"/>
    </row>
    <row r="1279" spans="1:18" x14ac:dyDescent="0.35">
      <c r="A1279" t="s">
        <v>2430</v>
      </c>
      <c r="B1279" s="2">
        <v>46199</v>
      </c>
      <c r="C1279" t="s">
        <v>1852</v>
      </c>
      <c r="D1279" s="3" t="s">
        <v>4612</v>
      </c>
      <c r="E1279" t="s">
        <v>34</v>
      </c>
      <c r="F1279" t="s">
        <v>83</v>
      </c>
      <c r="G1279" t="s">
        <v>84</v>
      </c>
      <c r="H1279" s="8">
        <v>1</v>
      </c>
      <c r="I1279" s="10">
        <v>24</v>
      </c>
      <c r="J1279" s="14">
        <f>P1279*I1279</f>
        <v>24</v>
      </c>
      <c r="K1279" s="16">
        <v>0.34</v>
      </c>
      <c r="L1279" s="1" t="s">
        <v>30</v>
      </c>
      <c r="M1279" t="s">
        <v>22</v>
      </c>
      <c r="N1279" t="str">
        <f t="shared" si="22"/>
        <v>United Kingdom</v>
      </c>
      <c r="O1279" s="8">
        <f>IF(K1279&gt;=1,K1279,K1279*1000)</f>
        <v>340</v>
      </c>
      <c r="P1279">
        <f>ABS(H1279)</f>
        <v>1</v>
      </c>
      <c r="R1279"/>
    </row>
    <row r="1280" spans="1:18" x14ac:dyDescent="0.35">
      <c r="A1280" t="s">
        <v>2431</v>
      </c>
      <c r="B1280" s="2" t="s">
        <v>1926</v>
      </c>
      <c r="C1280" t="s">
        <v>996</v>
      </c>
      <c r="D1280" s="3" t="s">
        <v>53</v>
      </c>
      <c r="E1280" t="s">
        <v>16</v>
      </c>
      <c r="F1280" t="s">
        <v>26</v>
      </c>
      <c r="G1280" t="s">
        <v>27</v>
      </c>
      <c r="H1280" s="8">
        <v>1</v>
      </c>
      <c r="I1280" s="10">
        <v>45</v>
      </c>
      <c r="J1280" s="14">
        <f>P1280*I1280</f>
        <v>45</v>
      </c>
      <c r="K1280" s="16">
        <v>0.52</v>
      </c>
      <c r="L1280" s="1" t="s">
        <v>30</v>
      </c>
      <c r="M1280" t="s">
        <v>22</v>
      </c>
      <c r="N1280" t="str">
        <f t="shared" si="22"/>
        <v>Gb</v>
      </c>
      <c r="O1280" s="8">
        <f>IF(K1280&gt;=1,K1280,K1280*1000)</f>
        <v>520</v>
      </c>
      <c r="P1280">
        <f>ABS(H1280)</f>
        <v>1</v>
      </c>
      <c r="R1280"/>
    </row>
    <row r="1281" spans="1:18" x14ac:dyDescent="0.35">
      <c r="A1281" t="s">
        <v>2432</v>
      </c>
      <c r="B1281" s="2" t="s">
        <v>2018</v>
      </c>
      <c r="C1281" t="s">
        <v>1048</v>
      </c>
      <c r="D1281" s="3" t="s">
        <v>15</v>
      </c>
      <c r="E1281" t="s">
        <v>67</v>
      </c>
      <c r="F1281" t="s">
        <v>74</v>
      </c>
      <c r="G1281" t="s">
        <v>75</v>
      </c>
      <c r="H1281" s="8">
        <v>3</v>
      </c>
      <c r="I1281" s="10">
        <v>89</v>
      </c>
      <c r="J1281" s="14">
        <f>P1281*I1281</f>
        <v>267</v>
      </c>
      <c r="K1281" s="16">
        <v>410</v>
      </c>
      <c r="L1281" s="1" t="s">
        <v>30</v>
      </c>
      <c r="M1281" t="s">
        <v>22</v>
      </c>
      <c r="N1281" t="str">
        <f t="shared" si="22"/>
        <v>France</v>
      </c>
      <c r="O1281" s="8">
        <f>IF(K1281&gt;=1,K1281,K1281*1000)</f>
        <v>410</v>
      </c>
      <c r="P1281">
        <f>ABS(H1281)</f>
        <v>3</v>
      </c>
      <c r="R1281"/>
    </row>
    <row r="1282" spans="1:18" x14ac:dyDescent="0.35">
      <c r="A1282" t="s">
        <v>2433</v>
      </c>
      <c r="B1282" s="2">
        <v>46102</v>
      </c>
      <c r="C1282" t="s">
        <v>567</v>
      </c>
      <c r="D1282" s="3" t="s">
        <v>53</v>
      </c>
      <c r="E1282" t="s">
        <v>34</v>
      </c>
      <c r="F1282" t="s">
        <v>17</v>
      </c>
      <c r="G1282" t="s">
        <v>18</v>
      </c>
      <c r="H1282" s="8">
        <v>1</v>
      </c>
      <c r="I1282" s="10">
        <v>45</v>
      </c>
      <c r="J1282" s="14">
        <f>P1282*I1282</f>
        <v>45</v>
      </c>
      <c r="K1282" s="16">
        <v>520</v>
      </c>
      <c r="L1282" s="1" t="s">
        <v>21</v>
      </c>
      <c r="M1282" t="s">
        <v>58</v>
      </c>
      <c r="N1282" t="str">
        <f t="shared" si="22"/>
        <v>Gb</v>
      </c>
      <c r="O1282" s="8">
        <f>IF(K1282&gt;=1,K1282,K1282*1000)</f>
        <v>520</v>
      </c>
      <c r="P1282">
        <f>ABS(H1282)</f>
        <v>1</v>
      </c>
      <c r="R1282"/>
    </row>
    <row r="1283" spans="1:18" x14ac:dyDescent="0.35">
      <c r="A1283" t="s">
        <v>2434</v>
      </c>
      <c r="B1283" s="2">
        <v>46186</v>
      </c>
      <c r="C1283" t="s">
        <v>2112</v>
      </c>
      <c r="D1283" s="3" t="s">
        <v>46</v>
      </c>
      <c r="E1283" t="s">
        <v>41</v>
      </c>
      <c r="F1283" t="s">
        <v>89</v>
      </c>
      <c r="G1283" t="s">
        <v>90</v>
      </c>
      <c r="H1283" s="8">
        <v>1</v>
      </c>
      <c r="I1283" s="10">
        <v>95</v>
      </c>
      <c r="J1283" s="14">
        <f>P1283*I1283</f>
        <v>95</v>
      </c>
      <c r="K1283" s="16">
        <v>0.64</v>
      </c>
      <c r="L1283" s="1" t="s">
        <v>30</v>
      </c>
      <c r="M1283" t="s">
        <v>22</v>
      </c>
      <c r="N1283" t="str">
        <f t="shared" ref="N1283:N1346" si="23">PROPER(TRIM(D1283))</f>
        <v>Ireland</v>
      </c>
      <c r="O1283" s="8">
        <f>IF(K1283&gt;=1,K1283,K1283*1000)</f>
        <v>640</v>
      </c>
      <c r="P1283">
        <f>ABS(H1283)</f>
        <v>1</v>
      </c>
      <c r="R1283"/>
    </row>
    <row r="1284" spans="1:18" x14ac:dyDescent="0.35">
      <c r="A1284" t="s">
        <v>2435</v>
      </c>
      <c r="B1284" s="2">
        <v>46151</v>
      </c>
      <c r="C1284" t="s">
        <v>1332</v>
      </c>
      <c r="D1284" s="3" t="s">
        <v>61</v>
      </c>
      <c r="E1284" t="s">
        <v>41</v>
      </c>
      <c r="F1284" t="s">
        <v>17</v>
      </c>
      <c r="G1284" t="s">
        <v>18</v>
      </c>
      <c r="H1284" s="8">
        <v>1</v>
      </c>
      <c r="I1284" s="10">
        <v>85.5</v>
      </c>
      <c r="J1284" s="14">
        <f>P1284*I1284</f>
        <v>85.5</v>
      </c>
      <c r="K1284" s="16">
        <v>0.52</v>
      </c>
      <c r="L1284" s="1" t="s">
        <v>30</v>
      </c>
      <c r="M1284" t="s">
        <v>22</v>
      </c>
      <c r="N1284" t="str">
        <f t="shared" si="23"/>
        <v>Ireland</v>
      </c>
      <c r="O1284" s="8">
        <f>IF(K1284&gt;=1,K1284,K1284*1000)</f>
        <v>520</v>
      </c>
      <c r="P1284">
        <f>ABS(H1284)</f>
        <v>1</v>
      </c>
      <c r="R1284"/>
    </row>
    <row r="1285" spans="1:18" x14ac:dyDescent="0.35">
      <c r="A1285" t="s">
        <v>2436</v>
      </c>
      <c r="B1285" s="2">
        <v>46082</v>
      </c>
      <c r="C1285" t="s">
        <v>1252</v>
      </c>
      <c r="D1285" s="3" t="s">
        <v>116</v>
      </c>
      <c r="E1285" t="s">
        <v>25</v>
      </c>
      <c r="F1285" t="s">
        <v>42</v>
      </c>
      <c r="G1285" t="s">
        <v>43</v>
      </c>
      <c r="H1285" s="8">
        <v>1</v>
      </c>
      <c r="I1285" s="10">
        <v>95</v>
      </c>
      <c r="J1285" s="14">
        <f>P1285*I1285</f>
        <v>95</v>
      </c>
      <c r="K1285" s="16">
        <v>190</v>
      </c>
      <c r="L1285" s="1" t="s">
        <v>21</v>
      </c>
      <c r="M1285" t="s">
        <v>58</v>
      </c>
      <c r="N1285" t="str">
        <f t="shared" si="23"/>
        <v>Germany</v>
      </c>
      <c r="O1285" s="8">
        <f>IF(K1285&gt;=1,K1285,K1285*1000)</f>
        <v>190</v>
      </c>
      <c r="P1285">
        <f>ABS(H1285)</f>
        <v>1</v>
      </c>
      <c r="R1285"/>
    </row>
    <row r="1286" spans="1:18" x14ac:dyDescent="0.35">
      <c r="A1286" t="s">
        <v>2437</v>
      </c>
      <c r="B1286" s="2">
        <v>46141</v>
      </c>
      <c r="C1286" t="s">
        <v>1207</v>
      </c>
      <c r="D1286" s="3" t="s">
        <v>116</v>
      </c>
      <c r="E1286" t="s">
        <v>25</v>
      </c>
      <c r="F1286" t="s">
        <v>17</v>
      </c>
      <c r="G1286" t="s">
        <v>18</v>
      </c>
      <c r="H1286" s="8">
        <v>2</v>
      </c>
      <c r="I1286" s="10">
        <v>85.5</v>
      </c>
      <c r="J1286" s="14">
        <f>P1286*I1286</f>
        <v>171</v>
      </c>
      <c r="K1286" s="16">
        <v>0.52</v>
      </c>
      <c r="L1286" s="1" t="s">
        <v>30</v>
      </c>
      <c r="M1286" t="s">
        <v>58</v>
      </c>
      <c r="N1286" t="str">
        <f t="shared" si="23"/>
        <v>Germany</v>
      </c>
      <c r="O1286" s="8">
        <f>IF(K1286&gt;=1,K1286,K1286*1000)</f>
        <v>520</v>
      </c>
      <c r="P1286">
        <f>ABS(H1286)</f>
        <v>2</v>
      </c>
      <c r="R1286"/>
    </row>
    <row r="1287" spans="1:18" x14ac:dyDescent="0.35">
      <c r="A1287" t="s">
        <v>2439</v>
      </c>
      <c r="B1287" s="2">
        <v>46032</v>
      </c>
      <c r="C1287" t="s">
        <v>527</v>
      </c>
      <c r="D1287" s="3" t="s">
        <v>4612</v>
      </c>
      <c r="E1287" t="s">
        <v>67</v>
      </c>
      <c r="F1287" t="s">
        <v>17</v>
      </c>
      <c r="G1287" t="s">
        <v>18</v>
      </c>
      <c r="H1287" s="8">
        <v>1</v>
      </c>
      <c r="I1287" s="10">
        <v>149</v>
      </c>
      <c r="J1287" s="14">
        <f>P1287*I1287</f>
        <v>149</v>
      </c>
      <c r="K1287" s="16">
        <v>520</v>
      </c>
      <c r="L1287" s="1" t="s">
        <v>30</v>
      </c>
      <c r="M1287" t="s">
        <v>22</v>
      </c>
      <c r="N1287" t="str">
        <f t="shared" si="23"/>
        <v>United Kingdom</v>
      </c>
      <c r="O1287" s="8">
        <f>IF(K1287&gt;=1,K1287,K1287*1000)</f>
        <v>520</v>
      </c>
      <c r="P1287">
        <f>ABS(H1287)</f>
        <v>1</v>
      </c>
      <c r="R1287"/>
    </row>
    <row r="1288" spans="1:18" x14ac:dyDescent="0.35">
      <c r="A1288" t="s">
        <v>2440</v>
      </c>
      <c r="B1288" s="2">
        <v>46063</v>
      </c>
      <c r="C1288" t="s">
        <v>523</v>
      </c>
      <c r="D1288" s="3" t="s">
        <v>53</v>
      </c>
      <c r="E1288" t="s">
        <v>67</v>
      </c>
      <c r="F1288" t="s">
        <v>47</v>
      </c>
      <c r="G1288" t="s">
        <v>48</v>
      </c>
      <c r="H1288" s="8">
        <v>1</v>
      </c>
      <c r="I1288" s="10">
        <v>11.25</v>
      </c>
      <c r="J1288" s="14">
        <f>P1288*I1288</f>
        <v>11.25</v>
      </c>
      <c r="K1288" s="16">
        <v>380</v>
      </c>
      <c r="L1288" s="1" t="s">
        <v>30</v>
      </c>
      <c r="M1288" t="s">
        <v>22</v>
      </c>
      <c r="N1288" t="str">
        <f t="shared" si="23"/>
        <v>Gb</v>
      </c>
      <c r="O1288" s="8">
        <f>IF(K1288&gt;=1,K1288,K1288*1000)</f>
        <v>380</v>
      </c>
      <c r="P1288">
        <f>ABS(H1288)</f>
        <v>1</v>
      </c>
      <c r="R1288"/>
    </row>
    <row r="1289" spans="1:18" x14ac:dyDescent="0.35">
      <c r="A1289" t="s">
        <v>2441</v>
      </c>
      <c r="B1289" s="2">
        <v>46116</v>
      </c>
      <c r="C1289" t="s">
        <v>1252</v>
      </c>
      <c r="D1289" s="3" t="s">
        <v>66</v>
      </c>
      <c r="E1289" t="s">
        <v>25</v>
      </c>
      <c r="F1289" t="s">
        <v>17</v>
      </c>
      <c r="G1289" t="s">
        <v>18</v>
      </c>
      <c r="H1289" s="8">
        <v>-3</v>
      </c>
      <c r="I1289" s="10">
        <v>89</v>
      </c>
      <c r="J1289" s="14">
        <f>P1289*I1289</f>
        <v>267</v>
      </c>
      <c r="K1289" s="16">
        <v>520</v>
      </c>
      <c r="L1289" s="1" t="s">
        <v>30</v>
      </c>
      <c r="M1289" t="s">
        <v>58</v>
      </c>
      <c r="N1289" t="str">
        <f t="shared" si="23"/>
        <v>Gb</v>
      </c>
      <c r="O1289" s="8">
        <f>IF(K1289&gt;=1,K1289,K1289*1000)</f>
        <v>520</v>
      </c>
      <c r="P1289">
        <f>ABS(H1289)</f>
        <v>3</v>
      </c>
      <c r="R1289"/>
    </row>
    <row r="1290" spans="1:18" x14ac:dyDescent="0.35">
      <c r="A1290" t="s">
        <v>2442</v>
      </c>
      <c r="B1290" s="2">
        <v>46130</v>
      </c>
      <c r="C1290" t="s">
        <v>820</v>
      </c>
      <c r="D1290" s="3" t="s">
        <v>99</v>
      </c>
      <c r="E1290" t="s">
        <v>67</v>
      </c>
      <c r="F1290" t="s">
        <v>47</v>
      </c>
      <c r="G1290" t="s">
        <v>48</v>
      </c>
      <c r="H1290" s="8">
        <v>1</v>
      </c>
      <c r="I1290" s="12" t="s">
        <v>4617</v>
      </c>
      <c r="J1290" s="14">
        <f>P1290*R1290</f>
        <v>45</v>
      </c>
      <c r="K1290" s="16">
        <v>380</v>
      </c>
      <c r="L1290" s="1" t="s">
        <v>30</v>
      </c>
      <c r="M1290" t="s">
        <v>22</v>
      </c>
      <c r="N1290" t="str">
        <f t="shared" si="23"/>
        <v>United Kingdom</v>
      </c>
      <c r="O1290" s="8">
        <f>IF(K1290&gt;=1,K1290,K1290*1000)</f>
        <v>380</v>
      </c>
      <c r="P1290">
        <f>ABS(H1290)</f>
        <v>1</v>
      </c>
      <c r="Q1290" t="str">
        <f>LEFT(I1290,3)</f>
        <v>GBP</v>
      </c>
      <c r="R1290" s="10" t="str">
        <f>RIGHT(I1290,5)</f>
        <v>45,00</v>
      </c>
    </row>
    <row r="1291" spans="1:18" x14ac:dyDescent="0.35">
      <c r="A1291" t="s">
        <v>2443</v>
      </c>
      <c r="B1291" s="2">
        <v>46132</v>
      </c>
      <c r="C1291" t="s">
        <v>2393</v>
      </c>
      <c r="D1291" s="3" t="s">
        <v>46</v>
      </c>
      <c r="E1291" t="s">
        <v>41</v>
      </c>
      <c r="F1291" t="s">
        <v>74</v>
      </c>
      <c r="G1291" t="s">
        <v>75</v>
      </c>
      <c r="H1291" s="8">
        <v>1</v>
      </c>
      <c r="I1291" s="10">
        <v>149</v>
      </c>
      <c r="J1291" s="14">
        <f>P1291*I1291</f>
        <v>149</v>
      </c>
      <c r="K1291" s="16">
        <v>0.41</v>
      </c>
      <c r="L1291" s="1" t="s">
        <v>30</v>
      </c>
      <c r="M1291" t="s">
        <v>22</v>
      </c>
      <c r="N1291" t="str">
        <f t="shared" si="23"/>
        <v>Ireland</v>
      </c>
      <c r="O1291" s="8">
        <f>IF(K1291&gt;=1,K1291,K1291*1000)</f>
        <v>410</v>
      </c>
      <c r="P1291">
        <f>ABS(H1291)</f>
        <v>1</v>
      </c>
      <c r="R1291"/>
    </row>
    <row r="1292" spans="1:18" x14ac:dyDescent="0.35">
      <c r="A1292" t="s">
        <v>2444</v>
      </c>
      <c r="B1292" s="2">
        <v>46198</v>
      </c>
      <c r="C1292" t="s">
        <v>1619</v>
      </c>
      <c r="D1292" s="3" t="s">
        <v>61</v>
      </c>
      <c r="E1292" t="s">
        <v>34</v>
      </c>
      <c r="F1292" t="s">
        <v>47</v>
      </c>
      <c r="G1292" t="s">
        <v>48</v>
      </c>
      <c r="H1292" s="8">
        <v>1</v>
      </c>
      <c r="I1292" s="10">
        <v>79</v>
      </c>
      <c r="J1292" s="14">
        <f>P1292*I1292</f>
        <v>79</v>
      </c>
      <c r="K1292" s="16">
        <v>0.38</v>
      </c>
      <c r="L1292" s="1" t="s">
        <v>30</v>
      </c>
      <c r="M1292" t="s">
        <v>22</v>
      </c>
      <c r="N1292" t="str">
        <f t="shared" si="23"/>
        <v>Ireland</v>
      </c>
      <c r="O1292" s="8">
        <f>IF(K1292&gt;=1,K1292,K1292*1000)</f>
        <v>380</v>
      </c>
      <c r="P1292">
        <f>ABS(H1292)</f>
        <v>1</v>
      </c>
      <c r="R1292"/>
    </row>
    <row r="1293" spans="1:18" x14ac:dyDescent="0.35">
      <c r="A1293" t="s">
        <v>2445</v>
      </c>
      <c r="B1293" s="2">
        <v>46185</v>
      </c>
      <c r="C1293" t="s">
        <v>1111</v>
      </c>
      <c r="D1293" s="3" t="s">
        <v>66</v>
      </c>
      <c r="E1293" t="s">
        <v>25</v>
      </c>
      <c r="F1293" t="s">
        <v>83</v>
      </c>
      <c r="G1293" t="s">
        <v>84</v>
      </c>
      <c r="H1293" s="8">
        <v>1</v>
      </c>
      <c r="I1293" s="10">
        <v>89</v>
      </c>
      <c r="J1293" s="14">
        <f>P1293*I1293</f>
        <v>89</v>
      </c>
      <c r="K1293" s="16">
        <v>0.34</v>
      </c>
      <c r="L1293" s="1" t="s">
        <v>30</v>
      </c>
      <c r="M1293" t="s">
        <v>22</v>
      </c>
      <c r="N1293" t="str">
        <f t="shared" si="23"/>
        <v>Gb</v>
      </c>
      <c r="O1293" s="8">
        <f>IF(K1293&gt;=1,K1293,K1293*1000)</f>
        <v>340</v>
      </c>
      <c r="P1293">
        <f>ABS(H1293)</f>
        <v>1</v>
      </c>
      <c r="R1293"/>
    </row>
    <row r="1294" spans="1:18" x14ac:dyDescent="0.35">
      <c r="A1294" t="s">
        <v>2446</v>
      </c>
      <c r="B1294" s="2">
        <v>46169</v>
      </c>
      <c r="C1294" t="s">
        <v>2447</v>
      </c>
      <c r="D1294" s="3" t="s">
        <v>4613</v>
      </c>
      <c r="E1294" t="s">
        <v>41</v>
      </c>
      <c r="F1294" t="s">
        <v>17</v>
      </c>
      <c r="G1294" t="s">
        <v>18</v>
      </c>
      <c r="H1294" s="8">
        <v>1</v>
      </c>
      <c r="I1294" s="10">
        <v>40.5</v>
      </c>
      <c r="J1294" s="14">
        <f>P1294*I1294</f>
        <v>40.5</v>
      </c>
      <c r="K1294" s="16">
        <v>0.52</v>
      </c>
      <c r="L1294" s="1" t="s">
        <v>21</v>
      </c>
      <c r="M1294" t="s">
        <v>58</v>
      </c>
      <c r="N1294" t="str">
        <f t="shared" si="23"/>
        <v>United Kingdom</v>
      </c>
      <c r="O1294" s="8">
        <f>IF(K1294&gt;=1,K1294,K1294*1000)</f>
        <v>520</v>
      </c>
      <c r="P1294">
        <f>ABS(H1294)</f>
        <v>1</v>
      </c>
      <c r="R1294"/>
    </row>
    <row r="1295" spans="1:18" x14ac:dyDescent="0.35">
      <c r="A1295" t="s">
        <v>2448</v>
      </c>
      <c r="B1295" s="2">
        <v>46033</v>
      </c>
      <c r="C1295" t="s">
        <v>147</v>
      </c>
      <c r="D1295" s="3" t="s">
        <v>66</v>
      </c>
      <c r="E1295" t="s">
        <v>41</v>
      </c>
      <c r="F1295" t="s">
        <v>26</v>
      </c>
      <c r="G1295" t="s">
        <v>27</v>
      </c>
      <c r="H1295" s="8">
        <v>2</v>
      </c>
      <c r="I1295" s="10">
        <v>12.5</v>
      </c>
      <c r="J1295" s="14">
        <f>P1295*I1295</f>
        <v>25</v>
      </c>
      <c r="K1295" s="16">
        <v>520</v>
      </c>
      <c r="L1295" s="1" t="s">
        <v>30</v>
      </c>
      <c r="M1295" t="s">
        <v>22</v>
      </c>
      <c r="N1295" t="str">
        <f t="shared" si="23"/>
        <v>Gb</v>
      </c>
      <c r="O1295" s="8">
        <f>IF(K1295&gt;=1,K1295,K1295*1000)</f>
        <v>520</v>
      </c>
      <c r="P1295">
        <f>ABS(H1295)</f>
        <v>2</v>
      </c>
      <c r="R1295"/>
    </row>
    <row r="1296" spans="1:18" x14ac:dyDescent="0.35">
      <c r="A1296" t="s">
        <v>2449</v>
      </c>
      <c r="B1296" s="2">
        <v>46085</v>
      </c>
      <c r="C1296" t="s">
        <v>475</v>
      </c>
      <c r="D1296" s="3" t="s">
        <v>53</v>
      </c>
      <c r="E1296" t="s">
        <v>67</v>
      </c>
      <c r="F1296" t="s">
        <v>35</v>
      </c>
      <c r="G1296" t="s">
        <v>36</v>
      </c>
      <c r="H1296" s="8">
        <v>3</v>
      </c>
      <c r="I1296" s="10">
        <v>129</v>
      </c>
      <c r="J1296" s="14">
        <f>P1296*I1296</f>
        <v>387</v>
      </c>
      <c r="K1296" s="16">
        <v>85</v>
      </c>
      <c r="L1296" s="1" t="s">
        <v>21</v>
      </c>
      <c r="M1296" t="s">
        <v>22</v>
      </c>
      <c r="N1296" t="str">
        <f t="shared" si="23"/>
        <v>Gb</v>
      </c>
      <c r="O1296" s="8">
        <f>IF(K1296&gt;=1,K1296,K1296*1000)</f>
        <v>85</v>
      </c>
      <c r="P1296">
        <f>ABS(H1296)</f>
        <v>3</v>
      </c>
      <c r="R1296"/>
    </row>
    <row r="1297" spans="1:18" x14ac:dyDescent="0.35">
      <c r="A1297" t="s">
        <v>2450</v>
      </c>
      <c r="B1297" s="2">
        <v>46052</v>
      </c>
      <c r="C1297" t="s">
        <v>1387</v>
      </c>
      <c r="D1297" s="3" t="s">
        <v>99</v>
      </c>
      <c r="E1297" t="s">
        <v>34</v>
      </c>
      <c r="F1297" t="s">
        <v>17</v>
      </c>
      <c r="G1297" t="s">
        <v>18</v>
      </c>
      <c r="H1297" s="8">
        <v>1</v>
      </c>
      <c r="I1297" s="10">
        <v>24</v>
      </c>
      <c r="J1297" s="14">
        <f>P1297*I1297</f>
        <v>24</v>
      </c>
      <c r="K1297" s="16">
        <v>520</v>
      </c>
      <c r="L1297" s="1" t="s">
        <v>30</v>
      </c>
      <c r="M1297" t="s">
        <v>22</v>
      </c>
      <c r="N1297" t="str">
        <f t="shared" si="23"/>
        <v>United Kingdom</v>
      </c>
      <c r="O1297" s="8">
        <f>IF(K1297&gt;=1,K1297,K1297*1000)</f>
        <v>520</v>
      </c>
      <c r="P1297">
        <f>ABS(H1297)</f>
        <v>1</v>
      </c>
      <c r="R1297"/>
    </row>
    <row r="1298" spans="1:18" x14ac:dyDescent="0.35">
      <c r="A1298" t="s">
        <v>2451</v>
      </c>
      <c r="B1298" s="2">
        <v>46150</v>
      </c>
      <c r="C1298" t="s">
        <v>2452</v>
      </c>
      <c r="D1298" s="3" t="s">
        <v>4612</v>
      </c>
      <c r="E1298" t="s">
        <v>34</v>
      </c>
      <c r="F1298" t="s">
        <v>89</v>
      </c>
      <c r="G1298" t="s">
        <v>90</v>
      </c>
      <c r="H1298" s="8">
        <v>2</v>
      </c>
      <c r="I1298" s="10">
        <v>79</v>
      </c>
      <c r="J1298" s="14">
        <f>P1298*I1298</f>
        <v>158</v>
      </c>
      <c r="K1298" s="16">
        <v>0.64</v>
      </c>
      <c r="L1298" s="1" t="s">
        <v>21</v>
      </c>
      <c r="M1298" t="s">
        <v>22</v>
      </c>
      <c r="N1298" t="str">
        <f t="shared" si="23"/>
        <v>United Kingdom</v>
      </c>
      <c r="O1298" s="8">
        <f>IF(K1298&gt;=1,K1298,K1298*1000)</f>
        <v>640</v>
      </c>
      <c r="P1298">
        <f>ABS(H1298)</f>
        <v>2</v>
      </c>
      <c r="R1298"/>
    </row>
    <row r="1299" spans="1:18" x14ac:dyDescent="0.35">
      <c r="A1299" t="s">
        <v>2453</v>
      </c>
      <c r="B1299" s="2">
        <v>46186</v>
      </c>
      <c r="C1299" t="s">
        <v>2454</v>
      </c>
      <c r="D1299" s="3" t="s">
        <v>116</v>
      </c>
      <c r="E1299" t="s">
        <v>41</v>
      </c>
      <c r="F1299" t="s">
        <v>42</v>
      </c>
      <c r="G1299" t="s">
        <v>43</v>
      </c>
      <c r="H1299" s="8">
        <v>1</v>
      </c>
      <c r="I1299" s="10">
        <v>24</v>
      </c>
      <c r="J1299" s="14">
        <f>P1299*I1299</f>
        <v>24</v>
      </c>
      <c r="K1299" s="16">
        <v>0.19</v>
      </c>
      <c r="L1299" s="1" t="s">
        <v>30</v>
      </c>
      <c r="M1299" t="s">
        <v>22</v>
      </c>
      <c r="N1299" t="str">
        <f t="shared" si="23"/>
        <v>Germany</v>
      </c>
      <c r="O1299" s="8">
        <f>IF(K1299&gt;=1,K1299,K1299*1000)</f>
        <v>190</v>
      </c>
      <c r="P1299">
        <f>ABS(H1299)</f>
        <v>1</v>
      </c>
      <c r="R1299"/>
    </row>
    <row r="1300" spans="1:18" x14ac:dyDescent="0.35">
      <c r="A1300" t="s">
        <v>2455</v>
      </c>
      <c r="B1300" s="2">
        <v>46164</v>
      </c>
      <c r="C1300" t="s">
        <v>2456</v>
      </c>
      <c r="D1300" s="3" t="s">
        <v>99</v>
      </c>
      <c r="E1300" t="s">
        <v>41</v>
      </c>
      <c r="F1300" t="s">
        <v>47</v>
      </c>
      <c r="G1300" t="s">
        <v>48</v>
      </c>
      <c r="H1300" s="8">
        <v>-1</v>
      </c>
      <c r="I1300" s="12" t="s">
        <v>4632</v>
      </c>
      <c r="J1300" s="14">
        <f>P1300*R1300</f>
        <v>89</v>
      </c>
      <c r="K1300" s="16">
        <v>0.38</v>
      </c>
      <c r="L1300" s="1" t="s">
        <v>21</v>
      </c>
      <c r="M1300" t="s">
        <v>22</v>
      </c>
      <c r="N1300" t="str">
        <f t="shared" si="23"/>
        <v>United Kingdom</v>
      </c>
      <c r="O1300" s="8">
        <f>IF(K1300&gt;=1,K1300,K1300*1000)</f>
        <v>380</v>
      </c>
      <c r="P1300">
        <f>ABS(H1300)</f>
        <v>1</v>
      </c>
      <c r="Q1300" t="str">
        <f>LEFT(I1300,3)</f>
        <v>GBP</v>
      </c>
      <c r="R1300" s="10" t="str">
        <f>RIGHT(I1300,5)</f>
        <v>89,00</v>
      </c>
    </row>
    <row r="1301" spans="1:18" x14ac:dyDescent="0.35">
      <c r="A1301" t="s">
        <v>2457</v>
      </c>
      <c r="B1301" s="2">
        <v>46031</v>
      </c>
      <c r="C1301" t="s">
        <v>2262</v>
      </c>
      <c r="D1301" s="3" t="s">
        <v>4612</v>
      </c>
      <c r="E1301" t="s">
        <v>34</v>
      </c>
      <c r="F1301" t="s">
        <v>17</v>
      </c>
      <c r="G1301" t="s">
        <v>18</v>
      </c>
      <c r="H1301" s="8">
        <v>2</v>
      </c>
      <c r="I1301" s="10">
        <v>89</v>
      </c>
      <c r="J1301" s="14">
        <f>P1301*I1301</f>
        <v>178</v>
      </c>
      <c r="K1301" s="16">
        <v>520</v>
      </c>
      <c r="L1301" s="1" t="s">
        <v>21</v>
      </c>
      <c r="M1301" t="s">
        <v>22</v>
      </c>
      <c r="N1301" t="str">
        <f t="shared" si="23"/>
        <v>United Kingdom</v>
      </c>
      <c r="O1301" s="8">
        <f>IF(K1301&gt;=1,K1301,K1301*1000)</f>
        <v>520</v>
      </c>
      <c r="P1301">
        <f>ABS(H1301)</f>
        <v>2</v>
      </c>
      <c r="R1301"/>
    </row>
    <row r="1302" spans="1:18" x14ac:dyDescent="0.35">
      <c r="A1302" t="s">
        <v>2458</v>
      </c>
      <c r="B1302" s="2">
        <v>46047</v>
      </c>
      <c r="C1302" t="s">
        <v>2459</v>
      </c>
      <c r="D1302" s="3" t="s">
        <v>66</v>
      </c>
      <c r="E1302" t="s">
        <v>25</v>
      </c>
      <c r="F1302" t="s">
        <v>26</v>
      </c>
      <c r="G1302" t="s">
        <v>27</v>
      </c>
      <c r="H1302" s="8">
        <v>1</v>
      </c>
      <c r="I1302" s="10">
        <v>11.25</v>
      </c>
      <c r="J1302" s="14">
        <f>P1302*I1302</f>
        <v>11.25</v>
      </c>
      <c r="K1302" s="16">
        <v>520</v>
      </c>
      <c r="L1302" s="1" t="s">
        <v>21</v>
      </c>
      <c r="M1302" t="s">
        <v>22</v>
      </c>
      <c r="N1302" t="str">
        <f t="shared" si="23"/>
        <v>Gb</v>
      </c>
      <c r="O1302" s="8">
        <f>IF(K1302&gt;=1,K1302,K1302*1000)</f>
        <v>520</v>
      </c>
      <c r="P1302">
        <f>ABS(H1302)</f>
        <v>1</v>
      </c>
      <c r="R1302"/>
    </row>
    <row r="1303" spans="1:18" x14ac:dyDescent="0.35">
      <c r="A1303" t="s">
        <v>2460</v>
      </c>
      <c r="B1303" s="2">
        <v>46164</v>
      </c>
      <c r="C1303" t="s">
        <v>2461</v>
      </c>
      <c r="D1303" s="3" t="s">
        <v>53</v>
      </c>
      <c r="E1303" t="s">
        <v>25</v>
      </c>
      <c r="F1303" t="s">
        <v>47</v>
      </c>
      <c r="G1303" t="s">
        <v>48</v>
      </c>
      <c r="H1303" s="8">
        <v>1</v>
      </c>
      <c r="I1303" s="10">
        <v>129</v>
      </c>
      <c r="J1303" s="14">
        <f>P1303*I1303</f>
        <v>129</v>
      </c>
      <c r="K1303" s="16">
        <v>0.38</v>
      </c>
      <c r="L1303" s="1" t="s">
        <v>30</v>
      </c>
      <c r="M1303" t="s">
        <v>22</v>
      </c>
      <c r="N1303" t="str">
        <f t="shared" si="23"/>
        <v>Gb</v>
      </c>
      <c r="O1303" s="8">
        <f>IF(K1303&gt;=1,K1303,K1303*1000)</f>
        <v>380</v>
      </c>
      <c r="P1303">
        <f>ABS(H1303)</f>
        <v>1</v>
      </c>
      <c r="R1303"/>
    </row>
    <row r="1304" spans="1:18" x14ac:dyDescent="0.35">
      <c r="A1304" t="s">
        <v>2462</v>
      </c>
      <c r="B1304" s="2">
        <v>46180</v>
      </c>
      <c r="C1304" t="s">
        <v>870</v>
      </c>
      <c r="D1304" s="3" t="s">
        <v>61</v>
      </c>
      <c r="E1304" t="s">
        <v>34</v>
      </c>
      <c r="F1304" t="s">
        <v>47</v>
      </c>
      <c r="G1304" t="s">
        <v>48</v>
      </c>
      <c r="H1304" s="8">
        <v>1</v>
      </c>
      <c r="I1304" s="10">
        <v>45</v>
      </c>
      <c r="J1304" s="14">
        <f>P1304*I1304</f>
        <v>45</v>
      </c>
      <c r="K1304" s="16">
        <v>0.38</v>
      </c>
      <c r="L1304" s="1" t="s">
        <v>30</v>
      </c>
      <c r="M1304" t="s">
        <v>22</v>
      </c>
      <c r="N1304" t="str">
        <f t="shared" si="23"/>
        <v>Ireland</v>
      </c>
      <c r="O1304" s="8">
        <f>IF(K1304&gt;=1,K1304,K1304*1000)</f>
        <v>380</v>
      </c>
      <c r="P1304">
        <f>ABS(H1304)</f>
        <v>1</v>
      </c>
      <c r="R1304"/>
    </row>
    <row r="1305" spans="1:18" x14ac:dyDescent="0.35">
      <c r="A1305" t="s">
        <v>2463</v>
      </c>
      <c r="B1305" s="2">
        <v>46077</v>
      </c>
      <c r="C1305" t="s">
        <v>2464</v>
      </c>
      <c r="D1305" s="3" t="s">
        <v>4612</v>
      </c>
      <c r="E1305" t="s">
        <v>67</v>
      </c>
      <c r="F1305" t="s">
        <v>17</v>
      </c>
      <c r="G1305" t="s">
        <v>18</v>
      </c>
      <c r="H1305" s="8">
        <v>3</v>
      </c>
      <c r="I1305" s="12" t="s">
        <v>4627</v>
      </c>
      <c r="J1305" s="14">
        <f>P1305*R1305</f>
        <v>285</v>
      </c>
      <c r="K1305" s="16">
        <v>520</v>
      </c>
      <c r="L1305" s="1" t="s">
        <v>30</v>
      </c>
      <c r="M1305" t="s">
        <v>22</v>
      </c>
      <c r="N1305" t="str">
        <f t="shared" si="23"/>
        <v>United Kingdom</v>
      </c>
      <c r="O1305" s="8">
        <f>IF(K1305&gt;=1,K1305,K1305*1000)</f>
        <v>520</v>
      </c>
      <c r="P1305">
        <f>ABS(H1305)</f>
        <v>3</v>
      </c>
      <c r="Q1305" t="str">
        <f>LEFT(I1305,3)</f>
        <v>GBP</v>
      </c>
      <c r="R1305" s="10" t="str">
        <f>RIGHT(I1305,5)</f>
        <v>95,00</v>
      </c>
    </row>
    <row r="1306" spans="1:18" x14ac:dyDescent="0.35">
      <c r="A1306" t="s">
        <v>2465</v>
      </c>
      <c r="B1306" s="2" t="s">
        <v>937</v>
      </c>
      <c r="C1306" t="s">
        <v>2466</v>
      </c>
      <c r="D1306" s="3" t="s">
        <v>4613</v>
      </c>
      <c r="E1306" t="s">
        <v>34</v>
      </c>
      <c r="F1306" t="s">
        <v>83</v>
      </c>
      <c r="G1306" t="s">
        <v>84</v>
      </c>
      <c r="H1306" s="8">
        <v>2</v>
      </c>
      <c r="I1306" s="10">
        <v>89</v>
      </c>
      <c r="J1306" s="14">
        <f>P1306*I1306</f>
        <v>178</v>
      </c>
      <c r="K1306" s="16">
        <v>0.34</v>
      </c>
      <c r="L1306" s="1" t="s">
        <v>30</v>
      </c>
      <c r="M1306" t="s">
        <v>58</v>
      </c>
      <c r="N1306" t="str">
        <f t="shared" si="23"/>
        <v>United Kingdom</v>
      </c>
      <c r="O1306" s="8">
        <f>IF(K1306&gt;=1,K1306,K1306*1000)</f>
        <v>340</v>
      </c>
      <c r="P1306">
        <f>ABS(H1306)</f>
        <v>2</v>
      </c>
      <c r="R1306"/>
    </row>
    <row r="1307" spans="1:18" x14ac:dyDescent="0.35">
      <c r="A1307" t="s">
        <v>2467</v>
      </c>
      <c r="B1307" s="2">
        <v>46124</v>
      </c>
      <c r="C1307" t="s">
        <v>2468</v>
      </c>
      <c r="D1307" s="3" t="s">
        <v>46</v>
      </c>
      <c r="E1307" t="s">
        <v>16</v>
      </c>
      <c r="F1307" t="s">
        <v>83</v>
      </c>
      <c r="G1307" t="s">
        <v>84</v>
      </c>
      <c r="H1307" s="8">
        <v>2</v>
      </c>
      <c r="I1307" s="12" t="s">
        <v>4631</v>
      </c>
      <c r="J1307" s="14">
        <f>P1307*R1307</f>
        <v>158</v>
      </c>
      <c r="K1307" s="16">
        <v>340</v>
      </c>
      <c r="L1307" s="1" t="s">
        <v>21</v>
      </c>
      <c r="M1307" t="s">
        <v>22</v>
      </c>
      <c r="N1307" t="str">
        <f t="shared" si="23"/>
        <v>Ireland</v>
      </c>
      <c r="O1307" s="8">
        <f>IF(K1307&gt;=1,K1307,K1307*1000)</f>
        <v>340</v>
      </c>
      <c r="P1307">
        <f>ABS(H1307)</f>
        <v>2</v>
      </c>
      <c r="Q1307" t="str">
        <f>LEFT(I1307,2)</f>
        <v>Â£</v>
      </c>
      <c r="R1307" t="str">
        <f>RIGHT(I1307,5)</f>
        <v>79,00</v>
      </c>
    </row>
    <row r="1308" spans="1:18" x14ac:dyDescent="0.35">
      <c r="A1308" t="s">
        <v>2469</v>
      </c>
      <c r="B1308" s="2">
        <v>46201</v>
      </c>
      <c r="C1308" t="s">
        <v>748</v>
      </c>
      <c r="D1308" s="3" t="s">
        <v>116</v>
      </c>
      <c r="E1308" t="s">
        <v>25</v>
      </c>
      <c r="F1308" t="s">
        <v>42</v>
      </c>
      <c r="G1308" t="s">
        <v>43</v>
      </c>
      <c r="H1308" s="8">
        <v>2</v>
      </c>
      <c r="I1308" s="10">
        <v>89</v>
      </c>
      <c r="J1308" s="14">
        <f>P1308*I1308</f>
        <v>178</v>
      </c>
      <c r="K1308" s="16">
        <v>0.19</v>
      </c>
      <c r="L1308" s="1" t="s">
        <v>30</v>
      </c>
      <c r="M1308" t="s">
        <v>22</v>
      </c>
      <c r="N1308" t="str">
        <f t="shared" si="23"/>
        <v>Germany</v>
      </c>
      <c r="O1308" s="8">
        <f>IF(K1308&gt;=1,K1308,K1308*1000)</f>
        <v>190</v>
      </c>
      <c r="P1308">
        <f>ABS(H1308)</f>
        <v>2</v>
      </c>
      <c r="R1308"/>
    </row>
    <row r="1309" spans="1:18" x14ac:dyDescent="0.35">
      <c r="A1309" t="s">
        <v>2470</v>
      </c>
      <c r="B1309" s="2">
        <v>46044</v>
      </c>
      <c r="C1309" t="s">
        <v>1883</v>
      </c>
      <c r="D1309" s="3" t="s">
        <v>99</v>
      </c>
      <c r="E1309" t="s">
        <v>41</v>
      </c>
      <c r="F1309" t="s">
        <v>35</v>
      </c>
      <c r="G1309" t="s">
        <v>36</v>
      </c>
      <c r="H1309" s="8">
        <v>1</v>
      </c>
      <c r="I1309" s="10">
        <v>40.5</v>
      </c>
      <c r="J1309" s="14">
        <f>P1309*I1309</f>
        <v>40.5</v>
      </c>
      <c r="K1309" s="16">
        <v>85</v>
      </c>
      <c r="L1309" s="1" t="s">
        <v>30</v>
      </c>
      <c r="M1309" t="s">
        <v>22</v>
      </c>
      <c r="N1309" t="str">
        <f t="shared" si="23"/>
        <v>United Kingdom</v>
      </c>
      <c r="O1309" s="8">
        <f>IF(K1309&gt;=1,K1309,K1309*1000)</f>
        <v>85</v>
      </c>
      <c r="P1309">
        <f>ABS(H1309)</f>
        <v>1</v>
      </c>
      <c r="R1309"/>
    </row>
    <row r="1310" spans="1:18" x14ac:dyDescent="0.35">
      <c r="A1310" t="s">
        <v>2471</v>
      </c>
      <c r="B1310" s="2">
        <v>46184</v>
      </c>
      <c r="C1310" t="s">
        <v>260</v>
      </c>
      <c r="D1310" s="3" t="s">
        <v>46</v>
      </c>
      <c r="E1310" t="s">
        <v>41</v>
      </c>
      <c r="F1310" t="s">
        <v>17</v>
      </c>
      <c r="G1310" t="s">
        <v>18</v>
      </c>
      <c r="H1310" s="8">
        <v>1</v>
      </c>
      <c r="I1310" s="10">
        <v>85.5</v>
      </c>
      <c r="J1310" s="14">
        <f>P1310*I1310</f>
        <v>85.5</v>
      </c>
      <c r="K1310" s="16">
        <v>0.52</v>
      </c>
      <c r="L1310" s="1" t="s">
        <v>21</v>
      </c>
      <c r="M1310" t="s">
        <v>22</v>
      </c>
      <c r="N1310" t="str">
        <f t="shared" si="23"/>
        <v>Ireland</v>
      </c>
      <c r="O1310" s="8">
        <f>IF(K1310&gt;=1,K1310,K1310*1000)</f>
        <v>520</v>
      </c>
      <c r="P1310">
        <f>ABS(H1310)</f>
        <v>1</v>
      </c>
      <c r="R1310"/>
    </row>
    <row r="1311" spans="1:18" x14ac:dyDescent="0.35">
      <c r="A1311" t="s">
        <v>2472</v>
      </c>
      <c r="B1311" s="2">
        <v>46131</v>
      </c>
      <c r="C1311" t="s">
        <v>2473</v>
      </c>
      <c r="D1311" s="3" t="s">
        <v>61</v>
      </c>
      <c r="E1311" t="s">
        <v>16</v>
      </c>
      <c r="F1311" t="s">
        <v>74</v>
      </c>
      <c r="G1311" t="s">
        <v>75</v>
      </c>
      <c r="H1311" s="8">
        <v>3</v>
      </c>
      <c r="I1311" s="10">
        <v>129</v>
      </c>
      <c r="J1311" s="14">
        <f>P1311*I1311</f>
        <v>387</v>
      </c>
      <c r="K1311" s="16">
        <v>410</v>
      </c>
      <c r="L1311" s="1" t="s">
        <v>30</v>
      </c>
      <c r="M1311" t="s">
        <v>22</v>
      </c>
      <c r="N1311" t="str">
        <f t="shared" si="23"/>
        <v>Ireland</v>
      </c>
      <c r="O1311" s="8">
        <f>IF(K1311&gt;=1,K1311,K1311*1000)</f>
        <v>410</v>
      </c>
      <c r="P1311">
        <f>ABS(H1311)</f>
        <v>3</v>
      </c>
      <c r="R1311"/>
    </row>
    <row r="1312" spans="1:18" x14ac:dyDescent="0.35">
      <c r="A1312" t="s">
        <v>2474</v>
      </c>
      <c r="B1312" s="2">
        <v>46207</v>
      </c>
      <c r="C1312" t="s">
        <v>337</v>
      </c>
      <c r="D1312" s="3" t="s">
        <v>46</v>
      </c>
      <c r="E1312" t="s">
        <v>67</v>
      </c>
      <c r="F1312" t="s">
        <v>42</v>
      </c>
      <c r="G1312" t="s">
        <v>43</v>
      </c>
      <c r="H1312" s="8">
        <v>1</v>
      </c>
      <c r="I1312" s="10">
        <v>79</v>
      </c>
      <c r="J1312" s="14">
        <f>P1312*I1312</f>
        <v>79</v>
      </c>
      <c r="K1312" s="16">
        <v>0.19</v>
      </c>
      <c r="L1312" s="1" t="s">
        <v>30</v>
      </c>
      <c r="M1312" t="s">
        <v>22</v>
      </c>
      <c r="N1312" t="str">
        <f t="shared" si="23"/>
        <v>Ireland</v>
      </c>
      <c r="O1312" s="8">
        <f>IF(K1312&gt;=1,K1312,K1312*1000)</f>
        <v>190</v>
      </c>
      <c r="P1312">
        <f>ABS(H1312)</f>
        <v>1</v>
      </c>
      <c r="R1312"/>
    </row>
    <row r="1313" spans="1:18" x14ac:dyDescent="0.35">
      <c r="A1313" t="s">
        <v>2475</v>
      </c>
      <c r="B1313" s="2">
        <v>46203</v>
      </c>
      <c r="C1313" t="s">
        <v>2148</v>
      </c>
      <c r="D1313" s="3" t="s">
        <v>46</v>
      </c>
      <c r="E1313" t="s">
        <v>34</v>
      </c>
      <c r="F1313" t="s">
        <v>74</v>
      </c>
      <c r="G1313" t="s">
        <v>75</v>
      </c>
      <c r="H1313" s="8">
        <v>3</v>
      </c>
      <c r="I1313" s="10">
        <v>11.25</v>
      </c>
      <c r="J1313" s="14">
        <f>P1313*I1313</f>
        <v>33.75</v>
      </c>
      <c r="K1313" s="16">
        <v>0.41</v>
      </c>
      <c r="L1313" s="1" t="s">
        <v>30</v>
      </c>
      <c r="M1313" t="s">
        <v>22</v>
      </c>
      <c r="N1313" t="str">
        <f t="shared" si="23"/>
        <v>Ireland</v>
      </c>
      <c r="O1313" s="8">
        <f>IF(K1313&gt;=1,K1313,K1313*1000)</f>
        <v>410</v>
      </c>
      <c r="P1313">
        <f>ABS(H1313)</f>
        <v>3</v>
      </c>
      <c r="R1313"/>
    </row>
    <row r="1314" spans="1:18" x14ac:dyDescent="0.35">
      <c r="A1314" t="s">
        <v>2476</v>
      </c>
      <c r="B1314" s="2">
        <v>46205</v>
      </c>
      <c r="C1314" t="s">
        <v>2477</v>
      </c>
      <c r="D1314" s="3" t="s">
        <v>4613</v>
      </c>
      <c r="E1314" t="s">
        <v>67</v>
      </c>
      <c r="F1314" t="s">
        <v>42</v>
      </c>
      <c r="G1314" t="s">
        <v>43</v>
      </c>
      <c r="H1314" s="8">
        <v>1</v>
      </c>
      <c r="I1314" s="10">
        <v>24</v>
      </c>
      <c r="J1314" s="14">
        <f>P1314*I1314</f>
        <v>24</v>
      </c>
      <c r="K1314" s="16">
        <v>0.19</v>
      </c>
      <c r="L1314" s="1" t="s">
        <v>30</v>
      </c>
      <c r="M1314" t="s">
        <v>58</v>
      </c>
      <c r="N1314" t="str">
        <f t="shared" si="23"/>
        <v>United Kingdom</v>
      </c>
      <c r="O1314" s="8">
        <f>IF(K1314&gt;=1,K1314,K1314*1000)</f>
        <v>190</v>
      </c>
      <c r="P1314">
        <f>ABS(H1314)</f>
        <v>1</v>
      </c>
      <c r="R1314"/>
    </row>
    <row r="1315" spans="1:18" x14ac:dyDescent="0.35">
      <c r="A1315" t="s">
        <v>2478</v>
      </c>
      <c r="B1315" s="2">
        <v>46169</v>
      </c>
      <c r="C1315" t="s">
        <v>1796</v>
      </c>
      <c r="D1315" s="3" t="s">
        <v>99</v>
      </c>
      <c r="E1315" t="s">
        <v>41</v>
      </c>
      <c r="F1315" t="s">
        <v>17</v>
      </c>
      <c r="G1315" t="s">
        <v>18</v>
      </c>
      <c r="H1315" s="8">
        <v>3</v>
      </c>
      <c r="I1315" s="12" t="s">
        <v>4618</v>
      </c>
      <c r="J1315" s="14">
        <f>P1315*R1315</f>
        <v>240.29999999999998</v>
      </c>
      <c r="K1315" s="16">
        <v>0.52</v>
      </c>
      <c r="L1315" s="1" t="s">
        <v>30</v>
      </c>
      <c r="M1315" t="s">
        <v>22</v>
      </c>
      <c r="N1315" t="str">
        <f t="shared" si="23"/>
        <v>United Kingdom</v>
      </c>
      <c r="O1315" s="8">
        <f>IF(K1315&gt;=1,K1315,K1315*1000)</f>
        <v>520</v>
      </c>
      <c r="P1315">
        <f>ABS(H1315)</f>
        <v>3</v>
      </c>
      <c r="Q1315" t="str">
        <f>LEFT(I1315,2)</f>
        <v>Â£</v>
      </c>
      <c r="R1315" t="str">
        <f>RIGHT(I1315,5)</f>
        <v>80,10</v>
      </c>
    </row>
    <row r="1316" spans="1:18" x14ac:dyDescent="0.35">
      <c r="A1316" t="s">
        <v>2479</v>
      </c>
      <c r="B1316" s="2">
        <v>46035</v>
      </c>
      <c r="C1316" t="s">
        <v>1852</v>
      </c>
      <c r="D1316" s="3" t="s">
        <v>116</v>
      </c>
      <c r="E1316" t="s">
        <v>16</v>
      </c>
      <c r="F1316" t="s">
        <v>47</v>
      </c>
      <c r="G1316" t="s">
        <v>48</v>
      </c>
      <c r="H1316" s="8">
        <v>2</v>
      </c>
      <c r="I1316" s="10">
        <v>79</v>
      </c>
      <c r="J1316" s="14">
        <f>P1316*I1316</f>
        <v>158</v>
      </c>
      <c r="K1316" s="16">
        <v>380</v>
      </c>
      <c r="L1316" s="1" t="s">
        <v>30</v>
      </c>
      <c r="M1316" t="s">
        <v>22</v>
      </c>
      <c r="N1316" t="str">
        <f t="shared" si="23"/>
        <v>Germany</v>
      </c>
      <c r="O1316" s="8">
        <f>IF(K1316&gt;=1,K1316,K1316*1000)</f>
        <v>380</v>
      </c>
      <c r="P1316">
        <f>ABS(H1316)</f>
        <v>2</v>
      </c>
      <c r="R1316"/>
    </row>
    <row r="1317" spans="1:18" x14ac:dyDescent="0.35">
      <c r="A1317" t="s">
        <v>2480</v>
      </c>
      <c r="B1317" s="2" t="s">
        <v>1080</v>
      </c>
      <c r="C1317" t="s">
        <v>1044</v>
      </c>
      <c r="D1317" s="3" t="s">
        <v>53</v>
      </c>
      <c r="E1317" t="s">
        <v>41</v>
      </c>
      <c r="F1317" t="s">
        <v>74</v>
      </c>
      <c r="G1317" t="s">
        <v>75</v>
      </c>
      <c r="H1317" s="8">
        <v>1</v>
      </c>
      <c r="I1317" s="12" t="s">
        <v>4636</v>
      </c>
      <c r="J1317" s="14">
        <f>P1317*R1317</f>
        <v>89</v>
      </c>
      <c r="K1317" s="16">
        <v>0.41</v>
      </c>
      <c r="L1317" s="1" t="s">
        <v>21</v>
      </c>
      <c r="M1317" t="s">
        <v>22</v>
      </c>
      <c r="N1317" t="str">
        <f t="shared" si="23"/>
        <v>Gb</v>
      </c>
      <c r="O1317" s="8">
        <f>IF(K1317&gt;=1,K1317,K1317*1000)</f>
        <v>410</v>
      </c>
      <c r="P1317">
        <f>ABS(H1317)</f>
        <v>1</v>
      </c>
      <c r="Q1317" t="str">
        <f>LEFT(I1317,2)</f>
        <v>Â£</v>
      </c>
      <c r="R1317" t="str">
        <f>RIGHT(I1317,5)</f>
        <v>89,00</v>
      </c>
    </row>
    <row r="1318" spans="1:18" x14ac:dyDescent="0.35">
      <c r="A1318" t="s">
        <v>2481</v>
      </c>
      <c r="B1318" s="2">
        <v>46068</v>
      </c>
      <c r="C1318" t="s">
        <v>2482</v>
      </c>
      <c r="D1318" s="3" t="s">
        <v>99</v>
      </c>
      <c r="E1318" t="s">
        <v>41</v>
      </c>
      <c r="F1318" t="s">
        <v>47</v>
      </c>
      <c r="G1318" t="s">
        <v>48</v>
      </c>
      <c r="H1318" s="8">
        <v>1</v>
      </c>
      <c r="I1318" s="10">
        <v>24</v>
      </c>
      <c r="J1318" s="14">
        <f>P1318*I1318</f>
        <v>24</v>
      </c>
      <c r="K1318" s="16">
        <v>380</v>
      </c>
      <c r="L1318" s="1" t="s">
        <v>30</v>
      </c>
      <c r="M1318" t="s">
        <v>22</v>
      </c>
      <c r="N1318" t="str">
        <f t="shared" si="23"/>
        <v>United Kingdom</v>
      </c>
      <c r="O1318" s="8">
        <f>IF(K1318&gt;=1,K1318,K1318*1000)</f>
        <v>380</v>
      </c>
      <c r="P1318">
        <f>ABS(H1318)</f>
        <v>1</v>
      </c>
      <c r="R1318"/>
    </row>
    <row r="1319" spans="1:18" x14ac:dyDescent="0.35">
      <c r="A1319" t="s">
        <v>2483</v>
      </c>
      <c r="B1319" s="2">
        <v>46128</v>
      </c>
      <c r="C1319" t="s">
        <v>2484</v>
      </c>
      <c r="D1319" s="3" t="s">
        <v>4613</v>
      </c>
      <c r="E1319" t="s">
        <v>16</v>
      </c>
      <c r="F1319" t="s">
        <v>26</v>
      </c>
      <c r="G1319" t="s">
        <v>27</v>
      </c>
      <c r="H1319" s="8">
        <v>1</v>
      </c>
      <c r="I1319" s="10">
        <v>40.5</v>
      </c>
      <c r="J1319" s="14">
        <f>P1319*I1319</f>
        <v>40.5</v>
      </c>
      <c r="K1319" s="16">
        <v>520</v>
      </c>
      <c r="L1319" s="1" t="s">
        <v>30</v>
      </c>
      <c r="M1319" t="s">
        <v>22</v>
      </c>
      <c r="N1319" t="str">
        <f t="shared" si="23"/>
        <v>United Kingdom</v>
      </c>
      <c r="O1319" s="8">
        <f>IF(K1319&gt;=1,K1319,K1319*1000)</f>
        <v>520</v>
      </c>
      <c r="P1319">
        <f>ABS(H1319)</f>
        <v>1</v>
      </c>
      <c r="R1319"/>
    </row>
    <row r="1320" spans="1:18" x14ac:dyDescent="0.35">
      <c r="A1320" t="s">
        <v>2485</v>
      </c>
      <c r="B1320" s="2">
        <v>46048</v>
      </c>
      <c r="C1320" t="s">
        <v>2486</v>
      </c>
      <c r="D1320" s="3" t="s">
        <v>15</v>
      </c>
      <c r="E1320" t="s">
        <v>34</v>
      </c>
      <c r="F1320" t="s">
        <v>89</v>
      </c>
      <c r="G1320" t="s">
        <v>90</v>
      </c>
      <c r="H1320" s="8">
        <v>1</v>
      </c>
      <c r="I1320" s="10">
        <v>116.1</v>
      </c>
      <c r="J1320" s="14">
        <f>P1320*I1320</f>
        <v>116.1</v>
      </c>
      <c r="K1320" s="16">
        <v>640</v>
      </c>
      <c r="L1320" s="1" t="s">
        <v>21</v>
      </c>
      <c r="M1320" t="s">
        <v>22</v>
      </c>
      <c r="N1320" t="str">
        <f t="shared" si="23"/>
        <v>France</v>
      </c>
      <c r="O1320" s="8">
        <f>IF(K1320&gt;=1,K1320,K1320*1000)</f>
        <v>640</v>
      </c>
      <c r="P1320">
        <f>ABS(H1320)</f>
        <v>1</v>
      </c>
      <c r="R1320"/>
    </row>
    <row r="1321" spans="1:18" x14ac:dyDescent="0.35">
      <c r="A1321" t="s">
        <v>2487</v>
      </c>
      <c r="B1321" s="2">
        <v>46120</v>
      </c>
      <c r="C1321" t="s">
        <v>1042</v>
      </c>
      <c r="D1321" s="3" t="s">
        <v>66</v>
      </c>
      <c r="E1321" t="s">
        <v>41</v>
      </c>
      <c r="F1321" t="s">
        <v>47</v>
      </c>
      <c r="G1321" t="s">
        <v>48</v>
      </c>
      <c r="H1321" s="8">
        <v>1</v>
      </c>
      <c r="I1321" s="10">
        <v>40.5</v>
      </c>
      <c r="J1321" s="14">
        <f>P1321*I1321</f>
        <v>40.5</v>
      </c>
      <c r="K1321" s="16">
        <v>380</v>
      </c>
      <c r="L1321" s="1" t="s">
        <v>30</v>
      </c>
      <c r="M1321" t="s">
        <v>58</v>
      </c>
      <c r="N1321" t="str">
        <f t="shared" si="23"/>
        <v>Gb</v>
      </c>
      <c r="O1321" s="8">
        <f>IF(K1321&gt;=1,K1321,K1321*1000)</f>
        <v>380</v>
      </c>
      <c r="P1321">
        <f>ABS(H1321)</f>
        <v>1</v>
      </c>
      <c r="R1321"/>
    </row>
    <row r="1322" spans="1:18" x14ac:dyDescent="0.35">
      <c r="A1322" t="s">
        <v>2488</v>
      </c>
      <c r="B1322" s="2">
        <v>46079</v>
      </c>
      <c r="C1322" t="s">
        <v>2489</v>
      </c>
      <c r="D1322" s="3" t="s">
        <v>15</v>
      </c>
      <c r="E1322" t="s">
        <v>25</v>
      </c>
      <c r="F1322" t="s">
        <v>26</v>
      </c>
      <c r="G1322" t="s">
        <v>27</v>
      </c>
      <c r="H1322" s="8">
        <v>2</v>
      </c>
      <c r="I1322" s="10">
        <v>80.099999999999994</v>
      </c>
      <c r="J1322" s="14">
        <f>P1322*I1322</f>
        <v>160.19999999999999</v>
      </c>
      <c r="K1322" s="16">
        <v>520</v>
      </c>
      <c r="L1322" s="1" t="s">
        <v>30</v>
      </c>
      <c r="M1322" t="s">
        <v>58</v>
      </c>
      <c r="N1322" t="str">
        <f t="shared" si="23"/>
        <v>France</v>
      </c>
      <c r="O1322" s="8">
        <f>IF(K1322&gt;=1,K1322,K1322*1000)</f>
        <v>520</v>
      </c>
      <c r="P1322">
        <f>ABS(H1322)</f>
        <v>2</v>
      </c>
      <c r="R1322"/>
    </row>
    <row r="1323" spans="1:18" x14ac:dyDescent="0.35">
      <c r="A1323" t="s">
        <v>2490</v>
      </c>
      <c r="B1323" s="2" t="s">
        <v>888</v>
      </c>
      <c r="C1323" t="s">
        <v>2491</v>
      </c>
      <c r="D1323" s="3" t="s">
        <v>99</v>
      </c>
      <c r="E1323" t="s">
        <v>41</v>
      </c>
      <c r="F1323" t="s">
        <v>17</v>
      </c>
      <c r="G1323" t="s">
        <v>18</v>
      </c>
      <c r="H1323" s="8">
        <v>2</v>
      </c>
      <c r="I1323" s="10">
        <v>149</v>
      </c>
      <c r="J1323" s="14">
        <f>P1323*I1323</f>
        <v>298</v>
      </c>
      <c r="K1323" s="16">
        <v>520</v>
      </c>
      <c r="L1323" s="1" t="s">
        <v>21</v>
      </c>
      <c r="M1323" t="s">
        <v>22</v>
      </c>
      <c r="N1323" t="str">
        <f t="shared" si="23"/>
        <v>United Kingdom</v>
      </c>
      <c r="O1323" s="8">
        <f>IF(K1323&gt;=1,K1323,K1323*1000)</f>
        <v>520</v>
      </c>
      <c r="P1323">
        <f>ABS(H1323)</f>
        <v>2</v>
      </c>
      <c r="R1323"/>
    </row>
    <row r="1324" spans="1:18" x14ac:dyDescent="0.35">
      <c r="A1324" t="s">
        <v>2492</v>
      </c>
      <c r="B1324" s="2">
        <v>46128</v>
      </c>
      <c r="C1324" t="s">
        <v>2493</v>
      </c>
      <c r="D1324" s="3" t="s">
        <v>4612</v>
      </c>
      <c r="E1324" t="s">
        <v>67</v>
      </c>
      <c r="F1324" t="s">
        <v>42</v>
      </c>
      <c r="G1324" t="s">
        <v>43</v>
      </c>
      <c r="H1324" s="8">
        <v>1</v>
      </c>
      <c r="I1324" s="10">
        <v>85.5</v>
      </c>
      <c r="J1324" s="14">
        <f>P1324*I1324</f>
        <v>85.5</v>
      </c>
      <c r="K1324" s="16">
        <v>190</v>
      </c>
      <c r="L1324" s="1" t="s">
        <v>30</v>
      </c>
      <c r="M1324" t="s">
        <v>22</v>
      </c>
      <c r="N1324" t="str">
        <f t="shared" si="23"/>
        <v>United Kingdom</v>
      </c>
      <c r="O1324" s="8">
        <f>IF(K1324&gt;=1,K1324,K1324*1000)</f>
        <v>190</v>
      </c>
      <c r="P1324">
        <f>ABS(H1324)</f>
        <v>1</v>
      </c>
      <c r="R1324"/>
    </row>
    <row r="1325" spans="1:18" x14ac:dyDescent="0.35">
      <c r="A1325" t="s">
        <v>2495</v>
      </c>
      <c r="B1325" s="2">
        <v>46092</v>
      </c>
      <c r="C1325" t="s">
        <v>1969</v>
      </c>
      <c r="D1325" s="3" t="s">
        <v>4613</v>
      </c>
      <c r="E1325" t="s">
        <v>41</v>
      </c>
      <c r="F1325" t="s">
        <v>83</v>
      </c>
      <c r="G1325" t="s">
        <v>84</v>
      </c>
      <c r="H1325" s="8">
        <v>1</v>
      </c>
      <c r="I1325" s="10">
        <v>40.5</v>
      </c>
      <c r="J1325" s="14">
        <f>P1325*I1325</f>
        <v>40.5</v>
      </c>
      <c r="K1325" s="16">
        <v>340</v>
      </c>
      <c r="L1325" s="1" t="s">
        <v>30</v>
      </c>
      <c r="M1325" t="s">
        <v>22</v>
      </c>
      <c r="N1325" t="str">
        <f t="shared" si="23"/>
        <v>United Kingdom</v>
      </c>
      <c r="O1325" s="8">
        <f>IF(K1325&gt;=1,K1325,K1325*1000)</f>
        <v>340</v>
      </c>
      <c r="P1325">
        <f>ABS(H1325)</f>
        <v>1</v>
      </c>
      <c r="R1325"/>
    </row>
    <row r="1326" spans="1:18" x14ac:dyDescent="0.35">
      <c r="A1326" t="s">
        <v>2496</v>
      </c>
      <c r="B1326" s="2" t="s">
        <v>424</v>
      </c>
      <c r="C1326" t="s">
        <v>950</v>
      </c>
      <c r="D1326" s="3" t="s">
        <v>66</v>
      </c>
      <c r="E1326" t="s">
        <v>67</v>
      </c>
      <c r="F1326" t="s">
        <v>35</v>
      </c>
      <c r="G1326" t="s">
        <v>36</v>
      </c>
      <c r="H1326" s="8">
        <v>3</v>
      </c>
      <c r="I1326" s="10">
        <v>79</v>
      </c>
      <c r="J1326" s="14">
        <f>P1326*I1326</f>
        <v>237</v>
      </c>
      <c r="K1326" s="16">
        <v>85</v>
      </c>
      <c r="L1326" s="1" t="s">
        <v>30</v>
      </c>
      <c r="M1326" t="s">
        <v>22</v>
      </c>
      <c r="N1326" t="str">
        <f t="shared" si="23"/>
        <v>Gb</v>
      </c>
      <c r="O1326" s="8">
        <f>IF(K1326&gt;=1,K1326,K1326*1000)</f>
        <v>85</v>
      </c>
      <c r="P1326">
        <f>ABS(H1326)</f>
        <v>3</v>
      </c>
      <c r="R1326"/>
    </row>
    <row r="1327" spans="1:18" x14ac:dyDescent="0.35">
      <c r="A1327" t="s">
        <v>2497</v>
      </c>
      <c r="B1327" s="2">
        <v>46053</v>
      </c>
      <c r="C1327" t="s">
        <v>1428</v>
      </c>
      <c r="D1327" s="3" t="s">
        <v>46</v>
      </c>
      <c r="E1327" t="s">
        <v>67</v>
      </c>
      <c r="F1327" t="s">
        <v>83</v>
      </c>
      <c r="G1327" t="s">
        <v>84</v>
      </c>
      <c r="H1327" s="8">
        <v>2</v>
      </c>
      <c r="I1327" s="10">
        <v>12.5</v>
      </c>
      <c r="J1327" s="14">
        <f>P1327*I1327</f>
        <v>25</v>
      </c>
      <c r="K1327" s="16">
        <v>340</v>
      </c>
      <c r="L1327" s="1" t="s">
        <v>21</v>
      </c>
      <c r="M1327" t="s">
        <v>22</v>
      </c>
      <c r="N1327" t="str">
        <f t="shared" si="23"/>
        <v>Ireland</v>
      </c>
      <c r="O1327" s="8">
        <f>IF(K1327&gt;=1,K1327,K1327*1000)</f>
        <v>340</v>
      </c>
      <c r="P1327">
        <f>ABS(H1327)</f>
        <v>2</v>
      </c>
      <c r="R1327"/>
    </row>
    <row r="1328" spans="1:18" x14ac:dyDescent="0.35">
      <c r="A1328" t="s">
        <v>2498</v>
      </c>
      <c r="B1328" s="2">
        <v>46146</v>
      </c>
      <c r="C1328" t="s">
        <v>2499</v>
      </c>
      <c r="D1328" s="3" t="s">
        <v>116</v>
      </c>
      <c r="E1328" t="s">
        <v>34</v>
      </c>
      <c r="F1328" t="s">
        <v>42</v>
      </c>
      <c r="G1328" t="s">
        <v>43</v>
      </c>
      <c r="H1328" s="8">
        <v>3</v>
      </c>
      <c r="I1328" s="10">
        <v>21.6</v>
      </c>
      <c r="J1328" s="14">
        <f>P1328*I1328</f>
        <v>64.800000000000011</v>
      </c>
      <c r="K1328" s="16">
        <v>0.19</v>
      </c>
      <c r="L1328" s="1" t="s">
        <v>30</v>
      </c>
      <c r="M1328" t="s">
        <v>22</v>
      </c>
      <c r="N1328" t="str">
        <f t="shared" si="23"/>
        <v>Germany</v>
      </c>
      <c r="O1328" s="8">
        <f>IF(K1328&gt;=1,K1328,K1328*1000)</f>
        <v>190</v>
      </c>
      <c r="P1328">
        <f>ABS(H1328)</f>
        <v>3</v>
      </c>
      <c r="R1328"/>
    </row>
    <row r="1329" spans="1:18" x14ac:dyDescent="0.35">
      <c r="A1329" t="s">
        <v>2500</v>
      </c>
      <c r="B1329" s="2">
        <v>46198</v>
      </c>
      <c r="C1329" t="s">
        <v>2501</v>
      </c>
      <c r="D1329" s="3" t="s">
        <v>4612</v>
      </c>
      <c r="E1329" t="s">
        <v>34</v>
      </c>
      <c r="F1329" t="s">
        <v>74</v>
      </c>
      <c r="G1329" t="s">
        <v>75</v>
      </c>
      <c r="H1329" s="8">
        <v>1</v>
      </c>
      <c r="I1329" s="10">
        <v>12.5</v>
      </c>
      <c r="J1329" s="14">
        <f>P1329*I1329</f>
        <v>12.5</v>
      </c>
      <c r="K1329" s="16">
        <v>0.41</v>
      </c>
      <c r="L1329" s="1" t="s">
        <v>30</v>
      </c>
      <c r="M1329" t="s">
        <v>58</v>
      </c>
      <c r="N1329" t="str">
        <f t="shared" si="23"/>
        <v>United Kingdom</v>
      </c>
      <c r="O1329" s="8">
        <f>IF(K1329&gt;=1,K1329,K1329*1000)</f>
        <v>410</v>
      </c>
      <c r="P1329">
        <f>ABS(H1329)</f>
        <v>1</v>
      </c>
      <c r="R1329"/>
    </row>
    <row r="1330" spans="1:18" x14ac:dyDescent="0.35">
      <c r="A1330" t="s">
        <v>2502</v>
      </c>
      <c r="B1330" s="2">
        <v>46166</v>
      </c>
      <c r="C1330" t="s">
        <v>529</v>
      </c>
      <c r="D1330" s="3" t="s">
        <v>99</v>
      </c>
      <c r="E1330" t="s">
        <v>67</v>
      </c>
      <c r="F1330" t="s">
        <v>74</v>
      </c>
      <c r="G1330" t="s">
        <v>75</v>
      </c>
      <c r="H1330" s="8">
        <v>2</v>
      </c>
      <c r="I1330" s="10">
        <v>45</v>
      </c>
      <c r="J1330" s="14">
        <f>P1330*I1330</f>
        <v>90</v>
      </c>
      <c r="K1330" s="16">
        <v>0.41</v>
      </c>
      <c r="L1330" s="1" t="s">
        <v>30</v>
      </c>
      <c r="M1330" t="s">
        <v>22</v>
      </c>
      <c r="N1330" t="str">
        <f t="shared" si="23"/>
        <v>United Kingdom</v>
      </c>
      <c r="O1330" s="8">
        <f>IF(K1330&gt;=1,K1330,K1330*1000)</f>
        <v>410</v>
      </c>
      <c r="P1330">
        <f>ABS(H1330)</f>
        <v>2</v>
      </c>
      <c r="R1330"/>
    </row>
    <row r="1331" spans="1:18" x14ac:dyDescent="0.35">
      <c r="A1331" t="s">
        <v>2504</v>
      </c>
      <c r="B1331" s="2">
        <v>46159</v>
      </c>
      <c r="C1331" t="s">
        <v>1013</v>
      </c>
      <c r="D1331" s="3" t="s">
        <v>4612</v>
      </c>
      <c r="E1331" t="s">
        <v>16</v>
      </c>
      <c r="F1331" t="s">
        <v>89</v>
      </c>
      <c r="G1331" t="s">
        <v>90</v>
      </c>
      <c r="H1331" s="8">
        <v>2</v>
      </c>
      <c r="I1331" s="10">
        <v>45</v>
      </c>
      <c r="J1331" s="14">
        <f>P1331*I1331</f>
        <v>90</v>
      </c>
      <c r="K1331" s="16">
        <v>0.64</v>
      </c>
      <c r="L1331" s="1" t="s">
        <v>30</v>
      </c>
      <c r="M1331" t="s">
        <v>22</v>
      </c>
      <c r="N1331" t="str">
        <f t="shared" si="23"/>
        <v>United Kingdom</v>
      </c>
      <c r="O1331" s="8">
        <f>IF(K1331&gt;=1,K1331,K1331*1000)</f>
        <v>640</v>
      </c>
      <c r="P1331">
        <f>ABS(H1331)</f>
        <v>2</v>
      </c>
      <c r="R1331"/>
    </row>
    <row r="1332" spans="1:18" x14ac:dyDescent="0.35">
      <c r="A1332" t="s">
        <v>2505</v>
      </c>
      <c r="B1332" s="2">
        <v>46110</v>
      </c>
      <c r="C1332" t="s">
        <v>199</v>
      </c>
      <c r="D1332" s="3" t="s">
        <v>66</v>
      </c>
      <c r="E1332" t="s">
        <v>41</v>
      </c>
      <c r="F1332" t="s">
        <v>26</v>
      </c>
      <c r="G1332" t="s">
        <v>27</v>
      </c>
      <c r="H1332" s="8">
        <v>2</v>
      </c>
      <c r="I1332" s="10">
        <v>21.6</v>
      </c>
      <c r="J1332" s="14">
        <f>P1332*I1332</f>
        <v>43.2</v>
      </c>
      <c r="K1332" s="16">
        <v>520</v>
      </c>
      <c r="L1332" s="1" t="s">
        <v>30</v>
      </c>
      <c r="M1332" t="s">
        <v>22</v>
      </c>
      <c r="N1332" t="str">
        <f t="shared" si="23"/>
        <v>Gb</v>
      </c>
      <c r="O1332" s="8">
        <f>IF(K1332&gt;=1,K1332,K1332*1000)</f>
        <v>520</v>
      </c>
      <c r="P1332">
        <f>ABS(H1332)</f>
        <v>2</v>
      </c>
      <c r="R1332"/>
    </row>
    <row r="1333" spans="1:18" x14ac:dyDescent="0.35">
      <c r="A1333" t="s">
        <v>2506</v>
      </c>
      <c r="B1333" s="2">
        <v>46208</v>
      </c>
      <c r="C1333" t="s">
        <v>2507</v>
      </c>
      <c r="D1333" s="3" t="s">
        <v>61</v>
      </c>
      <c r="E1333" t="s">
        <v>16</v>
      </c>
      <c r="F1333" t="s">
        <v>26</v>
      </c>
      <c r="G1333" t="s">
        <v>27</v>
      </c>
      <c r="H1333" s="8">
        <v>3</v>
      </c>
      <c r="I1333" s="10">
        <v>24</v>
      </c>
      <c r="J1333" s="14">
        <f>P1333*I1333</f>
        <v>72</v>
      </c>
      <c r="K1333" s="16">
        <v>0.52</v>
      </c>
      <c r="L1333" s="1" t="s">
        <v>30</v>
      </c>
      <c r="M1333" t="s">
        <v>22</v>
      </c>
      <c r="N1333" t="str">
        <f t="shared" si="23"/>
        <v>Ireland</v>
      </c>
      <c r="O1333" s="8">
        <f>IF(K1333&gt;=1,K1333,K1333*1000)</f>
        <v>520</v>
      </c>
      <c r="P1333">
        <f>ABS(H1333)</f>
        <v>3</v>
      </c>
      <c r="R1333"/>
    </row>
    <row r="1334" spans="1:18" x14ac:dyDescent="0.35">
      <c r="A1334" t="s">
        <v>2508</v>
      </c>
      <c r="B1334" s="2">
        <v>46206</v>
      </c>
      <c r="C1334" t="s">
        <v>2509</v>
      </c>
      <c r="D1334" s="3" t="s">
        <v>53</v>
      </c>
      <c r="E1334" t="s">
        <v>25</v>
      </c>
      <c r="F1334" t="s">
        <v>89</v>
      </c>
      <c r="G1334" t="s">
        <v>90</v>
      </c>
      <c r="H1334" s="8">
        <v>3</v>
      </c>
      <c r="I1334" s="10">
        <v>129</v>
      </c>
      <c r="J1334" s="14">
        <f>P1334*I1334</f>
        <v>387</v>
      </c>
      <c r="K1334" s="16">
        <v>0.64</v>
      </c>
      <c r="L1334" s="1" t="s">
        <v>21</v>
      </c>
      <c r="M1334" t="s">
        <v>22</v>
      </c>
      <c r="N1334" t="str">
        <f t="shared" si="23"/>
        <v>Gb</v>
      </c>
      <c r="O1334" s="8">
        <f>IF(K1334&gt;=1,K1334,K1334*1000)</f>
        <v>640</v>
      </c>
      <c r="P1334">
        <f>ABS(H1334)</f>
        <v>3</v>
      </c>
      <c r="R1334"/>
    </row>
    <row r="1335" spans="1:18" x14ac:dyDescent="0.35">
      <c r="A1335" t="s">
        <v>2511</v>
      </c>
      <c r="B1335" s="2">
        <v>46120</v>
      </c>
      <c r="C1335" t="s">
        <v>1715</v>
      </c>
      <c r="D1335" s="3" t="s">
        <v>4613</v>
      </c>
      <c r="E1335" t="s">
        <v>16</v>
      </c>
      <c r="F1335" t="s">
        <v>26</v>
      </c>
      <c r="G1335" t="s">
        <v>27</v>
      </c>
      <c r="H1335" s="8">
        <v>1</v>
      </c>
      <c r="I1335" s="10">
        <v>71.099999999999994</v>
      </c>
      <c r="J1335" s="14">
        <f>P1335*I1335</f>
        <v>71.099999999999994</v>
      </c>
      <c r="K1335" s="16">
        <v>520</v>
      </c>
      <c r="L1335" s="1" t="s">
        <v>30</v>
      </c>
      <c r="M1335" t="s">
        <v>22</v>
      </c>
      <c r="N1335" t="str">
        <f t="shared" si="23"/>
        <v>United Kingdom</v>
      </c>
      <c r="O1335" s="8">
        <f>IF(K1335&gt;=1,K1335,K1335*1000)</f>
        <v>520</v>
      </c>
      <c r="P1335">
        <f>ABS(H1335)</f>
        <v>1</v>
      </c>
      <c r="R1335"/>
    </row>
    <row r="1336" spans="1:18" x14ac:dyDescent="0.35">
      <c r="A1336" t="s">
        <v>2512</v>
      </c>
      <c r="B1336" s="2">
        <v>46105</v>
      </c>
      <c r="C1336" t="s">
        <v>1990</v>
      </c>
      <c r="D1336" s="3" t="s">
        <v>4613</v>
      </c>
      <c r="E1336" t="s">
        <v>34</v>
      </c>
      <c r="F1336" t="s">
        <v>83</v>
      </c>
      <c r="G1336" t="s">
        <v>84</v>
      </c>
      <c r="H1336" s="8">
        <v>2</v>
      </c>
      <c r="I1336" s="10">
        <v>79</v>
      </c>
      <c r="J1336" s="14">
        <f>P1336*I1336</f>
        <v>158</v>
      </c>
      <c r="K1336" s="16">
        <v>340</v>
      </c>
      <c r="L1336" s="1" t="s">
        <v>30</v>
      </c>
      <c r="M1336" t="s">
        <v>22</v>
      </c>
      <c r="N1336" t="str">
        <f t="shared" si="23"/>
        <v>United Kingdom</v>
      </c>
      <c r="O1336" s="8">
        <f>IF(K1336&gt;=1,K1336,K1336*1000)</f>
        <v>340</v>
      </c>
      <c r="P1336">
        <f>ABS(H1336)</f>
        <v>2</v>
      </c>
      <c r="R1336"/>
    </row>
    <row r="1337" spans="1:18" x14ac:dyDescent="0.35">
      <c r="A1337" t="s">
        <v>2513</v>
      </c>
      <c r="B1337" s="2">
        <v>46166</v>
      </c>
      <c r="C1337" t="s">
        <v>923</v>
      </c>
      <c r="D1337" s="3" t="s">
        <v>116</v>
      </c>
      <c r="E1337" t="s">
        <v>25</v>
      </c>
      <c r="F1337" t="s">
        <v>74</v>
      </c>
      <c r="G1337" t="s">
        <v>75</v>
      </c>
      <c r="H1337" s="8">
        <v>1</v>
      </c>
      <c r="I1337" s="10">
        <v>40.5</v>
      </c>
      <c r="J1337" s="14">
        <f>P1337*I1337</f>
        <v>40.5</v>
      </c>
      <c r="K1337" s="16">
        <v>0.41</v>
      </c>
      <c r="L1337" s="1" t="s">
        <v>21</v>
      </c>
      <c r="M1337" t="s">
        <v>22</v>
      </c>
      <c r="N1337" t="str">
        <f t="shared" si="23"/>
        <v>Germany</v>
      </c>
      <c r="O1337" s="8">
        <f>IF(K1337&gt;=1,K1337,K1337*1000)</f>
        <v>410</v>
      </c>
      <c r="P1337">
        <f>ABS(H1337)</f>
        <v>1</v>
      </c>
      <c r="R1337"/>
    </row>
    <row r="1338" spans="1:18" x14ac:dyDescent="0.35">
      <c r="A1338" t="s">
        <v>2514</v>
      </c>
      <c r="B1338" s="2">
        <v>46175</v>
      </c>
      <c r="C1338" t="s">
        <v>1048</v>
      </c>
      <c r="D1338" s="3" t="s">
        <v>116</v>
      </c>
      <c r="E1338" t="s">
        <v>67</v>
      </c>
      <c r="F1338" t="s">
        <v>89</v>
      </c>
      <c r="G1338" t="s">
        <v>90</v>
      </c>
      <c r="H1338" s="8">
        <v>3</v>
      </c>
      <c r="I1338" s="10">
        <v>79</v>
      </c>
      <c r="J1338" s="14">
        <f>P1338*I1338</f>
        <v>237</v>
      </c>
      <c r="K1338" s="16">
        <v>0.64</v>
      </c>
      <c r="L1338" s="1" t="s">
        <v>30</v>
      </c>
      <c r="M1338" t="s">
        <v>22</v>
      </c>
      <c r="N1338" t="str">
        <f t="shared" si="23"/>
        <v>Germany</v>
      </c>
      <c r="O1338" s="8">
        <f>IF(K1338&gt;=1,K1338,K1338*1000)</f>
        <v>640</v>
      </c>
      <c r="P1338">
        <f>ABS(H1338)</f>
        <v>3</v>
      </c>
      <c r="R1338"/>
    </row>
    <row r="1339" spans="1:18" x14ac:dyDescent="0.35">
      <c r="A1339" t="s">
        <v>2515</v>
      </c>
      <c r="B1339" s="2">
        <v>46166</v>
      </c>
      <c r="C1339" t="s">
        <v>466</v>
      </c>
      <c r="D1339" s="3" t="s">
        <v>66</v>
      </c>
      <c r="E1339" t="s">
        <v>16</v>
      </c>
      <c r="F1339" t="s">
        <v>26</v>
      </c>
      <c r="G1339" t="s">
        <v>27</v>
      </c>
      <c r="H1339" s="8">
        <v>1</v>
      </c>
      <c r="I1339" s="10">
        <v>134.1</v>
      </c>
      <c r="J1339" s="14">
        <f>P1339*I1339</f>
        <v>134.1</v>
      </c>
      <c r="K1339" s="16">
        <v>0.52</v>
      </c>
      <c r="L1339" s="1" t="s">
        <v>30</v>
      </c>
      <c r="M1339" t="s">
        <v>22</v>
      </c>
      <c r="N1339" t="str">
        <f t="shared" si="23"/>
        <v>Gb</v>
      </c>
      <c r="O1339" s="8">
        <f>IF(K1339&gt;=1,K1339,K1339*1000)</f>
        <v>520</v>
      </c>
      <c r="P1339">
        <f>ABS(H1339)</f>
        <v>1</v>
      </c>
      <c r="R1339"/>
    </row>
    <row r="1340" spans="1:18" x14ac:dyDescent="0.35">
      <c r="A1340" t="s">
        <v>2516</v>
      </c>
      <c r="B1340" s="2" t="s">
        <v>1666</v>
      </c>
      <c r="C1340" t="s">
        <v>2517</v>
      </c>
      <c r="D1340" s="3" t="s">
        <v>4613</v>
      </c>
      <c r="E1340" t="s">
        <v>25</v>
      </c>
      <c r="F1340" t="s">
        <v>17</v>
      </c>
      <c r="G1340" t="s">
        <v>18</v>
      </c>
      <c r="H1340" s="8">
        <v>1</v>
      </c>
      <c r="I1340" s="10">
        <v>79</v>
      </c>
      <c r="J1340" s="14">
        <f>P1340*I1340</f>
        <v>79</v>
      </c>
      <c r="K1340" s="16">
        <v>0.52</v>
      </c>
      <c r="L1340" s="1" t="s">
        <v>30</v>
      </c>
      <c r="M1340" t="s">
        <v>22</v>
      </c>
      <c r="N1340" t="str">
        <f t="shared" si="23"/>
        <v>United Kingdom</v>
      </c>
      <c r="O1340" s="8">
        <f>IF(K1340&gt;=1,K1340,K1340*1000)</f>
        <v>520</v>
      </c>
      <c r="P1340">
        <f>ABS(H1340)</f>
        <v>1</v>
      </c>
      <c r="R1340"/>
    </row>
    <row r="1341" spans="1:18" x14ac:dyDescent="0.35">
      <c r="A1341" t="s">
        <v>2518</v>
      </c>
      <c r="B1341" s="2">
        <v>46204</v>
      </c>
      <c r="C1341" t="s">
        <v>2238</v>
      </c>
      <c r="D1341" s="3" t="s">
        <v>4612</v>
      </c>
      <c r="E1341" t="s">
        <v>34</v>
      </c>
      <c r="F1341" t="s">
        <v>17</v>
      </c>
      <c r="G1341" t="s">
        <v>18</v>
      </c>
      <c r="H1341" s="8">
        <v>2</v>
      </c>
      <c r="I1341" s="10">
        <v>11.25</v>
      </c>
      <c r="J1341" s="14">
        <f>P1341*I1341</f>
        <v>22.5</v>
      </c>
      <c r="K1341" s="16">
        <v>0.52</v>
      </c>
      <c r="L1341" s="1" t="s">
        <v>30</v>
      </c>
      <c r="M1341" t="s">
        <v>22</v>
      </c>
      <c r="N1341" t="str">
        <f t="shared" si="23"/>
        <v>United Kingdom</v>
      </c>
      <c r="O1341" s="8">
        <f>IF(K1341&gt;=1,K1341,K1341*1000)</f>
        <v>520</v>
      </c>
      <c r="P1341">
        <f>ABS(H1341)</f>
        <v>2</v>
      </c>
      <c r="R1341"/>
    </row>
    <row r="1342" spans="1:18" x14ac:dyDescent="0.35">
      <c r="A1342" t="s">
        <v>2519</v>
      </c>
      <c r="B1342" s="2">
        <v>46051</v>
      </c>
      <c r="C1342" t="s">
        <v>1157</v>
      </c>
      <c r="D1342" s="3" t="s">
        <v>4613</v>
      </c>
      <c r="E1342" t="s">
        <v>16</v>
      </c>
      <c r="F1342" t="s">
        <v>83</v>
      </c>
      <c r="G1342" t="s">
        <v>84</v>
      </c>
      <c r="H1342" s="8">
        <v>1</v>
      </c>
      <c r="I1342" s="10">
        <v>80.099999999999994</v>
      </c>
      <c r="J1342" s="14">
        <f>P1342*I1342</f>
        <v>80.099999999999994</v>
      </c>
      <c r="K1342" s="16">
        <v>340</v>
      </c>
      <c r="L1342" s="1" t="s">
        <v>30</v>
      </c>
      <c r="M1342" t="s">
        <v>58</v>
      </c>
      <c r="N1342" t="str">
        <f t="shared" si="23"/>
        <v>United Kingdom</v>
      </c>
      <c r="O1342" s="8">
        <f>IF(K1342&gt;=1,K1342,K1342*1000)</f>
        <v>340</v>
      </c>
      <c r="P1342">
        <f>ABS(H1342)</f>
        <v>1</v>
      </c>
      <c r="R1342"/>
    </row>
    <row r="1343" spans="1:18" x14ac:dyDescent="0.35">
      <c r="A1343" t="s">
        <v>2520</v>
      </c>
      <c r="B1343" s="2">
        <v>46137</v>
      </c>
      <c r="C1343" t="s">
        <v>2521</v>
      </c>
      <c r="D1343" s="3" t="s">
        <v>15</v>
      </c>
      <c r="E1343" t="s">
        <v>25</v>
      </c>
      <c r="F1343" t="s">
        <v>74</v>
      </c>
      <c r="G1343" t="s">
        <v>75</v>
      </c>
      <c r="H1343" s="8">
        <v>2</v>
      </c>
      <c r="I1343" s="12" t="s">
        <v>4624</v>
      </c>
      <c r="J1343" s="14">
        <f t="shared" ref="J1343:J1344" si="24">P1343*R1343</f>
        <v>48</v>
      </c>
      <c r="K1343" s="16">
        <v>0.41</v>
      </c>
      <c r="L1343" s="1" t="s">
        <v>30</v>
      </c>
      <c r="M1343" t="s">
        <v>58</v>
      </c>
      <c r="N1343" t="str">
        <f t="shared" si="23"/>
        <v>France</v>
      </c>
      <c r="O1343" s="8">
        <f>IF(K1343&gt;=1,K1343,K1343*1000)</f>
        <v>410</v>
      </c>
      <c r="P1343">
        <f>ABS(H1343)</f>
        <v>2</v>
      </c>
      <c r="Q1343" t="str">
        <f t="shared" ref="Q1343:Q1344" si="25">LEFT(I1343,2)</f>
        <v>Â£</v>
      </c>
      <c r="R1343" t="str">
        <f t="shared" ref="R1343:R1344" si="26">RIGHT(I1343,5)</f>
        <v>24,00</v>
      </c>
    </row>
    <row r="1344" spans="1:18" x14ac:dyDescent="0.35">
      <c r="A1344" t="s">
        <v>2522</v>
      </c>
      <c r="B1344" s="2">
        <v>46108</v>
      </c>
      <c r="C1344" t="s">
        <v>2523</v>
      </c>
      <c r="D1344" s="3" t="s">
        <v>15</v>
      </c>
      <c r="E1344" t="s">
        <v>16</v>
      </c>
      <c r="F1344" t="s">
        <v>35</v>
      </c>
      <c r="G1344" t="s">
        <v>36</v>
      </c>
      <c r="H1344" s="8">
        <v>1</v>
      </c>
      <c r="I1344" s="12" t="s">
        <v>4630</v>
      </c>
      <c r="J1344" s="14">
        <f t="shared" si="24"/>
        <v>11.25</v>
      </c>
      <c r="K1344" s="16">
        <v>85</v>
      </c>
      <c r="L1344" s="1" t="s">
        <v>21</v>
      </c>
      <c r="M1344" t="s">
        <v>22</v>
      </c>
      <c r="N1344" t="str">
        <f t="shared" si="23"/>
        <v>France</v>
      </c>
      <c r="O1344" s="8">
        <f>IF(K1344&gt;=1,K1344,K1344*1000)</f>
        <v>85</v>
      </c>
      <c r="P1344">
        <f>ABS(H1344)</f>
        <v>1</v>
      </c>
      <c r="Q1344" t="str">
        <f t="shared" si="25"/>
        <v>Â£</v>
      </c>
      <c r="R1344" t="str">
        <f t="shared" si="26"/>
        <v>11,25</v>
      </c>
    </row>
    <row r="1345" spans="1:18" x14ac:dyDescent="0.35">
      <c r="A1345" t="s">
        <v>2524</v>
      </c>
      <c r="B1345" s="2">
        <v>46041</v>
      </c>
      <c r="C1345" t="s">
        <v>2525</v>
      </c>
      <c r="D1345" s="3" t="s">
        <v>15</v>
      </c>
      <c r="E1345" t="s">
        <v>25</v>
      </c>
      <c r="F1345" t="s">
        <v>42</v>
      </c>
      <c r="G1345" t="s">
        <v>43</v>
      </c>
      <c r="H1345" s="8">
        <v>1</v>
      </c>
      <c r="I1345" s="10">
        <v>95</v>
      </c>
      <c r="J1345" s="14">
        <f>P1345*I1345</f>
        <v>95</v>
      </c>
      <c r="K1345" s="16">
        <v>190</v>
      </c>
      <c r="L1345" s="1" t="s">
        <v>30</v>
      </c>
      <c r="M1345" t="s">
        <v>58</v>
      </c>
      <c r="N1345" t="str">
        <f t="shared" si="23"/>
        <v>France</v>
      </c>
      <c r="O1345" s="8">
        <f>IF(K1345&gt;=1,K1345,K1345*1000)</f>
        <v>190</v>
      </c>
      <c r="P1345">
        <f>ABS(H1345)</f>
        <v>1</v>
      </c>
      <c r="R1345"/>
    </row>
    <row r="1346" spans="1:18" x14ac:dyDescent="0.35">
      <c r="A1346" t="s">
        <v>2526</v>
      </c>
      <c r="B1346" s="2">
        <v>46070</v>
      </c>
      <c r="C1346" t="s">
        <v>1068</v>
      </c>
      <c r="D1346" s="3" t="s">
        <v>53</v>
      </c>
      <c r="E1346" t="s">
        <v>67</v>
      </c>
      <c r="F1346" t="s">
        <v>26</v>
      </c>
      <c r="G1346" t="s">
        <v>27</v>
      </c>
      <c r="H1346" s="8">
        <v>2</v>
      </c>
      <c r="I1346" s="12" t="s">
        <v>4626</v>
      </c>
      <c r="J1346" s="14">
        <f>P1346*R1346</f>
        <v>58</v>
      </c>
      <c r="K1346" s="16">
        <v>520</v>
      </c>
      <c r="L1346" s="1" t="s">
        <v>30</v>
      </c>
      <c r="M1346" t="s">
        <v>22</v>
      </c>
      <c r="N1346" t="str">
        <f t="shared" si="23"/>
        <v>Gb</v>
      </c>
      <c r="O1346" s="8">
        <f>IF(K1346&gt;=1,K1346,K1346*1000)</f>
        <v>520</v>
      </c>
      <c r="P1346">
        <f>ABS(H1346)</f>
        <v>2</v>
      </c>
      <c r="Q1346" t="str">
        <f>LEFT(I1346,3)</f>
        <v>GBP</v>
      </c>
      <c r="R1346" s="10" t="str">
        <f>RIGHT(I1346,5)</f>
        <v>29,00</v>
      </c>
    </row>
    <row r="1347" spans="1:18" x14ac:dyDescent="0.35">
      <c r="A1347" t="s">
        <v>2527</v>
      </c>
      <c r="B1347" s="2">
        <v>46050</v>
      </c>
      <c r="C1347" t="s">
        <v>2142</v>
      </c>
      <c r="D1347" s="3" t="s">
        <v>15</v>
      </c>
      <c r="E1347" t="s">
        <v>16</v>
      </c>
      <c r="F1347" t="s">
        <v>35</v>
      </c>
      <c r="G1347" t="s">
        <v>36</v>
      </c>
      <c r="H1347" s="8">
        <v>2</v>
      </c>
      <c r="I1347" s="12" t="s">
        <v>4636</v>
      </c>
      <c r="J1347" s="14">
        <f>P1347*R1347</f>
        <v>178</v>
      </c>
      <c r="K1347" s="16">
        <v>85</v>
      </c>
      <c r="L1347" s="1" t="s">
        <v>30</v>
      </c>
      <c r="M1347" t="s">
        <v>22</v>
      </c>
      <c r="N1347" t="str">
        <f t="shared" ref="N1347:N1410" si="27">PROPER(TRIM(D1347))</f>
        <v>France</v>
      </c>
      <c r="O1347" s="8">
        <f>IF(K1347&gt;=1,K1347,K1347*1000)</f>
        <v>85</v>
      </c>
      <c r="P1347">
        <f>ABS(H1347)</f>
        <v>2</v>
      </c>
      <c r="Q1347" t="str">
        <f>LEFT(I1347,2)</f>
        <v>Â£</v>
      </c>
      <c r="R1347" t="str">
        <f>RIGHT(I1347,5)</f>
        <v>89,00</v>
      </c>
    </row>
    <row r="1348" spans="1:18" x14ac:dyDescent="0.35">
      <c r="A1348" t="s">
        <v>2528</v>
      </c>
      <c r="B1348" s="2">
        <v>46116</v>
      </c>
      <c r="C1348" t="s">
        <v>1115</v>
      </c>
      <c r="D1348" s="3" t="s">
        <v>99</v>
      </c>
      <c r="E1348" t="s">
        <v>16</v>
      </c>
      <c r="F1348" t="s">
        <v>26</v>
      </c>
      <c r="G1348" t="s">
        <v>27</v>
      </c>
      <c r="H1348" s="8">
        <v>2</v>
      </c>
      <c r="I1348" s="10">
        <v>116.1</v>
      </c>
      <c r="J1348" s="14">
        <f>P1348*I1348</f>
        <v>232.2</v>
      </c>
      <c r="K1348" s="16">
        <v>520</v>
      </c>
      <c r="L1348" s="1" t="s">
        <v>21</v>
      </c>
      <c r="M1348" t="s">
        <v>22</v>
      </c>
      <c r="N1348" t="str">
        <f t="shared" si="27"/>
        <v>United Kingdom</v>
      </c>
      <c r="O1348" s="8">
        <f>IF(K1348&gt;=1,K1348,K1348*1000)</f>
        <v>520</v>
      </c>
      <c r="P1348">
        <f>ABS(H1348)</f>
        <v>2</v>
      </c>
      <c r="R1348"/>
    </row>
    <row r="1349" spans="1:18" x14ac:dyDescent="0.35">
      <c r="A1349" t="s">
        <v>2529</v>
      </c>
      <c r="B1349" s="2">
        <v>46093</v>
      </c>
      <c r="C1349" t="s">
        <v>2530</v>
      </c>
      <c r="D1349" s="3" t="s">
        <v>46</v>
      </c>
      <c r="E1349" t="s">
        <v>34</v>
      </c>
      <c r="F1349" t="s">
        <v>89</v>
      </c>
      <c r="G1349" t="s">
        <v>90</v>
      </c>
      <c r="H1349" s="8">
        <v>1</v>
      </c>
      <c r="I1349" s="12" t="s">
        <v>4620</v>
      </c>
      <c r="J1349" s="14">
        <f>P1349*R1349</f>
        <v>80.099999999999994</v>
      </c>
      <c r="K1349" s="16">
        <v>640</v>
      </c>
      <c r="L1349" s="1" t="s">
        <v>30</v>
      </c>
      <c r="M1349" t="s">
        <v>22</v>
      </c>
      <c r="N1349" t="str">
        <f t="shared" si="27"/>
        <v>Ireland</v>
      </c>
      <c r="O1349" s="8">
        <f>IF(K1349&gt;=1,K1349,K1349*1000)</f>
        <v>640</v>
      </c>
      <c r="P1349">
        <f>ABS(H1349)</f>
        <v>1</v>
      </c>
      <c r="Q1349" t="str">
        <f>LEFT(I1349,3)</f>
        <v>GBP</v>
      </c>
      <c r="R1349" s="10" t="str">
        <f>RIGHT(I1349,5)</f>
        <v>80,10</v>
      </c>
    </row>
    <row r="1350" spans="1:18" x14ac:dyDescent="0.35">
      <c r="A1350" t="s">
        <v>2531</v>
      </c>
      <c r="B1350" s="2">
        <v>46024</v>
      </c>
      <c r="C1350" t="s">
        <v>1146</v>
      </c>
      <c r="D1350" s="3" t="s">
        <v>61</v>
      </c>
      <c r="E1350" t="s">
        <v>16</v>
      </c>
      <c r="F1350" t="s">
        <v>35</v>
      </c>
      <c r="G1350" t="s">
        <v>36</v>
      </c>
      <c r="H1350" s="8">
        <v>1</v>
      </c>
      <c r="I1350" s="10">
        <v>89</v>
      </c>
      <c r="J1350" s="14">
        <f>P1350*I1350</f>
        <v>89</v>
      </c>
      <c r="K1350" s="16">
        <v>85</v>
      </c>
      <c r="L1350" s="1" t="s">
        <v>30</v>
      </c>
      <c r="M1350" t="s">
        <v>22</v>
      </c>
      <c r="N1350" t="str">
        <f t="shared" si="27"/>
        <v>Ireland</v>
      </c>
      <c r="O1350" s="8">
        <f>IF(K1350&gt;=1,K1350,K1350*1000)</f>
        <v>85</v>
      </c>
      <c r="P1350">
        <f>ABS(H1350)</f>
        <v>1</v>
      </c>
      <c r="R1350"/>
    </row>
    <row r="1351" spans="1:18" x14ac:dyDescent="0.35">
      <c r="A1351" t="s">
        <v>2532</v>
      </c>
      <c r="B1351" s="2">
        <v>46120</v>
      </c>
      <c r="C1351" t="s">
        <v>597</v>
      </c>
      <c r="D1351" s="3" t="s">
        <v>66</v>
      </c>
      <c r="E1351" t="s">
        <v>25</v>
      </c>
      <c r="F1351" t="s">
        <v>26</v>
      </c>
      <c r="G1351" t="s">
        <v>27</v>
      </c>
      <c r="H1351" s="8">
        <v>1</v>
      </c>
      <c r="I1351" s="10">
        <v>80.099999999999994</v>
      </c>
      <c r="J1351" s="14">
        <f>P1351*I1351</f>
        <v>80.099999999999994</v>
      </c>
      <c r="K1351" s="16">
        <v>520</v>
      </c>
      <c r="L1351" s="1" t="s">
        <v>30</v>
      </c>
      <c r="M1351" t="s">
        <v>22</v>
      </c>
      <c r="N1351" t="str">
        <f t="shared" si="27"/>
        <v>Gb</v>
      </c>
      <c r="O1351" s="8">
        <f>IF(K1351&gt;=1,K1351,K1351*1000)</f>
        <v>520</v>
      </c>
      <c r="P1351">
        <f>ABS(H1351)</f>
        <v>1</v>
      </c>
      <c r="R1351"/>
    </row>
    <row r="1352" spans="1:18" x14ac:dyDescent="0.35">
      <c r="A1352" t="s">
        <v>2533</v>
      </c>
      <c r="B1352" s="2">
        <v>46189</v>
      </c>
      <c r="C1352" t="s">
        <v>2534</v>
      </c>
      <c r="D1352" s="3" t="s">
        <v>61</v>
      </c>
      <c r="E1352" t="s">
        <v>34</v>
      </c>
      <c r="F1352" t="s">
        <v>35</v>
      </c>
      <c r="G1352" t="s">
        <v>36</v>
      </c>
      <c r="H1352" s="8">
        <v>3</v>
      </c>
      <c r="I1352" s="10">
        <v>80.099999999999994</v>
      </c>
      <c r="J1352" s="14">
        <f>P1352*I1352</f>
        <v>240.29999999999998</v>
      </c>
      <c r="K1352" s="16">
        <v>8.5000000000000006E-2</v>
      </c>
      <c r="L1352" s="1" t="s">
        <v>30</v>
      </c>
      <c r="M1352" t="s">
        <v>58</v>
      </c>
      <c r="N1352" t="str">
        <f t="shared" si="27"/>
        <v>Ireland</v>
      </c>
      <c r="O1352" s="8">
        <f>IF(K1352&gt;=1,K1352,K1352*1000)</f>
        <v>85</v>
      </c>
      <c r="P1352">
        <f>ABS(H1352)</f>
        <v>3</v>
      </c>
      <c r="R1352"/>
    </row>
    <row r="1353" spans="1:18" x14ac:dyDescent="0.35">
      <c r="A1353" t="s">
        <v>2535</v>
      </c>
      <c r="B1353" s="2">
        <v>46061</v>
      </c>
      <c r="C1353" t="s">
        <v>1766</v>
      </c>
      <c r="D1353" s="3" t="s">
        <v>61</v>
      </c>
      <c r="E1353" t="s">
        <v>41</v>
      </c>
      <c r="F1353" t="s">
        <v>83</v>
      </c>
      <c r="G1353" t="s">
        <v>84</v>
      </c>
      <c r="H1353" s="8">
        <v>1</v>
      </c>
      <c r="I1353" s="10">
        <v>149</v>
      </c>
      <c r="J1353" s="14">
        <f>P1353*I1353</f>
        <v>149</v>
      </c>
      <c r="K1353" s="16">
        <v>340</v>
      </c>
      <c r="L1353" s="1" t="s">
        <v>30</v>
      </c>
      <c r="M1353" t="s">
        <v>22</v>
      </c>
      <c r="N1353" t="str">
        <f t="shared" si="27"/>
        <v>Ireland</v>
      </c>
      <c r="O1353" s="8">
        <f>IF(K1353&gt;=1,K1353,K1353*1000)</f>
        <v>340</v>
      </c>
      <c r="P1353">
        <f>ABS(H1353)</f>
        <v>1</v>
      </c>
      <c r="R1353"/>
    </row>
    <row r="1354" spans="1:18" x14ac:dyDescent="0.35">
      <c r="A1354" t="s">
        <v>2536</v>
      </c>
      <c r="B1354" s="2">
        <v>46208</v>
      </c>
      <c r="C1354" t="s">
        <v>1013</v>
      </c>
      <c r="D1354" s="3" t="s">
        <v>46</v>
      </c>
      <c r="E1354" t="s">
        <v>16</v>
      </c>
      <c r="F1354" t="s">
        <v>35</v>
      </c>
      <c r="G1354" t="s">
        <v>36</v>
      </c>
      <c r="H1354" s="8">
        <v>2</v>
      </c>
      <c r="I1354" s="10">
        <v>45</v>
      </c>
      <c r="J1354" s="14">
        <f>P1354*I1354</f>
        <v>90</v>
      </c>
      <c r="K1354" s="16">
        <v>8.5000000000000006E-2</v>
      </c>
      <c r="L1354" s="1" t="s">
        <v>21</v>
      </c>
      <c r="M1354" t="s">
        <v>22</v>
      </c>
      <c r="N1354" t="str">
        <f t="shared" si="27"/>
        <v>Ireland</v>
      </c>
      <c r="O1354" s="8">
        <f>IF(K1354&gt;=1,K1354,K1354*1000)</f>
        <v>85</v>
      </c>
      <c r="P1354">
        <f>ABS(H1354)</f>
        <v>2</v>
      </c>
      <c r="R1354"/>
    </row>
    <row r="1355" spans="1:18" x14ac:dyDescent="0.35">
      <c r="A1355" t="s">
        <v>2537</v>
      </c>
      <c r="B1355" s="2">
        <v>46063</v>
      </c>
      <c r="C1355" t="s">
        <v>1633</v>
      </c>
      <c r="D1355" s="3" t="s">
        <v>15</v>
      </c>
      <c r="E1355" t="s">
        <v>16</v>
      </c>
      <c r="F1355" t="s">
        <v>89</v>
      </c>
      <c r="G1355" t="s">
        <v>90</v>
      </c>
      <c r="H1355" s="8">
        <v>-2</v>
      </c>
      <c r="I1355" s="10">
        <v>85.5</v>
      </c>
      <c r="J1355" s="14">
        <f>P1355*I1355</f>
        <v>171</v>
      </c>
      <c r="K1355" s="16">
        <v>640</v>
      </c>
      <c r="L1355" s="1" t="s">
        <v>30</v>
      </c>
      <c r="M1355" t="s">
        <v>22</v>
      </c>
      <c r="N1355" t="str">
        <f t="shared" si="27"/>
        <v>France</v>
      </c>
      <c r="O1355" s="8">
        <f>IF(K1355&gt;=1,K1355,K1355*1000)</f>
        <v>640</v>
      </c>
      <c r="P1355">
        <f>ABS(H1355)</f>
        <v>2</v>
      </c>
      <c r="R1355"/>
    </row>
    <row r="1356" spans="1:18" x14ac:dyDescent="0.35">
      <c r="A1356" t="s">
        <v>2539</v>
      </c>
      <c r="B1356" s="2">
        <v>46168</v>
      </c>
      <c r="C1356" t="s">
        <v>163</v>
      </c>
      <c r="D1356" s="3" t="s">
        <v>4612</v>
      </c>
      <c r="E1356" t="s">
        <v>34</v>
      </c>
      <c r="F1356" t="s">
        <v>89</v>
      </c>
      <c r="G1356" t="s">
        <v>90</v>
      </c>
      <c r="H1356" s="8">
        <v>1</v>
      </c>
      <c r="I1356" s="12" t="s">
        <v>4639</v>
      </c>
      <c r="J1356" s="14">
        <f>P1356*R1356</f>
        <v>12.5</v>
      </c>
      <c r="K1356" s="16">
        <v>0.64</v>
      </c>
      <c r="L1356" s="1" t="s">
        <v>30</v>
      </c>
      <c r="M1356" t="s">
        <v>22</v>
      </c>
      <c r="N1356" t="str">
        <f t="shared" si="27"/>
        <v>United Kingdom</v>
      </c>
      <c r="O1356" s="8">
        <f>IF(K1356&gt;=1,K1356,K1356*1000)</f>
        <v>640</v>
      </c>
      <c r="P1356">
        <f>ABS(H1356)</f>
        <v>1</v>
      </c>
      <c r="Q1356" t="str">
        <f>LEFT(I1356,2)</f>
        <v>Â£</v>
      </c>
      <c r="R1356" t="str">
        <f>RIGHT(I1356,5)</f>
        <v>12,50</v>
      </c>
    </row>
    <row r="1357" spans="1:18" x14ac:dyDescent="0.35">
      <c r="A1357" t="s">
        <v>2540</v>
      </c>
      <c r="B1357" s="2">
        <v>46072</v>
      </c>
      <c r="C1357" t="s">
        <v>668</v>
      </c>
      <c r="D1357" s="3" t="s">
        <v>99</v>
      </c>
      <c r="E1357" t="s">
        <v>25</v>
      </c>
      <c r="F1357" t="s">
        <v>74</v>
      </c>
      <c r="G1357" t="s">
        <v>75</v>
      </c>
      <c r="H1357" s="8">
        <v>2</v>
      </c>
      <c r="I1357" s="10">
        <v>12.5</v>
      </c>
      <c r="J1357" s="14">
        <f>P1357*I1357</f>
        <v>25</v>
      </c>
      <c r="K1357" s="16">
        <v>410</v>
      </c>
      <c r="L1357" s="1" t="s">
        <v>30</v>
      </c>
      <c r="M1357" t="s">
        <v>22</v>
      </c>
      <c r="N1357" t="str">
        <f t="shared" si="27"/>
        <v>United Kingdom</v>
      </c>
      <c r="O1357" s="8">
        <f>IF(K1357&gt;=1,K1357,K1357*1000)</f>
        <v>410</v>
      </c>
      <c r="P1357">
        <f>ABS(H1357)</f>
        <v>2</v>
      </c>
      <c r="R1357"/>
    </row>
    <row r="1358" spans="1:18" x14ac:dyDescent="0.35">
      <c r="A1358" t="s">
        <v>2541</v>
      </c>
      <c r="B1358" s="2">
        <v>46117</v>
      </c>
      <c r="C1358" t="s">
        <v>2542</v>
      </c>
      <c r="D1358" s="3" t="s">
        <v>46</v>
      </c>
      <c r="E1358" t="s">
        <v>16</v>
      </c>
      <c r="F1358" t="s">
        <v>83</v>
      </c>
      <c r="G1358" t="s">
        <v>84</v>
      </c>
      <c r="H1358" s="8">
        <v>3</v>
      </c>
      <c r="I1358" s="10">
        <v>80.099999999999994</v>
      </c>
      <c r="J1358" s="14">
        <f>P1358*I1358</f>
        <v>240.29999999999998</v>
      </c>
      <c r="K1358" s="16">
        <v>340</v>
      </c>
      <c r="L1358" s="1" t="s">
        <v>30</v>
      </c>
      <c r="M1358" t="s">
        <v>22</v>
      </c>
      <c r="N1358" t="str">
        <f t="shared" si="27"/>
        <v>Ireland</v>
      </c>
      <c r="O1358" s="8">
        <f>IF(K1358&gt;=1,K1358,K1358*1000)</f>
        <v>340</v>
      </c>
      <c r="P1358">
        <f>ABS(H1358)</f>
        <v>3</v>
      </c>
      <c r="R1358"/>
    </row>
    <row r="1359" spans="1:18" x14ac:dyDescent="0.35">
      <c r="A1359" t="s">
        <v>2543</v>
      </c>
      <c r="B1359" s="2">
        <v>46053</v>
      </c>
      <c r="C1359" t="s">
        <v>2544</v>
      </c>
      <c r="D1359" s="3" t="s">
        <v>116</v>
      </c>
      <c r="E1359" t="s">
        <v>34</v>
      </c>
      <c r="F1359" t="s">
        <v>83</v>
      </c>
      <c r="G1359" t="s">
        <v>84</v>
      </c>
      <c r="H1359" s="8">
        <v>1</v>
      </c>
      <c r="I1359" s="10">
        <v>85.5</v>
      </c>
      <c r="J1359" s="14">
        <f>P1359*I1359</f>
        <v>85.5</v>
      </c>
      <c r="K1359" s="16">
        <v>340</v>
      </c>
      <c r="L1359" s="1" t="s">
        <v>21</v>
      </c>
      <c r="M1359" t="s">
        <v>58</v>
      </c>
      <c r="N1359" t="str">
        <f t="shared" si="27"/>
        <v>Germany</v>
      </c>
      <c r="O1359" s="8">
        <f>IF(K1359&gt;=1,K1359,K1359*1000)</f>
        <v>340</v>
      </c>
      <c r="P1359">
        <f>ABS(H1359)</f>
        <v>1</v>
      </c>
      <c r="R1359"/>
    </row>
    <row r="1360" spans="1:18" x14ac:dyDescent="0.35">
      <c r="A1360" t="s">
        <v>2545</v>
      </c>
      <c r="B1360" s="2">
        <v>46033</v>
      </c>
      <c r="C1360" t="s">
        <v>39</v>
      </c>
      <c r="D1360" s="3" t="s">
        <v>99</v>
      </c>
      <c r="E1360" t="s">
        <v>25</v>
      </c>
      <c r="F1360" t="s">
        <v>42</v>
      </c>
      <c r="G1360" t="s">
        <v>43</v>
      </c>
      <c r="H1360" s="8">
        <v>1</v>
      </c>
      <c r="I1360" s="10">
        <v>12.5</v>
      </c>
      <c r="J1360" s="14">
        <f>P1360*I1360</f>
        <v>12.5</v>
      </c>
      <c r="K1360" s="16">
        <v>190</v>
      </c>
      <c r="L1360" s="1" t="s">
        <v>30</v>
      </c>
      <c r="M1360" t="s">
        <v>58</v>
      </c>
      <c r="N1360" t="str">
        <f t="shared" si="27"/>
        <v>United Kingdom</v>
      </c>
      <c r="O1360" s="8">
        <f>IF(K1360&gt;=1,K1360,K1360*1000)</f>
        <v>190</v>
      </c>
      <c r="P1360">
        <f>ABS(H1360)</f>
        <v>1</v>
      </c>
      <c r="R1360"/>
    </row>
    <row r="1361" spans="1:18" x14ac:dyDescent="0.35">
      <c r="A1361" t="s">
        <v>2546</v>
      </c>
      <c r="B1361" s="2">
        <v>46193</v>
      </c>
      <c r="C1361" t="s">
        <v>1526</v>
      </c>
      <c r="D1361" s="3" t="s">
        <v>4613</v>
      </c>
      <c r="E1361" t="s">
        <v>25</v>
      </c>
      <c r="F1361" t="s">
        <v>17</v>
      </c>
      <c r="G1361" t="s">
        <v>18</v>
      </c>
      <c r="H1361" s="8">
        <v>1</v>
      </c>
      <c r="I1361" s="10">
        <v>11.25</v>
      </c>
      <c r="J1361" s="14">
        <f>P1361*I1361</f>
        <v>11.25</v>
      </c>
      <c r="K1361" s="16">
        <v>0.52</v>
      </c>
      <c r="L1361" s="1" t="s">
        <v>30</v>
      </c>
      <c r="M1361" t="s">
        <v>58</v>
      </c>
      <c r="N1361" t="str">
        <f t="shared" si="27"/>
        <v>United Kingdom</v>
      </c>
      <c r="O1361" s="8">
        <f>IF(K1361&gt;=1,K1361,K1361*1000)</f>
        <v>520</v>
      </c>
      <c r="P1361">
        <f>ABS(H1361)</f>
        <v>1</v>
      </c>
      <c r="R1361"/>
    </row>
    <row r="1362" spans="1:18" x14ac:dyDescent="0.35">
      <c r="A1362" t="s">
        <v>2547</v>
      </c>
      <c r="B1362" s="2" t="s">
        <v>1610</v>
      </c>
      <c r="C1362" t="s">
        <v>525</v>
      </c>
      <c r="D1362" s="3" t="s">
        <v>61</v>
      </c>
      <c r="E1362" t="s">
        <v>16</v>
      </c>
      <c r="F1362" t="s">
        <v>83</v>
      </c>
      <c r="G1362" t="s">
        <v>84</v>
      </c>
      <c r="H1362" s="8">
        <v>1</v>
      </c>
      <c r="I1362" s="10">
        <v>95</v>
      </c>
      <c r="J1362" s="14">
        <f>P1362*I1362</f>
        <v>95</v>
      </c>
      <c r="K1362" s="16">
        <v>0.34</v>
      </c>
      <c r="L1362" s="1" t="s">
        <v>30</v>
      </c>
      <c r="M1362" t="s">
        <v>22</v>
      </c>
      <c r="N1362" t="str">
        <f t="shared" si="27"/>
        <v>Ireland</v>
      </c>
      <c r="O1362" s="8">
        <f>IF(K1362&gt;=1,K1362,K1362*1000)</f>
        <v>340</v>
      </c>
      <c r="P1362">
        <f>ABS(H1362)</f>
        <v>1</v>
      </c>
      <c r="R1362"/>
    </row>
    <row r="1363" spans="1:18" x14ac:dyDescent="0.35">
      <c r="A1363" t="s">
        <v>2548</v>
      </c>
      <c r="B1363" s="2">
        <v>46057</v>
      </c>
      <c r="C1363" t="s">
        <v>1008</v>
      </c>
      <c r="D1363" s="3" t="s">
        <v>4613</v>
      </c>
      <c r="E1363" t="s">
        <v>67</v>
      </c>
      <c r="F1363" t="s">
        <v>47</v>
      </c>
      <c r="G1363" t="s">
        <v>48</v>
      </c>
      <c r="H1363" s="8">
        <v>2</v>
      </c>
      <c r="I1363" s="10">
        <v>80.099999999999994</v>
      </c>
      <c r="J1363" s="14">
        <f>P1363*I1363</f>
        <v>160.19999999999999</v>
      </c>
      <c r="K1363" s="16">
        <v>380</v>
      </c>
      <c r="L1363" s="1" t="s">
        <v>21</v>
      </c>
      <c r="M1363" t="s">
        <v>22</v>
      </c>
      <c r="N1363" t="str">
        <f t="shared" si="27"/>
        <v>United Kingdom</v>
      </c>
      <c r="O1363" s="8">
        <f>IF(K1363&gt;=1,K1363,K1363*1000)</f>
        <v>380</v>
      </c>
      <c r="P1363">
        <f>ABS(H1363)</f>
        <v>2</v>
      </c>
      <c r="R1363"/>
    </row>
    <row r="1364" spans="1:18" x14ac:dyDescent="0.35">
      <c r="A1364" t="s">
        <v>2549</v>
      </c>
      <c r="B1364" s="2">
        <v>46075</v>
      </c>
      <c r="C1364" t="s">
        <v>2550</v>
      </c>
      <c r="D1364" s="3" t="s">
        <v>4612</v>
      </c>
      <c r="E1364" t="s">
        <v>34</v>
      </c>
      <c r="F1364" t="s">
        <v>89</v>
      </c>
      <c r="G1364" t="s">
        <v>90</v>
      </c>
      <c r="H1364" s="8">
        <v>2</v>
      </c>
      <c r="I1364" s="10">
        <v>11.25</v>
      </c>
      <c r="J1364" s="14">
        <f>P1364*I1364</f>
        <v>22.5</v>
      </c>
      <c r="K1364" s="16">
        <v>640</v>
      </c>
      <c r="L1364" s="1" t="s">
        <v>21</v>
      </c>
      <c r="M1364" t="s">
        <v>22</v>
      </c>
      <c r="N1364" t="str">
        <f t="shared" si="27"/>
        <v>United Kingdom</v>
      </c>
      <c r="O1364" s="8">
        <f>IF(K1364&gt;=1,K1364,K1364*1000)</f>
        <v>640</v>
      </c>
      <c r="P1364">
        <f>ABS(H1364)</f>
        <v>2</v>
      </c>
      <c r="R1364"/>
    </row>
    <row r="1365" spans="1:18" x14ac:dyDescent="0.35">
      <c r="A1365" t="s">
        <v>2551</v>
      </c>
      <c r="B1365" s="2">
        <v>46108</v>
      </c>
      <c r="C1365" t="s">
        <v>457</v>
      </c>
      <c r="D1365" s="3" t="s">
        <v>46</v>
      </c>
      <c r="E1365" t="s">
        <v>41</v>
      </c>
      <c r="F1365" t="s">
        <v>26</v>
      </c>
      <c r="G1365" t="s">
        <v>27</v>
      </c>
      <c r="H1365" s="8">
        <v>1</v>
      </c>
      <c r="I1365" s="12" t="s">
        <v>4633</v>
      </c>
      <c r="J1365" s="14">
        <f>P1365*R1365</f>
        <v>24</v>
      </c>
      <c r="K1365" s="16">
        <v>520</v>
      </c>
      <c r="L1365" s="1" t="s">
        <v>30</v>
      </c>
      <c r="M1365" t="s">
        <v>58</v>
      </c>
      <c r="N1365" t="str">
        <f t="shared" si="27"/>
        <v>Ireland</v>
      </c>
      <c r="O1365" s="8">
        <f>IF(K1365&gt;=1,K1365,K1365*1000)</f>
        <v>520</v>
      </c>
      <c r="P1365">
        <f>ABS(H1365)</f>
        <v>1</v>
      </c>
      <c r="Q1365" t="str">
        <f>LEFT(I1365,3)</f>
        <v>GBP</v>
      </c>
      <c r="R1365" s="10" t="str">
        <f>RIGHT(I1365,5)</f>
        <v>24,00</v>
      </c>
    </row>
    <row r="1366" spans="1:18" x14ac:dyDescent="0.35">
      <c r="A1366" t="s">
        <v>2552</v>
      </c>
      <c r="B1366" s="2">
        <v>46121</v>
      </c>
      <c r="C1366" t="s">
        <v>840</v>
      </c>
      <c r="D1366" s="3" t="s">
        <v>4612</v>
      </c>
      <c r="E1366" t="s">
        <v>41</v>
      </c>
      <c r="F1366" t="s">
        <v>47</v>
      </c>
      <c r="G1366" t="s">
        <v>48</v>
      </c>
      <c r="H1366" s="8">
        <v>1</v>
      </c>
      <c r="I1366" s="10">
        <v>45</v>
      </c>
      <c r="J1366" s="14">
        <f>P1366*I1366</f>
        <v>45</v>
      </c>
      <c r="K1366" s="16">
        <v>380</v>
      </c>
      <c r="L1366" s="1" t="s">
        <v>30</v>
      </c>
      <c r="M1366" t="s">
        <v>22</v>
      </c>
      <c r="N1366" t="str">
        <f t="shared" si="27"/>
        <v>United Kingdom</v>
      </c>
      <c r="O1366" s="8">
        <f>IF(K1366&gt;=1,K1366,K1366*1000)</f>
        <v>380</v>
      </c>
      <c r="P1366">
        <f>ABS(H1366)</f>
        <v>1</v>
      </c>
      <c r="R1366"/>
    </row>
    <row r="1367" spans="1:18" x14ac:dyDescent="0.35">
      <c r="A1367" t="s">
        <v>2553</v>
      </c>
      <c r="B1367" s="2">
        <v>46193</v>
      </c>
      <c r="C1367" t="s">
        <v>2228</v>
      </c>
      <c r="D1367" s="3" t="s">
        <v>46</v>
      </c>
      <c r="E1367" t="s">
        <v>67</v>
      </c>
      <c r="F1367" t="s">
        <v>74</v>
      </c>
      <c r="G1367" t="s">
        <v>75</v>
      </c>
      <c r="H1367" s="8">
        <v>-1</v>
      </c>
      <c r="I1367" s="10">
        <v>129</v>
      </c>
      <c r="J1367" s="14">
        <f>P1367*I1367</f>
        <v>129</v>
      </c>
      <c r="K1367" s="16">
        <v>0.41</v>
      </c>
      <c r="L1367" s="1" t="s">
        <v>30</v>
      </c>
      <c r="M1367" t="s">
        <v>22</v>
      </c>
      <c r="N1367" t="str">
        <f t="shared" si="27"/>
        <v>Ireland</v>
      </c>
      <c r="O1367" s="8">
        <f>IF(K1367&gt;=1,K1367,K1367*1000)</f>
        <v>410</v>
      </c>
      <c r="P1367">
        <f>ABS(H1367)</f>
        <v>1</v>
      </c>
      <c r="R1367"/>
    </row>
    <row r="1368" spans="1:18" x14ac:dyDescent="0.35">
      <c r="A1368" t="s">
        <v>2554</v>
      </c>
      <c r="B1368" s="2">
        <v>46073</v>
      </c>
      <c r="C1368" t="s">
        <v>1672</v>
      </c>
      <c r="D1368" s="3" t="s">
        <v>4613</v>
      </c>
      <c r="E1368" t="s">
        <v>25</v>
      </c>
      <c r="F1368" t="s">
        <v>26</v>
      </c>
      <c r="G1368" t="s">
        <v>27</v>
      </c>
      <c r="H1368" s="8">
        <v>1</v>
      </c>
      <c r="I1368" s="10">
        <v>95</v>
      </c>
      <c r="J1368" s="14">
        <f>P1368*I1368</f>
        <v>95</v>
      </c>
      <c r="K1368" s="16">
        <v>520</v>
      </c>
      <c r="L1368" s="1" t="s">
        <v>21</v>
      </c>
      <c r="M1368" t="s">
        <v>22</v>
      </c>
      <c r="N1368" t="str">
        <f t="shared" si="27"/>
        <v>United Kingdom</v>
      </c>
      <c r="O1368" s="8">
        <f>IF(K1368&gt;=1,K1368,K1368*1000)</f>
        <v>520</v>
      </c>
      <c r="P1368">
        <f>ABS(H1368)</f>
        <v>1</v>
      </c>
      <c r="R1368"/>
    </row>
    <row r="1369" spans="1:18" x14ac:dyDescent="0.35">
      <c r="A1369" t="s">
        <v>2555</v>
      </c>
      <c r="B1369" s="2">
        <v>46093</v>
      </c>
      <c r="C1369" t="s">
        <v>2556</v>
      </c>
      <c r="D1369" s="3" t="s">
        <v>99</v>
      </c>
      <c r="E1369" t="s">
        <v>41</v>
      </c>
      <c r="F1369" t="s">
        <v>47</v>
      </c>
      <c r="G1369" t="s">
        <v>48</v>
      </c>
      <c r="H1369" s="8">
        <v>1</v>
      </c>
      <c r="I1369" s="10">
        <v>85.5</v>
      </c>
      <c r="J1369" s="14">
        <f>P1369*I1369</f>
        <v>85.5</v>
      </c>
      <c r="K1369" s="16">
        <v>380</v>
      </c>
      <c r="L1369" s="1" t="s">
        <v>30</v>
      </c>
      <c r="M1369" t="s">
        <v>22</v>
      </c>
      <c r="N1369" t="str">
        <f t="shared" si="27"/>
        <v>United Kingdom</v>
      </c>
      <c r="O1369" s="8">
        <f>IF(K1369&gt;=1,K1369,K1369*1000)</f>
        <v>380</v>
      </c>
      <c r="P1369">
        <f>ABS(H1369)</f>
        <v>1</v>
      </c>
      <c r="R1369"/>
    </row>
    <row r="1370" spans="1:18" x14ac:dyDescent="0.35">
      <c r="A1370" t="s">
        <v>2557</v>
      </c>
      <c r="B1370" s="2">
        <v>46205</v>
      </c>
      <c r="C1370" t="s">
        <v>2558</v>
      </c>
      <c r="D1370" s="3" t="s">
        <v>66</v>
      </c>
      <c r="E1370" t="s">
        <v>34</v>
      </c>
      <c r="F1370" t="s">
        <v>83</v>
      </c>
      <c r="G1370" t="s">
        <v>84</v>
      </c>
      <c r="H1370" s="8">
        <v>2</v>
      </c>
      <c r="I1370" s="10">
        <v>129</v>
      </c>
      <c r="J1370" s="14">
        <f>P1370*I1370</f>
        <v>258</v>
      </c>
      <c r="K1370" s="16">
        <v>340</v>
      </c>
      <c r="L1370" s="1" t="s">
        <v>21</v>
      </c>
      <c r="M1370" t="s">
        <v>22</v>
      </c>
      <c r="N1370" t="str">
        <f t="shared" si="27"/>
        <v>Gb</v>
      </c>
      <c r="O1370" s="8">
        <f>IF(K1370&gt;=1,K1370,K1370*1000)</f>
        <v>340</v>
      </c>
      <c r="P1370">
        <f>ABS(H1370)</f>
        <v>2</v>
      </c>
      <c r="R1370"/>
    </row>
    <row r="1371" spans="1:18" x14ac:dyDescent="0.35">
      <c r="A1371" t="s">
        <v>2559</v>
      </c>
      <c r="B1371" s="2">
        <v>46122</v>
      </c>
      <c r="C1371" t="s">
        <v>348</v>
      </c>
      <c r="D1371" s="3" t="s">
        <v>61</v>
      </c>
      <c r="E1371" t="s">
        <v>67</v>
      </c>
      <c r="F1371" t="s">
        <v>89</v>
      </c>
      <c r="G1371" t="s">
        <v>90</v>
      </c>
      <c r="H1371" s="8">
        <v>1</v>
      </c>
      <c r="I1371" s="10">
        <v>95</v>
      </c>
      <c r="J1371" s="14">
        <f>P1371*I1371</f>
        <v>95</v>
      </c>
      <c r="K1371" s="16">
        <v>640</v>
      </c>
      <c r="L1371" s="1" t="s">
        <v>30</v>
      </c>
      <c r="M1371" t="s">
        <v>58</v>
      </c>
      <c r="N1371" t="str">
        <f t="shared" si="27"/>
        <v>Ireland</v>
      </c>
      <c r="O1371" s="8">
        <f>IF(K1371&gt;=1,K1371,K1371*1000)</f>
        <v>640</v>
      </c>
      <c r="P1371">
        <f>ABS(H1371)</f>
        <v>1</v>
      </c>
      <c r="R1371"/>
    </row>
    <row r="1372" spans="1:18" x14ac:dyDescent="0.35">
      <c r="A1372" t="s">
        <v>2560</v>
      </c>
      <c r="B1372" s="2" t="s">
        <v>1398</v>
      </c>
      <c r="C1372" t="s">
        <v>2171</v>
      </c>
      <c r="D1372" s="3" t="s">
        <v>46</v>
      </c>
      <c r="E1372" t="s">
        <v>41</v>
      </c>
      <c r="F1372" t="s">
        <v>35</v>
      </c>
      <c r="G1372" t="s">
        <v>36</v>
      </c>
      <c r="H1372" s="8">
        <v>1</v>
      </c>
      <c r="I1372" s="10">
        <v>149</v>
      </c>
      <c r="J1372" s="14">
        <f>P1372*I1372</f>
        <v>149</v>
      </c>
      <c r="K1372" s="16">
        <v>85</v>
      </c>
      <c r="L1372" s="1" t="s">
        <v>30</v>
      </c>
      <c r="M1372" t="s">
        <v>22</v>
      </c>
      <c r="N1372" t="str">
        <f t="shared" si="27"/>
        <v>Ireland</v>
      </c>
      <c r="O1372" s="8">
        <f>IF(K1372&gt;=1,K1372,K1372*1000)</f>
        <v>85</v>
      </c>
      <c r="P1372">
        <f>ABS(H1372)</f>
        <v>1</v>
      </c>
      <c r="R1372"/>
    </row>
    <row r="1373" spans="1:18" x14ac:dyDescent="0.35">
      <c r="A1373" t="s">
        <v>2561</v>
      </c>
      <c r="B1373" s="2" t="s">
        <v>2301</v>
      </c>
      <c r="C1373" t="s">
        <v>2126</v>
      </c>
      <c r="D1373" s="3" t="s">
        <v>61</v>
      </c>
      <c r="E1373" t="s">
        <v>16</v>
      </c>
      <c r="F1373" t="s">
        <v>35</v>
      </c>
      <c r="G1373" t="s">
        <v>36</v>
      </c>
      <c r="H1373" s="8">
        <v>1</v>
      </c>
      <c r="I1373" s="10">
        <v>12.5</v>
      </c>
      <c r="J1373" s="14">
        <f>P1373*I1373</f>
        <v>12.5</v>
      </c>
      <c r="K1373" s="16">
        <v>8.5000000000000006E-2</v>
      </c>
      <c r="L1373" s="1" t="s">
        <v>30</v>
      </c>
      <c r="M1373" t="s">
        <v>58</v>
      </c>
      <c r="N1373" t="str">
        <f t="shared" si="27"/>
        <v>Ireland</v>
      </c>
      <c r="O1373" s="8">
        <f>IF(K1373&gt;=1,K1373,K1373*1000)</f>
        <v>85</v>
      </c>
      <c r="P1373">
        <f>ABS(H1373)</f>
        <v>1</v>
      </c>
      <c r="R1373"/>
    </row>
    <row r="1374" spans="1:18" x14ac:dyDescent="0.35">
      <c r="A1374" t="s">
        <v>2562</v>
      </c>
      <c r="B1374" s="2">
        <v>46134</v>
      </c>
      <c r="C1374" t="s">
        <v>2563</v>
      </c>
      <c r="D1374" s="3" t="s">
        <v>53</v>
      </c>
      <c r="E1374" t="s">
        <v>16</v>
      </c>
      <c r="F1374" t="s">
        <v>42</v>
      </c>
      <c r="G1374" t="s">
        <v>43</v>
      </c>
      <c r="H1374" s="8">
        <v>2</v>
      </c>
      <c r="I1374" s="10">
        <v>40.5</v>
      </c>
      <c r="J1374" s="14">
        <f>P1374*I1374</f>
        <v>81</v>
      </c>
      <c r="K1374" s="16">
        <v>0.19</v>
      </c>
      <c r="L1374" s="1" t="s">
        <v>21</v>
      </c>
      <c r="M1374" t="s">
        <v>22</v>
      </c>
      <c r="N1374" t="str">
        <f t="shared" si="27"/>
        <v>Gb</v>
      </c>
      <c r="O1374" s="8">
        <f>IF(K1374&gt;=1,K1374,K1374*1000)</f>
        <v>190</v>
      </c>
      <c r="P1374">
        <f>ABS(H1374)</f>
        <v>2</v>
      </c>
      <c r="R1374"/>
    </row>
    <row r="1375" spans="1:18" x14ac:dyDescent="0.35">
      <c r="A1375" t="s">
        <v>2564</v>
      </c>
      <c r="B1375" s="2">
        <v>46103</v>
      </c>
      <c r="C1375" t="s">
        <v>2489</v>
      </c>
      <c r="D1375" s="3" t="s">
        <v>116</v>
      </c>
      <c r="E1375" t="s">
        <v>34</v>
      </c>
      <c r="F1375" t="s">
        <v>17</v>
      </c>
      <c r="G1375" t="s">
        <v>18</v>
      </c>
      <c r="H1375" s="8">
        <v>1</v>
      </c>
      <c r="I1375" s="10">
        <v>45</v>
      </c>
      <c r="J1375" s="14">
        <f>P1375*I1375</f>
        <v>45</v>
      </c>
      <c r="K1375" s="16">
        <v>520</v>
      </c>
      <c r="L1375" s="1" t="s">
        <v>30</v>
      </c>
      <c r="M1375" t="s">
        <v>22</v>
      </c>
      <c r="N1375" t="str">
        <f t="shared" si="27"/>
        <v>Germany</v>
      </c>
      <c r="O1375" s="8">
        <f>IF(K1375&gt;=1,K1375,K1375*1000)</f>
        <v>520</v>
      </c>
      <c r="P1375">
        <f>ABS(H1375)</f>
        <v>1</v>
      </c>
      <c r="R1375"/>
    </row>
    <row r="1376" spans="1:18" x14ac:dyDescent="0.35">
      <c r="A1376" t="s">
        <v>2565</v>
      </c>
      <c r="B1376" s="2">
        <v>46076</v>
      </c>
      <c r="C1376" t="s">
        <v>578</v>
      </c>
      <c r="D1376" s="3" t="s">
        <v>66</v>
      </c>
      <c r="E1376" t="s">
        <v>34</v>
      </c>
      <c r="F1376" t="s">
        <v>42</v>
      </c>
      <c r="G1376" t="s">
        <v>43</v>
      </c>
      <c r="H1376" s="8">
        <v>3</v>
      </c>
      <c r="I1376" s="10">
        <v>40.5</v>
      </c>
      <c r="J1376" s="14">
        <f>P1376*I1376</f>
        <v>121.5</v>
      </c>
      <c r="K1376" s="16">
        <v>190</v>
      </c>
      <c r="L1376" s="1" t="s">
        <v>21</v>
      </c>
      <c r="M1376" t="s">
        <v>58</v>
      </c>
      <c r="N1376" t="str">
        <f t="shared" si="27"/>
        <v>Gb</v>
      </c>
      <c r="O1376" s="8">
        <f>IF(K1376&gt;=1,K1376,K1376*1000)</f>
        <v>190</v>
      </c>
      <c r="P1376">
        <f>ABS(H1376)</f>
        <v>3</v>
      </c>
      <c r="R1376"/>
    </row>
    <row r="1377" spans="1:18" x14ac:dyDescent="0.35">
      <c r="A1377" t="s">
        <v>2566</v>
      </c>
      <c r="B1377" s="2" t="s">
        <v>2567</v>
      </c>
      <c r="C1377" t="s">
        <v>1028</v>
      </c>
      <c r="D1377" s="3" t="s">
        <v>4612</v>
      </c>
      <c r="E1377" t="s">
        <v>16</v>
      </c>
      <c r="F1377" t="s">
        <v>42</v>
      </c>
      <c r="G1377" t="s">
        <v>43</v>
      </c>
      <c r="H1377" s="8">
        <v>1</v>
      </c>
      <c r="I1377" s="10">
        <v>129</v>
      </c>
      <c r="J1377" s="14">
        <f>P1377*I1377</f>
        <v>129</v>
      </c>
      <c r="K1377" s="16">
        <v>190</v>
      </c>
      <c r="L1377" s="1" t="s">
        <v>30</v>
      </c>
      <c r="M1377" t="s">
        <v>22</v>
      </c>
      <c r="N1377" t="str">
        <f t="shared" si="27"/>
        <v>United Kingdom</v>
      </c>
      <c r="O1377" s="8">
        <f>IF(K1377&gt;=1,K1377,K1377*1000)</f>
        <v>190</v>
      </c>
      <c r="P1377">
        <f>ABS(H1377)</f>
        <v>1</v>
      </c>
      <c r="R1377"/>
    </row>
    <row r="1378" spans="1:18" x14ac:dyDescent="0.35">
      <c r="A1378" t="s">
        <v>2568</v>
      </c>
      <c r="B1378" s="2">
        <v>46076</v>
      </c>
      <c r="C1378" t="s">
        <v>1215</v>
      </c>
      <c r="D1378" s="3" t="s">
        <v>4613</v>
      </c>
      <c r="E1378" t="s">
        <v>16</v>
      </c>
      <c r="F1378" t="s">
        <v>42</v>
      </c>
      <c r="G1378" t="s">
        <v>43</v>
      </c>
      <c r="H1378" s="8">
        <v>2</v>
      </c>
      <c r="I1378" s="10">
        <v>79</v>
      </c>
      <c r="J1378" s="14">
        <f>P1378*I1378</f>
        <v>158</v>
      </c>
      <c r="K1378" s="16">
        <v>190</v>
      </c>
      <c r="L1378" s="1" t="s">
        <v>30</v>
      </c>
      <c r="M1378" t="s">
        <v>22</v>
      </c>
      <c r="N1378" t="str">
        <f t="shared" si="27"/>
        <v>United Kingdom</v>
      </c>
      <c r="O1378" s="8">
        <f>IF(K1378&gt;=1,K1378,K1378*1000)</f>
        <v>190</v>
      </c>
      <c r="P1378">
        <f>ABS(H1378)</f>
        <v>2</v>
      </c>
      <c r="R1378"/>
    </row>
    <row r="1379" spans="1:18" x14ac:dyDescent="0.35">
      <c r="A1379" t="s">
        <v>2569</v>
      </c>
      <c r="B1379" s="2">
        <v>46175</v>
      </c>
      <c r="C1379" t="s">
        <v>2218</v>
      </c>
      <c r="D1379" s="3" t="s">
        <v>61</v>
      </c>
      <c r="E1379" t="s">
        <v>41</v>
      </c>
      <c r="F1379" t="s">
        <v>89</v>
      </c>
      <c r="G1379" t="s">
        <v>90</v>
      </c>
      <c r="H1379" s="8">
        <v>1</v>
      </c>
      <c r="I1379" s="10">
        <v>24</v>
      </c>
      <c r="J1379" s="14">
        <f>P1379*I1379</f>
        <v>24</v>
      </c>
      <c r="K1379" s="16">
        <v>0.64</v>
      </c>
      <c r="L1379" s="1" t="s">
        <v>30</v>
      </c>
      <c r="M1379" t="s">
        <v>22</v>
      </c>
      <c r="N1379" t="str">
        <f t="shared" si="27"/>
        <v>Ireland</v>
      </c>
      <c r="O1379" s="8">
        <f>IF(K1379&gt;=1,K1379,K1379*1000)</f>
        <v>640</v>
      </c>
      <c r="P1379">
        <f>ABS(H1379)</f>
        <v>1</v>
      </c>
      <c r="R1379"/>
    </row>
    <row r="1380" spans="1:18" x14ac:dyDescent="0.35">
      <c r="A1380" t="s">
        <v>2570</v>
      </c>
      <c r="B1380" s="2">
        <v>46051</v>
      </c>
      <c r="C1380" t="s">
        <v>496</v>
      </c>
      <c r="D1380" s="3" t="s">
        <v>4613</v>
      </c>
      <c r="E1380" t="s">
        <v>41</v>
      </c>
      <c r="F1380" t="s">
        <v>42</v>
      </c>
      <c r="G1380" t="s">
        <v>43</v>
      </c>
      <c r="H1380" s="8">
        <v>2</v>
      </c>
      <c r="I1380" s="10">
        <v>134.1</v>
      </c>
      <c r="J1380" s="14">
        <f>P1380*I1380</f>
        <v>268.2</v>
      </c>
      <c r="K1380" s="16">
        <v>190</v>
      </c>
      <c r="L1380" s="1" t="s">
        <v>30</v>
      </c>
      <c r="M1380" t="s">
        <v>22</v>
      </c>
      <c r="N1380" t="str">
        <f t="shared" si="27"/>
        <v>United Kingdom</v>
      </c>
      <c r="O1380" s="8">
        <f>IF(K1380&gt;=1,K1380,K1380*1000)</f>
        <v>190</v>
      </c>
      <c r="P1380">
        <f>ABS(H1380)</f>
        <v>2</v>
      </c>
      <c r="R1380"/>
    </row>
    <row r="1381" spans="1:18" x14ac:dyDescent="0.35">
      <c r="A1381" t="s">
        <v>2571</v>
      </c>
      <c r="B1381" s="2">
        <v>46142</v>
      </c>
      <c r="C1381" t="s">
        <v>1235</v>
      </c>
      <c r="D1381" s="3" t="s">
        <v>61</v>
      </c>
      <c r="E1381" t="s">
        <v>25</v>
      </c>
      <c r="F1381" t="s">
        <v>89</v>
      </c>
      <c r="G1381" t="s">
        <v>90</v>
      </c>
      <c r="H1381" s="8">
        <v>1</v>
      </c>
      <c r="I1381" s="10">
        <v>129</v>
      </c>
      <c r="J1381" s="14">
        <f>P1381*I1381</f>
        <v>129</v>
      </c>
      <c r="K1381" s="16">
        <v>0.64</v>
      </c>
      <c r="L1381" s="1" t="s">
        <v>30</v>
      </c>
      <c r="M1381" t="s">
        <v>22</v>
      </c>
      <c r="N1381" t="str">
        <f t="shared" si="27"/>
        <v>Ireland</v>
      </c>
      <c r="O1381" s="8">
        <f>IF(K1381&gt;=1,K1381,K1381*1000)</f>
        <v>640</v>
      </c>
      <c r="P1381">
        <f>ABS(H1381)</f>
        <v>1</v>
      </c>
      <c r="R1381"/>
    </row>
    <row r="1382" spans="1:18" x14ac:dyDescent="0.35">
      <c r="A1382" t="s">
        <v>2572</v>
      </c>
      <c r="B1382" s="2">
        <v>46145</v>
      </c>
      <c r="C1382" t="s">
        <v>352</v>
      </c>
      <c r="D1382" s="3" t="s">
        <v>15</v>
      </c>
      <c r="E1382" t="s">
        <v>16</v>
      </c>
      <c r="F1382" t="s">
        <v>42</v>
      </c>
      <c r="G1382" t="s">
        <v>43</v>
      </c>
      <c r="H1382" s="8">
        <v>1</v>
      </c>
      <c r="I1382" s="10">
        <v>89</v>
      </c>
      <c r="J1382" s="14">
        <f>P1382*I1382</f>
        <v>89</v>
      </c>
      <c r="K1382" s="16">
        <v>190</v>
      </c>
      <c r="L1382" s="1" t="s">
        <v>30</v>
      </c>
      <c r="M1382" t="s">
        <v>22</v>
      </c>
      <c r="N1382" t="str">
        <f t="shared" si="27"/>
        <v>France</v>
      </c>
      <c r="O1382" s="8">
        <f>IF(K1382&gt;=1,K1382,K1382*1000)</f>
        <v>190</v>
      </c>
      <c r="P1382">
        <f>ABS(H1382)</f>
        <v>1</v>
      </c>
      <c r="R1382"/>
    </row>
    <row r="1383" spans="1:18" x14ac:dyDescent="0.35">
      <c r="A1383" t="s">
        <v>2573</v>
      </c>
      <c r="B1383" s="2">
        <v>46056</v>
      </c>
      <c r="C1383" t="s">
        <v>2574</v>
      </c>
      <c r="D1383" s="3" t="s">
        <v>99</v>
      </c>
      <c r="E1383" t="s">
        <v>16</v>
      </c>
      <c r="F1383" t="s">
        <v>42</v>
      </c>
      <c r="G1383" t="s">
        <v>43</v>
      </c>
      <c r="H1383" s="8">
        <v>2</v>
      </c>
      <c r="I1383" s="10">
        <v>40.5</v>
      </c>
      <c r="J1383" s="14">
        <f>P1383*I1383</f>
        <v>81</v>
      </c>
      <c r="K1383" s="16">
        <v>190</v>
      </c>
      <c r="L1383" s="1" t="s">
        <v>30</v>
      </c>
      <c r="M1383" t="s">
        <v>22</v>
      </c>
      <c r="N1383" t="str">
        <f t="shared" si="27"/>
        <v>United Kingdom</v>
      </c>
      <c r="O1383" s="8">
        <f>IF(K1383&gt;=1,K1383,K1383*1000)</f>
        <v>190</v>
      </c>
      <c r="P1383">
        <f>ABS(H1383)</f>
        <v>2</v>
      </c>
      <c r="R1383"/>
    </row>
    <row r="1384" spans="1:18" x14ac:dyDescent="0.35">
      <c r="A1384" t="s">
        <v>2575</v>
      </c>
      <c r="B1384" s="2">
        <v>46159</v>
      </c>
      <c r="C1384" t="s">
        <v>496</v>
      </c>
      <c r="D1384" s="3" t="s">
        <v>46</v>
      </c>
      <c r="E1384" t="s">
        <v>16</v>
      </c>
      <c r="F1384" t="s">
        <v>83</v>
      </c>
      <c r="G1384" t="s">
        <v>84</v>
      </c>
      <c r="H1384" s="8">
        <v>2</v>
      </c>
      <c r="I1384" s="10">
        <v>79</v>
      </c>
      <c r="J1384" s="14">
        <f>P1384*I1384</f>
        <v>158</v>
      </c>
      <c r="K1384" s="16">
        <v>0.34</v>
      </c>
      <c r="L1384" s="1" t="s">
        <v>21</v>
      </c>
      <c r="M1384" t="s">
        <v>58</v>
      </c>
      <c r="N1384" t="str">
        <f t="shared" si="27"/>
        <v>Ireland</v>
      </c>
      <c r="O1384" s="8">
        <f>IF(K1384&gt;=1,K1384,K1384*1000)</f>
        <v>340</v>
      </c>
      <c r="P1384">
        <f>ABS(H1384)</f>
        <v>2</v>
      </c>
      <c r="R1384"/>
    </row>
    <row r="1385" spans="1:18" x14ac:dyDescent="0.35">
      <c r="A1385" t="s">
        <v>2576</v>
      </c>
      <c r="B1385" s="2">
        <v>46087</v>
      </c>
      <c r="C1385" t="s">
        <v>2191</v>
      </c>
      <c r="D1385" s="3" t="s">
        <v>66</v>
      </c>
      <c r="E1385" t="s">
        <v>41</v>
      </c>
      <c r="F1385" t="s">
        <v>17</v>
      </c>
      <c r="G1385" t="s">
        <v>18</v>
      </c>
      <c r="H1385" s="8">
        <v>1</v>
      </c>
      <c r="I1385" s="10">
        <v>79</v>
      </c>
      <c r="J1385" s="14">
        <f>P1385*I1385</f>
        <v>79</v>
      </c>
      <c r="K1385" s="16">
        <v>520</v>
      </c>
      <c r="L1385" s="1" t="s">
        <v>30</v>
      </c>
      <c r="M1385" t="s">
        <v>22</v>
      </c>
      <c r="N1385" t="str">
        <f t="shared" si="27"/>
        <v>Gb</v>
      </c>
      <c r="O1385" s="8">
        <f>IF(K1385&gt;=1,K1385,K1385*1000)</f>
        <v>520</v>
      </c>
      <c r="P1385">
        <f>ABS(H1385)</f>
        <v>1</v>
      </c>
      <c r="R1385"/>
    </row>
    <row r="1386" spans="1:18" x14ac:dyDescent="0.35">
      <c r="A1386" t="s">
        <v>2577</v>
      </c>
      <c r="B1386" s="2">
        <v>46119</v>
      </c>
      <c r="C1386" t="s">
        <v>2578</v>
      </c>
      <c r="D1386" s="3" t="s">
        <v>53</v>
      </c>
      <c r="E1386" t="s">
        <v>25</v>
      </c>
      <c r="F1386" t="s">
        <v>42</v>
      </c>
      <c r="G1386" t="s">
        <v>43</v>
      </c>
      <c r="H1386" s="8">
        <v>1</v>
      </c>
      <c r="I1386" s="10">
        <v>40.5</v>
      </c>
      <c r="J1386" s="14">
        <f>P1386*I1386</f>
        <v>40.5</v>
      </c>
      <c r="K1386" s="16">
        <v>190</v>
      </c>
      <c r="L1386" s="1" t="s">
        <v>30</v>
      </c>
      <c r="M1386" t="s">
        <v>58</v>
      </c>
      <c r="N1386" t="str">
        <f t="shared" si="27"/>
        <v>Gb</v>
      </c>
      <c r="O1386" s="8">
        <f>IF(K1386&gt;=1,K1386,K1386*1000)</f>
        <v>190</v>
      </c>
      <c r="P1386">
        <f>ABS(H1386)</f>
        <v>1</v>
      </c>
      <c r="R1386"/>
    </row>
    <row r="1387" spans="1:18" x14ac:dyDescent="0.35">
      <c r="A1387" t="s">
        <v>2579</v>
      </c>
      <c r="B1387" s="2">
        <v>46076</v>
      </c>
      <c r="C1387" t="s">
        <v>430</v>
      </c>
      <c r="D1387" s="3" t="s">
        <v>15</v>
      </c>
      <c r="E1387" t="s">
        <v>25</v>
      </c>
      <c r="F1387" t="s">
        <v>42</v>
      </c>
      <c r="G1387" t="s">
        <v>43</v>
      </c>
      <c r="H1387" s="8">
        <v>1</v>
      </c>
      <c r="I1387" s="10">
        <v>85.5</v>
      </c>
      <c r="J1387" s="14">
        <f>P1387*I1387</f>
        <v>85.5</v>
      </c>
      <c r="K1387" s="16">
        <v>190</v>
      </c>
      <c r="L1387" s="1" t="s">
        <v>30</v>
      </c>
      <c r="M1387" t="s">
        <v>22</v>
      </c>
      <c r="N1387" t="str">
        <f t="shared" si="27"/>
        <v>France</v>
      </c>
      <c r="O1387" s="8">
        <f>IF(K1387&gt;=1,K1387,K1387*1000)</f>
        <v>190</v>
      </c>
      <c r="P1387">
        <f>ABS(H1387)</f>
        <v>1</v>
      </c>
      <c r="R1387"/>
    </row>
    <row r="1388" spans="1:18" x14ac:dyDescent="0.35">
      <c r="A1388" t="s">
        <v>2580</v>
      </c>
      <c r="B1388" s="2">
        <v>46082</v>
      </c>
      <c r="C1388" t="s">
        <v>2184</v>
      </c>
      <c r="D1388" s="3" t="s">
        <v>46</v>
      </c>
      <c r="E1388" t="s">
        <v>34</v>
      </c>
      <c r="F1388" t="s">
        <v>89</v>
      </c>
      <c r="G1388" t="s">
        <v>90</v>
      </c>
      <c r="H1388" s="8">
        <v>3</v>
      </c>
      <c r="I1388" s="10">
        <v>79</v>
      </c>
      <c r="J1388" s="14">
        <f>P1388*I1388</f>
        <v>237</v>
      </c>
      <c r="K1388" s="16">
        <v>640</v>
      </c>
      <c r="L1388" s="1" t="s">
        <v>21</v>
      </c>
      <c r="M1388" t="s">
        <v>22</v>
      </c>
      <c r="N1388" t="str">
        <f t="shared" si="27"/>
        <v>Ireland</v>
      </c>
      <c r="O1388" s="8">
        <f>IF(K1388&gt;=1,K1388,K1388*1000)</f>
        <v>640</v>
      </c>
      <c r="P1388">
        <f>ABS(H1388)</f>
        <v>3</v>
      </c>
      <c r="R1388"/>
    </row>
    <row r="1389" spans="1:18" x14ac:dyDescent="0.35">
      <c r="A1389" t="s">
        <v>2581</v>
      </c>
      <c r="B1389" s="2">
        <v>46036</v>
      </c>
      <c r="C1389" t="s">
        <v>1351</v>
      </c>
      <c r="D1389" s="3" t="s">
        <v>116</v>
      </c>
      <c r="E1389" t="s">
        <v>25</v>
      </c>
      <c r="F1389" t="s">
        <v>74</v>
      </c>
      <c r="G1389" t="s">
        <v>75</v>
      </c>
      <c r="H1389" s="8">
        <v>2</v>
      </c>
      <c r="I1389" s="10">
        <v>24</v>
      </c>
      <c r="J1389" s="14">
        <f>P1389*I1389</f>
        <v>48</v>
      </c>
      <c r="K1389" s="16">
        <v>410</v>
      </c>
      <c r="L1389" s="1" t="s">
        <v>30</v>
      </c>
      <c r="M1389" t="s">
        <v>22</v>
      </c>
      <c r="N1389" t="str">
        <f t="shared" si="27"/>
        <v>Germany</v>
      </c>
      <c r="O1389" s="8">
        <f>IF(K1389&gt;=1,K1389,K1389*1000)</f>
        <v>410</v>
      </c>
      <c r="P1389">
        <f>ABS(H1389)</f>
        <v>2</v>
      </c>
      <c r="R1389"/>
    </row>
    <row r="1390" spans="1:18" x14ac:dyDescent="0.35">
      <c r="A1390" t="s">
        <v>2582</v>
      </c>
      <c r="B1390" s="2">
        <v>46362</v>
      </c>
      <c r="C1390" t="s">
        <v>2583</v>
      </c>
      <c r="D1390" s="3" t="s">
        <v>99</v>
      </c>
      <c r="E1390" t="s">
        <v>25</v>
      </c>
      <c r="F1390" t="s">
        <v>74</v>
      </c>
      <c r="G1390" t="s">
        <v>75</v>
      </c>
      <c r="H1390" s="8">
        <v>-2</v>
      </c>
      <c r="I1390" s="10">
        <v>79</v>
      </c>
      <c r="J1390" s="14">
        <f>P1390*I1390</f>
        <v>158</v>
      </c>
      <c r="K1390" s="16">
        <v>0.41</v>
      </c>
      <c r="L1390" s="1" t="s">
        <v>30</v>
      </c>
      <c r="M1390" t="s">
        <v>22</v>
      </c>
      <c r="N1390" t="str">
        <f t="shared" si="27"/>
        <v>United Kingdom</v>
      </c>
      <c r="O1390" s="8">
        <f>IF(K1390&gt;=1,K1390,K1390*1000)</f>
        <v>410</v>
      </c>
      <c r="P1390">
        <f>ABS(H1390)</f>
        <v>2</v>
      </c>
      <c r="R1390"/>
    </row>
    <row r="1391" spans="1:18" x14ac:dyDescent="0.35">
      <c r="A1391" t="s">
        <v>2584</v>
      </c>
      <c r="B1391" s="2">
        <v>46165</v>
      </c>
      <c r="C1391" t="s">
        <v>129</v>
      </c>
      <c r="D1391" s="3" t="s">
        <v>61</v>
      </c>
      <c r="E1391" t="s">
        <v>16</v>
      </c>
      <c r="F1391" t="s">
        <v>17</v>
      </c>
      <c r="G1391" t="s">
        <v>18</v>
      </c>
      <c r="H1391" s="8">
        <v>1</v>
      </c>
      <c r="I1391" s="10">
        <v>79</v>
      </c>
      <c r="J1391" s="14">
        <f>P1391*I1391</f>
        <v>79</v>
      </c>
      <c r="K1391" s="16">
        <v>0.52</v>
      </c>
      <c r="L1391" s="1" t="s">
        <v>30</v>
      </c>
      <c r="M1391" t="s">
        <v>22</v>
      </c>
      <c r="N1391" t="str">
        <f t="shared" si="27"/>
        <v>Ireland</v>
      </c>
      <c r="O1391" s="8">
        <f>IF(K1391&gt;=1,K1391,K1391*1000)</f>
        <v>520</v>
      </c>
      <c r="P1391">
        <f>ABS(H1391)</f>
        <v>1</v>
      </c>
      <c r="R1391"/>
    </row>
    <row r="1392" spans="1:18" x14ac:dyDescent="0.35">
      <c r="A1392" t="s">
        <v>2585</v>
      </c>
      <c r="B1392" s="2" t="s">
        <v>2586</v>
      </c>
      <c r="C1392" t="s">
        <v>78</v>
      </c>
      <c r="D1392" s="3" t="s">
        <v>4612</v>
      </c>
      <c r="E1392" t="s">
        <v>25</v>
      </c>
      <c r="F1392" t="s">
        <v>42</v>
      </c>
      <c r="G1392" t="s">
        <v>43</v>
      </c>
      <c r="H1392" s="8">
        <v>3</v>
      </c>
      <c r="I1392" s="10">
        <v>89</v>
      </c>
      <c r="J1392" s="14">
        <f>P1392*I1392</f>
        <v>267</v>
      </c>
      <c r="K1392" s="16">
        <v>190</v>
      </c>
      <c r="L1392" s="1" t="s">
        <v>21</v>
      </c>
      <c r="M1392" t="s">
        <v>22</v>
      </c>
      <c r="N1392" t="str">
        <f t="shared" si="27"/>
        <v>United Kingdom</v>
      </c>
      <c r="O1392" s="8">
        <f>IF(K1392&gt;=1,K1392,K1392*1000)</f>
        <v>190</v>
      </c>
      <c r="P1392">
        <f>ABS(H1392)</f>
        <v>3</v>
      </c>
      <c r="R1392"/>
    </row>
    <row r="1393" spans="1:18" x14ac:dyDescent="0.35">
      <c r="A1393" t="s">
        <v>2587</v>
      </c>
      <c r="B1393" s="2">
        <v>46144</v>
      </c>
      <c r="C1393" t="s">
        <v>2391</v>
      </c>
      <c r="D1393" s="3" t="s">
        <v>4612</v>
      </c>
      <c r="E1393" t="s">
        <v>25</v>
      </c>
      <c r="F1393" t="s">
        <v>17</v>
      </c>
      <c r="G1393" t="s">
        <v>18</v>
      </c>
      <c r="H1393" s="8">
        <v>1</v>
      </c>
      <c r="I1393" s="10">
        <v>12.5</v>
      </c>
      <c r="J1393" s="14">
        <f>P1393*I1393</f>
        <v>12.5</v>
      </c>
      <c r="K1393" s="16">
        <v>0.52</v>
      </c>
      <c r="L1393" s="1" t="s">
        <v>21</v>
      </c>
      <c r="M1393" t="s">
        <v>58</v>
      </c>
      <c r="N1393" t="str">
        <f t="shared" si="27"/>
        <v>United Kingdom</v>
      </c>
      <c r="O1393" s="8">
        <f>IF(K1393&gt;=1,K1393,K1393*1000)</f>
        <v>520</v>
      </c>
      <c r="P1393">
        <f>ABS(H1393)</f>
        <v>1</v>
      </c>
      <c r="R1393"/>
    </row>
    <row r="1394" spans="1:18" x14ac:dyDescent="0.35">
      <c r="A1394" t="s">
        <v>2588</v>
      </c>
      <c r="B1394" s="2">
        <v>46116</v>
      </c>
      <c r="C1394" t="s">
        <v>1312</v>
      </c>
      <c r="D1394" s="3" t="s">
        <v>66</v>
      </c>
      <c r="E1394" t="s">
        <v>34</v>
      </c>
      <c r="F1394" t="s">
        <v>17</v>
      </c>
      <c r="G1394" t="s">
        <v>18</v>
      </c>
      <c r="H1394" s="8">
        <v>1</v>
      </c>
      <c r="I1394" s="10">
        <v>24</v>
      </c>
      <c r="J1394" s="14">
        <f>P1394*I1394</f>
        <v>24</v>
      </c>
      <c r="K1394" s="16">
        <v>520</v>
      </c>
      <c r="L1394" s="1" t="s">
        <v>30</v>
      </c>
      <c r="M1394" t="s">
        <v>58</v>
      </c>
      <c r="N1394" t="str">
        <f t="shared" si="27"/>
        <v>Gb</v>
      </c>
      <c r="O1394" s="8">
        <f>IF(K1394&gt;=1,K1394,K1394*1000)</f>
        <v>520</v>
      </c>
      <c r="P1394">
        <f>ABS(H1394)</f>
        <v>1</v>
      </c>
      <c r="R1394"/>
    </row>
    <row r="1395" spans="1:18" x14ac:dyDescent="0.35">
      <c r="A1395" t="s">
        <v>2589</v>
      </c>
      <c r="B1395" s="2">
        <v>46207</v>
      </c>
      <c r="C1395" t="s">
        <v>1057</v>
      </c>
      <c r="D1395" s="3" t="s">
        <v>15</v>
      </c>
      <c r="E1395" t="s">
        <v>25</v>
      </c>
      <c r="F1395" t="s">
        <v>42</v>
      </c>
      <c r="G1395" t="s">
        <v>43</v>
      </c>
      <c r="H1395" s="8">
        <v>1</v>
      </c>
      <c r="I1395" s="10">
        <v>129</v>
      </c>
      <c r="J1395" s="14">
        <f>P1395*I1395</f>
        <v>129</v>
      </c>
      <c r="K1395" s="16">
        <v>0.19</v>
      </c>
      <c r="L1395" s="1" t="s">
        <v>30</v>
      </c>
      <c r="M1395" t="s">
        <v>58</v>
      </c>
      <c r="N1395" t="str">
        <f t="shared" si="27"/>
        <v>France</v>
      </c>
      <c r="O1395" s="8">
        <f>IF(K1395&gt;=1,K1395,K1395*1000)</f>
        <v>190</v>
      </c>
      <c r="P1395">
        <f>ABS(H1395)</f>
        <v>1</v>
      </c>
      <c r="R1395"/>
    </row>
    <row r="1396" spans="1:18" x14ac:dyDescent="0.35">
      <c r="A1396" t="s">
        <v>2590</v>
      </c>
      <c r="B1396" s="2">
        <v>46101</v>
      </c>
      <c r="C1396" t="s">
        <v>2591</v>
      </c>
      <c r="D1396" s="3" t="s">
        <v>61</v>
      </c>
      <c r="E1396" t="s">
        <v>41</v>
      </c>
      <c r="F1396" t="s">
        <v>74</v>
      </c>
      <c r="G1396" t="s">
        <v>75</v>
      </c>
      <c r="H1396" s="8">
        <v>1</v>
      </c>
      <c r="I1396" s="10">
        <v>79</v>
      </c>
      <c r="J1396" s="14">
        <f>P1396*I1396</f>
        <v>79</v>
      </c>
      <c r="K1396" s="16">
        <v>410</v>
      </c>
      <c r="L1396" s="1" t="s">
        <v>30</v>
      </c>
      <c r="M1396" t="s">
        <v>58</v>
      </c>
      <c r="N1396" t="str">
        <f t="shared" si="27"/>
        <v>Ireland</v>
      </c>
      <c r="O1396" s="8">
        <f>IF(K1396&gt;=1,K1396,K1396*1000)</f>
        <v>410</v>
      </c>
      <c r="P1396">
        <f>ABS(H1396)</f>
        <v>1</v>
      </c>
      <c r="R1396"/>
    </row>
    <row r="1397" spans="1:18" x14ac:dyDescent="0.35">
      <c r="A1397" t="s">
        <v>2592</v>
      </c>
      <c r="B1397" s="2">
        <v>46108</v>
      </c>
      <c r="C1397" t="s">
        <v>919</v>
      </c>
      <c r="D1397" s="3" t="s">
        <v>46</v>
      </c>
      <c r="E1397" t="s">
        <v>25</v>
      </c>
      <c r="F1397" t="s">
        <v>26</v>
      </c>
      <c r="G1397" t="s">
        <v>27</v>
      </c>
      <c r="H1397" s="8">
        <v>1</v>
      </c>
      <c r="I1397" s="10">
        <v>149</v>
      </c>
      <c r="J1397" s="14">
        <f>P1397*I1397</f>
        <v>149</v>
      </c>
      <c r="K1397" s="16">
        <v>520</v>
      </c>
      <c r="L1397" s="1" t="s">
        <v>30</v>
      </c>
      <c r="M1397" t="s">
        <v>58</v>
      </c>
      <c r="N1397" t="str">
        <f t="shared" si="27"/>
        <v>Ireland</v>
      </c>
      <c r="O1397" s="8">
        <f>IF(K1397&gt;=1,K1397,K1397*1000)</f>
        <v>520</v>
      </c>
      <c r="P1397">
        <f>ABS(H1397)</f>
        <v>1</v>
      </c>
      <c r="R1397"/>
    </row>
    <row r="1398" spans="1:18" x14ac:dyDescent="0.35">
      <c r="A1398" t="s">
        <v>2593</v>
      </c>
      <c r="B1398" s="2">
        <v>46122</v>
      </c>
      <c r="C1398" t="s">
        <v>2142</v>
      </c>
      <c r="D1398" s="3" t="s">
        <v>99</v>
      </c>
      <c r="E1398" t="s">
        <v>34</v>
      </c>
      <c r="F1398" t="s">
        <v>26</v>
      </c>
      <c r="G1398" t="s">
        <v>27</v>
      </c>
      <c r="H1398" s="8">
        <v>1</v>
      </c>
      <c r="I1398" s="10">
        <v>45</v>
      </c>
      <c r="J1398" s="14">
        <f>P1398*I1398</f>
        <v>45</v>
      </c>
      <c r="K1398" s="16">
        <v>520</v>
      </c>
      <c r="L1398" s="1" t="s">
        <v>30</v>
      </c>
      <c r="M1398" t="s">
        <v>22</v>
      </c>
      <c r="N1398" t="str">
        <f t="shared" si="27"/>
        <v>United Kingdom</v>
      </c>
      <c r="O1398" s="8">
        <f>IF(K1398&gt;=1,K1398,K1398*1000)</f>
        <v>520</v>
      </c>
      <c r="P1398">
        <f>ABS(H1398)</f>
        <v>1</v>
      </c>
      <c r="R1398"/>
    </row>
    <row r="1399" spans="1:18" x14ac:dyDescent="0.35">
      <c r="A1399" t="s">
        <v>2594</v>
      </c>
      <c r="B1399" s="2">
        <v>46088</v>
      </c>
      <c r="C1399" t="s">
        <v>1250</v>
      </c>
      <c r="D1399" s="3" t="s">
        <v>99</v>
      </c>
      <c r="E1399" t="s">
        <v>41</v>
      </c>
      <c r="F1399" t="s">
        <v>89</v>
      </c>
      <c r="G1399" t="s">
        <v>90</v>
      </c>
      <c r="H1399" s="8">
        <v>2</v>
      </c>
      <c r="I1399" s="10">
        <v>24</v>
      </c>
      <c r="J1399" s="14">
        <f>P1399*I1399</f>
        <v>48</v>
      </c>
      <c r="K1399" s="16">
        <v>640</v>
      </c>
      <c r="L1399" s="1" t="s">
        <v>30</v>
      </c>
      <c r="M1399" t="s">
        <v>22</v>
      </c>
      <c r="N1399" t="str">
        <f t="shared" si="27"/>
        <v>United Kingdom</v>
      </c>
      <c r="O1399" s="8">
        <f>IF(K1399&gt;=1,K1399,K1399*1000)</f>
        <v>640</v>
      </c>
      <c r="P1399">
        <f>ABS(H1399)</f>
        <v>2</v>
      </c>
      <c r="R1399"/>
    </row>
    <row r="1400" spans="1:18" x14ac:dyDescent="0.35">
      <c r="A1400" t="s">
        <v>2595</v>
      </c>
      <c r="B1400" s="2">
        <v>46043</v>
      </c>
      <c r="C1400" t="s">
        <v>1528</v>
      </c>
      <c r="D1400" s="3" t="s">
        <v>4613</v>
      </c>
      <c r="E1400" t="s">
        <v>25</v>
      </c>
      <c r="F1400" t="s">
        <v>35</v>
      </c>
      <c r="G1400" t="s">
        <v>36</v>
      </c>
      <c r="H1400" s="8">
        <v>1</v>
      </c>
      <c r="I1400" s="10">
        <v>149</v>
      </c>
      <c r="J1400" s="14">
        <f>P1400*I1400</f>
        <v>149</v>
      </c>
      <c r="K1400" s="16">
        <v>85</v>
      </c>
      <c r="L1400" s="1" t="s">
        <v>30</v>
      </c>
      <c r="M1400" t="s">
        <v>22</v>
      </c>
      <c r="N1400" t="str">
        <f t="shared" si="27"/>
        <v>United Kingdom</v>
      </c>
      <c r="O1400" s="8">
        <f>IF(K1400&gt;=1,K1400,K1400*1000)</f>
        <v>85</v>
      </c>
      <c r="P1400">
        <f>ABS(H1400)</f>
        <v>1</v>
      </c>
      <c r="R1400"/>
    </row>
    <row r="1401" spans="1:18" x14ac:dyDescent="0.35">
      <c r="A1401" t="s">
        <v>2596</v>
      </c>
      <c r="B1401" s="2">
        <v>46175</v>
      </c>
      <c r="C1401" t="s">
        <v>1066</v>
      </c>
      <c r="D1401" s="3" t="s">
        <v>4613</v>
      </c>
      <c r="E1401" t="s">
        <v>41</v>
      </c>
      <c r="F1401" t="s">
        <v>83</v>
      </c>
      <c r="G1401" t="s">
        <v>84</v>
      </c>
      <c r="H1401" s="8">
        <v>1</v>
      </c>
      <c r="I1401" s="12" t="s">
        <v>4617</v>
      </c>
      <c r="J1401" s="14">
        <f>P1401*R1401</f>
        <v>45</v>
      </c>
      <c r="K1401" s="16">
        <v>0.34</v>
      </c>
      <c r="L1401" s="1" t="s">
        <v>30</v>
      </c>
      <c r="M1401" t="s">
        <v>22</v>
      </c>
      <c r="N1401" t="str">
        <f t="shared" si="27"/>
        <v>United Kingdom</v>
      </c>
      <c r="O1401" s="8">
        <f>IF(K1401&gt;=1,K1401,K1401*1000)</f>
        <v>340</v>
      </c>
      <c r="P1401">
        <f>ABS(H1401)</f>
        <v>1</v>
      </c>
      <c r="Q1401" t="str">
        <f>LEFT(I1401,3)</f>
        <v>GBP</v>
      </c>
      <c r="R1401" s="10" t="str">
        <f>RIGHT(I1401,5)</f>
        <v>45,00</v>
      </c>
    </row>
    <row r="1402" spans="1:18" x14ac:dyDescent="0.35">
      <c r="A1402" t="s">
        <v>2597</v>
      </c>
      <c r="B1402" s="2">
        <v>46028</v>
      </c>
      <c r="C1402" t="s">
        <v>2273</v>
      </c>
      <c r="D1402" s="3" t="s">
        <v>4612</v>
      </c>
      <c r="E1402" t="s">
        <v>34</v>
      </c>
      <c r="F1402" t="s">
        <v>89</v>
      </c>
      <c r="G1402" t="s">
        <v>90</v>
      </c>
      <c r="H1402" s="8">
        <v>1</v>
      </c>
      <c r="I1402" s="10">
        <v>40.5</v>
      </c>
      <c r="J1402" s="14">
        <f>P1402*I1402</f>
        <v>40.5</v>
      </c>
      <c r="K1402" s="16">
        <v>640</v>
      </c>
      <c r="L1402" s="1" t="s">
        <v>30</v>
      </c>
      <c r="M1402" t="s">
        <v>58</v>
      </c>
      <c r="N1402" t="str">
        <f t="shared" si="27"/>
        <v>United Kingdom</v>
      </c>
      <c r="O1402" s="8">
        <f>IF(K1402&gt;=1,K1402,K1402*1000)</f>
        <v>640</v>
      </c>
      <c r="P1402">
        <f>ABS(H1402)</f>
        <v>1</v>
      </c>
      <c r="R1402"/>
    </row>
    <row r="1403" spans="1:18" x14ac:dyDescent="0.35">
      <c r="A1403" t="s">
        <v>2598</v>
      </c>
      <c r="B1403" s="2">
        <v>46189</v>
      </c>
      <c r="C1403" t="s">
        <v>216</v>
      </c>
      <c r="D1403" s="3" t="s">
        <v>4612</v>
      </c>
      <c r="E1403" t="s">
        <v>25</v>
      </c>
      <c r="F1403" t="s">
        <v>17</v>
      </c>
      <c r="G1403" t="s">
        <v>18</v>
      </c>
      <c r="H1403" s="8">
        <v>1</v>
      </c>
      <c r="I1403" s="10">
        <v>95</v>
      </c>
      <c r="J1403" s="14">
        <f>P1403*I1403</f>
        <v>95</v>
      </c>
      <c r="K1403" s="16">
        <v>0.52</v>
      </c>
      <c r="L1403" s="1" t="s">
        <v>30</v>
      </c>
      <c r="M1403" t="s">
        <v>58</v>
      </c>
      <c r="N1403" t="str">
        <f t="shared" si="27"/>
        <v>United Kingdom</v>
      </c>
      <c r="O1403" s="8">
        <f>IF(K1403&gt;=1,K1403,K1403*1000)</f>
        <v>520</v>
      </c>
      <c r="P1403">
        <f>ABS(H1403)</f>
        <v>1</v>
      </c>
      <c r="R1403"/>
    </row>
    <row r="1404" spans="1:18" x14ac:dyDescent="0.35">
      <c r="A1404" t="s">
        <v>2599</v>
      </c>
      <c r="B1404" s="2">
        <v>46140</v>
      </c>
      <c r="C1404" t="s">
        <v>830</v>
      </c>
      <c r="D1404" s="3" t="s">
        <v>53</v>
      </c>
      <c r="E1404" t="s">
        <v>41</v>
      </c>
      <c r="F1404" t="s">
        <v>89</v>
      </c>
      <c r="G1404" t="s">
        <v>90</v>
      </c>
      <c r="H1404" s="8">
        <v>2</v>
      </c>
      <c r="I1404" s="10">
        <v>89</v>
      </c>
      <c r="J1404" s="14">
        <f>P1404*I1404</f>
        <v>178</v>
      </c>
      <c r="K1404" s="16">
        <v>0.64</v>
      </c>
      <c r="L1404" s="1" t="s">
        <v>21</v>
      </c>
      <c r="M1404" t="s">
        <v>22</v>
      </c>
      <c r="N1404" t="str">
        <f t="shared" si="27"/>
        <v>Gb</v>
      </c>
      <c r="O1404" s="8">
        <f>IF(K1404&gt;=1,K1404,K1404*1000)</f>
        <v>640</v>
      </c>
      <c r="P1404">
        <f>ABS(H1404)</f>
        <v>2</v>
      </c>
      <c r="R1404"/>
    </row>
    <row r="1405" spans="1:18" x14ac:dyDescent="0.35">
      <c r="A1405" t="s">
        <v>2600</v>
      </c>
      <c r="B1405" s="2">
        <v>46158</v>
      </c>
      <c r="C1405" t="s">
        <v>332</v>
      </c>
      <c r="D1405" s="3" t="s">
        <v>4613</v>
      </c>
      <c r="E1405" t="s">
        <v>67</v>
      </c>
      <c r="F1405" t="s">
        <v>89</v>
      </c>
      <c r="G1405" t="s">
        <v>90</v>
      </c>
      <c r="H1405" s="8">
        <v>2</v>
      </c>
      <c r="I1405" s="10">
        <v>12.5</v>
      </c>
      <c r="J1405" s="14">
        <f>P1405*I1405</f>
        <v>25</v>
      </c>
      <c r="K1405" s="16">
        <v>0.64</v>
      </c>
      <c r="L1405" s="1" t="s">
        <v>30</v>
      </c>
      <c r="M1405" t="s">
        <v>58</v>
      </c>
      <c r="N1405" t="str">
        <f t="shared" si="27"/>
        <v>United Kingdom</v>
      </c>
      <c r="O1405" s="8">
        <f>IF(K1405&gt;=1,K1405,K1405*1000)</f>
        <v>640</v>
      </c>
      <c r="P1405">
        <f>ABS(H1405)</f>
        <v>2</v>
      </c>
      <c r="R1405"/>
    </row>
    <row r="1406" spans="1:18" x14ac:dyDescent="0.35">
      <c r="A1406" t="s">
        <v>2601</v>
      </c>
      <c r="B1406" s="2">
        <v>46150</v>
      </c>
      <c r="C1406" t="s">
        <v>2602</v>
      </c>
      <c r="D1406" s="3" t="s">
        <v>66</v>
      </c>
      <c r="E1406" t="s">
        <v>67</v>
      </c>
      <c r="F1406" t="s">
        <v>42</v>
      </c>
      <c r="G1406" t="s">
        <v>43</v>
      </c>
      <c r="H1406" s="8">
        <v>1</v>
      </c>
      <c r="I1406" s="10">
        <v>11.25</v>
      </c>
      <c r="J1406" s="14">
        <f>P1406*I1406</f>
        <v>11.25</v>
      </c>
      <c r="K1406" s="16">
        <v>0.19</v>
      </c>
      <c r="L1406" s="1" t="s">
        <v>30</v>
      </c>
      <c r="M1406" t="s">
        <v>58</v>
      </c>
      <c r="N1406" t="str">
        <f t="shared" si="27"/>
        <v>Gb</v>
      </c>
      <c r="O1406" s="8">
        <f>IF(K1406&gt;=1,K1406,K1406*1000)</f>
        <v>190</v>
      </c>
      <c r="P1406">
        <f>ABS(H1406)</f>
        <v>1</v>
      </c>
      <c r="R1406"/>
    </row>
    <row r="1407" spans="1:18" x14ac:dyDescent="0.35">
      <c r="A1407" t="s">
        <v>2603</v>
      </c>
      <c r="B1407" s="2">
        <v>46168</v>
      </c>
      <c r="C1407" t="s">
        <v>2604</v>
      </c>
      <c r="D1407" s="3" t="s">
        <v>53</v>
      </c>
      <c r="E1407" t="s">
        <v>67</v>
      </c>
      <c r="F1407" t="s">
        <v>42</v>
      </c>
      <c r="G1407" t="s">
        <v>43</v>
      </c>
      <c r="H1407" s="8">
        <v>2</v>
      </c>
      <c r="I1407" s="12" t="s">
        <v>4627</v>
      </c>
      <c r="J1407" s="14">
        <f>P1407*R1407</f>
        <v>190</v>
      </c>
      <c r="K1407" s="16">
        <v>0.19</v>
      </c>
      <c r="L1407" s="1" t="s">
        <v>30</v>
      </c>
      <c r="M1407" t="s">
        <v>22</v>
      </c>
      <c r="N1407" t="str">
        <f t="shared" si="27"/>
        <v>Gb</v>
      </c>
      <c r="O1407" s="8">
        <f>IF(K1407&gt;=1,K1407,K1407*1000)</f>
        <v>190</v>
      </c>
      <c r="P1407">
        <f>ABS(H1407)</f>
        <v>2</v>
      </c>
      <c r="Q1407" t="str">
        <f>LEFT(I1407,3)</f>
        <v>GBP</v>
      </c>
      <c r="R1407" s="10" t="str">
        <f>RIGHT(I1407,5)</f>
        <v>95,00</v>
      </c>
    </row>
    <row r="1408" spans="1:18" x14ac:dyDescent="0.35">
      <c r="A1408" t="s">
        <v>2605</v>
      </c>
      <c r="B1408" s="2">
        <v>46046</v>
      </c>
      <c r="C1408" t="s">
        <v>938</v>
      </c>
      <c r="D1408" s="3" t="s">
        <v>53</v>
      </c>
      <c r="E1408" t="s">
        <v>41</v>
      </c>
      <c r="F1408" t="s">
        <v>47</v>
      </c>
      <c r="G1408" t="s">
        <v>48</v>
      </c>
      <c r="H1408" s="8">
        <v>2</v>
      </c>
      <c r="I1408" s="10">
        <v>129</v>
      </c>
      <c r="J1408" s="14">
        <f>P1408*I1408</f>
        <v>258</v>
      </c>
      <c r="K1408" s="16">
        <v>380</v>
      </c>
      <c r="L1408" s="1" t="s">
        <v>30</v>
      </c>
      <c r="M1408" t="s">
        <v>22</v>
      </c>
      <c r="N1408" t="str">
        <f t="shared" si="27"/>
        <v>Gb</v>
      </c>
      <c r="O1408" s="8">
        <f>IF(K1408&gt;=1,K1408,K1408*1000)</f>
        <v>380</v>
      </c>
      <c r="P1408">
        <f>ABS(H1408)</f>
        <v>2</v>
      </c>
      <c r="R1408"/>
    </row>
    <row r="1409" spans="1:18" x14ac:dyDescent="0.35">
      <c r="A1409" t="s">
        <v>2606</v>
      </c>
      <c r="B1409" s="2">
        <v>46123</v>
      </c>
      <c r="C1409" t="s">
        <v>622</v>
      </c>
      <c r="D1409" s="3" t="s">
        <v>53</v>
      </c>
      <c r="E1409" t="s">
        <v>41</v>
      </c>
      <c r="F1409" t="s">
        <v>89</v>
      </c>
      <c r="G1409" t="s">
        <v>90</v>
      </c>
      <c r="H1409" s="8">
        <v>1</v>
      </c>
      <c r="I1409" s="10">
        <v>129</v>
      </c>
      <c r="J1409" s="14">
        <f>P1409*I1409</f>
        <v>129</v>
      </c>
      <c r="K1409" s="16">
        <v>640</v>
      </c>
      <c r="L1409" s="1" t="s">
        <v>21</v>
      </c>
      <c r="M1409" t="s">
        <v>22</v>
      </c>
      <c r="N1409" t="str">
        <f t="shared" si="27"/>
        <v>Gb</v>
      </c>
      <c r="O1409" s="8">
        <f>IF(K1409&gt;=1,K1409,K1409*1000)</f>
        <v>640</v>
      </c>
      <c r="P1409">
        <f>ABS(H1409)</f>
        <v>1</v>
      </c>
      <c r="R1409"/>
    </row>
    <row r="1410" spans="1:18" x14ac:dyDescent="0.35">
      <c r="A1410" t="s">
        <v>2607</v>
      </c>
      <c r="B1410" s="2">
        <v>46161</v>
      </c>
      <c r="C1410" t="s">
        <v>2356</v>
      </c>
      <c r="D1410" s="3" t="s">
        <v>66</v>
      </c>
      <c r="E1410" t="s">
        <v>41</v>
      </c>
      <c r="F1410" t="s">
        <v>89</v>
      </c>
      <c r="G1410" t="s">
        <v>90</v>
      </c>
      <c r="H1410" s="8">
        <v>3</v>
      </c>
      <c r="I1410" s="12" t="s">
        <v>4624</v>
      </c>
      <c r="J1410" s="14">
        <f>P1410*R1410</f>
        <v>72</v>
      </c>
      <c r="K1410" s="16">
        <v>0.64</v>
      </c>
      <c r="L1410" s="1" t="s">
        <v>21</v>
      </c>
      <c r="M1410" t="s">
        <v>58</v>
      </c>
      <c r="N1410" t="str">
        <f t="shared" si="27"/>
        <v>Gb</v>
      </c>
      <c r="O1410" s="8">
        <f>IF(K1410&gt;=1,K1410,K1410*1000)</f>
        <v>640</v>
      </c>
      <c r="P1410">
        <f>ABS(H1410)</f>
        <v>3</v>
      </c>
      <c r="Q1410" t="str">
        <f>LEFT(I1410,2)</f>
        <v>Â£</v>
      </c>
      <c r="R1410" t="str">
        <f>RIGHT(I1410,5)</f>
        <v>24,00</v>
      </c>
    </row>
    <row r="1411" spans="1:18" x14ac:dyDescent="0.35">
      <c r="A1411" t="s">
        <v>2608</v>
      </c>
      <c r="B1411" s="2">
        <v>46163</v>
      </c>
      <c r="C1411" t="s">
        <v>1755</v>
      </c>
      <c r="D1411" s="3" t="s">
        <v>99</v>
      </c>
      <c r="E1411" t="s">
        <v>25</v>
      </c>
      <c r="F1411" t="s">
        <v>26</v>
      </c>
      <c r="G1411" t="s">
        <v>27</v>
      </c>
      <c r="H1411" s="8">
        <v>1</v>
      </c>
      <c r="I1411" s="10">
        <v>129</v>
      </c>
      <c r="J1411" s="14">
        <f>P1411*I1411</f>
        <v>129</v>
      </c>
      <c r="K1411" s="16">
        <v>0.52</v>
      </c>
      <c r="L1411" s="1" t="s">
        <v>30</v>
      </c>
      <c r="M1411" t="s">
        <v>22</v>
      </c>
      <c r="N1411" t="str">
        <f t="shared" ref="N1411:N1474" si="28">PROPER(TRIM(D1411))</f>
        <v>United Kingdom</v>
      </c>
      <c r="O1411" s="8">
        <f>IF(K1411&gt;=1,K1411,K1411*1000)</f>
        <v>520</v>
      </c>
      <c r="P1411">
        <f>ABS(H1411)</f>
        <v>1</v>
      </c>
      <c r="R1411"/>
    </row>
    <row r="1412" spans="1:18" x14ac:dyDescent="0.35">
      <c r="A1412" t="s">
        <v>2609</v>
      </c>
      <c r="B1412" s="2">
        <v>46031</v>
      </c>
      <c r="C1412" t="s">
        <v>1454</v>
      </c>
      <c r="D1412" s="3" t="s">
        <v>99</v>
      </c>
      <c r="E1412" t="s">
        <v>34</v>
      </c>
      <c r="F1412" t="s">
        <v>83</v>
      </c>
      <c r="G1412" t="s">
        <v>84</v>
      </c>
      <c r="H1412" s="8">
        <v>1</v>
      </c>
      <c r="I1412" s="10">
        <v>40.5</v>
      </c>
      <c r="J1412" s="14">
        <f>P1412*I1412</f>
        <v>40.5</v>
      </c>
      <c r="K1412" s="16">
        <v>340</v>
      </c>
      <c r="L1412" s="1" t="s">
        <v>30</v>
      </c>
      <c r="M1412" t="s">
        <v>58</v>
      </c>
      <c r="N1412" t="str">
        <f t="shared" si="28"/>
        <v>United Kingdom</v>
      </c>
      <c r="O1412" s="8">
        <f>IF(K1412&gt;=1,K1412,K1412*1000)</f>
        <v>340</v>
      </c>
      <c r="P1412">
        <f>ABS(H1412)</f>
        <v>1</v>
      </c>
      <c r="R1412"/>
    </row>
    <row r="1413" spans="1:18" x14ac:dyDescent="0.35">
      <c r="A1413" t="s">
        <v>2610</v>
      </c>
      <c r="B1413" s="2">
        <v>46200</v>
      </c>
      <c r="C1413" t="s">
        <v>2611</v>
      </c>
      <c r="D1413" s="3" t="s">
        <v>66</v>
      </c>
      <c r="E1413" t="s">
        <v>67</v>
      </c>
      <c r="F1413" t="s">
        <v>47</v>
      </c>
      <c r="G1413" t="s">
        <v>48</v>
      </c>
      <c r="H1413" s="8">
        <v>1</v>
      </c>
      <c r="I1413" s="10">
        <v>24</v>
      </c>
      <c r="J1413" s="14">
        <f>P1413*I1413</f>
        <v>24</v>
      </c>
      <c r="K1413" s="16">
        <v>0.38</v>
      </c>
      <c r="L1413" s="1" t="s">
        <v>30</v>
      </c>
      <c r="M1413" t="s">
        <v>22</v>
      </c>
      <c r="N1413" t="str">
        <f t="shared" si="28"/>
        <v>Gb</v>
      </c>
      <c r="O1413" s="8">
        <f>IF(K1413&gt;=1,K1413,K1413*1000)</f>
        <v>380</v>
      </c>
      <c r="P1413">
        <f>ABS(H1413)</f>
        <v>1</v>
      </c>
      <c r="R1413"/>
    </row>
    <row r="1414" spans="1:18" x14ac:dyDescent="0.35">
      <c r="A1414" t="s">
        <v>2612</v>
      </c>
      <c r="B1414" s="2">
        <v>46028</v>
      </c>
      <c r="C1414" t="s">
        <v>1628</v>
      </c>
      <c r="D1414" s="3" t="s">
        <v>99</v>
      </c>
      <c r="E1414" t="s">
        <v>41</v>
      </c>
      <c r="F1414" t="s">
        <v>47</v>
      </c>
      <c r="G1414" t="s">
        <v>48</v>
      </c>
      <c r="H1414" s="8">
        <v>1</v>
      </c>
      <c r="I1414" s="10">
        <v>95</v>
      </c>
      <c r="J1414" s="14">
        <f>P1414*I1414</f>
        <v>95</v>
      </c>
      <c r="K1414" s="16">
        <v>380</v>
      </c>
      <c r="L1414" s="1" t="s">
        <v>30</v>
      </c>
      <c r="M1414" t="s">
        <v>22</v>
      </c>
      <c r="N1414" t="str">
        <f t="shared" si="28"/>
        <v>United Kingdom</v>
      </c>
      <c r="O1414" s="8">
        <f>IF(K1414&gt;=1,K1414,K1414*1000)</f>
        <v>380</v>
      </c>
      <c r="P1414">
        <f>ABS(H1414)</f>
        <v>1</v>
      </c>
      <c r="R1414"/>
    </row>
    <row r="1415" spans="1:18" x14ac:dyDescent="0.35">
      <c r="A1415" t="s">
        <v>2613</v>
      </c>
      <c r="B1415" s="2">
        <v>46206</v>
      </c>
      <c r="C1415" t="s">
        <v>2614</v>
      </c>
      <c r="D1415" s="3" t="s">
        <v>61</v>
      </c>
      <c r="E1415" t="s">
        <v>25</v>
      </c>
      <c r="F1415" t="s">
        <v>42</v>
      </c>
      <c r="G1415" t="s">
        <v>43</v>
      </c>
      <c r="H1415" s="8">
        <v>2</v>
      </c>
      <c r="I1415" s="12" t="s">
        <v>4646</v>
      </c>
      <c r="J1415" s="14">
        <f>P1415*R1415</f>
        <v>190</v>
      </c>
      <c r="K1415" s="16">
        <v>0.19</v>
      </c>
      <c r="L1415" s="1" t="s">
        <v>21</v>
      </c>
      <c r="M1415" t="s">
        <v>22</v>
      </c>
      <c r="N1415" t="str">
        <f t="shared" si="28"/>
        <v>Ireland</v>
      </c>
      <c r="O1415" s="8">
        <f>IF(K1415&gt;=1,K1415,K1415*1000)</f>
        <v>190</v>
      </c>
      <c r="P1415">
        <f>ABS(H1415)</f>
        <v>2</v>
      </c>
      <c r="Q1415" t="str">
        <f>LEFT(I1415,2)</f>
        <v>Â£</v>
      </c>
      <c r="R1415" t="str">
        <f>RIGHT(I1415,5)</f>
        <v>95,00</v>
      </c>
    </row>
    <row r="1416" spans="1:18" x14ac:dyDescent="0.35">
      <c r="A1416" t="s">
        <v>2616</v>
      </c>
      <c r="B1416" s="2">
        <v>46070</v>
      </c>
      <c r="C1416" t="s">
        <v>348</v>
      </c>
      <c r="D1416" s="3" t="s">
        <v>15</v>
      </c>
      <c r="E1416" t="s">
        <v>67</v>
      </c>
      <c r="F1416" t="s">
        <v>89</v>
      </c>
      <c r="G1416" t="s">
        <v>90</v>
      </c>
      <c r="H1416" s="8">
        <v>3</v>
      </c>
      <c r="I1416" s="10">
        <v>95</v>
      </c>
      <c r="J1416" s="14">
        <f>P1416*I1416</f>
        <v>285</v>
      </c>
      <c r="K1416" s="16">
        <v>640</v>
      </c>
      <c r="L1416" s="1" t="s">
        <v>30</v>
      </c>
      <c r="M1416" t="s">
        <v>22</v>
      </c>
      <c r="N1416" t="str">
        <f t="shared" si="28"/>
        <v>France</v>
      </c>
      <c r="O1416" s="8">
        <f>IF(K1416&gt;=1,K1416,K1416*1000)</f>
        <v>640</v>
      </c>
      <c r="P1416">
        <f>ABS(H1416)</f>
        <v>3</v>
      </c>
      <c r="R1416"/>
    </row>
    <row r="1417" spans="1:18" x14ac:dyDescent="0.35">
      <c r="A1417" t="s">
        <v>2617</v>
      </c>
      <c r="B1417" s="2">
        <v>46041</v>
      </c>
      <c r="C1417" t="s">
        <v>696</v>
      </c>
      <c r="D1417" s="3" t="s">
        <v>116</v>
      </c>
      <c r="E1417" t="s">
        <v>67</v>
      </c>
      <c r="F1417" t="s">
        <v>74</v>
      </c>
      <c r="G1417" t="s">
        <v>75</v>
      </c>
      <c r="H1417" s="8">
        <v>2</v>
      </c>
      <c r="I1417" s="10">
        <v>79</v>
      </c>
      <c r="J1417" s="14">
        <f>P1417*I1417</f>
        <v>158</v>
      </c>
      <c r="K1417" s="16">
        <v>410</v>
      </c>
      <c r="L1417" s="1" t="s">
        <v>30</v>
      </c>
      <c r="M1417" t="s">
        <v>58</v>
      </c>
      <c r="N1417" t="str">
        <f t="shared" si="28"/>
        <v>Germany</v>
      </c>
      <c r="O1417" s="8">
        <f>IF(K1417&gt;=1,K1417,K1417*1000)</f>
        <v>410</v>
      </c>
      <c r="P1417">
        <f>ABS(H1417)</f>
        <v>2</v>
      </c>
      <c r="R1417"/>
    </row>
    <row r="1418" spans="1:18" x14ac:dyDescent="0.35">
      <c r="A1418" t="s">
        <v>2618</v>
      </c>
      <c r="B1418" s="2">
        <v>46102</v>
      </c>
      <c r="C1418" t="s">
        <v>2619</v>
      </c>
      <c r="D1418" s="3" t="s">
        <v>4612</v>
      </c>
      <c r="E1418" t="s">
        <v>67</v>
      </c>
      <c r="F1418" t="s">
        <v>74</v>
      </c>
      <c r="G1418" t="s">
        <v>75</v>
      </c>
      <c r="H1418" s="8">
        <v>1</v>
      </c>
      <c r="I1418" s="12" t="s">
        <v>4632</v>
      </c>
      <c r="J1418" s="14">
        <f>P1418*R1418</f>
        <v>89</v>
      </c>
      <c r="K1418" s="16">
        <v>410</v>
      </c>
      <c r="L1418" s="1" t="s">
        <v>21</v>
      </c>
      <c r="M1418" t="s">
        <v>22</v>
      </c>
      <c r="N1418" t="str">
        <f t="shared" si="28"/>
        <v>United Kingdom</v>
      </c>
      <c r="O1418" s="8">
        <f>IF(K1418&gt;=1,K1418,K1418*1000)</f>
        <v>410</v>
      </c>
      <c r="P1418">
        <f>ABS(H1418)</f>
        <v>1</v>
      </c>
      <c r="Q1418" t="str">
        <f>LEFT(I1418,3)</f>
        <v>GBP</v>
      </c>
      <c r="R1418" s="10" t="str">
        <f>RIGHT(I1418,5)</f>
        <v>89,00</v>
      </c>
    </row>
    <row r="1419" spans="1:18" x14ac:dyDescent="0.35">
      <c r="A1419" t="s">
        <v>2620</v>
      </c>
      <c r="B1419" s="2">
        <v>46149</v>
      </c>
      <c r="C1419" t="s">
        <v>177</v>
      </c>
      <c r="D1419" s="3" t="s">
        <v>66</v>
      </c>
      <c r="E1419" t="s">
        <v>67</v>
      </c>
      <c r="F1419" t="s">
        <v>74</v>
      </c>
      <c r="G1419" t="s">
        <v>75</v>
      </c>
      <c r="H1419" s="8">
        <v>2</v>
      </c>
      <c r="I1419" s="10">
        <v>11.25</v>
      </c>
      <c r="J1419" s="14">
        <f>P1419*I1419</f>
        <v>22.5</v>
      </c>
      <c r="K1419" s="16">
        <v>0.41</v>
      </c>
      <c r="L1419" s="1" t="s">
        <v>30</v>
      </c>
      <c r="M1419" t="s">
        <v>22</v>
      </c>
      <c r="N1419" t="str">
        <f t="shared" si="28"/>
        <v>Gb</v>
      </c>
      <c r="O1419" s="8">
        <f>IF(K1419&gt;=1,K1419,K1419*1000)</f>
        <v>410</v>
      </c>
      <c r="P1419">
        <f>ABS(H1419)</f>
        <v>2</v>
      </c>
      <c r="R1419"/>
    </row>
    <row r="1420" spans="1:18" x14ac:dyDescent="0.35">
      <c r="A1420" t="s">
        <v>2621</v>
      </c>
      <c r="B1420" s="2">
        <v>46143</v>
      </c>
      <c r="C1420" t="s">
        <v>2142</v>
      </c>
      <c r="D1420" s="3" t="s">
        <v>15</v>
      </c>
      <c r="E1420" t="s">
        <v>41</v>
      </c>
      <c r="F1420" t="s">
        <v>35</v>
      </c>
      <c r="G1420" t="s">
        <v>36</v>
      </c>
      <c r="H1420" s="8">
        <v>-2</v>
      </c>
      <c r="I1420" s="10">
        <v>116.1</v>
      </c>
      <c r="J1420" s="14">
        <f>P1420*I1420</f>
        <v>232.2</v>
      </c>
      <c r="K1420" s="16">
        <v>8.5000000000000006E-2</v>
      </c>
      <c r="L1420" s="1" t="s">
        <v>30</v>
      </c>
      <c r="M1420" t="s">
        <v>22</v>
      </c>
      <c r="N1420" t="str">
        <f t="shared" si="28"/>
        <v>France</v>
      </c>
      <c r="O1420" s="8">
        <f>IF(K1420&gt;=1,K1420,K1420*1000)</f>
        <v>85</v>
      </c>
      <c r="P1420">
        <f>ABS(H1420)</f>
        <v>2</v>
      </c>
      <c r="R1420"/>
    </row>
    <row r="1421" spans="1:18" x14ac:dyDescent="0.35">
      <c r="A1421" t="s">
        <v>2622</v>
      </c>
      <c r="B1421" s="2">
        <v>46175</v>
      </c>
      <c r="C1421" t="s">
        <v>2623</v>
      </c>
      <c r="D1421" s="3" t="s">
        <v>46</v>
      </c>
      <c r="E1421" t="s">
        <v>34</v>
      </c>
      <c r="F1421" t="s">
        <v>83</v>
      </c>
      <c r="G1421" t="s">
        <v>84</v>
      </c>
      <c r="H1421" s="8">
        <v>2</v>
      </c>
      <c r="I1421" s="10">
        <v>12.5</v>
      </c>
      <c r="J1421" s="14">
        <f>P1421*I1421</f>
        <v>25</v>
      </c>
      <c r="K1421" s="16">
        <v>0.34</v>
      </c>
      <c r="L1421" s="1" t="s">
        <v>30</v>
      </c>
      <c r="M1421" t="s">
        <v>58</v>
      </c>
      <c r="N1421" t="str">
        <f t="shared" si="28"/>
        <v>Ireland</v>
      </c>
      <c r="O1421" s="8">
        <f>IF(K1421&gt;=1,K1421,K1421*1000)</f>
        <v>340</v>
      </c>
      <c r="P1421">
        <f>ABS(H1421)</f>
        <v>2</v>
      </c>
      <c r="R1421"/>
    </row>
    <row r="1422" spans="1:18" x14ac:dyDescent="0.35">
      <c r="A1422" t="s">
        <v>2624</v>
      </c>
      <c r="B1422" s="2">
        <v>46118</v>
      </c>
      <c r="C1422" t="s">
        <v>2625</v>
      </c>
      <c r="D1422" s="3" t="s">
        <v>99</v>
      </c>
      <c r="E1422" t="s">
        <v>25</v>
      </c>
      <c r="F1422" t="s">
        <v>17</v>
      </c>
      <c r="G1422" t="s">
        <v>18</v>
      </c>
      <c r="H1422" s="8">
        <v>1</v>
      </c>
      <c r="I1422" s="10">
        <v>79</v>
      </c>
      <c r="J1422" s="14">
        <f>P1422*I1422</f>
        <v>79</v>
      </c>
      <c r="K1422" s="16">
        <v>520</v>
      </c>
      <c r="L1422" s="1" t="s">
        <v>30</v>
      </c>
      <c r="M1422" t="s">
        <v>22</v>
      </c>
      <c r="N1422" t="str">
        <f t="shared" si="28"/>
        <v>United Kingdom</v>
      </c>
      <c r="O1422" s="8">
        <f>IF(K1422&gt;=1,K1422,K1422*1000)</f>
        <v>520</v>
      </c>
      <c r="P1422">
        <f>ABS(H1422)</f>
        <v>1</v>
      </c>
      <c r="R1422"/>
    </row>
    <row r="1423" spans="1:18" x14ac:dyDescent="0.35">
      <c r="A1423" t="s">
        <v>2626</v>
      </c>
      <c r="B1423" s="2">
        <v>46107</v>
      </c>
      <c r="C1423" t="s">
        <v>2627</v>
      </c>
      <c r="D1423" s="3" t="s">
        <v>99</v>
      </c>
      <c r="E1423" t="s">
        <v>41</v>
      </c>
      <c r="F1423" t="s">
        <v>83</v>
      </c>
      <c r="G1423" t="s">
        <v>84</v>
      </c>
      <c r="H1423" s="8">
        <v>1</v>
      </c>
      <c r="I1423" s="10">
        <v>79</v>
      </c>
      <c r="J1423" s="14">
        <f>P1423*I1423</f>
        <v>79</v>
      </c>
      <c r="K1423" s="16">
        <v>340</v>
      </c>
      <c r="L1423" s="1" t="s">
        <v>30</v>
      </c>
      <c r="M1423" t="s">
        <v>22</v>
      </c>
      <c r="N1423" t="str">
        <f t="shared" si="28"/>
        <v>United Kingdom</v>
      </c>
      <c r="O1423" s="8">
        <f>IF(K1423&gt;=1,K1423,K1423*1000)</f>
        <v>340</v>
      </c>
      <c r="P1423">
        <f>ABS(H1423)</f>
        <v>1</v>
      </c>
      <c r="R1423"/>
    </row>
    <row r="1424" spans="1:18" x14ac:dyDescent="0.35">
      <c r="A1424" t="s">
        <v>2628</v>
      </c>
      <c r="B1424" s="2">
        <v>46189</v>
      </c>
      <c r="C1424" t="s">
        <v>2629</v>
      </c>
      <c r="D1424" s="3" t="s">
        <v>53</v>
      </c>
      <c r="E1424" t="s">
        <v>67</v>
      </c>
      <c r="F1424" t="s">
        <v>42</v>
      </c>
      <c r="G1424" t="s">
        <v>43</v>
      </c>
      <c r="H1424" s="8">
        <v>2</v>
      </c>
      <c r="I1424" s="10">
        <v>95</v>
      </c>
      <c r="J1424" s="14">
        <f>P1424*I1424</f>
        <v>190</v>
      </c>
      <c r="K1424" s="16">
        <v>0.19</v>
      </c>
      <c r="L1424" s="1" t="s">
        <v>30</v>
      </c>
      <c r="M1424" t="s">
        <v>22</v>
      </c>
      <c r="N1424" t="str">
        <f t="shared" si="28"/>
        <v>Gb</v>
      </c>
      <c r="O1424" s="8">
        <f>IF(K1424&gt;=1,K1424,K1424*1000)</f>
        <v>190</v>
      </c>
      <c r="P1424">
        <f>ABS(H1424)</f>
        <v>2</v>
      </c>
      <c r="R1424"/>
    </row>
    <row r="1425" spans="1:18" x14ac:dyDescent="0.35">
      <c r="A1425" t="s">
        <v>2630</v>
      </c>
      <c r="B1425" s="2">
        <v>46189</v>
      </c>
      <c r="C1425" t="s">
        <v>961</v>
      </c>
      <c r="D1425" s="3" t="s">
        <v>53</v>
      </c>
      <c r="E1425" t="s">
        <v>25</v>
      </c>
      <c r="F1425" t="s">
        <v>26</v>
      </c>
      <c r="G1425" t="s">
        <v>27</v>
      </c>
      <c r="H1425" s="8">
        <v>-2</v>
      </c>
      <c r="I1425" s="10">
        <v>80.099999999999994</v>
      </c>
      <c r="J1425" s="14">
        <f>P1425*I1425</f>
        <v>160.19999999999999</v>
      </c>
      <c r="K1425" s="16">
        <v>0.52</v>
      </c>
      <c r="L1425" s="1" t="s">
        <v>30</v>
      </c>
      <c r="M1425" t="s">
        <v>22</v>
      </c>
      <c r="N1425" t="str">
        <f t="shared" si="28"/>
        <v>Gb</v>
      </c>
      <c r="O1425" s="8">
        <f>IF(K1425&gt;=1,K1425,K1425*1000)</f>
        <v>520</v>
      </c>
      <c r="P1425">
        <f>ABS(H1425)</f>
        <v>2</v>
      </c>
      <c r="R1425"/>
    </row>
    <row r="1426" spans="1:18" x14ac:dyDescent="0.35">
      <c r="A1426" t="s">
        <v>2632</v>
      </c>
      <c r="B1426" s="2">
        <v>46145</v>
      </c>
      <c r="C1426" t="s">
        <v>2633</v>
      </c>
      <c r="D1426" s="3" t="s">
        <v>46</v>
      </c>
      <c r="E1426" t="s">
        <v>25</v>
      </c>
      <c r="F1426" t="s">
        <v>74</v>
      </c>
      <c r="G1426" t="s">
        <v>75</v>
      </c>
      <c r="H1426" s="8">
        <v>1</v>
      </c>
      <c r="I1426" s="10">
        <v>12.5</v>
      </c>
      <c r="J1426" s="14">
        <f>P1426*I1426</f>
        <v>12.5</v>
      </c>
      <c r="K1426" s="16">
        <v>0.41</v>
      </c>
      <c r="L1426" s="1" t="s">
        <v>30</v>
      </c>
      <c r="M1426" t="s">
        <v>58</v>
      </c>
      <c r="N1426" t="str">
        <f t="shared" si="28"/>
        <v>Ireland</v>
      </c>
      <c r="O1426" s="8">
        <f>IF(K1426&gt;=1,K1426,K1426*1000)</f>
        <v>410</v>
      </c>
      <c r="P1426">
        <f>ABS(H1426)</f>
        <v>1</v>
      </c>
      <c r="R1426"/>
    </row>
    <row r="1427" spans="1:18" x14ac:dyDescent="0.35">
      <c r="A1427" t="s">
        <v>2634</v>
      </c>
      <c r="B1427" s="2">
        <v>46200</v>
      </c>
      <c r="C1427" t="s">
        <v>2635</v>
      </c>
      <c r="D1427" s="3" t="s">
        <v>53</v>
      </c>
      <c r="E1427" t="s">
        <v>34</v>
      </c>
      <c r="F1427" t="s">
        <v>83</v>
      </c>
      <c r="G1427" t="s">
        <v>84</v>
      </c>
      <c r="H1427" s="8">
        <v>1</v>
      </c>
      <c r="I1427" s="10">
        <v>149</v>
      </c>
      <c r="J1427" s="14">
        <f>P1427*I1427</f>
        <v>149</v>
      </c>
      <c r="K1427" s="16">
        <v>0.34</v>
      </c>
      <c r="L1427" s="1" t="s">
        <v>30</v>
      </c>
      <c r="M1427" t="s">
        <v>58</v>
      </c>
      <c r="N1427" t="str">
        <f t="shared" si="28"/>
        <v>Gb</v>
      </c>
      <c r="O1427" s="8">
        <f>IF(K1427&gt;=1,K1427,K1427*1000)</f>
        <v>340</v>
      </c>
      <c r="P1427">
        <f>ABS(H1427)</f>
        <v>1</v>
      </c>
      <c r="R1427"/>
    </row>
    <row r="1428" spans="1:18" x14ac:dyDescent="0.35">
      <c r="A1428" t="s">
        <v>2636</v>
      </c>
      <c r="B1428" s="2">
        <v>46145</v>
      </c>
      <c r="C1428" t="s">
        <v>1682</v>
      </c>
      <c r="D1428" s="3" t="s">
        <v>116</v>
      </c>
      <c r="E1428" t="s">
        <v>67</v>
      </c>
      <c r="F1428" t="s">
        <v>17</v>
      </c>
      <c r="G1428" t="s">
        <v>18</v>
      </c>
      <c r="H1428" s="8">
        <v>3</v>
      </c>
      <c r="I1428" s="10">
        <v>11.25</v>
      </c>
      <c r="J1428" s="14">
        <f>P1428*I1428</f>
        <v>33.75</v>
      </c>
      <c r="K1428" s="16">
        <v>0.52</v>
      </c>
      <c r="L1428" s="1" t="s">
        <v>21</v>
      </c>
      <c r="M1428" t="s">
        <v>22</v>
      </c>
      <c r="N1428" t="str">
        <f t="shared" si="28"/>
        <v>Germany</v>
      </c>
      <c r="O1428" s="8">
        <f>IF(K1428&gt;=1,K1428,K1428*1000)</f>
        <v>520</v>
      </c>
      <c r="P1428">
        <f>ABS(H1428)</f>
        <v>3</v>
      </c>
      <c r="R1428"/>
    </row>
    <row r="1429" spans="1:18" x14ac:dyDescent="0.35">
      <c r="A1429" t="s">
        <v>2637</v>
      </c>
      <c r="B1429" s="2">
        <v>46040</v>
      </c>
      <c r="C1429" t="s">
        <v>2507</v>
      </c>
      <c r="D1429" s="3" t="s">
        <v>46</v>
      </c>
      <c r="E1429" t="s">
        <v>41</v>
      </c>
      <c r="F1429" t="s">
        <v>42</v>
      </c>
      <c r="G1429" t="s">
        <v>43</v>
      </c>
      <c r="H1429" s="8">
        <v>1</v>
      </c>
      <c r="I1429" s="10">
        <v>11.25</v>
      </c>
      <c r="J1429" s="14">
        <f>P1429*I1429</f>
        <v>11.25</v>
      </c>
      <c r="K1429" s="16">
        <v>190</v>
      </c>
      <c r="L1429" s="1" t="s">
        <v>30</v>
      </c>
      <c r="M1429" t="s">
        <v>22</v>
      </c>
      <c r="N1429" t="str">
        <f t="shared" si="28"/>
        <v>Ireland</v>
      </c>
      <c r="O1429" s="8">
        <f>IF(K1429&gt;=1,K1429,K1429*1000)</f>
        <v>190</v>
      </c>
      <c r="P1429">
        <f>ABS(H1429)</f>
        <v>1</v>
      </c>
      <c r="R1429"/>
    </row>
    <row r="1430" spans="1:18" x14ac:dyDescent="0.35">
      <c r="A1430" t="s">
        <v>2638</v>
      </c>
      <c r="B1430" s="2">
        <v>46095</v>
      </c>
      <c r="C1430" t="s">
        <v>2364</v>
      </c>
      <c r="D1430" s="3" t="s">
        <v>66</v>
      </c>
      <c r="E1430" t="s">
        <v>67</v>
      </c>
      <c r="F1430" t="s">
        <v>89</v>
      </c>
      <c r="G1430" t="s">
        <v>90</v>
      </c>
      <c r="H1430" s="8">
        <v>1</v>
      </c>
      <c r="I1430" s="10">
        <v>21.6</v>
      </c>
      <c r="J1430" s="14">
        <f>P1430*I1430</f>
        <v>21.6</v>
      </c>
      <c r="K1430" s="16">
        <v>640</v>
      </c>
      <c r="L1430" s="1" t="s">
        <v>30</v>
      </c>
      <c r="M1430" t="s">
        <v>22</v>
      </c>
      <c r="N1430" t="str">
        <f t="shared" si="28"/>
        <v>Gb</v>
      </c>
      <c r="O1430" s="8">
        <f>IF(K1430&gt;=1,K1430,K1430*1000)</f>
        <v>640</v>
      </c>
      <c r="P1430">
        <f>ABS(H1430)</f>
        <v>1</v>
      </c>
      <c r="R1430"/>
    </row>
    <row r="1431" spans="1:18" x14ac:dyDescent="0.35">
      <c r="A1431" t="s">
        <v>2639</v>
      </c>
      <c r="B1431" s="2">
        <v>46095</v>
      </c>
      <c r="C1431" t="s">
        <v>2320</v>
      </c>
      <c r="D1431" s="3" t="s">
        <v>61</v>
      </c>
      <c r="E1431" t="s">
        <v>25</v>
      </c>
      <c r="F1431" t="s">
        <v>26</v>
      </c>
      <c r="G1431" t="s">
        <v>27</v>
      </c>
      <c r="H1431" s="8">
        <v>1</v>
      </c>
      <c r="I1431" s="10">
        <v>12.5</v>
      </c>
      <c r="J1431" s="14">
        <f>P1431*I1431</f>
        <v>12.5</v>
      </c>
      <c r="K1431" s="16">
        <v>520</v>
      </c>
      <c r="L1431" s="1" t="s">
        <v>30</v>
      </c>
      <c r="M1431" t="s">
        <v>58</v>
      </c>
      <c r="N1431" t="str">
        <f t="shared" si="28"/>
        <v>Ireland</v>
      </c>
      <c r="O1431" s="8">
        <f>IF(K1431&gt;=1,K1431,K1431*1000)</f>
        <v>520</v>
      </c>
      <c r="P1431">
        <f>ABS(H1431)</f>
        <v>1</v>
      </c>
      <c r="R1431"/>
    </row>
    <row r="1432" spans="1:18" x14ac:dyDescent="0.35">
      <c r="A1432" t="s">
        <v>2640</v>
      </c>
      <c r="B1432" s="2">
        <v>46085</v>
      </c>
      <c r="C1432" t="s">
        <v>180</v>
      </c>
      <c r="D1432" s="3" t="s">
        <v>53</v>
      </c>
      <c r="E1432" t="s">
        <v>34</v>
      </c>
      <c r="F1432" t="s">
        <v>42</v>
      </c>
      <c r="G1432" t="s">
        <v>43</v>
      </c>
      <c r="H1432" s="8">
        <v>2</v>
      </c>
      <c r="I1432" s="10">
        <v>89</v>
      </c>
      <c r="J1432" s="14">
        <f>P1432*I1432</f>
        <v>178</v>
      </c>
      <c r="K1432" s="16">
        <v>190</v>
      </c>
      <c r="L1432" s="1" t="s">
        <v>21</v>
      </c>
      <c r="M1432" t="s">
        <v>22</v>
      </c>
      <c r="N1432" t="str">
        <f t="shared" si="28"/>
        <v>Gb</v>
      </c>
      <c r="O1432" s="8">
        <f>IF(K1432&gt;=1,K1432,K1432*1000)</f>
        <v>190</v>
      </c>
      <c r="P1432">
        <f>ABS(H1432)</f>
        <v>2</v>
      </c>
      <c r="R1432"/>
    </row>
    <row r="1433" spans="1:18" x14ac:dyDescent="0.35">
      <c r="A1433" t="s">
        <v>2641</v>
      </c>
      <c r="B1433" s="2">
        <v>46134</v>
      </c>
      <c r="C1433" t="s">
        <v>2642</v>
      </c>
      <c r="D1433" s="3" t="s">
        <v>99</v>
      </c>
      <c r="E1433" t="s">
        <v>34</v>
      </c>
      <c r="F1433" t="s">
        <v>35</v>
      </c>
      <c r="G1433" t="s">
        <v>36</v>
      </c>
      <c r="H1433" s="8">
        <v>2</v>
      </c>
      <c r="I1433" s="12" t="s">
        <v>4631</v>
      </c>
      <c r="J1433" s="14">
        <f>P1433*R1433</f>
        <v>158</v>
      </c>
      <c r="K1433" s="16">
        <v>8.5000000000000006E-2</v>
      </c>
      <c r="L1433" s="1" t="s">
        <v>21</v>
      </c>
      <c r="M1433" t="s">
        <v>22</v>
      </c>
      <c r="N1433" t="str">
        <f t="shared" si="28"/>
        <v>United Kingdom</v>
      </c>
      <c r="O1433" s="8">
        <f>IF(K1433&gt;=1,K1433,K1433*1000)</f>
        <v>85</v>
      </c>
      <c r="P1433">
        <f>ABS(H1433)</f>
        <v>2</v>
      </c>
      <c r="Q1433" t="str">
        <f>LEFT(I1433,2)</f>
        <v>Â£</v>
      </c>
      <c r="R1433" t="str">
        <f>RIGHT(I1433,5)</f>
        <v>79,00</v>
      </c>
    </row>
    <row r="1434" spans="1:18" x14ac:dyDescent="0.35">
      <c r="A1434" t="s">
        <v>2643</v>
      </c>
      <c r="B1434" s="2">
        <v>46052</v>
      </c>
      <c r="C1434" t="s">
        <v>1161</v>
      </c>
      <c r="D1434" s="3" t="s">
        <v>4612</v>
      </c>
      <c r="E1434" t="s">
        <v>67</v>
      </c>
      <c r="F1434" t="s">
        <v>35</v>
      </c>
      <c r="G1434" t="s">
        <v>36</v>
      </c>
      <c r="H1434" s="8">
        <v>2</v>
      </c>
      <c r="I1434" s="10">
        <v>45</v>
      </c>
      <c r="J1434" s="14">
        <f>P1434*I1434</f>
        <v>90</v>
      </c>
      <c r="K1434" s="16">
        <v>85</v>
      </c>
      <c r="L1434" s="1" t="s">
        <v>30</v>
      </c>
      <c r="M1434" t="s">
        <v>58</v>
      </c>
      <c r="N1434" t="str">
        <f t="shared" si="28"/>
        <v>United Kingdom</v>
      </c>
      <c r="O1434" s="8">
        <f>IF(K1434&gt;=1,K1434,K1434*1000)</f>
        <v>85</v>
      </c>
      <c r="P1434">
        <f>ABS(H1434)</f>
        <v>2</v>
      </c>
      <c r="R1434"/>
    </row>
    <row r="1435" spans="1:18" x14ac:dyDescent="0.35">
      <c r="A1435" t="s">
        <v>2644</v>
      </c>
      <c r="B1435" s="2" t="s">
        <v>2645</v>
      </c>
      <c r="C1435" t="s">
        <v>741</v>
      </c>
      <c r="D1435" s="3" t="s">
        <v>99</v>
      </c>
      <c r="E1435" t="s">
        <v>25</v>
      </c>
      <c r="F1435" t="s">
        <v>74</v>
      </c>
      <c r="G1435" t="s">
        <v>75</v>
      </c>
      <c r="H1435" s="8">
        <v>1</v>
      </c>
      <c r="I1435" s="10">
        <v>149</v>
      </c>
      <c r="J1435" s="14">
        <f>P1435*I1435</f>
        <v>149</v>
      </c>
      <c r="K1435" s="16">
        <v>0.41</v>
      </c>
      <c r="L1435" s="1" t="s">
        <v>30</v>
      </c>
      <c r="M1435" t="s">
        <v>58</v>
      </c>
      <c r="N1435" t="str">
        <f t="shared" si="28"/>
        <v>United Kingdom</v>
      </c>
      <c r="O1435" s="8">
        <f>IF(K1435&gt;=1,K1435,K1435*1000)</f>
        <v>410</v>
      </c>
      <c r="P1435">
        <f>ABS(H1435)</f>
        <v>1</v>
      </c>
      <c r="R1435"/>
    </row>
    <row r="1436" spans="1:18" x14ac:dyDescent="0.35">
      <c r="A1436" t="s">
        <v>2646</v>
      </c>
      <c r="B1436" s="2">
        <v>46194</v>
      </c>
      <c r="C1436" t="s">
        <v>414</v>
      </c>
      <c r="D1436" s="3" t="s">
        <v>46</v>
      </c>
      <c r="E1436" t="s">
        <v>41</v>
      </c>
      <c r="F1436" t="s">
        <v>89</v>
      </c>
      <c r="G1436" t="s">
        <v>90</v>
      </c>
      <c r="H1436" s="8">
        <v>1</v>
      </c>
      <c r="I1436" s="10">
        <v>40.5</v>
      </c>
      <c r="J1436" s="14">
        <f>P1436*I1436</f>
        <v>40.5</v>
      </c>
      <c r="K1436" s="16">
        <v>0.64</v>
      </c>
      <c r="L1436" s="1" t="s">
        <v>30</v>
      </c>
      <c r="M1436" t="s">
        <v>22</v>
      </c>
      <c r="N1436" t="str">
        <f t="shared" si="28"/>
        <v>Ireland</v>
      </c>
      <c r="O1436" s="8">
        <f>IF(K1436&gt;=1,K1436,K1436*1000)</f>
        <v>640</v>
      </c>
      <c r="P1436">
        <f>ABS(H1436)</f>
        <v>1</v>
      </c>
      <c r="R1436"/>
    </row>
    <row r="1437" spans="1:18" x14ac:dyDescent="0.35">
      <c r="A1437" t="s">
        <v>2647</v>
      </c>
      <c r="B1437" s="2">
        <v>46142</v>
      </c>
      <c r="C1437" t="s">
        <v>506</v>
      </c>
      <c r="D1437" s="3" t="s">
        <v>66</v>
      </c>
      <c r="E1437" t="s">
        <v>25</v>
      </c>
      <c r="F1437" t="s">
        <v>17</v>
      </c>
      <c r="G1437" t="s">
        <v>18</v>
      </c>
      <c r="H1437" s="8">
        <v>1</v>
      </c>
      <c r="I1437" s="10">
        <v>45</v>
      </c>
      <c r="J1437" s="14">
        <f>P1437*I1437</f>
        <v>45</v>
      </c>
      <c r="K1437" s="16">
        <v>0.52</v>
      </c>
      <c r="L1437" s="1" t="s">
        <v>30</v>
      </c>
      <c r="M1437" t="s">
        <v>22</v>
      </c>
      <c r="N1437" t="str">
        <f t="shared" si="28"/>
        <v>Gb</v>
      </c>
      <c r="O1437" s="8">
        <f>IF(K1437&gt;=1,K1437,K1437*1000)</f>
        <v>520</v>
      </c>
      <c r="P1437">
        <f>ABS(H1437)</f>
        <v>1</v>
      </c>
      <c r="R1437"/>
    </row>
    <row r="1438" spans="1:18" x14ac:dyDescent="0.35">
      <c r="A1438" t="s">
        <v>2648</v>
      </c>
      <c r="B1438" s="2">
        <v>46164</v>
      </c>
      <c r="C1438" t="s">
        <v>492</v>
      </c>
      <c r="D1438" s="3" t="s">
        <v>66</v>
      </c>
      <c r="E1438" t="s">
        <v>67</v>
      </c>
      <c r="F1438" t="s">
        <v>89</v>
      </c>
      <c r="G1438" t="s">
        <v>90</v>
      </c>
      <c r="H1438" s="8">
        <v>3</v>
      </c>
      <c r="I1438" s="10">
        <v>45</v>
      </c>
      <c r="J1438" s="14">
        <f>P1438*I1438</f>
        <v>135</v>
      </c>
      <c r="K1438" s="16">
        <v>0.64</v>
      </c>
      <c r="L1438" s="1" t="s">
        <v>30</v>
      </c>
      <c r="M1438" t="s">
        <v>22</v>
      </c>
      <c r="N1438" t="str">
        <f t="shared" si="28"/>
        <v>Gb</v>
      </c>
      <c r="O1438" s="8">
        <f>IF(K1438&gt;=1,K1438,K1438*1000)</f>
        <v>640</v>
      </c>
      <c r="P1438">
        <f>ABS(H1438)</f>
        <v>3</v>
      </c>
      <c r="R1438"/>
    </row>
    <row r="1439" spans="1:18" x14ac:dyDescent="0.35">
      <c r="A1439" t="s">
        <v>2649</v>
      </c>
      <c r="B1439" s="2">
        <v>46180</v>
      </c>
      <c r="C1439" t="s">
        <v>2650</v>
      </c>
      <c r="D1439" s="3" t="s">
        <v>116</v>
      </c>
      <c r="E1439" t="s">
        <v>16</v>
      </c>
      <c r="F1439" t="s">
        <v>35</v>
      </c>
      <c r="G1439" t="s">
        <v>36</v>
      </c>
      <c r="H1439" s="8">
        <v>-1</v>
      </c>
      <c r="I1439" s="12" t="s">
        <v>4640</v>
      </c>
      <c r="J1439" s="14">
        <f>P1439*R1439</f>
        <v>29</v>
      </c>
      <c r="K1439" s="16">
        <v>8.5000000000000006E-2</v>
      </c>
      <c r="L1439" s="1" t="s">
        <v>21</v>
      </c>
      <c r="M1439" t="s">
        <v>22</v>
      </c>
      <c r="N1439" t="str">
        <f t="shared" si="28"/>
        <v>Germany</v>
      </c>
      <c r="O1439" s="8">
        <f>IF(K1439&gt;=1,K1439,K1439*1000)</f>
        <v>85</v>
      </c>
      <c r="P1439">
        <f>ABS(H1439)</f>
        <v>1</v>
      </c>
      <c r="Q1439" t="str">
        <f>LEFT(I1439,2)</f>
        <v>Â£</v>
      </c>
      <c r="R1439" t="str">
        <f>RIGHT(I1439,5)</f>
        <v>29,00</v>
      </c>
    </row>
    <row r="1440" spans="1:18" x14ac:dyDescent="0.35">
      <c r="A1440" t="s">
        <v>2651</v>
      </c>
      <c r="B1440" s="2" t="s">
        <v>2652</v>
      </c>
      <c r="C1440" t="s">
        <v>2102</v>
      </c>
      <c r="D1440" s="3" t="s">
        <v>4613</v>
      </c>
      <c r="E1440" t="s">
        <v>67</v>
      </c>
      <c r="F1440" t="s">
        <v>74</v>
      </c>
      <c r="G1440" t="s">
        <v>75</v>
      </c>
      <c r="H1440" s="8">
        <v>1</v>
      </c>
      <c r="I1440" s="10">
        <v>45</v>
      </c>
      <c r="J1440" s="14">
        <f>P1440*I1440</f>
        <v>45</v>
      </c>
      <c r="K1440" s="16">
        <v>0.41</v>
      </c>
      <c r="L1440" s="1" t="s">
        <v>30</v>
      </c>
      <c r="M1440" t="s">
        <v>22</v>
      </c>
      <c r="N1440" t="str">
        <f t="shared" si="28"/>
        <v>United Kingdom</v>
      </c>
      <c r="O1440" s="8">
        <f>IF(K1440&gt;=1,K1440,K1440*1000)</f>
        <v>410</v>
      </c>
      <c r="P1440">
        <f>ABS(H1440)</f>
        <v>1</v>
      </c>
      <c r="R1440"/>
    </row>
    <row r="1441" spans="1:18" x14ac:dyDescent="0.35">
      <c r="A1441" t="s">
        <v>2653</v>
      </c>
      <c r="B1441" s="2">
        <v>46132</v>
      </c>
      <c r="C1441" t="s">
        <v>2371</v>
      </c>
      <c r="D1441" s="3" t="s">
        <v>66</v>
      </c>
      <c r="E1441" t="s">
        <v>67</v>
      </c>
      <c r="F1441" t="s">
        <v>42</v>
      </c>
      <c r="G1441" t="s">
        <v>43</v>
      </c>
      <c r="H1441" s="8">
        <v>2</v>
      </c>
      <c r="I1441" s="10">
        <v>12.5</v>
      </c>
      <c r="J1441" s="14">
        <f>P1441*I1441</f>
        <v>25</v>
      </c>
      <c r="K1441" s="16">
        <v>0.19</v>
      </c>
      <c r="L1441" s="1" t="s">
        <v>21</v>
      </c>
      <c r="M1441" t="s">
        <v>22</v>
      </c>
      <c r="N1441" t="str">
        <f t="shared" si="28"/>
        <v>Gb</v>
      </c>
      <c r="O1441" s="8">
        <f>IF(K1441&gt;=1,K1441,K1441*1000)</f>
        <v>190</v>
      </c>
      <c r="P1441">
        <f>ABS(H1441)</f>
        <v>2</v>
      </c>
      <c r="R1441"/>
    </row>
    <row r="1442" spans="1:18" x14ac:dyDescent="0.35">
      <c r="A1442" t="s">
        <v>2654</v>
      </c>
      <c r="B1442" s="2" t="s">
        <v>935</v>
      </c>
      <c r="C1442" t="s">
        <v>521</v>
      </c>
      <c r="D1442" s="3" t="s">
        <v>4613</v>
      </c>
      <c r="E1442" t="s">
        <v>67</v>
      </c>
      <c r="F1442" t="s">
        <v>42</v>
      </c>
      <c r="G1442" t="s">
        <v>43</v>
      </c>
      <c r="H1442" s="8">
        <v>1</v>
      </c>
      <c r="I1442" s="12" t="s">
        <v>4647</v>
      </c>
      <c r="J1442" s="14">
        <f>P1442*R1442</f>
        <v>85.5</v>
      </c>
      <c r="K1442" s="16">
        <v>190</v>
      </c>
      <c r="L1442" s="1" t="s">
        <v>30</v>
      </c>
      <c r="M1442" t="s">
        <v>58</v>
      </c>
      <c r="N1442" t="str">
        <f t="shared" si="28"/>
        <v>United Kingdom</v>
      </c>
      <c r="O1442" s="8">
        <f>IF(K1442&gt;=1,K1442,K1442*1000)</f>
        <v>190</v>
      </c>
      <c r="P1442">
        <f>ABS(H1442)</f>
        <v>1</v>
      </c>
      <c r="Q1442" t="str">
        <f>LEFT(I1442,3)</f>
        <v>GBP</v>
      </c>
      <c r="R1442" s="10" t="str">
        <f>RIGHT(I1442,5)</f>
        <v>85,50</v>
      </c>
    </row>
    <row r="1443" spans="1:18" x14ac:dyDescent="0.35">
      <c r="A1443" t="s">
        <v>2656</v>
      </c>
      <c r="B1443" s="2">
        <v>46128</v>
      </c>
      <c r="C1443" t="s">
        <v>2657</v>
      </c>
      <c r="D1443" s="3" t="s">
        <v>15</v>
      </c>
      <c r="E1443" t="s">
        <v>34</v>
      </c>
      <c r="F1443" t="s">
        <v>74</v>
      </c>
      <c r="G1443" t="s">
        <v>75</v>
      </c>
      <c r="H1443" s="8">
        <v>1</v>
      </c>
      <c r="I1443" s="10">
        <v>71.099999999999994</v>
      </c>
      <c r="J1443" s="14">
        <f>P1443*I1443</f>
        <v>71.099999999999994</v>
      </c>
      <c r="K1443" s="16">
        <v>410</v>
      </c>
      <c r="L1443" s="1" t="s">
        <v>30</v>
      </c>
      <c r="M1443" t="s">
        <v>58</v>
      </c>
      <c r="N1443" t="str">
        <f t="shared" si="28"/>
        <v>France</v>
      </c>
      <c r="O1443" s="8">
        <f>IF(K1443&gt;=1,K1443,K1443*1000)</f>
        <v>410</v>
      </c>
      <c r="P1443">
        <f>ABS(H1443)</f>
        <v>1</v>
      </c>
      <c r="R1443"/>
    </row>
    <row r="1444" spans="1:18" x14ac:dyDescent="0.35">
      <c r="A1444" t="s">
        <v>2658</v>
      </c>
      <c r="B1444" s="2">
        <v>46180</v>
      </c>
      <c r="C1444" t="s">
        <v>1375</v>
      </c>
      <c r="D1444" s="3" t="s">
        <v>15</v>
      </c>
      <c r="E1444" t="s">
        <v>16</v>
      </c>
      <c r="F1444" t="s">
        <v>35</v>
      </c>
      <c r="G1444" t="s">
        <v>36</v>
      </c>
      <c r="H1444" s="8">
        <v>2</v>
      </c>
      <c r="I1444" s="10">
        <v>21.6</v>
      </c>
      <c r="J1444" s="14">
        <f>P1444*I1444</f>
        <v>43.2</v>
      </c>
      <c r="K1444" s="16">
        <v>8.5000000000000006E-2</v>
      </c>
      <c r="L1444" s="1" t="s">
        <v>30</v>
      </c>
      <c r="M1444" t="s">
        <v>22</v>
      </c>
      <c r="N1444" t="str">
        <f t="shared" si="28"/>
        <v>France</v>
      </c>
      <c r="O1444" s="8">
        <f>IF(K1444&gt;=1,K1444,K1444*1000)</f>
        <v>85</v>
      </c>
      <c r="P1444">
        <f>ABS(H1444)</f>
        <v>2</v>
      </c>
      <c r="R1444"/>
    </row>
    <row r="1445" spans="1:18" x14ac:dyDescent="0.35">
      <c r="A1445" t="s">
        <v>2659</v>
      </c>
      <c r="B1445" s="2">
        <v>46029</v>
      </c>
      <c r="C1445" t="s">
        <v>2660</v>
      </c>
      <c r="D1445" s="3" t="s">
        <v>61</v>
      </c>
      <c r="E1445" t="s">
        <v>67</v>
      </c>
      <c r="F1445" t="s">
        <v>17</v>
      </c>
      <c r="G1445" t="s">
        <v>18</v>
      </c>
      <c r="H1445" s="8">
        <v>2</v>
      </c>
      <c r="I1445" s="10">
        <v>40.5</v>
      </c>
      <c r="J1445" s="14">
        <f>P1445*I1445</f>
        <v>81</v>
      </c>
      <c r="K1445" s="16">
        <v>520</v>
      </c>
      <c r="L1445" s="1" t="s">
        <v>30</v>
      </c>
      <c r="M1445" t="s">
        <v>22</v>
      </c>
      <c r="N1445" t="str">
        <f t="shared" si="28"/>
        <v>Ireland</v>
      </c>
      <c r="O1445" s="8">
        <f>IF(K1445&gt;=1,K1445,K1445*1000)</f>
        <v>520</v>
      </c>
      <c r="P1445">
        <f>ABS(H1445)</f>
        <v>2</v>
      </c>
      <c r="R1445"/>
    </row>
    <row r="1446" spans="1:18" x14ac:dyDescent="0.35">
      <c r="A1446" t="s">
        <v>2661</v>
      </c>
      <c r="B1446" s="2">
        <v>46071</v>
      </c>
      <c r="C1446" t="s">
        <v>927</v>
      </c>
      <c r="D1446" s="3" t="s">
        <v>99</v>
      </c>
      <c r="E1446" t="s">
        <v>41</v>
      </c>
      <c r="F1446" t="s">
        <v>26</v>
      </c>
      <c r="G1446" t="s">
        <v>27</v>
      </c>
      <c r="H1446" s="8">
        <v>3</v>
      </c>
      <c r="I1446" s="10">
        <v>134.1</v>
      </c>
      <c r="J1446" s="14">
        <f>P1446*I1446</f>
        <v>402.29999999999995</v>
      </c>
      <c r="K1446" s="16">
        <v>520</v>
      </c>
      <c r="L1446" s="1" t="s">
        <v>21</v>
      </c>
      <c r="M1446" t="s">
        <v>58</v>
      </c>
      <c r="N1446" t="str">
        <f t="shared" si="28"/>
        <v>United Kingdom</v>
      </c>
      <c r="O1446" s="8">
        <f>IF(K1446&gt;=1,K1446,K1446*1000)</f>
        <v>520</v>
      </c>
      <c r="P1446">
        <f>ABS(H1446)</f>
        <v>3</v>
      </c>
      <c r="R1446"/>
    </row>
    <row r="1447" spans="1:18" x14ac:dyDescent="0.35">
      <c r="A1447" t="s">
        <v>2662</v>
      </c>
      <c r="B1447" s="2">
        <v>46179</v>
      </c>
      <c r="C1447" t="s">
        <v>830</v>
      </c>
      <c r="D1447" s="3" t="s">
        <v>4612</v>
      </c>
      <c r="E1447" t="s">
        <v>34</v>
      </c>
      <c r="F1447" t="s">
        <v>17</v>
      </c>
      <c r="G1447" t="s">
        <v>18</v>
      </c>
      <c r="H1447" s="8">
        <v>1</v>
      </c>
      <c r="I1447" s="10">
        <v>45</v>
      </c>
      <c r="J1447" s="14">
        <f>P1447*I1447</f>
        <v>45</v>
      </c>
      <c r="K1447" s="16">
        <v>0.52</v>
      </c>
      <c r="L1447" s="1" t="s">
        <v>21</v>
      </c>
      <c r="M1447" t="s">
        <v>58</v>
      </c>
      <c r="N1447" t="str">
        <f t="shared" si="28"/>
        <v>United Kingdom</v>
      </c>
      <c r="O1447" s="8">
        <f>IF(K1447&gt;=1,K1447,K1447*1000)</f>
        <v>520</v>
      </c>
      <c r="P1447">
        <f>ABS(H1447)</f>
        <v>1</v>
      </c>
      <c r="R1447"/>
    </row>
    <row r="1448" spans="1:18" x14ac:dyDescent="0.35">
      <c r="A1448" t="s">
        <v>2663</v>
      </c>
      <c r="B1448" s="2" t="s">
        <v>880</v>
      </c>
      <c r="C1448" t="s">
        <v>2664</v>
      </c>
      <c r="D1448" s="3" t="s">
        <v>46</v>
      </c>
      <c r="E1448" t="s">
        <v>67</v>
      </c>
      <c r="F1448" t="s">
        <v>74</v>
      </c>
      <c r="G1448" t="s">
        <v>75</v>
      </c>
      <c r="H1448" s="8">
        <v>2</v>
      </c>
      <c r="I1448" s="10">
        <v>80.099999999999994</v>
      </c>
      <c r="J1448" s="14">
        <f>P1448*I1448</f>
        <v>160.19999999999999</v>
      </c>
      <c r="K1448" s="16">
        <v>410</v>
      </c>
      <c r="L1448" s="1" t="s">
        <v>30</v>
      </c>
      <c r="M1448" t="s">
        <v>22</v>
      </c>
      <c r="N1448" t="str">
        <f t="shared" si="28"/>
        <v>Ireland</v>
      </c>
      <c r="O1448" s="8">
        <f>IF(K1448&gt;=1,K1448,K1448*1000)</f>
        <v>410</v>
      </c>
      <c r="P1448">
        <f>ABS(H1448)</f>
        <v>2</v>
      </c>
      <c r="R1448"/>
    </row>
    <row r="1449" spans="1:18" x14ac:dyDescent="0.35">
      <c r="A1449" t="s">
        <v>2665</v>
      </c>
      <c r="B1449" s="2">
        <v>46185</v>
      </c>
      <c r="C1449" t="s">
        <v>145</v>
      </c>
      <c r="D1449" s="3" t="s">
        <v>15</v>
      </c>
      <c r="E1449" t="s">
        <v>67</v>
      </c>
      <c r="F1449" t="s">
        <v>26</v>
      </c>
      <c r="G1449" t="s">
        <v>27</v>
      </c>
      <c r="H1449" s="8">
        <v>3</v>
      </c>
      <c r="I1449" s="10">
        <v>71.099999999999994</v>
      </c>
      <c r="J1449" s="14">
        <f>P1449*I1449</f>
        <v>213.29999999999998</v>
      </c>
      <c r="K1449" s="16">
        <v>0.52</v>
      </c>
      <c r="L1449" s="1" t="s">
        <v>30</v>
      </c>
      <c r="M1449" t="s">
        <v>58</v>
      </c>
      <c r="N1449" t="str">
        <f t="shared" si="28"/>
        <v>France</v>
      </c>
      <c r="O1449" s="8">
        <f>IF(K1449&gt;=1,K1449,K1449*1000)</f>
        <v>520</v>
      </c>
      <c r="P1449">
        <f>ABS(H1449)</f>
        <v>3</v>
      </c>
      <c r="R1449"/>
    </row>
    <row r="1450" spans="1:18" x14ac:dyDescent="0.35">
      <c r="A1450" t="s">
        <v>2666</v>
      </c>
      <c r="B1450" s="2">
        <v>46203</v>
      </c>
      <c r="C1450" t="s">
        <v>817</v>
      </c>
      <c r="D1450" s="3" t="s">
        <v>15</v>
      </c>
      <c r="E1450" t="s">
        <v>16</v>
      </c>
      <c r="F1450" t="s">
        <v>42</v>
      </c>
      <c r="G1450" t="s">
        <v>43</v>
      </c>
      <c r="H1450" s="8">
        <v>1</v>
      </c>
      <c r="I1450" s="10">
        <v>45</v>
      </c>
      <c r="J1450" s="14">
        <f>P1450*I1450</f>
        <v>45</v>
      </c>
      <c r="K1450" s="16">
        <v>0.19</v>
      </c>
      <c r="L1450" s="1" t="s">
        <v>30</v>
      </c>
      <c r="M1450" t="s">
        <v>58</v>
      </c>
      <c r="N1450" t="str">
        <f t="shared" si="28"/>
        <v>France</v>
      </c>
      <c r="O1450" s="8">
        <f>IF(K1450&gt;=1,K1450,K1450*1000)</f>
        <v>190</v>
      </c>
      <c r="P1450">
        <f>ABS(H1450)</f>
        <v>1</v>
      </c>
      <c r="R1450"/>
    </row>
    <row r="1451" spans="1:18" x14ac:dyDescent="0.35">
      <c r="A1451" t="s">
        <v>2667</v>
      </c>
      <c r="B1451" s="2" t="s">
        <v>552</v>
      </c>
      <c r="C1451" t="s">
        <v>328</v>
      </c>
      <c r="D1451" s="3" t="s">
        <v>4612</v>
      </c>
      <c r="E1451" t="s">
        <v>34</v>
      </c>
      <c r="F1451" t="s">
        <v>83</v>
      </c>
      <c r="G1451" t="s">
        <v>84</v>
      </c>
      <c r="H1451" s="8">
        <v>1</v>
      </c>
      <c r="I1451" s="10">
        <v>40.5</v>
      </c>
      <c r="J1451" s="14">
        <f>P1451*I1451</f>
        <v>40.5</v>
      </c>
      <c r="K1451" s="16">
        <v>340</v>
      </c>
      <c r="L1451" s="1" t="s">
        <v>21</v>
      </c>
      <c r="M1451" t="s">
        <v>22</v>
      </c>
      <c r="N1451" t="str">
        <f t="shared" si="28"/>
        <v>United Kingdom</v>
      </c>
      <c r="O1451" s="8">
        <f>IF(K1451&gt;=1,K1451,K1451*1000)</f>
        <v>340</v>
      </c>
      <c r="P1451">
        <f>ABS(H1451)</f>
        <v>1</v>
      </c>
      <c r="R1451"/>
    </row>
    <row r="1452" spans="1:18" x14ac:dyDescent="0.35">
      <c r="A1452" t="s">
        <v>2668</v>
      </c>
      <c r="B1452" s="2">
        <v>46096</v>
      </c>
      <c r="C1452" t="s">
        <v>2509</v>
      </c>
      <c r="D1452" s="3" t="s">
        <v>15</v>
      </c>
      <c r="E1452" t="s">
        <v>34</v>
      </c>
      <c r="F1452" t="s">
        <v>42</v>
      </c>
      <c r="G1452" t="s">
        <v>43</v>
      </c>
      <c r="H1452" s="8">
        <v>1</v>
      </c>
      <c r="I1452" s="10">
        <v>12.5</v>
      </c>
      <c r="J1452" s="14">
        <f>P1452*I1452</f>
        <v>12.5</v>
      </c>
      <c r="K1452" s="16">
        <v>190</v>
      </c>
      <c r="L1452" s="1" t="s">
        <v>30</v>
      </c>
      <c r="M1452" t="s">
        <v>22</v>
      </c>
      <c r="N1452" t="str">
        <f t="shared" si="28"/>
        <v>France</v>
      </c>
      <c r="O1452" s="8">
        <f>IF(K1452&gt;=1,K1452,K1452*1000)</f>
        <v>190</v>
      </c>
      <c r="P1452">
        <f>ABS(H1452)</f>
        <v>1</v>
      </c>
      <c r="R1452"/>
    </row>
    <row r="1453" spans="1:18" x14ac:dyDescent="0.35">
      <c r="A1453" t="s">
        <v>2669</v>
      </c>
      <c r="B1453" s="2">
        <v>46162</v>
      </c>
      <c r="C1453" t="s">
        <v>2670</v>
      </c>
      <c r="D1453" s="3" t="s">
        <v>66</v>
      </c>
      <c r="E1453" t="s">
        <v>34</v>
      </c>
      <c r="F1453" t="s">
        <v>89</v>
      </c>
      <c r="G1453" t="s">
        <v>90</v>
      </c>
      <c r="H1453" s="8">
        <v>3</v>
      </c>
      <c r="I1453" s="10">
        <v>12.5</v>
      </c>
      <c r="J1453" s="14">
        <f>P1453*I1453</f>
        <v>37.5</v>
      </c>
      <c r="K1453" s="16">
        <v>0.64</v>
      </c>
      <c r="L1453" s="1" t="s">
        <v>30</v>
      </c>
      <c r="M1453" t="s">
        <v>22</v>
      </c>
      <c r="N1453" t="str">
        <f t="shared" si="28"/>
        <v>Gb</v>
      </c>
      <c r="O1453" s="8">
        <f>IF(K1453&gt;=1,K1453,K1453*1000)</f>
        <v>640</v>
      </c>
      <c r="P1453">
        <f>ABS(H1453)</f>
        <v>3</v>
      </c>
      <c r="R1453"/>
    </row>
    <row r="1454" spans="1:18" x14ac:dyDescent="0.35">
      <c r="A1454" t="s">
        <v>2671</v>
      </c>
      <c r="B1454" s="2">
        <v>46086</v>
      </c>
      <c r="C1454" t="s">
        <v>2672</v>
      </c>
      <c r="D1454" s="3" t="s">
        <v>116</v>
      </c>
      <c r="E1454" t="s">
        <v>34</v>
      </c>
      <c r="F1454" t="s">
        <v>83</v>
      </c>
      <c r="G1454" t="s">
        <v>84</v>
      </c>
      <c r="H1454" s="8">
        <v>-2</v>
      </c>
      <c r="I1454" s="10">
        <v>134.1</v>
      </c>
      <c r="J1454" s="14">
        <f>P1454*I1454</f>
        <v>268.2</v>
      </c>
      <c r="K1454" s="16">
        <v>340</v>
      </c>
      <c r="L1454" s="1" t="s">
        <v>30</v>
      </c>
      <c r="M1454" t="s">
        <v>22</v>
      </c>
      <c r="N1454" t="str">
        <f t="shared" si="28"/>
        <v>Germany</v>
      </c>
      <c r="O1454" s="8">
        <f>IF(K1454&gt;=1,K1454,K1454*1000)</f>
        <v>340</v>
      </c>
      <c r="P1454">
        <f>ABS(H1454)</f>
        <v>2</v>
      </c>
      <c r="R1454"/>
    </row>
    <row r="1455" spans="1:18" x14ac:dyDescent="0.35">
      <c r="A1455" t="s">
        <v>2674</v>
      </c>
      <c r="B1455" s="2">
        <v>46118</v>
      </c>
      <c r="C1455" t="s">
        <v>2108</v>
      </c>
      <c r="D1455" s="3" t="s">
        <v>46</v>
      </c>
      <c r="E1455" t="s">
        <v>34</v>
      </c>
      <c r="F1455" t="s">
        <v>42</v>
      </c>
      <c r="G1455" t="s">
        <v>43</v>
      </c>
      <c r="H1455" s="8">
        <v>2</v>
      </c>
      <c r="I1455" s="10">
        <v>21.6</v>
      </c>
      <c r="J1455" s="14">
        <f>P1455*I1455</f>
        <v>43.2</v>
      </c>
      <c r="K1455" s="16">
        <v>190</v>
      </c>
      <c r="L1455" s="1" t="s">
        <v>30</v>
      </c>
      <c r="M1455" t="s">
        <v>22</v>
      </c>
      <c r="N1455" t="str">
        <f t="shared" si="28"/>
        <v>Ireland</v>
      </c>
      <c r="O1455" s="8">
        <f>IF(K1455&gt;=1,K1455,K1455*1000)</f>
        <v>190</v>
      </c>
      <c r="P1455">
        <f>ABS(H1455)</f>
        <v>2</v>
      </c>
      <c r="R1455"/>
    </row>
    <row r="1456" spans="1:18" x14ac:dyDescent="0.35">
      <c r="A1456" t="s">
        <v>2675</v>
      </c>
      <c r="B1456" s="2">
        <v>46140</v>
      </c>
      <c r="C1456" t="s">
        <v>2676</v>
      </c>
      <c r="D1456" s="3" t="s">
        <v>116</v>
      </c>
      <c r="E1456" t="s">
        <v>25</v>
      </c>
      <c r="F1456" t="s">
        <v>26</v>
      </c>
      <c r="G1456" t="s">
        <v>27</v>
      </c>
      <c r="H1456" s="8">
        <v>1</v>
      </c>
      <c r="I1456" s="10">
        <v>45</v>
      </c>
      <c r="J1456" s="14">
        <f>P1456*I1456</f>
        <v>45</v>
      </c>
      <c r="K1456" s="16">
        <v>0.52</v>
      </c>
      <c r="L1456" s="1" t="s">
        <v>30</v>
      </c>
      <c r="M1456" t="s">
        <v>22</v>
      </c>
      <c r="N1456" t="str">
        <f t="shared" si="28"/>
        <v>Germany</v>
      </c>
      <c r="O1456" s="8">
        <f>IF(K1456&gt;=1,K1456,K1456*1000)</f>
        <v>520</v>
      </c>
      <c r="P1456">
        <f>ABS(H1456)</f>
        <v>1</v>
      </c>
      <c r="R1456"/>
    </row>
    <row r="1457" spans="1:18" x14ac:dyDescent="0.35">
      <c r="A1457" t="s">
        <v>2677</v>
      </c>
      <c r="B1457" s="2">
        <v>46189</v>
      </c>
      <c r="C1457" t="s">
        <v>599</v>
      </c>
      <c r="D1457" s="3" t="s">
        <v>4613</v>
      </c>
      <c r="E1457" t="s">
        <v>41</v>
      </c>
      <c r="F1457" t="s">
        <v>89</v>
      </c>
      <c r="G1457" t="s">
        <v>90</v>
      </c>
      <c r="H1457" s="8">
        <v>3</v>
      </c>
      <c r="I1457" s="10">
        <v>21.6</v>
      </c>
      <c r="J1457" s="14">
        <f>P1457*I1457</f>
        <v>64.800000000000011</v>
      </c>
      <c r="K1457" s="16">
        <v>0.64</v>
      </c>
      <c r="L1457" s="1" t="s">
        <v>30</v>
      </c>
      <c r="M1457" t="s">
        <v>22</v>
      </c>
      <c r="N1457" t="str">
        <f t="shared" si="28"/>
        <v>United Kingdom</v>
      </c>
      <c r="O1457" s="8">
        <f>IF(K1457&gt;=1,K1457,K1457*1000)</f>
        <v>640</v>
      </c>
      <c r="P1457">
        <f>ABS(H1457)</f>
        <v>3</v>
      </c>
      <c r="R1457"/>
    </row>
    <row r="1458" spans="1:18" x14ac:dyDescent="0.35">
      <c r="A1458" t="s">
        <v>2678</v>
      </c>
      <c r="B1458" s="2">
        <v>46148</v>
      </c>
      <c r="C1458" t="s">
        <v>1623</v>
      </c>
      <c r="D1458" s="3" t="s">
        <v>99</v>
      </c>
      <c r="E1458" t="s">
        <v>41</v>
      </c>
      <c r="F1458" t="s">
        <v>26</v>
      </c>
      <c r="G1458" t="s">
        <v>27</v>
      </c>
      <c r="H1458" s="8">
        <v>1</v>
      </c>
      <c r="I1458" s="10">
        <v>12.5</v>
      </c>
      <c r="J1458" s="14">
        <f>P1458*I1458</f>
        <v>12.5</v>
      </c>
      <c r="K1458" s="16">
        <v>0.52</v>
      </c>
      <c r="L1458" s="1" t="s">
        <v>30</v>
      </c>
      <c r="M1458" t="s">
        <v>22</v>
      </c>
      <c r="N1458" t="str">
        <f t="shared" si="28"/>
        <v>United Kingdom</v>
      </c>
      <c r="O1458" s="8">
        <f>IF(K1458&gt;=1,K1458,K1458*1000)</f>
        <v>520</v>
      </c>
      <c r="P1458">
        <f>ABS(H1458)</f>
        <v>1</v>
      </c>
      <c r="R1458"/>
    </row>
    <row r="1459" spans="1:18" x14ac:dyDescent="0.35">
      <c r="A1459" t="s">
        <v>2679</v>
      </c>
      <c r="B1459" s="2">
        <v>46103</v>
      </c>
      <c r="C1459" t="s">
        <v>2680</v>
      </c>
      <c r="D1459" s="3" t="s">
        <v>46</v>
      </c>
      <c r="E1459" t="s">
        <v>67</v>
      </c>
      <c r="F1459" t="s">
        <v>17</v>
      </c>
      <c r="G1459" t="s">
        <v>18</v>
      </c>
      <c r="H1459" s="8">
        <v>2</v>
      </c>
      <c r="I1459" s="10">
        <v>24</v>
      </c>
      <c r="J1459" s="14">
        <f>P1459*I1459</f>
        <v>48</v>
      </c>
      <c r="K1459" s="16">
        <v>520</v>
      </c>
      <c r="L1459" s="1" t="s">
        <v>21</v>
      </c>
      <c r="M1459" t="s">
        <v>22</v>
      </c>
      <c r="N1459" t="str">
        <f t="shared" si="28"/>
        <v>Ireland</v>
      </c>
      <c r="O1459" s="8">
        <f>IF(K1459&gt;=1,K1459,K1459*1000)</f>
        <v>520</v>
      </c>
      <c r="P1459">
        <f>ABS(H1459)</f>
        <v>2</v>
      </c>
      <c r="R1459"/>
    </row>
    <row r="1460" spans="1:18" x14ac:dyDescent="0.35">
      <c r="A1460" t="s">
        <v>2681</v>
      </c>
      <c r="B1460" s="2">
        <v>46123</v>
      </c>
      <c r="C1460" t="s">
        <v>403</v>
      </c>
      <c r="D1460" s="3" t="s">
        <v>53</v>
      </c>
      <c r="E1460" t="s">
        <v>67</v>
      </c>
      <c r="F1460" t="s">
        <v>83</v>
      </c>
      <c r="G1460" t="s">
        <v>84</v>
      </c>
      <c r="H1460" s="8">
        <v>2</v>
      </c>
      <c r="I1460" s="10">
        <v>89</v>
      </c>
      <c r="J1460" s="14">
        <f>P1460*I1460</f>
        <v>178</v>
      </c>
      <c r="K1460" s="16">
        <v>340</v>
      </c>
      <c r="L1460" s="1" t="s">
        <v>30</v>
      </c>
      <c r="M1460" t="s">
        <v>22</v>
      </c>
      <c r="N1460" t="str">
        <f t="shared" si="28"/>
        <v>Gb</v>
      </c>
      <c r="O1460" s="8">
        <f>IF(K1460&gt;=1,K1460,K1460*1000)</f>
        <v>340</v>
      </c>
      <c r="P1460">
        <f>ABS(H1460)</f>
        <v>2</v>
      </c>
      <c r="R1460"/>
    </row>
    <row r="1461" spans="1:18" x14ac:dyDescent="0.35">
      <c r="A1461" t="s">
        <v>2682</v>
      </c>
      <c r="B1461" s="2">
        <v>46189</v>
      </c>
      <c r="C1461" t="s">
        <v>334</v>
      </c>
      <c r="D1461" s="3" t="s">
        <v>46</v>
      </c>
      <c r="E1461" t="s">
        <v>67</v>
      </c>
      <c r="F1461" t="s">
        <v>17</v>
      </c>
      <c r="G1461" t="s">
        <v>18</v>
      </c>
      <c r="H1461" s="8">
        <v>1</v>
      </c>
      <c r="I1461" s="10">
        <v>45</v>
      </c>
      <c r="J1461" s="14">
        <f>P1461*I1461</f>
        <v>45</v>
      </c>
      <c r="K1461" s="16">
        <v>0.52</v>
      </c>
      <c r="L1461" s="1" t="s">
        <v>30</v>
      </c>
      <c r="M1461" t="s">
        <v>22</v>
      </c>
      <c r="N1461" t="str">
        <f t="shared" si="28"/>
        <v>Ireland</v>
      </c>
      <c r="O1461" s="8">
        <f>IF(K1461&gt;=1,K1461,K1461*1000)</f>
        <v>520</v>
      </c>
      <c r="P1461">
        <f>ABS(H1461)</f>
        <v>1</v>
      </c>
      <c r="R1461"/>
    </row>
    <row r="1462" spans="1:18" x14ac:dyDescent="0.35">
      <c r="A1462" t="s">
        <v>2683</v>
      </c>
      <c r="B1462" s="2" t="s">
        <v>1548</v>
      </c>
      <c r="C1462" t="s">
        <v>2684</v>
      </c>
      <c r="D1462" s="3" t="s">
        <v>66</v>
      </c>
      <c r="E1462" t="s">
        <v>25</v>
      </c>
      <c r="F1462" t="s">
        <v>17</v>
      </c>
      <c r="G1462" t="s">
        <v>18</v>
      </c>
      <c r="H1462" s="8">
        <v>1</v>
      </c>
      <c r="I1462" s="10">
        <v>21.6</v>
      </c>
      <c r="J1462" s="14">
        <f>P1462*I1462</f>
        <v>21.6</v>
      </c>
      <c r="K1462" s="16">
        <v>520</v>
      </c>
      <c r="L1462" s="1" t="s">
        <v>30</v>
      </c>
      <c r="M1462" t="s">
        <v>22</v>
      </c>
      <c r="N1462" t="str">
        <f t="shared" si="28"/>
        <v>Gb</v>
      </c>
      <c r="O1462" s="8">
        <f>IF(K1462&gt;=1,K1462,K1462*1000)</f>
        <v>520</v>
      </c>
      <c r="P1462">
        <f>ABS(H1462)</f>
        <v>1</v>
      </c>
      <c r="R1462"/>
    </row>
    <row r="1463" spans="1:18" x14ac:dyDescent="0.35">
      <c r="A1463" t="s">
        <v>2685</v>
      </c>
      <c r="B1463" s="2">
        <v>46143</v>
      </c>
      <c r="C1463" t="s">
        <v>1140</v>
      </c>
      <c r="D1463" s="3" t="s">
        <v>15</v>
      </c>
      <c r="E1463" t="s">
        <v>41</v>
      </c>
      <c r="F1463" t="s">
        <v>83</v>
      </c>
      <c r="G1463" t="s">
        <v>84</v>
      </c>
      <c r="H1463" s="8">
        <v>3</v>
      </c>
      <c r="I1463" s="10">
        <v>89</v>
      </c>
      <c r="J1463" s="14">
        <f>P1463*I1463</f>
        <v>267</v>
      </c>
      <c r="K1463" s="16">
        <v>0.34</v>
      </c>
      <c r="L1463" s="1" t="s">
        <v>30</v>
      </c>
      <c r="M1463" t="s">
        <v>22</v>
      </c>
      <c r="N1463" t="str">
        <f t="shared" si="28"/>
        <v>France</v>
      </c>
      <c r="O1463" s="8">
        <f>IF(K1463&gt;=1,K1463,K1463*1000)</f>
        <v>340</v>
      </c>
      <c r="P1463">
        <f>ABS(H1463)</f>
        <v>3</v>
      </c>
      <c r="R1463"/>
    </row>
    <row r="1464" spans="1:18" x14ac:dyDescent="0.35">
      <c r="A1464" t="s">
        <v>2686</v>
      </c>
      <c r="B1464" s="2">
        <v>46068</v>
      </c>
      <c r="C1464" t="s">
        <v>1711</v>
      </c>
      <c r="D1464" s="3" t="s">
        <v>99</v>
      </c>
      <c r="E1464" t="s">
        <v>67</v>
      </c>
      <c r="F1464" t="s">
        <v>26</v>
      </c>
      <c r="G1464" t="s">
        <v>27</v>
      </c>
      <c r="H1464" s="8">
        <v>1</v>
      </c>
      <c r="I1464" s="10">
        <v>12.5</v>
      </c>
      <c r="J1464" s="14">
        <f>P1464*I1464</f>
        <v>12.5</v>
      </c>
      <c r="K1464" s="16">
        <v>520</v>
      </c>
      <c r="L1464" s="1" t="s">
        <v>30</v>
      </c>
      <c r="M1464" t="s">
        <v>22</v>
      </c>
      <c r="N1464" t="str">
        <f t="shared" si="28"/>
        <v>United Kingdom</v>
      </c>
      <c r="O1464" s="8">
        <f>IF(K1464&gt;=1,K1464,K1464*1000)</f>
        <v>520</v>
      </c>
      <c r="P1464">
        <f>ABS(H1464)</f>
        <v>1</v>
      </c>
      <c r="R1464"/>
    </row>
    <row r="1465" spans="1:18" x14ac:dyDescent="0.35">
      <c r="A1465" t="s">
        <v>2687</v>
      </c>
      <c r="B1465" s="2">
        <v>46064</v>
      </c>
      <c r="C1465" t="s">
        <v>591</v>
      </c>
      <c r="D1465" s="3" t="s">
        <v>4613</v>
      </c>
      <c r="E1465" t="s">
        <v>67</v>
      </c>
      <c r="F1465" t="s">
        <v>83</v>
      </c>
      <c r="G1465" t="s">
        <v>84</v>
      </c>
      <c r="H1465" s="8">
        <v>2</v>
      </c>
      <c r="I1465" s="10">
        <v>129</v>
      </c>
      <c r="J1465" s="14">
        <f>P1465*I1465</f>
        <v>258</v>
      </c>
      <c r="K1465" s="16">
        <v>340</v>
      </c>
      <c r="L1465" s="1" t="s">
        <v>30</v>
      </c>
      <c r="M1465" t="s">
        <v>22</v>
      </c>
      <c r="N1465" t="str">
        <f t="shared" si="28"/>
        <v>United Kingdom</v>
      </c>
      <c r="O1465" s="8">
        <f>IF(K1465&gt;=1,K1465,K1465*1000)</f>
        <v>340</v>
      </c>
      <c r="P1465">
        <f>ABS(H1465)</f>
        <v>2</v>
      </c>
      <c r="R1465"/>
    </row>
    <row r="1466" spans="1:18" x14ac:dyDescent="0.35">
      <c r="A1466" t="s">
        <v>2688</v>
      </c>
      <c r="B1466" s="2">
        <v>46207</v>
      </c>
      <c r="C1466" t="s">
        <v>1831</v>
      </c>
      <c r="D1466" s="3" t="s">
        <v>66</v>
      </c>
      <c r="E1466" t="s">
        <v>34</v>
      </c>
      <c r="F1466" t="s">
        <v>42</v>
      </c>
      <c r="G1466" t="s">
        <v>43</v>
      </c>
      <c r="H1466" s="8">
        <v>3</v>
      </c>
      <c r="I1466" s="10">
        <v>149</v>
      </c>
      <c r="J1466" s="14">
        <f>P1466*I1466</f>
        <v>447</v>
      </c>
      <c r="K1466" s="16">
        <v>0.19</v>
      </c>
      <c r="L1466" s="1" t="s">
        <v>21</v>
      </c>
      <c r="M1466" t="s">
        <v>22</v>
      </c>
      <c r="N1466" t="str">
        <f t="shared" si="28"/>
        <v>Gb</v>
      </c>
      <c r="O1466" s="8">
        <f>IF(K1466&gt;=1,K1466,K1466*1000)</f>
        <v>190</v>
      </c>
      <c r="P1466">
        <f>ABS(H1466)</f>
        <v>3</v>
      </c>
      <c r="R1466"/>
    </row>
    <row r="1467" spans="1:18" x14ac:dyDescent="0.35">
      <c r="A1467" t="s">
        <v>2689</v>
      </c>
      <c r="B1467" s="2">
        <v>46029</v>
      </c>
      <c r="C1467" t="s">
        <v>2690</v>
      </c>
      <c r="D1467" s="3" t="s">
        <v>116</v>
      </c>
      <c r="E1467" t="s">
        <v>34</v>
      </c>
      <c r="F1467" t="s">
        <v>26</v>
      </c>
      <c r="G1467" t="s">
        <v>27</v>
      </c>
      <c r="H1467" s="8">
        <v>2</v>
      </c>
      <c r="I1467" s="10">
        <v>12.5</v>
      </c>
      <c r="J1467" s="14">
        <f>P1467*I1467</f>
        <v>25</v>
      </c>
      <c r="K1467" s="16">
        <v>520</v>
      </c>
      <c r="L1467" s="1" t="s">
        <v>21</v>
      </c>
      <c r="M1467" t="s">
        <v>22</v>
      </c>
      <c r="N1467" t="str">
        <f t="shared" si="28"/>
        <v>Germany</v>
      </c>
      <c r="O1467" s="8">
        <f>IF(K1467&gt;=1,K1467,K1467*1000)</f>
        <v>520</v>
      </c>
      <c r="P1467">
        <f>ABS(H1467)</f>
        <v>2</v>
      </c>
      <c r="R1467"/>
    </row>
    <row r="1468" spans="1:18" x14ac:dyDescent="0.35">
      <c r="A1468" t="s">
        <v>2691</v>
      </c>
      <c r="B1468" s="2">
        <v>46034</v>
      </c>
      <c r="C1468" t="s">
        <v>370</v>
      </c>
      <c r="D1468" s="3" t="s">
        <v>116</v>
      </c>
      <c r="E1468" t="s">
        <v>67</v>
      </c>
      <c r="F1468" t="s">
        <v>42</v>
      </c>
      <c r="G1468" t="s">
        <v>43</v>
      </c>
      <c r="H1468" s="8">
        <v>2</v>
      </c>
      <c r="I1468" s="10">
        <v>24</v>
      </c>
      <c r="J1468" s="14">
        <f>P1468*I1468</f>
        <v>48</v>
      </c>
      <c r="K1468" s="16">
        <v>190</v>
      </c>
      <c r="L1468" s="1" t="s">
        <v>30</v>
      </c>
      <c r="M1468" t="s">
        <v>58</v>
      </c>
      <c r="N1468" t="str">
        <f t="shared" si="28"/>
        <v>Germany</v>
      </c>
      <c r="O1468" s="8">
        <f>IF(K1468&gt;=1,K1468,K1468*1000)</f>
        <v>190</v>
      </c>
      <c r="P1468">
        <f>ABS(H1468)</f>
        <v>2</v>
      </c>
      <c r="R1468"/>
    </row>
    <row r="1469" spans="1:18" x14ac:dyDescent="0.35">
      <c r="A1469" t="s">
        <v>2692</v>
      </c>
      <c r="B1469" s="2">
        <v>46045</v>
      </c>
      <c r="C1469" t="s">
        <v>1019</v>
      </c>
      <c r="D1469" s="3" t="s">
        <v>53</v>
      </c>
      <c r="E1469" t="s">
        <v>16</v>
      </c>
      <c r="F1469" t="s">
        <v>89</v>
      </c>
      <c r="G1469" t="s">
        <v>90</v>
      </c>
      <c r="H1469" s="8">
        <v>1</v>
      </c>
      <c r="I1469" s="12" t="s">
        <v>4641</v>
      </c>
      <c r="J1469" s="14">
        <f>P1469*R1469</f>
        <v>49</v>
      </c>
      <c r="K1469" s="16">
        <v>640</v>
      </c>
      <c r="L1469" s="1" t="s">
        <v>30</v>
      </c>
      <c r="M1469" t="s">
        <v>22</v>
      </c>
      <c r="N1469" t="str">
        <f t="shared" si="28"/>
        <v>Gb</v>
      </c>
      <c r="O1469" s="8">
        <f>IF(K1469&gt;=1,K1469,K1469*1000)</f>
        <v>640</v>
      </c>
      <c r="P1469">
        <f>ABS(H1469)</f>
        <v>1</v>
      </c>
      <c r="Q1469" t="str">
        <f>LEFT(I1469,3)</f>
        <v>GBP</v>
      </c>
      <c r="R1469" s="10" t="str">
        <f>RIGHT(I1469,5)</f>
        <v>49,00</v>
      </c>
    </row>
    <row r="1470" spans="1:18" x14ac:dyDescent="0.35">
      <c r="A1470" t="s">
        <v>2693</v>
      </c>
      <c r="B1470" s="2" t="s">
        <v>381</v>
      </c>
      <c r="C1470" t="s">
        <v>938</v>
      </c>
      <c r="D1470" s="3" t="s">
        <v>116</v>
      </c>
      <c r="E1470" t="s">
        <v>67</v>
      </c>
      <c r="F1470" t="s">
        <v>35</v>
      </c>
      <c r="G1470" t="s">
        <v>36</v>
      </c>
      <c r="H1470" s="8">
        <v>1</v>
      </c>
      <c r="I1470" s="10">
        <v>12.5</v>
      </c>
      <c r="J1470" s="14">
        <f>P1470*I1470</f>
        <v>12.5</v>
      </c>
      <c r="K1470" s="16">
        <v>85</v>
      </c>
      <c r="L1470" s="1" t="s">
        <v>30</v>
      </c>
      <c r="M1470" t="s">
        <v>22</v>
      </c>
      <c r="N1470" t="str">
        <f t="shared" si="28"/>
        <v>Germany</v>
      </c>
      <c r="O1470" s="8">
        <f>IF(K1470&gt;=1,K1470,K1470*1000)</f>
        <v>85</v>
      </c>
      <c r="P1470">
        <f>ABS(H1470)</f>
        <v>1</v>
      </c>
      <c r="R1470"/>
    </row>
    <row r="1471" spans="1:18" x14ac:dyDescent="0.35">
      <c r="A1471" t="s">
        <v>2694</v>
      </c>
      <c r="B1471" s="2">
        <v>46054</v>
      </c>
      <c r="C1471" t="s">
        <v>1924</v>
      </c>
      <c r="D1471" s="3" t="s">
        <v>4613</v>
      </c>
      <c r="E1471" t="s">
        <v>67</v>
      </c>
      <c r="F1471" t="s">
        <v>17</v>
      </c>
      <c r="G1471" t="s">
        <v>18</v>
      </c>
      <c r="H1471" s="8">
        <v>2</v>
      </c>
      <c r="I1471" s="10">
        <v>80.099999999999994</v>
      </c>
      <c r="J1471" s="14">
        <f>P1471*I1471</f>
        <v>160.19999999999999</v>
      </c>
      <c r="K1471" s="16">
        <v>520</v>
      </c>
      <c r="L1471" s="1" t="s">
        <v>30</v>
      </c>
      <c r="M1471" t="s">
        <v>22</v>
      </c>
      <c r="N1471" t="str">
        <f t="shared" si="28"/>
        <v>United Kingdom</v>
      </c>
      <c r="O1471" s="8">
        <f>IF(K1471&gt;=1,K1471,K1471*1000)</f>
        <v>520</v>
      </c>
      <c r="P1471">
        <f>ABS(H1471)</f>
        <v>2</v>
      </c>
      <c r="R1471"/>
    </row>
    <row r="1472" spans="1:18" x14ac:dyDescent="0.35">
      <c r="A1472" t="s">
        <v>2695</v>
      </c>
      <c r="B1472" s="2">
        <v>46169</v>
      </c>
      <c r="C1472" t="s">
        <v>2696</v>
      </c>
      <c r="D1472" s="3" t="s">
        <v>4613</v>
      </c>
      <c r="E1472" t="s">
        <v>67</v>
      </c>
      <c r="F1472" t="s">
        <v>47</v>
      </c>
      <c r="G1472" t="s">
        <v>48</v>
      </c>
      <c r="H1472" s="8">
        <v>2</v>
      </c>
      <c r="I1472" s="10">
        <v>12.5</v>
      </c>
      <c r="J1472" s="14">
        <f>P1472*I1472</f>
        <v>25</v>
      </c>
      <c r="K1472" s="16">
        <v>0.38</v>
      </c>
      <c r="L1472" s="1" t="s">
        <v>30</v>
      </c>
      <c r="M1472" t="s">
        <v>22</v>
      </c>
      <c r="N1472" t="str">
        <f t="shared" si="28"/>
        <v>United Kingdom</v>
      </c>
      <c r="O1472" s="8">
        <f>IF(K1472&gt;=1,K1472,K1472*1000)</f>
        <v>380</v>
      </c>
      <c r="P1472">
        <f>ABS(H1472)</f>
        <v>2</v>
      </c>
      <c r="R1472"/>
    </row>
    <row r="1473" spans="1:18" x14ac:dyDescent="0.35">
      <c r="A1473" t="s">
        <v>2697</v>
      </c>
      <c r="B1473" s="2">
        <v>46069</v>
      </c>
      <c r="C1473" t="s">
        <v>822</v>
      </c>
      <c r="D1473" s="3" t="s">
        <v>99</v>
      </c>
      <c r="E1473" t="s">
        <v>16</v>
      </c>
      <c r="F1473" t="s">
        <v>89</v>
      </c>
      <c r="G1473" t="s">
        <v>90</v>
      </c>
      <c r="H1473" s="8">
        <v>1</v>
      </c>
      <c r="I1473" s="10">
        <v>85.5</v>
      </c>
      <c r="J1473" s="14">
        <f>P1473*I1473</f>
        <v>85.5</v>
      </c>
      <c r="K1473" s="16">
        <v>640</v>
      </c>
      <c r="L1473" s="1" t="s">
        <v>30</v>
      </c>
      <c r="M1473" t="s">
        <v>22</v>
      </c>
      <c r="N1473" t="str">
        <f t="shared" si="28"/>
        <v>United Kingdom</v>
      </c>
      <c r="O1473" s="8">
        <f>IF(K1473&gt;=1,K1473,K1473*1000)</f>
        <v>640</v>
      </c>
      <c r="P1473">
        <f>ABS(H1473)</f>
        <v>1</v>
      </c>
      <c r="R1473"/>
    </row>
    <row r="1474" spans="1:18" x14ac:dyDescent="0.35">
      <c r="A1474" t="s">
        <v>2698</v>
      </c>
      <c r="B1474" s="2">
        <v>46148</v>
      </c>
      <c r="C1474" t="s">
        <v>399</v>
      </c>
      <c r="D1474" s="3" t="s">
        <v>61</v>
      </c>
      <c r="E1474" t="s">
        <v>41</v>
      </c>
      <c r="F1474" t="s">
        <v>47</v>
      </c>
      <c r="G1474" t="s">
        <v>48</v>
      </c>
      <c r="H1474" s="8">
        <v>2</v>
      </c>
      <c r="I1474" s="12" t="s">
        <v>4633</v>
      </c>
      <c r="J1474" s="14">
        <f>P1474*R1474</f>
        <v>48</v>
      </c>
      <c r="K1474" s="16">
        <v>0.38</v>
      </c>
      <c r="L1474" s="1" t="s">
        <v>30</v>
      </c>
      <c r="M1474" t="s">
        <v>22</v>
      </c>
      <c r="N1474" t="str">
        <f t="shared" si="28"/>
        <v>Ireland</v>
      </c>
      <c r="O1474" s="8">
        <f>IF(K1474&gt;=1,K1474,K1474*1000)</f>
        <v>380</v>
      </c>
      <c r="P1474">
        <f>ABS(H1474)</f>
        <v>2</v>
      </c>
      <c r="Q1474" t="str">
        <f>LEFT(I1474,3)</f>
        <v>GBP</v>
      </c>
      <c r="R1474" s="10" t="str">
        <f>RIGHT(I1474,5)</f>
        <v>24,00</v>
      </c>
    </row>
    <row r="1475" spans="1:18" x14ac:dyDescent="0.35">
      <c r="A1475" t="s">
        <v>2699</v>
      </c>
      <c r="B1475" s="2">
        <v>46362</v>
      </c>
      <c r="C1475" t="s">
        <v>1221</v>
      </c>
      <c r="D1475" s="3" t="s">
        <v>61</v>
      </c>
      <c r="E1475" t="s">
        <v>67</v>
      </c>
      <c r="F1475" t="s">
        <v>35</v>
      </c>
      <c r="G1475" t="s">
        <v>36</v>
      </c>
      <c r="H1475" s="8">
        <v>1</v>
      </c>
      <c r="I1475" s="10">
        <v>24</v>
      </c>
      <c r="J1475" s="14">
        <f>P1475*I1475</f>
        <v>24</v>
      </c>
      <c r="K1475" s="16">
        <v>8.5000000000000006E-2</v>
      </c>
      <c r="L1475" s="1" t="s">
        <v>30</v>
      </c>
      <c r="M1475" t="s">
        <v>58</v>
      </c>
      <c r="N1475" t="str">
        <f t="shared" ref="N1475:N1538" si="29">PROPER(TRIM(D1475))</f>
        <v>Ireland</v>
      </c>
      <c r="O1475" s="8">
        <f>IF(K1475&gt;=1,K1475,K1475*1000)</f>
        <v>85</v>
      </c>
      <c r="P1475">
        <f>ABS(H1475)</f>
        <v>1</v>
      </c>
      <c r="R1475"/>
    </row>
    <row r="1476" spans="1:18" x14ac:dyDescent="0.35">
      <c r="A1476" t="s">
        <v>2700</v>
      </c>
      <c r="B1476" s="2">
        <v>46331</v>
      </c>
      <c r="C1476" t="s">
        <v>2701</v>
      </c>
      <c r="D1476" s="3" t="s">
        <v>99</v>
      </c>
      <c r="E1476" t="s">
        <v>16</v>
      </c>
      <c r="F1476" t="s">
        <v>74</v>
      </c>
      <c r="G1476" t="s">
        <v>75</v>
      </c>
      <c r="H1476" s="8">
        <v>1</v>
      </c>
      <c r="I1476" s="10">
        <v>71.099999999999994</v>
      </c>
      <c r="J1476" s="14">
        <f>P1476*I1476</f>
        <v>71.099999999999994</v>
      </c>
      <c r="K1476" s="16">
        <v>0.41</v>
      </c>
      <c r="L1476" s="1" t="s">
        <v>30</v>
      </c>
      <c r="M1476" t="s">
        <v>22</v>
      </c>
      <c r="N1476" t="str">
        <f t="shared" si="29"/>
        <v>United Kingdom</v>
      </c>
      <c r="O1476" s="8">
        <f>IF(K1476&gt;=1,K1476,K1476*1000)</f>
        <v>410</v>
      </c>
      <c r="P1476">
        <f>ABS(H1476)</f>
        <v>1</v>
      </c>
      <c r="R1476"/>
    </row>
    <row r="1477" spans="1:18" x14ac:dyDescent="0.35">
      <c r="A1477" t="s">
        <v>2702</v>
      </c>
      <c r="B1477" s="2">
        <v>46112</v>
      </c>
      <c r="C1477" t="s">
        <v>1843</v>
      </c>
      <c r="D1477" s="3" t="s">
        <v>53</v>
      </c>
      <c r="E1477" t="s">
        <v>34</v>
      </c>
      <c r="F1477" t="s">
        <v>17</v>
      </c>
      <c r="G1477" t="s">
        <v>18</v>
      </c>
      <c r="H1477" s="8">
        <v>1</v>
      </c>
      <c r="I1477" s="10">
        <v>149</v>
      </c>
      <c r="J1477" s="14">
        <f>P1477*I1477</f>
        <v>149</v>
      </c>
      <c r="K1477" s="16">
        <v>520</v>
      </c>
      <c r="L1477" s="1" t="s">
        <v>30</v>
      </c>
      <c r="M1477" t="s">
        <v>22</v>
      </c>
      <c r="N1477" t="str">
        <f t="shared" si="29"/>
        <v>Gb</v>
      </c>
      <c r="O1477" s="8">
        <f>IF(K1477&gt;=1,K1477,K1477*1000)</f>
        <v>520</v>
      </c>
      <c r="P1477">
        <f>ABS(H1477)</f>
        <v>1</v>
      </c>
      <c r="R1477"/>
    </row>
    <row r="1478" spans="1:18" x14ac:dyDescent="0.35">
      <c r="A1478" t="s">
        <v>2703</v>
      </c>
      <c r="B1478" s="2">
        <v>46029</v>
      </c>
      <c r="C1478" t="s">
        <v>2704</v>
      </c>
      <c r="D1478" s="3" t="s">
        <v>61</v>
      </c>
      <c r="E1478" t="s">
        <v>67</v>
      </c>
      <c r="F1478" t="s">
        <v>35</v>
      </c>
      <c r="G1478" t="s">
        <v>36</v>
      </c>
      <c r="H1478" s="8">
        <v>1</v>
      </c>
      <c r="I1478" s="12" t="s">
        <v>4621</v>
      </c>
      <c r="J1478" s="14">
        <f>P1478*R1478</f>
        <v>85.5</v>
      </c>
      <c r="K1478" s="16">
        <v>85</v>
      </c>
      <c r="L1478" s="1" t="s">
        <v>30</v>
      </c>
      <c r="M1478" t="s">
        <v>22</v>
      </c>
      <c r="N1478" t="str">
        <f t="shared" si="29"/>
        <v>Ireland</v>
      </c>
      <c r="O1478" s="8">
        <f>IF(K1478&gt;=1,K1478,K1478*1000)</f>
        <v>85</v>
      </c>
      <c r="P1478">
        <f>ABS(H1478)</f>
        <v>1</v>
      </c>
      <c r="Q1478" t="str">
        <f>LEFT(I1478,2)</f>
        <v>Â£</v>
      </c>
      <c r="R1478" t="str">
        <f>RIGHT(I1478,5)</f>
        <v>85,50</v>
      </c>
    </row>
    <row r="1479" spans="1:18" x14ac:dyDescent="0.35">
      <c r="A1479" t="s">
        <v>2705</v>
      </c>
      <c r="B1479" s="2">
        <v>46037</v>
      </c>
      <c r="C1479" t="s">
        <v>2706</v>
      </c>
      <c r="D1479" s="3" t="s">
        <v>116</v>
      </c>
      <c r="E1479" t="s">
        <v>34</v>
      </c>
      <c r="F1479" t="s">
        <v>17</v>
      </c>
      <c r="G1479" t="s">
        <v>18</v>
      </c>
      <c r="H1479" s="8">
        <v>1</v>
      </c>
      <c r="I1479" s="10">
        <v>79</v>
      </c>
      <c r="J1479" s="14">
        <f>P1479*I1479</f>
        <v>79</v>
      </c>
      <c r="K1479" s="16">
        <v>520</v>
      </c>
      <c r="L1479" s="1" t="s">
        <v>30</v>
      </c>
      <c r="M1479" t="s">
        <v>22</v>
      </c>
      <c r="N1479" t="str">
        <f t="shared" si="29"/>
        <v>Germany</v>
      </c>
      <c r="O1479" s="8">
        <f>IF(K1479&gt;=1,K1479,K1479*1000)</f>
        <v>520</v>
      </c>
      <c r="P1479">
        <f>ABS(H1479)</f>
        <v>1</v>
      </c>
      <c r="R1479"/>
    </row>
    <row r="1480" spans="1:18" x14ac:dyDescent="0.35">
      <c r="A1480" t="s">
        <v>2707</v>
      </c>
      <c r="B1480" s="2">
        <v>46085</v>
      </c>
      <c r="C1480" t="s">
        <v>1342</v>
      </c>
      <c r="D1480" s="3" t="s">
        <v>61</v>
      </c>
      <c r="E1480" t="s">
        <v>25</v>
      </c>
      <c r="F1480" t="s">
        <v>89</v>
      </c>
      <c r="G1480" t="s">
        <v>90</v>
      </c>
      <c r="H1480" s="8">
        <v>1</v>
      </c>
      <c r="I1480" s="10">
        <v>11.25</v>
      </c>
      <c r="J1480" s="14">
        <f>P1480*I1480</f>
        <v>11.25</v>
      </c>
      <c r="K1480" s="16">
        <v>640</v>
      </c>
      <c r="L1480" s="1" t="s">
        <v>30</v>
      </c>
      <c r="M1480" t="s">
        <v>22</v>
      </c>
      <c r="N1480" t="str">
        <f t="shared" si="29"/>
        <v>Ireland</v>
      </c>
      <c r="O1480" s="8">
        <f>IF(K1480&gt;=1,K1480,K1480*1000)</f>
        <v>640</v>
      </c>
      <c r="P1480">
        <f>ABS(H1480)</f>
        <v>1</v>
      </c>
      <c r="R1480"/>
    </row>
    <row r="1481" spans="1:18" x14ac:dyDescent="0.35">
      <c r="A1481" t="s">
        <v>2708</v>
      </c>
      <c r="B1481" s="2">
        <v>46200</v>
      </c>
      <c r="C1481" t="s">
        <v>1189</v>
      </c>
      <c r="D1481" s="3" t="s">
        <v>53</v>
      </c>
      <c r="E1481" t="s">
        <v>25</v>
      </c>
      <c r="F1481" t="s">
        <v>47</v>
      </c>
      <c r="G1481" t="s">
        <v>48</v>
      </c>
      <c r="H1481" s="8">
        <v>1</v>
      </c>
      <c r="I1481" s="10">
        <v>89</v>
      </c>
      <c r="J1481" s="14">
        <f>P1481*I1481</f>
        <v>89</v>
      </c>
      <c r="K1481" s="16">
        <v>0.38</v>
      </c>
      <c r="L1481" s="1" t="s">
        <v>30</v>
      </c>
      <c r="M1481" t="s">
        <v>22</v>
      </c>
      <c r="N1481" t="str">
        <f t="shared" si="29"/>
        <v>Gb</v>
      </c>
      <c r="O1481" s="8">
        <f>IF(K1481&gt;=1,K1481,K1481*1000)</f>
        <v>380</v>
      </c>
      <c r="P1481">
        <f>ABS(H1481)</f>
        <v>1</v>
      </c>
      <c r="R1481"/>
    </row>
    <row r="1482" spans="1:18" x14ac:dyDescent="0.35">
      <c r="A1482" t="s">
        <v>2709</v>
      </c>
      <c r="B1482" s="2">
        <v>46109</v>
      </c>
      <c r="C1482" t="s">
        <v>2348</v>
      </c>
      <c r="D1482" s="3" t="s">
        <v>116</v>
      </c>
      <c r="E1482" t="s">
        <v>16</v>
      </c>
      <c r="F1482" t="s">
        <v>89</v>
      </c>
      <c r="G1482" t="s">
        <v>90</v>
      </c>
      <c r="H1482" s="8">
        <v>2</v>
      </c>
      <c r="I1482" s="10">
        <v>45</v>
      </c>
      <c r="J1482" s="14">
        <f>P1482*I1482</f>
        <v>90</v>
      </c>
      <c r="K1482" s="16">
        <v>640</v>
      </c>
      <c r="L1482" s="1" t="s">
        <v>30</v>
      </c>
      <c r="M1482" t="s">
        <v>58</v>
      </c>
      <c r="N1482" t="str">
        <f t="shared" si="29"/>
        <v>Germany</v>
      </c>
      <c r="O1482" s="8">
        <f>IF(K1482&gt;=1,K1482,K1482*1000)</f>
        <v>640</v>
      </c>
      <c r="P1482">
        <f>ABS(H1482)</f>
        <v>2</v>
      </c>
      <c r="R1482"/>
    </row>
    <row r="1483" spans="1:18" x14ac:dyDescent="0.35">
      <c r="A1483" t="s">
        <v>2710</v>
      </c>
      <c r="B1483" s="2" t="s">
        <v>2645</v>
      </c>
      <c r="C1483" t="s">
        <v>24</v>
      </c>
      <c r="D1483" s="3" t="s">
        <v>61</v>
      </c>
      <c r="E1483" t="s">
        <v>34</v>
      </c>
      <c r="F1483" t="s">
        <v>35</v>
      </c>
      <c r="G1483" t="s">
        <v>36</v>
      </c>
      <c r="H1483" s="8">
        <v>3</v>
      </c>
      <c r="I1483" s="10">
        <v>149</v>
      </c>
      <c r="J1483" s="14">
        <f>P1483*I1483</f>
        <v>447</v>
      </c>
      <c r="K1483" s="16">
        <v>8.5000000000000006E-2</v>
      </c>
      <c r="L1483" s="1" t="s">
        <v>30</v>
      </c>
      <c r="M1483" t="s">
        <v>58</v>
      </c>
      <c r="N1483" t="str">
        <f t="shared" si="29"/>
        <v>Ireland</v>
      </c>
      <c r="O1483" s="8">
        <f>IF(K1483&gt;=1,K1483,K1483*1000)</f>
        <v>85</v>
      </c>
      <c r="P1483">
        <f>ABS(H1483)</f>
        <v>3</v>
      </c>
      <c r="R1483"/>
    </row>
    <row r="1484" spans="1:18" x14ac:dyDescent="0.35">
      <c r="A1484" t="s">
        <v>2711</v>
      </c>
      <c r="B1484" s="2">
        <v>46199</v>
      </c>
      <c r="C1484" t="s">
        <v>2712</v>
      </c>
      <c r="D1484" s="3" t="s">
        <v>46</v>
      </c>
      <c r="E1484" t="s">
        <v>25</v>
      </c>
      <c r="F1484" t="s">
        <v>74</v>
      </c>
      <c r="G1484" t="s">
        <v>75</v>
      </c>
      <c r="H1484" s="8">
        <v>1</v>
      </c>
      <c r="I1484" s="10">
        <v>95</v>
      </c>
      <c r="J1484" s="14">
        <f>P1484*I1484</f>
        <v>95</v>
      </c>
      <c r="K1484" s="16">
        <v>0.41</v>
      </c>
      <c r="L1484" s="1" t="s">
        <v>21</v>
      </c>
      <c r="M1484" t="s">
        <v>22</v>
      </c>
      <c r="N1484" t="str">
        <f t="shared" si="29"/>
        <v>Ireland</v>
      </c>
      <c r="O1484" s="8">
        <f>IF(K1484&gt;=1,K1484,K1484*1000)</f>
        <v>410</v>
      </c>
      <c r="P1484">
        <f>ABS(H1484)</f>
        <v>1</v>
      </c>
      <c r="R1484"/>
    </row>
    <row r="1485" spans="1:18" x14ac:dyDescent="0.35">
      <c r="A1485" t="s">
        <v>2713</v>
      </c>
      <c r="B1485" s="2">
        <v>46122</v>
      </c>
      <c r="C1485" t="s">
        <v>1239</v>
      </c>
      <c r="D1485" s="3" t="s">
        <v>4613</v>
      </c>
      <c r="E1485" t="s">
        <v>67</v>
      </c>
      <c r="F1485" t="s">
        <v>42</v>
      </c>
      <c r="G1485" t="s">
        <v>43</v>
      </c>
      <c r="H1485" s="8">
        <v>1</v>
      </c>
      <c r="I1485" s="10">
        <v>79</v>
      </c>
      <c r="J1485" s="14">
        <f>P1485*I1485</f>
        <v>79</v>
      </c>
      <c r="K1485" s="16">
        <v>190</v>
      </c>
      <c r="L1485" s="1" t="s">
        <v>30</v>
      </c>
      <c r="M1485" t="s">
        <v>22</v>
      </c>
      <c r="N1485" t="str">
        <f t="shared" si="29"/>
        <v>United Kingdom</v>
      </c>
      <c r="O1485" s="8">
        <f>IF(K1485&gt;=1,K1485,K1485*1000)</f>
        <v>190</v>
      </c>
      <c r="P1485">
        <f>ABS(H1485)</f>
        <v>1</v>
      </c>
      <c r="R1485"/>
    </row>
    <row r="1486" spans="1:18" x14ac:dyDescent="0.35">
      <c r="A1486" t="s">
        <v>2714</v>
      </c>
      <c r="B1486" s="2" t="s">
        <v>1753</v>
      </c>
      <c r="C1486" t="s">
        <v>2715</v>
      </c>
      <c r="D1486" s="3" t="s">
        <v>4612</v>
      </c>
      <c r="E1486" t="s">
        <v>16</v>
      </c>
      <c r="F1486" t="s">
        <v>26</v>
      </c>
      <c r="G1486" t="s">
        <v>27</v>
      </c>
      <c r="H1486" s="8">
        <v>1</v>
      </c>
      <c r="I1486" s="10">
        <v>21.6</v>
      </c>
      <c r="J1486" s="14">
        <f>P1486*I1486</f>
        <v>21.6</v>
      </c>
      <c r="K1486" s="16">
        <v>520</v>
      </c>
      <c r="L1486" s="1" t="s">
        <v>21</v>
      </c>
      <c r="M1486" t="s">
        <v>22</v>
      </c>
      <c r="N1486" t="str">
        <f t="shared" si="29"/>
        <v>United Kingdom</v>
      </c>
      <c r="O1486" s="8">
        <f>IF(K1486&gt;=1,K1486,K1486*1000)</f>
        <v>520</v>
      </c>
      <c r="P1486">
        <f>ABS(H1486)</f>
        <v>1</v>
      </c>
      <c r="R1486"/>
    </row>
    <row r="1487" spans="1:18" x14ac:dyDescent="0.35">
      <c r="A1487" t="s">
        <v>2716</v>
      </c>
      <c r="B1487" s="2">
        <v>46093</v>
      </c>
      <c r="C1487" t="s">
        <v>2717</v>
      </c>
      <c r="D1487" s="3" t="s">
        <v>53</v>
      </c>
      <c r="E1487" t="s">
        <v>34</v>
      </c>
      <c r="F1487" t="s">
        <v>35</v>
      </c>
      <c r="G1487" t="s">
        <v>36</v>
      </c>
      <c r="H1487" s="8">
        <v>1</v>
      </c>
      <c r="I1487" s="10">
        <v>40.5</v>
      </c>
      <c r="J1487" s="14">
        <f>P1487*I1487</f>
        <v>40.5</v>
      </c>
      <c r="K1487" s="16">
        <v>85</v>
      </c>
      <c r="L1487" s="1" t="s">
        <v>30</v>
      </c>
      <c r="M1487" t="s">
        <v>58</v>
      </c>
      <c r="N1487" t="str">
        <f t="shared" si="29"/>
        <v>Gb</v>
      </c>
      <c r="O1487" s="8">
        <f>IF(K1487&gt;=1,K1487,K1487*1000)</f>
        <v>85</v>
      </c>
      <c r="P1487">
        <f>ABS(H1487)</f>
        <v>1</v>
      </c>
      <c r="R1487"/>
    </row>
    <row r="1488" spans="1:18" x14ac:dyDescent="0.35">
      <c r="A1488" t="s">
        <v>2719</v>
      </c>
      <c r="B1488" s="2">
        <v>46142</v>
      </c>
      <c r="C1488" t="s">
        <v>1721</v>
      </c>
      <c r="D1488" s="3" t="s">
        <v>4613</v>
      </c>
      <c r="E1488" t="s">
        <v>16</v>
      </c>
      <c r="F1488" t="s">
        <v>26</v>
      </c>
      <c r="G1488" t="s">
        <v>27</v>
      </c>
      <c r="H1488" s="8">
        <v>1</v>
      </c>
      <c r="I1488" s="10">
        <v>79</v>
      </c>
      <c r="J1488" s="14">
        <f>P1488*I1488</f>
        <v>79</v>
      </c>
      <c r="K1488" s="16">
        <v>0.52</v>
      </c>
      <c r="L1488" s="1" t="s">
        <v>30</v>
      </c>
      <c r="M1488" t="s">
        <v>22</v>
      </c>
      <c r="N1488" t="str">
        <f t="shared" si="29"/>
        <v>United Kingdom</v>
      </c>
      <c r="O1488" s="8">
        <f>IF(K1488&gt;=1,K1488,K1488*1000)</f>
        <v>520</v>
      </c>
      <c r="P1488">
        <f>ABS(H1488)</f>
        <v>1</v>
      </c>
      <c r="R1488"/>
    </row>
    <row r="1489" spans="1:18" x14ac:dyDescent="0.35">
      <c r="A1489" t="s">
        <v>2720</v>
      </c>
      <c r="B1489" s="2">
        <v>46179</v>
      </c>
      <c r="C1489" t="s">
        <v>927</v>
      </c>
      <c r="D1489" s="3" t="s">
        <v>99</v>
      </c>
      <c r="E1489" t="s">
        <v>34</v>
      </c>
      <c r="F1489" t="s">
        <v>47</v>
      </c>
      <c r="G1489" t="s">
        <v>48</v>
      </c>
      <c r="H1489" s="8">
        <v>1</v>
      </c>
      <c r="I1489" s="10">
        <v>12.5</v>
      </c>
      <c r="J1489" s="14">
        <f>P1489*I1489</f>
        <v>12.5</v>
      </c>
      <c r="K1489" s="16">
        <v>0.38</v>
      </c>
      <c r="L1489" s="1" t="s">
        <v>30</v>
      </c>
      <c r="M1489" t="s">
        <v>22</v>
      </c>
      <c r="N1489" t="str">
        <f t="shared" si="29"/>
        <v>United Kingdom</v>
      </c>
      <c r="O1489" s="8">
        <f>IF(K1489&gt;=1,K1489,K1489*1000)</f>
        <v>380</v>
      </c>
      <c r="P1489">
        <f>ABS(H1489)</f>
        <v>1</v>
      </c>
      <c r="R1489"/>
    </row>
    <row r="1490" spans="1:18" x14ac:dyDescent="0.35">
      <c r="A1490" t="s">
        <v>2721</v>
      </c>
      <c r="B1490" s="2">
        <v>46051</v>
      </c>
      <c r="C1490" t="s">
        <v>2203</v>
      </c>
      <c r="D1490" s="3" t="s">
        <v>46</v>
      </c>
      <c r="E1490" t="s">
        <v>34</v>
      </c>
      <c r="F1490" t="s">
        <v>26</v>
      </c>
      <c r="G1490" t="s">
        <v>27</v>
      </c>
      <c r="H1490" s="8">
        <v>1</v>
      </c>
      <c r="I1490" s="10">
        <v>134.1</v>
      </c>
      <c r="J1490" s="14">
        <f>P1490*I1490</f>
        <v>134.1</v>
      </c>
      <c r="K1490" s="16">
        <v>520</v>
      </c>
      <c r="L1490" s="1" t="s">
        <v>30</v>
      </c>
      <c r="M1490" t="s">
        <v>22</v>
      </c>
      <c r="N1490" t="str">
        <f t="shared" si="29"/>
        <v>Ireland</v>
      </c>
      <c r="O1490" s="8">
        <f>IF(K1490&gt;=1,K1490,K1490*1000)</f>
        <v>520</v>
      </c>
      <c r="P1490">
        <f>ABS(H1490)</f>
        <v>1</v>
      </c>
      <c r="R1490"/>
    </row>
    <row r="1491" spans="1:18" x14ac:dyDescent="0.35">
      <c r="A1491" t="s">
        <v>2722</v>
      </c>
      <c r="B1491" s="2" t="s">
        <v>765</v>
      </c>
      <c r="C1491" t="s">
        <v>2003</v>
      </c>
      <c r="D1491" s="3" t="s">
        <v>4612</v>
      </c>
      <c r="E1491" t="s">
        <v>34</v>
      </c>
      <c r="F1491" t="s">
        <v>26</v>
      </c>
      <c r="G1491" t="s">
        <v>27</v>
      </c>
      <c r="H1491" s="8">
        <v>1</v>
      </c>
      <c r="I1491" s="10">
        <v>95</v>
      </c>
      <c r="J1491" s="14">
        <f>P1491*I1491</f>
        <v>95</v>
      </c>
      <c r="K1491" s="16">
        <v>520</v>
      </c>
      <c r="L1491" s="1" t="s">
        <v>30</v>
      </c>
      <c r="M1491" t="s">
        <v>22</v>
      </c>
      <c r="N1491" t="str">
        <f t="shared" si="29"/>
        <v>United Kingdom</v>
      </c>
      <c r="O1491" s="8">
        <f>IF(K1491&gt;=1,K1491,K1491*1000)</f>
        <v>520</v>
      </c>
      <c r="P1491">
        <f>ABS(H1491)</f>
        <v>1</v>
      </c>
      <c r="R1491"/>
    </row>
    <row r="1492" spans="1:18" x14ac:dyDescent="0.35">
      <c r="A1492" t="s">
        <v>2723</v>
      </c>
      <c r="B1492" s="2" t="s">
        <v>158</v>
      </c>
      <c r="C1492" t="s">
        <v>24</v>
      </c>
      <c r="D1492" s="3" t="s">
        <v>61</v>
      </c>
      <c r="E1492" t="s">
        <v>34</v>
      </c>
      <c r="F1492" t="s">
        <v>83</v>
      </c>
      <c r="G1492" t="s">
        <v>84</v>
      </c>
      <c r="H1492" s="8">
        <v>2</v>
      </c>
      <c r="I1492" s="10">
        <v>45</v>
      </c>
      <c r="J1492" s="14">
        <f>P1492*I1492</f>
        <v>90</v>
      </c>
      <c r="K1492" s="16">
        <v>340</v>
      </c>
      <c r="L1492" s="1" t="s">
        <v>30</v>
      </c>
      <c r="M1492" t="s">
        <v>22</v>
      </c>
      <c r="N1492" t="str">
        <f t="shared" si="29"/>
        <v>Ireland</v>
      </c>
      <c r="O1492" s="8">
        <f>IF(K1492&gt;=1,K1492,K1492*1000)</f>
        <v>340</v>
      </c>
      <c r="P1492">
        <f>ABS(H1492)</f>
        <v>2</v>
      </c>
      <c r="R1492"/>
    </row>
    <row r="1493" spans="1:18" x14ac:dyDescent="0.35">
      <c r="A1493" t="s">
        <v>2724</v>
      </c>
      <c r="B1493" s="2">
        <v>46100</v>
      </c>
      <c r="C1493" t="s">
        <v>2098</v>
      </c>
      <c r="D1493" s="3" t="s">
        <v>53</v>
      </c>
      <c r="E1493" t="s">
        <v>16</v>
      </c>
      <c r="F1493" t="s">
        <v>74</v>
      </c>
      <c r="G1493" t="s">
        <v>75</v>
      </c>
      <c r="H1493" s="8">
        <v>1</v>
      </c>
      <c r="I1493" s="10">
        <v>149</v>
      </c>
      <c r="J1493" s="14">
        <f>P1493*I1493</f>
        <v>149</v>
      </c>
      <c r="K1493" s="16">
        <v>410</v>
      </c>
      <c r="L1493" s="1" t="s">
        <v>21</v>
      </c>
      <c r="M1493" t="s">
        <v>22</v>
      </c>
      <c r="N1493" t="str">
        <f t="shared" si="29"/>
        <v>Gb</v>
      </c>
      <c r="O1493" s="8">
        <f>IF(K1493&gt;=1,K1493,K1493*1000)</f>
        <v>410</v>
      </c>
      <c r="P1493">
        <f>ABS(H1493)</f>
        <v>1</v>
      </c>
      <c r="R1493"/>
    </row>
    <row r="1494" spans="1:18" x14ac:dyDescent="0.35">
      <c r="A1494" t="s">
        <v>2725</v>
      </c>
      <c r="B1494" s="2">
        <v>46185</v>
      </c>
      <c r="C1494" t="s">
        <v>1229</v>
      </c>
      <c r="D1494" s="3" t="s">
        <v>4612</v>
      </c>
      <c r="E1494" t="s">
        <v>34</v>
      </c>
      <c r="F1494" t="s">
        <v>42</v>
      </c>
      <c r="G1494" t="s">
        <v>43</v>
      </c>
      <c r="H1494" s="8">
        <v>2</v>
      </c>
      <c r="I1494" s="10">
        <v>85.5</v>
      </c>
      <c r="J1494" s="14">
        <f>P1494*I1494</f>
        <v>171</v>
      </c>
      <c r="K1494" s="16">
        <v>0.19</v>
      </c>
      <c r="L1494" s="1" t="s">
        <v>30</v>
      </c>
      <c r="M1494" t="s">
        <v>22</v>
      </c>
      <c r="N1494" t="str">
        <f t="shared" si="29"/>
        <v>United Kingdom</v>
      </c>
      <c r="O1494" s="8">
        <f>IF(K1494&gt;=1,K1494,K1494*1000)</f>
        <v>190</v>
      </c>
      <c r="P1494">
        <f>ABS(H1494)</f>
        <v>2</v>
      </c>
      <c r="R1494"/>
    </row>
    <row r="1495" spans="1:18" x14ac:dyDescent="0.35">
      <c r="A1495" t="s">
        <v>2726</v>
      </c>
      <c r="B1495" s="2">
        <v>46156</v>
      </c>
      <c r="C1495" t="s">
        <v>2366</v>
      </c>
      <c r="D1495" s="3" t="s">
        <v>99</v>
      </c>
      <c r="E1495" t="s">
        <v>25</v>
      </c>
      <c r="F1495" t="s">
        <v>35</v>
      </c>
      <c r="G1495" t="s">
        <v>36</v>
      </c>
      <c r="H1495" s="8">
        <v>1</v>
      </c>
      <c r="I1495" s="10">
        <v>71.099999999999994</v>
      </c>
      <c r="J1495" s="14">
        <f>P1495*I1495</f>
        <v>71.099999999999994</v>
      </c>
      <c r="K1495" s="16">
        <v>8.5000000000000006E-2</v>
      </c>
      <c r="L1495" s="1" t="s">
        <v>30</v>
      </c>
      <c r="M1495" t="s">
        <v>22</v>
      </c>
      <c r="N1495" t="str">
        <f t="shared" si="29"/>
        <v>United Kingdom</v>
      </c>
      <c r="O1495" s="8">
        <f>IF(K1495&gt;=1,K1495,K1495*1000)</f>
        <v>85</v>
      </c>
      <c r="P1495">
        <f>ABS(H1495)</f>
        <v>1</v>
      </c>
      <c r="R1495"/>
    </row>
    <row r="1496" spans="1:18" x14ac:dyDescent="0.35">
      <c r="A1496" t="s">
        <v>2727</v>
      </c>
      <c r="B1496" s="2" t="s">
        <v>610</v>
      </c>
      <c r="C1496" t="s">
        <v>2728</v>
      </c>
      <c r="D1496" s="3" t="s">
        <v>53</v>
      </c>
      <c r="E1496" t="s">
        <v>41</v>
      </c>
      <c r="F1496" t="s">
        <v>74</v>
      </c>
      <c r="G1496" t="s">
        <v>75</v>
      </c>
      <c r="H1496" s="8">
        <v>3</v>
      </c>
      <c r="I1496" s="10">
        <v>149</v>
      </c>
      <c r="J1496" s="14">
        <f>P1496*I1496</f>
        <v>447</v>
      </c>
      <c r="K1496" s="16">
        <v>0.41</v>
      </c>
      <c r="L1496" s="1" t="s">
        <v>21</v>
      </c>
      <c r="M1496" t="s">
        <v>22</v>
      </c>
      <c r="N1496" t="str">
        <f t="shared" si="29"/>
        <v>Gb</v>
      </c>
      <c r="O1496" s="8">
        <f>IF(K1496&gt;=1,K1496,K1496*1000)</f>
        <v>410</v>
      </c>
      <c r="P1496">
        <f>ABS(H1496)</f>
        <v>3</v>
      </c>
      <c r="R1496"/>
    </row>
    <row r="1497" spans="1:18" x14ac:dyDescent="0.35">
      <c r="A1497" t="s">
        <v>2729</v>
      </c>
      <c r="B1497" s="2">
        <v>46158</v>
      </c>
      <c r="C1497" t="s">
        <v>2730</v>
      </c>
      <c r="D1497" s="3" t="s">
        <v>53</v>
      </c>
      <c r="E1497" t="s">
        <v>16</v>
      </c>
      <c r="F1497" t="s">
        <v>47</v>
      </c>
      <c r="G1497" t="s">
        <v>48</v>
      </c>
      <c r="H1497" s="8">
        <v>2</v>
      </c>
      <c r="I1497" s="10">
        <v>45</v>
      </c>
      <c r="J1497" s="14">
        <f>P1497*I1497</f>
        <v>90</v>
      </c>
      <c r="K1497" s="16">
        <v>0.38</v>
      </c>
      <c r="L1497" s="1" t="s">
        <v>21</v>
      </c>
      <c r="M1497" t="s">
        <v>22</v>
      </c>
      <c r="N1497" t="str">
        <f t="shared" si="29"/>
        <v>Gb</v>
      </c>
      <c r="O1497" s="8">
        <f>IF(K1497&gt;=1,K1497,K1497*1000)</f>
        <v>380</v>
      </c>
      <c r="P1497">
        <f>ABS(H1497)</f>
        <v>2</v>
      </c>
      <c r="R1497"/>
    </row>
    <row r="1498" spans="1:18" x14ac:dyDescent="0.35">
      <c r="A1498" t="s">
        <v>2731</v>
      </c>
      <c r="B1498" s="2">
        <v>46108</v>
      </c>
      <c r="C1498" t="s">
        <v>1312</v>
      </c>
      <c r="D1498" s="3" t="s">
        <v>66</v>
      </c>
      <c r="E1498" t="s">
        <v>41</v>
      </c>
      <c r="F1498" t="s">
        <v>74</v>
      </c>
      <c r="G1498" t="s">
        <v>75</v>
      </c>
      <c r="H1498" s="8">
        <v>2</v>
      </c>
      <c r="I1498" s="10">
        <v>89</v>
      </c>
      <c r="J1498" s="14">
        <f>P1498*I1498</f>
        <v>178</v>
      </c>
      <c r="K1498" s="16">
        <v>410</v>
      </c>
      <c r="L1498" s="1" t="s">
        <v>30</v>
      </c>
      <c r="M1498" t="s">
        <v>22</v>
      </c>
      <c r="N1498" t="str">
        <f t="shared" si="29"/>
        <v>Gb</v>
      </c>
      <c r="O1498" s="8">
        <f>IF(K1498&gt;=1,K1498,K1498*1000)</f>
        <v>410</v>
      </c>
      <c r="P1498">
        <f>ABS(H1498)</f>
        <v>2</v>
      </c>
      <c r="R1498"/>
    </row>
    <row r="1499" spans="1:18" x14ac:dyDescent="0.35">
      <c r="A1499" t="s">
        <v>2732</v>
      </c>
      <c r="B1499" s="2">
        <v>46197</v>
      </c>
      <c r="C1499" t="s">
        <v>2733</v>
      </c>
      <c r="D1499" s="3" t="s">
        <v>99</v>
      </c>
      <c r="E1499" t="s">
        <v>67</v>
      </c>
      <c r="F1499" t="s">
        <v>83</v>
      </c>
      <c r="G1499" t="s">
        <v>84</v>
      </c>
      <c r="H1499" s="8">
        <v>2</v>
      </c>
      <c r="I1499" s="10">
        <v>24</v>
      </c>
      <c r="J1499" s="14">
        <f>P1499*I1499</f>
        <v>48</v>
      </c>
      <c r="K1499" s="16">
        <v>0.34</v>
      </c>
      <c r="L1499" s="1" t="s">
        <v>30</v>
      </c>
      <c r="M1499" t="s">
        <v>22</v>
      </c>
      <c r="N1499" t="str">
        <f t="shared" si="29"/>
        <v>United Kingdom</v>
      </c>
      <c r="O1499" s="8">
        <f>IF(K1499&gt;=1,K1499,K1499*1000)</f>
        <v>340</v>
      </c>
      <c r="P1499">
        <f>ABS(H1499)</f>
        <v>2</v>
      </c>
      <c r="R1499"/>
    </row>
    <row r="1500" spans="1:18" x14ac:dyDescent="0.35">
      <c r="A1500" t="s">
        <v>2734</v>
      </c>
      <c r="B1500" s="2">
        <v>46083</v>
      </c>
      <c r="C1500" t="s">
        <v>2320</v>
      </c>
      <c r="D1500" s="3" t="s">
        <v>46</v>
      </c>
      <c r="E1500" t="s">
        <v>16</v>
      </c>
      <c r="F1500" t="s">
        <v>42</v>
      </c>
      <c r="G1500" t="s">
        <v>43</v>
      </c>
      <c r="H1500" s="8">
        <v>3</v>
      </c>
      <c r="I1500" s="10">
        <v>129</v>
      </c>
      <c r="J1500" s="14">
        <f>P1500*I1500</f>
        <v>387</v>
      </c>
      <c r="K1500" s="16">
        <v>190</v>
      </c>
      <c r="L1500" s="1" t="s">
        <v>30</v>
      </c>
      <c r="M1500" t="s">
        <v>22</v>
      </c>
      <c r="N1500" t="str">
        <f t="shared" si="29"/>
        <v>Ireland</v>
      </c>
      <c r="O1500" s="8">
        <f>IF(K1500&gt;=1,K1500,K1500*1000)</f>
        <v>190</v>
      </c>
      <c r="P1500">
        <f>ABS(H1500)</f>
        <v>3</v>
      </c>
      <c r="R1500"/>
    </row>
    <row r="1501" spans="1:18" x14ac:dyDescent="0.35">
      <c r="A1501" t="s">
        <v>2735</v>
      </c>
      <c r="B1501" s="2">
        <v>46187</v>
      </c>
      <c r="C1501" t="s">
        <v>129</v>
      </c>
      <c r="D1501" s="3" t="s">
        <v>99</v>
      </c>
      <c r="E1501" t="s">
        <v>41</v>
      </c>
      <c r="F1501" t="s">
        <v>26</v>
      </c>
      <c r="G1501" t="s">
        <v>27</v>
      </c>
      <c r="H1501" s="8">
        <v>1</v>
      </c>
      <c r="I1501" s="12" t="s">
        <v>4636</v>
      </c>
      <c r="J1501" s="14">
        <f t="shared" ref="J1501:J1502" si="30">P1501*R1501</f>
        <v>89</v>
      </c>
      <c r="K1501" s="16">
        <v>0.52</v>
      </c>
      <c r="L1501" s="1" t="s">
        <v>30</v>
      </c>
      <c r="M1501" t="s">
        <v>22</v>
      </c>
      <c r="N1501" t="str">
        <f t="shared" si="29"/>
        <v>United Kingdom</v>
      </c>
      <c r="O1501" s="8">
        <f>IF(K1501&gt;=1,K1501,K1501*1000)</f>
        <v>520</v>
      </c>
      <c r="P1501">
        <f>ABS(H1501)</f>
        <v>1</v>
      </c>
      <c r="Q1501" t="str">
        <f t="shared" ref="Q1501:Q1502" si="31">LEFT(I1501,2)</f>
        <v>Â£</v>
      </c>
      <c r="R1501" t="str">
        <f t="shared" ref="R1501:R1502" si="32">RIGHT(I1501,5)</f>
        <v>89,00</v>
      </c>
    </row>
    <row r="1502" spans="1:18" x14ac:dyDescent="0.35">
      <c r="A1502" t="s">
        <v>2736</v>
      </c>
      <c r="B1502" s="2">
        <v>46123</v>
      </c>
      <c r="C1502" t="s">
        <v>98</v>
      </c>
      <c r="D1502" s="3" t="s">
        <v>46</v>
      </c>
      <c r="E1502" t="s">
        <v>41</v>
      </c>
      <c r="F1502" t="s">
        <v>17</v>
      </c>
      <c r="G1502" t="s">
        <v>18</v>
      </c>
      <c r="H1502" s="8">
        <v>3</v>
      </c>
      <c r="I1502" s="12" t="s">
        <v>4637</v>
      </c>
      <c r="J1502" s="14">
        <f t="shared" si="30"/>
        <v>147</v>
      </c>
      <c r="K1502" s="16">
        <v>520</v>
      </c>
      <c r="L1502" s="1" t="s">
        <v>30</v>
      </c>
      <c r="M1502" t="s">
        <v>22</v>
      </c>
      <c r="N1502" t="str">
        <f t="shared" si="29"/>
        <v>Ireland</v>
      </c>
      <c r="O1502" s="8">
        <f>IF(K1502&gt;=1,K1502,K1502*1000)</f>
        <v>520</v>
      </c>
      <c r="P1502">
        <f>ABS(H1502)</f>
        <v>3</v>
      </c>
      <c r="Q1502" t="str">
        <f t="shared" si="31"/>
        <v>Â£</v>
      </c>
      <c r="R1502" t="str">
        <f t="shared" si="32"/>
        <v>49,00</v>
      </c>
    </row>
    <row r="1503" spans="1:18" x14ac:dyDescent="0.35">
      <c r="A1503" t="s">
        <v>2737</v>
      </c>
      <c r="B1503" s="2">
        <v>46121</v>
      </c>
      <c r="C1503" t="s">
        <v>1942</v>
      </c>
      <c r="D1503" s="3" t="s">
        <v>99</v>
      </c>
      <c r="E1503" t="s">
        <v>25</v>
      </c>
      <c r="F1503" t="s">
        <v>83</v>
      </c>
      <c r="G1503" t="s">
        <v>84</v>
      </c>
      <c r="H1503" s="8">
        <v>1</v>
      </c>
      <c r="I1503" s="10">
        <v>71.099999999999994</v>
      </c>
      <c r="J1503" s="14">
        <f>P1503*I1503</f>
        <v>71.099999999999994</v>
      </c>
      <c r="K1503" s="16">
        <v>340</v>
      </c>
      <c r="L1503" s="1" t="s">
        <v>30</v>
      </c>
      <c r="M1503" t="s">
        <v>22</v>
      </c>
      <c r="N1503" t="str">
        <f t="shared" si="29"/>
        <v>United Kingdom</v>
      </c>
      <c r="O1503" s="8">
        <f>IF(K1503&gt;=1,K1503,K1503*1000)</f>
        <v>340</v>
      </c>
      <c r="P1503">
        <f>ABS(H1503)</f>
        <v>1</v>
      </c>
      <c r="R1503"/>
    </row>
    <row r="1504" spans="1:18" x14ac:dyDescent="0.35">
      <c r="A1504" t="s">
        <v>2738</v>
      </c>
      <c r="B1504" s="2">
        <v>46141</v>
      </c>
      <c r="C1504" t="s">
        <v>911</v>
      </c>
      <c r="D1504" s="3" t="s">
        <v>116</v>
      </c>
      <c r="E1504" t="s">
        <v>25</v>
      </c>
      <c r="F1504" t="s">
        <v>47</v>
      </c>
      <c r="G1504" t="s">
        <v>48</v>
      </c>
      <c r="H1504" s="8">
        <v>2</v>
      </c>
      <c r="I1504" s="10">
        <v>45</v>
      </c>
      <c r="J1504" s="14">
        <f>P1504*I1504</f>
        <v>90</v>
      </c>
      <c r="K1504" s="16">
        <v>0.38</v>
      </c>
      <c r="L1504" s="1" t="s">
        <v>30</v>
      </c>
      <c r="M1504" t="s">
        <v>22</v>
      </c>
      <c r="N1504" t="str">
        <f t="shared" si="29"/>
        <v>Germany</v>
      </c>
      <c r="O1504" s="8">
        <f>IF(K1504&gt;=1,K1504,K1504*1000)</f>
        <v>380</v>
      </c>
      <c r="P1504">
        <f>ABS(H1504)</f>
        <v>2</v>
      </c>
      <c r="R1504"/>
    </row>
    <row r="1505" spans="1:18" x14ac:dyDescent="0.35">
      <c r="A1505" t="s">
        <v>2739</v>
      </c>
      <c r="B1505" s="2">
        <v>46050</v>
      </c>
      <c r="C1505" t="s">
        <v>2740</v>
      </c>
      <c r="D1505" s="3" t="s">
        <v>53</v>
      </c>
      <c r="E1505" t="s">
        <v>67</v>
      </c>
      <c r="F1505" t="s">
        <v>17</v>
      </c>
      <c r="G1505" t="s">
        <v>18</v>
      </c>
      <c r="H1505" s="8">
        <v>1</v>
      </c>
      <c r="I1505" s="10">
        <v>149</v>
      </c>
      <c r="J1505" s="14">
        <f>P1505*I1505</f>
        <v>149</v>
      </c>
      <c r="K1505" s="16">
        <v>520</v>
      </c>
      <c r="L1505" s="1" t="s">
        <v>30</v>
      </c>
      <c r="M1505" t="s">
        <v>22</v>
      </c>
      <c r="N1505" t="str">
        <f t="shared" si="29"/>
        <v>Gb</v>
      </c>
      <c r="O1505" s="8">
        <f>IF(K1505&gt;=1,K1505,K1505*1000)</f>
        <v>520</v>
      </c>
      <c r="P1505">
        <f>ABS(H1505)</f>
        <v>1</v>
      </c>
      <c r="R1505"/>
    </row>
    <row r="1506" spans="1:18" x14ac:dyDescent="0.35">
      <c r="A1506" t="s">
        <v>2741</v>
      </c>
      <c r="B1506" s="2">
        <v>46174</v>
      </c>
      <c r="C1506" t="s">
        <v>2742</v>
      </c>
      <c r="D1506" s="3" t="s">
        <v>116</v>
      </c>
      <c r="E1506" t="s">
        <v>67</v>
      </c>
      <c r="F1506" t="s">
        <v>47</v>
      </c>
      <c r="G1506" t="s">
        <v>48</v>
      </c>
      <c r="H1506" s="8">
        <v>1</v>
      </c>
      <c r="I1506" s="10">
        <v>79</v>
      </c>
      <c r="J1506" s="14">
        <f>P1506*I1506</f>
        <v>79</v>
      </c>
      <c r="K1506" s="16">
        <v>0.38</v>
      </c>
      <c r="L1506" s="1" t="s">
        <v>30</v>
      </c>
      <c r="M1506" t="s">
        <v>22</v>
      </c>
      <c r="N1506" t="str">
        <f t="shared" si="29"/>
        <v>Germany</v>
      </c>
      <c r="O1506" s="8">
        <f>IF(K1506&gt;=1,K1506,K1506*1000)</f>
        <v>380</v>
      </c>
      <c r="P1506">
        <f>ABS(H1506)</f>
        <v>1</v>
      </c>
      <c r="R1506"/>
    </row>
    <row r="1507" spans="1:18" x14ac:dyDescent="0.35">
      <c r="A1507" t="s">
        <v>2743</v>
      </c>
      <c r="B1507" s="2">
        <v>46093</v>
      </c>
      <c r="C1507" t="s">
        <v>2744</v>
      </c>
      <c r="D1507" s="3" t="s">
        <v>53</v>
      </c>
      <c r="E1507" t="s">
        <v>25</v>
      </c>
      <c r="F1507" t="s">
        <v>42</v>
      </c>
      <c r="G1507" t="s">
        <v>43</v>
      </c>
      <c r="H1507" s="8">
        <v>2</v>
      </c>
      <c r="I1507" s="10">
        <v>24</v>
      </c>
      <c r="J1507" s="14">
        <f>P1507*I1507</f>
        <v>48</v>
      </c>
      <c r="K1507" s="16">
        <v>190</v>
      </c>
      <c r="L1507" s="1" t="s">
        <v>30</v>
      </c>
      <c r="M1507" t="s">
        <v>22</v>
      </c>
      <c r="N1507" t="str">
        <f t="shared" si="29"/>
        <v>Gb</v>
      </c>
      <c r="O1507" s="8">
        <f>IF(K1507&gt;=1,K1507,K1507*1000)</f>
        <v>190</v>
      </c>
      <c r="P1507">
        <f>ABS(H1507)</f>
        <v>2</v>
      </c>
      <c r="R1507"/>
    </row>
    <row r="1508" spans="1:18" x14ac:dyDescent="0.35">
      <c r="A1508" t="s">
        <v>2745</v>
      </c>
      <c r="B1508" s="2">
        <v>46106</v>
      </c>
      <c r="C1508" t="s">
        <v>433</v>
      </c>
      <c r="D1508" s="3" t="s">
        <v>116</v>
      </c>
      <c r="E1508" t="s">
        <v>34</v>
      </c>
      <c r="F1508" t="s">
        <v>74</v>
      </c>
      <c r="G1508" t="s">
        <v>75</v>
      </c>
      <c r="H1508" s="8">
        <v>1</v>
      </c>
      <c r="I1508" s="10">
        <v>45</v>
      </c>
      <c r="J1508" s="14">
        <f>P1508*I1508</f>
        <v>45</v>
      </c>
      <c r="K1508" s="16">
        <v>410</v>
      </c>
      <c r="L1508" s="1" t="s">
        <v>30</v>
      </c>
      <c r="M1508" t="s">
        <v>22</v>
      </c>
      <c r="N1508" t="str">
        <f t="shared" si="29"/>
        <v>Germany</v>
      </c>
      <c r="O1508" s="8">
        <f>IF(K1508&gt;=1,K1508,K1508*1000)</f>
        <v>410</v>
      </c>
      <c r="P1508">
        <f>ABS(H1508)</f>
        <v>1</v>
      </c>
      <c r="R1508"/>
    </row>
    <row r="1509" spans="1:18" x14ac:dyDescent="0.35">
      <c r="A1509" t="s">
        <v>2746</v>
      </c>
      <c r="B1509" s="2">
        <v>46184</v>
      </c>
      <c r="C1509" t="s">
        <v>1202</v>
      </c>
      <c r="D1509" s="3" t="s">
        <v>61</v>
      </c>
      <c r="E1509" t="s">
        <v>41</v>
      </c>
      <c r="F1509" t="s">
        <v>17</v>
      </c>
      <c r="G1509" t="s">
        <v>18</v>
      </c>
      <c r="H1509" s="8">
        <v>2</v>
      </c>
      <c r="I1509" s="10">
        <v>116.1</v>
      </c>
      <c r="J1509" s="14">
        <f>P1509*I1509</f>
        <v>232.2</v>
      </c>
      <c r="K1509" s="16">
        <v>0.52</v>
      </c>
      <c r="L1509" s="1" t="s">
        <v>30</v>
      </c>
      <c r="M1509" t="s">
        <v>58</v>
      </c>
      <c r="N1509" t="str">
        <f t="shared" si="29"/>
        <v>Ireland</v>
      </c>
      <c r="O1509" s="8">
        <f>IF(K1509&gt;=1,K1509,K1509*1000)</f>
        <v>520</v>
      </c>
      <c r="P1509">
        <f>ABS(H1509)</f>
        <v>2</v>
      </c>
      <c r="R1509"/>
    </row>
    <row r="1510" spans="1:18" x14ac:dyDescent="0.35">
      <c r="A1510" t="s">
        <v>2747</v>
      </c>
      <c r="B1510" s="2">
        <v>46055</v>
      </c>
      <c r="C1510" t="s">
        <v>498</v>
      </c>
      <c r="D1510" s="3" t="s">
        <v>53</v>
      </c>
      <c r="E1510" t="s">
        <v>41</v>
      </c>
      <c r="F1510" t="s">
        <v>17</v>
      </c>
      <c r="G1510" t="s">
        <v>18</v>
      </c>
      <c r="H1510" s="8">
        <v>2</v>
      </c>
      <c r="I1510" s="10">
        <v>45</v>
      </c>
      <c r="J1510" s="14">
        <f>P1510*I1510</f>
        <v>90</v>
      </c>
      <c r="K1510" s="16">
        <v>520</v>
      </c>
      <c r="L1510" s="1" t="s">
        <v>30</v>
      </c>
      <c r="M1510" t="s">
        <v>22</v>
      </c>
      <c r="N1510" t="str">
        <f t="shared" si="29"/>
        <v>Gb</v>
      </c>
      <c r="O1510" s="8">
        <f>IF(K1510&gt;=1,K1510,K1510*1000)</f>
        <v>520</v>
      </c>
      <c r="P1510">
        <f>ABS(H1510)</f>
        <v>2</v>
      </c>
      <c r="R1510"/>
    </row>
    <row r="1511" spans="1:18" x14ac:dyDescent="0.35">
      <c r="A1511" t="s">
        <v>2748</v>
      </c>
      <c r="B1511" s="2">
        <v>46184</v>
      </c>
      <c r="C1511" t="s">
        <v>1239</v>
      </c>
      <c r="D1511" s="3" t="s">
        <v>15</v>
      </c>
      <c r="E1511" t="s">
        <v>41</v>
      </c>
      <c r="F1511" t="s">
        <v>89</v>
      </c>
      <c r="G1511" t="s">
        <v>90</v>
      </c>
      <c r="H1511" s="8">
        <v>3</v>
      </c>
      <c r="I1511" s="10">
        <v>80.099999999999994</v>
      </c>
      <c r="J1511" s="14">
        <f>P1511*I1511</f>
        <v>240.29999999999998</v>
      </c>
      <c r="K1511" s="16">
        <v>0.64</v>
      </c>
      <c r="L1511" s="1" t="s">
        <v>21</v>
      </c>
      <c r="M1511" t="s">
        <v>22</v>
      </c>
      <c r="N1511" t="str">
        <f t="shared" si="29"/>
        <v>France</v>
      </c>
      <c r="O1511" s="8">
        <f>IF(K1511&gt;=1,K1511,K1511*1000)</f>
        <v>640</v>
      </c>
      <c r="P1511">
        <f>ABS(H1511)</f>
        <v>3</v>
      </c>
      <c r="R1511"/>
    </row>
    <row r="1512" spans="1:18" x14ac:dyDescent="0.35">
      <c r="A1512" t="s">
        <v>2749</v>
      </c>
      <c r="B1512" s="2">
        <v>46032</v>
      </c>
      <c r="C1512" t="s">
        <v>1126</v>
      </c>
      <c r="D1512" s="3" t="s">
        <v>116</v>
      </c>
      <c r="E1512" t="s">
        <v>16</v>
      </c>
      <c r="F1512" t="s">
        <v>35</v>
      </c>
      <c r="G1512" t="s">
        <v>36</v>
      </c>
      <c r="H1512" s="8">
        <v>1</v>
      </c>
      <c r="I1512" s="10">
        <v>12.5</v>
      </c>
      <c r="J1512" s="14">
        <f>P1512*I1512</f>
        <v>12.5</v>
      </c>
      <c r="K1512" s="16">
        <v>85</v>
      </c>
      <c r="L1512" s="1" t="s">
        <v>30</v>
      </c>
      <c r="M1512" t="s">
        <v>22</v>
      </c>
      <c r="N1512" t="str">
        <f t="shared" si="29"/>
        <v>Germany</v>
      </c>
      <c r="O1512" s="8">
        <f>IF(K1512&gt;=1,K1512,K1512*1000)</f>
        <v>85</v>
      </c>
      <c r="P1512">
        <f>ABS(H1512)</f>
        <v>1</v>
      </c>
      <c r="R1512"/>
    </row>
    <row r="1513" spans="1:18" x14ac:dyDescent="0.35">
      <c r="A1513" t="s">
        <v>2751</v>
      </c>
      <c r="B1513" s="2">
        <v>46161</v>
      </c>
      <c r="C1513" t="s">
        <v>2752</v>
      </c>
      <c r="D1513" s="3" t="s">
        <v>116</v>
      </c>
      <c r="E1513" t="s">
        <v>67</v>
      </c>
      <c r="F1513" t="s">
        <v>35</v>
      </c>
      <c r="G1513" t="s">
        <v>36</v>
      </c>
      <c r="H1513" s="8">
        <v>2</v>
      </c>
      <c r="I1513" s="10">
        <v>45</v>
      </c>
      <c r="J1513" s="14">
        <f>P1513*I1513</f>
        <v>90</v>
      </c>
      <c r="K1513" s="16">
        <v>8.5000000000000006E-2</v>
      </c>
      <c r="L1513" s="1" t="s">
        <v>21</v>
      </c>
      <c r="M1513" t="s">
        <v>58</v>
      </c>
      <c r="N1513" t="str">
        <f t="shared" si="29"/>
        <v>Germany</v>
      </c>
      <c r="O1513" s="8">
        <f>IF(K1513&gt;=1,K1513,K1513*1000)</f>
        <v>85</v>
      </c>
      <c r="P1513">
        <f>ABS(H1513)</f>
        <v>2</v>
      </c>
      <c r="R1513"/>
    </row>
    <row r="1514" spans="1:18" x14ac:dyDescent="0.35">
      <c r="A1514" t="s">
        <v>2753</v>
      </c>
      <c r="B1514" s="2">
        <v>46027</v>
      </c>
      <c r="C1514" t="s">
        <v>2754</v>
      </c>
      <c r="D1514" s="3" t="s">
        <v>46</v>
      </c>
      <c r="E1514" t="s">
        <v>41</v>
      </c>
      <c r="F1514" t="s">
        <v>42</v>
      </c>
      <c r="G1514" t="s">
        <v>43</v>
      </c>
      <c r="H1514" s="8">
        <v>1</v>
      </c>
      <c r="I1514" s="10">
        <v>71.099999999999994</v>
      </c>
      <c r="J1514" s="14">
        <f>P1514*I1514</f>
        <v>71.099999999999994</v>
      </c>
      <c r="K1514" s="16">
        <v>0.19</v>
      </c>
      <c r="L1514" s="1" t="s">
        <v>30</v>
      </c>
      <c r="M1514" t="s">
        <v>22</v>
      </c>
      <c r="N1514" t="str">
        <f t="shared" si="29"/>
        <v>Ireland</v>
      </c>
      <c r="O1514" s="8">
        <f>IF(K1514&gt;=1,K1514,K1514*1000)</f>
        <v>190</v>
      </c>
      <c r="P1514">
        <f>ABS(H1514)</f>
        <v>1</v>
      </c>
      <c r="R1514"/>
    </row>
    <row r="1515" spans="1:18" x14ac:dyDescent="0.35">
      <c r="A1515" t="s">
        <v>2755</v>
      </c>
      <c r="B1515" s="2">
        <v>46090</v>
      </c>
      <c r="C1515" t="s">
        <v>1346</v>
      </c>
      <c r="D1515" s="3" t="s">
        <v>4612</v>
      </c>
      <c r="E1515" t="s">
        <v>41</v>
      </c>
      <c r="F1515" t="s">
        <v>89</v>
      </c>
      <c r="G1515" t="s">
        <v>90</v>
      </c>
      <c r="H1515" s="8">
        <v>3</v>
      </c>
      <c r="I1515" s="10">
        <v>71.099999999999994</v>
      </c>
      <c r="J1515" s="14">
        <f>P1515*I1515</f>
        <v>213.29999999999998</v>
      </c>
      <c r="K1515" s="16">
        <v>640</v>
      </c>
      <c r="L1515" s="1" t="s">
        <v>30</v>
      </c>
      <c r="M1515" t="s">
        <v>22</v>
      </c>
      <c r="N1515" t="str">
        <f t="shared" si="29"/>
        <v>United Kingdom</v>
      </c>
      <c r="O1515" s="8">
        <f>IF(K1515&gt;=1,K1515,K1515*1000)</f>
        <v>640</v>
      </c>
      <c r="P1515">
        <f>ABS(H1515)</f>
        <v>3</v>
      </c>
      <c r="R1515"/>
    </row>
    <row r="1516" spans="1:18" x14ac:dyDescent="0.35">
      <c r="A1516" t="s">
        <v>2757</v>
      </c>
      <c r="B1516" s="2">
        <v>46028</v>
      </c>
      <c r="C1516" t="s">
        <v>2348</v>
      </c>
      <c r="D1516" s="3" t="s">
        <v>61</v>
      </c>
      <c r="E1516" t="s">
        <v>25</v>
      </c>
      <c r="F1516" t="s">
        <v>83</v>
      </c>
      <c r="G1516" t="s">
        <v>84</v>
      </c>
      <c r="H1516" s="8">
        <v>2</v>
      </c>
      <c r="I1516" s="10">
        <v>45</v>
      </c>
      <c r="J1516" s="14">
        <f>P1516*I1516</f>
        <v>90</v>
      </c>
      <c r="K1516" s="16">
        <v>340</v>
      </c>
      <c r="L1516" s="1" t="s">
        <v>30</v>
      </c>
      <c r="M1516" t="s">
        <v>22</v>
      </c>
      <c r="N1516" t="str">
        <f t="shared" si="29"/>
        <v>Ireland</v>
      </c>
      <c r="O1516" s="8">
        <f>IF(K1516&gt;=1,K1516,K1516*1000)</f>
        <v>340</v>
      </c>
      <c r="P1516">
        <f>ABS(H1516)</f>
        <v>2</v>
      </c>
      <c r="R1516"/>
    </row>
    <row r="1517" spans="1:18" x14ac:dyDescent="0.35">
      <c r="A1517" t="s">
        <v>2758</v>
      </c>
      <c r="B1517" s="2">
        <v>46094</v>
      </c>
      <c r="C1517" t="s">
        <v>2759</v>
      </c>
      <c r="D1517" s="3" t="s">
        <v>46</v>
      </c>
      <c r="E1517" t="s">
        <v>41</v>
      </c>
      <c r="F1517" t="s">
        <v>89</v>
      </c>
      <c r="G1517" t="s">
        <v>90</v>
      </c>
      <c r="H1517" s="8">
        <v>1</v>
      </c>
      <c r="I1517" s="10">
        <v>24</v>
      </c>
      <c r="J1517" s="14">
        <f>P1517*I1517</f>
        <v>24</v>
      </c>
      <c r="K1517" s="16">
        <v>640</v>
      </c>
      <c r="L1517" s="1" t="s">
        <v>30</v>
      </c>
      <c r="M1517" t="s">
        <v>22</v>
      </c>
      <c r="N1517" t="str">
        <f t="shared" si="29"/>
        <v>Ireland</v>
      </c>
      <c r="O1517" s="8">
        <f>IF(K1517&gt;=1,K1517,K1517*1000)</f>
        <v>640</v>
      </c>
      <c r="P1517">
        <f>ABS(H1517)</f>
        <v>1</v>
      </c>
      <c r="R1517"/>
    </row>
    <row r="1518" spans="1:18" x14ac:dyDescent="0.35">
      <c r="A1518" t="s">
        <v>2760</v>
      </c>
      <c r="B1518" s="2">
        <v>46054</v>
      </c>
      <c r="C1518" t="s">
        <v>1890</v>
      </c>
      <c r="D1518" s="3" t="s">
        <v>4612</v>
      </c>
      <c r="E1518" t="s">
        <v>25</v>
      </c>
      <c r="F1518" t="s">
        <v>35</v>
      </c>
      <c r="G1518" t="s">
        <v>36</v>
      </c>
      <c r="H1518" s="8">
        <v>2</v>
      </c>
      <c r="I1518" s="10">
        <v>134.1</v>
      </c>
      <c r="J1518" s="14">
        <f>P1518*I1518</f>
        <v>268.2</v>
      </c>
      <c r="K1518" s="16">
        <v>85</v>
      </c>
      <c r="L1518" s="1" t="s">
        <v>21</v>
      </c>
      <c r="M1518" t="s">
        <v>22</v>
      </c>
      <c r="N1518" t="str">
        <f t="shared" si="29"/>
        <v>United Kingdom</v>
      </c>
      <c r="O1518" s="8">
        <f>IF(K1518&gt;=1,K1518,K1518*1000)</f>
        <v>85</v>
      </c>
      <c r="P1518">
        <f>ABS(H1518)</f>
        <v>2</v>
      </c>
      <c r="R1518"/>
    </row>
    <row r="1519" spans="1:18" x14ac:dyDescent="0.35">
      <c r="A1519" t="s">
        <v>2761</v>
      </c>
      <c r="B1519" s="2">
        <v>46159</v>
      </c>
      <c r="C1519" t="s">
        <v>2189</v>
      </c>
      <c r="D1519" s="3" t="s">
        <v>99</v>
      </c>
      <c r="E1519" t="s">
        <v>41</v>
      </c>
      <c r="F1519" t="s">
        <v>42</v>
      </c>
      <c r="G1519" t="s">
        <v>43</v>
      </c>
      <c r="H1519" s="8">
        <v>1</v>
      </c>
      <c r="I1519" s="10">
        <v>116.1</v>
      </c>
      <c r="J1519" s="14">
        <f>P1519*I1519</f>
        <v>116.1</v>
      </c>
      <c r="K1519" s="16">
        <v>0.19</v>
      </c>
      <c r="L1519" s="1" t="s">
        <v>30</v>
      </c>
      <c r="M1519" t="s">
        <v>58</v>
      </c>
      <c r="N1519" t="str">
        <f t="shared" si="29"/>
        <v>United Kingdom</v>
      </c>
      <c r="O1519" s="8">
        <f>IF(K1519&gt;=1,K1519,K1519*1000)</f>
        <v>190</v>
      </c>
      <c r="P1519">
        <f>ABS(H1519)</f>
        <v>1</v>
      </c>
      <c r="R1519"/>
    </row>
    <row r="1520" spans="1:18" x14ac:dyDescent="0.35">
      <c r="A1520" t="s">
        <v>2762</v>
      </c>
      <c r="B1520" s="2">
        <v>46191</v>
      </c>
      <c r="C1520" t="s">
        <v>2763</v>
      </c>
      <c r="D1520" s="3" t="s">
        <v>15</v>
      </c>
      <c r="E1520" t="s">
        <v>41</v>
      </c>
      <c r="F1520" t="s">
        <v>89</v>
      </c>
      <c r="G1520" t="s">
        <v>90</v>
      </c>
      <c r="H1520" s="8">
        <v>1</v>
      </c>
      <c r="I1520" s="10">
        <v>71.099999999999994</v>
      </c>
      <c r="J1520" s="14">
        <f>P1520*I1520</f>
        <v>71.099999999999994</v>
      </c>
      <c r="K1520" s="16">
        <v>0.64</v>
      </c>
      <c r="L1520" s="1" t="s">
        <v>30</v>
      </c>
      <c r="M1520" t="s">
        <v>22</v>
      </c>
      <c r="N1520" t="str">
        <f t="shared" si="29"/>
        <v>France</v>
      </c>
      <c r="O1520" s="8">
        <f>IF(K1520&gt;=1,K1520,K1520*1000)</f>
        <v>640</v>
      </c>
      <c r="P1520">
        <f>ABS(H1520)</f>
        <v>1</v>
      </c>
      <c r="R1520"/>
    </row>
    <row r="1521" spans="1:18" x14ac:dyDescent="0.35">
      <c r="A1521" t="s">
        <v>2764</v>
      </c>
      <c r="B1521" s="2">
        <v>46148</v>
      </c>
      <c r="C1521" t="s">
        <v>844</v>
      </c>
      <c r="D1521" s="3" t="s">
        <v>53</v>
      </c>
      <c r="E1521" t="s">
        <v>16</v>
      </c>
      <c r="F1521" t="s">
        <v>74</v>
      </c>
      <c r="G1521" t="s">
        <v>75</v>
      </c>
      <c r="H1521" s="8">
        <v>3</v>
      </c>
      <c r="I1521" s="10">
        <v>24</v>
      </c>
      <c r="J1521" s="14">
        <f>P1521*I1521</f>
        <v>72</v>
      </c>
      <c r="K1521" s="16">
        <v>0.41</v>
      </c>
      <c r="L1521" s="1" t="s">
        <v>30</v>
      </c>
      <c r="M1521" t="s">
        <v>22</v>
      </c>
      <c r="N1521" t="str">
        <f t="shared" si="29"/>
        <v>Gb</v>
      </c>
      <c r="O1521" s="8">
        <f>IF(K1521&gt;=1,K1521,K1521*1000)</f>
        <v>410</v>
      </c>
      <c r="P1521">
        <f>ABS(H1521)</f>
        <v>3</v>
      </c>
      <c r="R1521"/>
    </row>
    <row r="1522" spans="1:18" x14ac:dyDescent="0.35">
      <c r="A1522" t="s">
        <v>2765</v>
      </c>
      <c r="B1522" s="2">
        <v>46125</v>
      </c>
      <c r="C1522" t="s">
        <v>2050</v>
      </c>
      <c r="D1522" s="3" t="s">
        <v>4613</v>
      </c>
      <c r="E1522" t="s">
        <v>34</v>
      </c>
      <c r="F1522" t="s">
        <v>35</v>
      </c>
      <c r="G1522" t="s">
        <v>36</v>
      </c>
      <c r="H1522" s="8">
        <v>2</v>
      </c>
      <c r="I1522" s="10">
        <v>12.5</v>
      </c>
      <c r="J1522" s="14">
        <f>P1522*I1522</f>
        <v>25</v>
      </c>
      <c r="K1522" s="16">
        <v>85</v>
      </c>
      <c r="L1522" s="1" t="s">
        <v>21</v>
      </c>
      <c r="M1522" t="s">
        <v>22</v>
      </c>
      <c r="N1522" t="str">
        <f t="shared" si="29"/>
        <v>United Kingdom</v>
      </c>
      <c r="O1522" s="8">
        <f>IF(K1522&gt;=1,K1522,K1522*1000)</f>
        <v>85</v>
      </c>
      <c r="P1522">
        <f>ABS(H1522)</f>
        <v>2</v>
      </c>
      <c r="R1522"/>
    </row>
    <row r="1523" spans="1:18" x14ac:dyDescent="0.35">
      <c r="A1523" t="s">
        <v>2766</v>
      </c>
      <c r="B1523" s="2">
        <v>46074</v>
      </c>
      <c r="C1523" t="s">
        <v>2767</v>
      </c>
      <c r="D1523" s="3" t="s">
        <v>61</v>
      </c>
      <c r="E1523" t="s">
        <v>41</v>
      </c>
      <c r="F1523" t="s">
        <v>35</v>
      </c>
      <c r="G1523" t="s">
        <v>36</v>
      </c>
      <c r="H1523" s="8">
        <v>1</v>
      </c>
      <c r="I1523" s="10">
        <v>40.5</v>
      </c>
      <c r="J1523" s="14">
        <f>P1523*I1523</f>
        <v>40.5</v>
      </c>
      <c r="K1523" s="16">
        <v>85</v>
      </c>
      <c r="L1523" s="1" t="s">
        <v>30</v>
      </c>
      <c r="M1523" t="s">
        <v>22</v>
      </c>
      <c r="N1523" t="str">
        <f t="shared" si="29"/>
        <v>Ireland</v>
      </c>
      <c r="O1523" s="8">
        <f>IF(K1523&gt;=1,K1523,K1523*1000)</f>
        <v>85</v>
      </c>
      <c r="P1523">
        <f>ABS(H1523)</f>
        <v>1</v>
      </c>
      <c r="R1523"/>
    </row>
    <row r="1524" spans="1:18" x14ac:dyDescent="0.35">
      <c r="A1524" t="s">
        <v>2768</v>
      </c>
      <c r="B1524" s="2">
        <v>46187</v>
      </c>
      <c r="C1524" t="s">
        <v>2769</v>
      </c>
      <c r="D1524" s="3" t="s">
        <v>116</v>
      </c>
      <c r="E1524" t="s">
        <v>34</v>
      </c>
      <c r="F1524" t="s">
        <v>35</v>
      </c>
      <c r="G1524" t="s">
        <v>36</v>
      </c>
      <c r="H1524" s="8">
        <v>2</v>
      </c>
      <c r="I1524" s="10">
        <v>80.099999999999994</v>
      </c>
      <c r="J1524" s="14">
        <f>P1524*I1524</f>
        <v>160.19999999999999</v>
      </c>
      <c r="K1524" s="16">
        <v>8.5000000000000006E-2</v>
      </c>
      <c r="L1524" s="1" t="s">
        <v>30</v>
      </c>
      <c r="M1524" t="s">
        <v>22</v>
      </c>
      <c r="N1524" t="str">
        <f t="shared" si="29"/>
        <v>Germany</v>
      </c>
      <c r="O1524" s="8">
        <f>IF(K1524&gt;=1,K1524,K1524*1000)</f>
        <v>85</v>
      </c>
      <c r="P1524">
        <f>ABS(H1524)</f>
        <v>2</v>
      </c>
      <c r="R1524"/>
    </row>
    <row r="1525" spans="1:18" x14ac:dyDescent="0.35">
      <c r="A1525" t="s">
        <v>2770</v>
      </c>
      <c r="B1525" s="2">
        <v>46146</v>
      </c>
      <c r="C1525" t="s">
        <v>2771</v>
      </c>
      <c r="D1525" s="3" t="s">
        <v>61</v>
      </c>
      <c r="E1525" t="s">
        <v>25</v>
      </c>
      <c r="F1525" t="s">
        <v>89</v>
      </c>
      <c r="G1525" t="s">
        <v>90</v>
      </c>
      <c r="H1525" s="8">
        <v>2</v>
      </c>
      <c r="I1525" s="12" t="s">
        <v>4623</v>
      </c>
      <c r="J1525" s="14">
        <f>P1525*R1525</f>
        <v>32.200000000000003</v>
      </c>
      <c r="K1525" s="16">
        <v>0.64</v>
      </c>
      <c r="L1525" s="1" t="s">
        <v>30</v>
      </c>
      <c r="M1525" t="s">
        <v>22</v>
      </c>
      <c r="N1525" t="str">
        <f t="shared" si="29"/>
        <v>Ireland</v>
      </c>
      <c r="O1525" s="8">
        <f>IF(K1525&gt;=1,K1525,K1525*1000)</f>
        <v>640</v>
      </c>
      <c r="P1525">
        <f>ABS(H1525)</f>
        <v>2</v>
      </c>
      <c r="Q1525" t="str">
        <f>LEFT(I1525,3)</f>
        <v>GBP</v>
      </c>
      <c r="R1525" s="10" t="str">
        <f>RIGHT(I1525,5)</f>
        <v>16,10</v>
      </c>
    </row>
    <row r="1526" spans="1:18" x14ac:dyDescent="0.35">
      <c r="A1526" t="s">
        <v>2772</v>
      </c>
      <c r="B1526" s="2">
        <v>46187</v>
      </c>
      <c r="C1526" t="s">
        <v>2773</v>
      </c>
      <c r="D1526" s="3" t="s">
        <v>99</v>
      </c>
      <c r="E1526" t="s">
        <v>67</v>
      </c>
      <c r="F1526" t="s">
        <v>42</v>
      </c>
      <c r="G1526" t="s">
        <v>43</v>
      </c>
      <c r="H1526" s="8">
        <v>-1</v>
      </c>
      <c r="I1526" s="12" t="s">
        <v>4621</v>
      </c>
      <c r="J1526" s="14">
        <f>P1526*R1526</f>
        <v>85.5</v>
      </c>
      <c r="K1526" s="16">
        <v>0.19</v>
      </c>
      <c r="L1526" s="1" t="s">
        <v>21</v>
      </c>
      <c r="M1526" t="s">
        <v>22</v>
      </c>
      <c r="N1526" t="str">
        <f t="shared" si="29"/>
        <v>United Kingdom</v>
      </c>
      <c r="O1526" s="8">
        <f>IF(K1526&gt;=1,K1526,K1526*1000)</f>
        <v>190</v>
      </c>
      <c r="P1526">
        <f>ABS(H1526)</f>
        <v>1</v>
      </c>
      <c r="Q1526" t="str">
        <f>LEFT(I1526,2)</f>
        <v>Â£</v>
      </c>
      <c r="R1526" t="str">
        <f>RIGHT(I1526,5)</f>
        <v>85,50</v>
      </c>
    </row>
    <row r="1527" spans="1:18" x14ac:dyDescent="0.35">
      <c r="A1527" t="s">
        <v>2774</v>
      </c>
      <c r="B1527" s="2">
        <v>46162</v>
      </c>
      <c r="C1527" t="s">
        <v>1733</v>
      </c>
      <c r="D1527" s="3" t="s">
        <v>46</v>
      </c>
      <c r="E1527" t="s">
        <v>25</v>
      </c>
      <c r="F1527" t="s">
        <v>89</v>
      </c>
      <c r="G1527" t="s">
        <v>90</v>
      </c>
      <c r="H1527" s="8">
        <v>1</v>
      </c>
      <c r="I1527" s="10">
        <v>129</v>
      </c>
      <c r="J1527" s="14">
        <f>P1527*I1527</f>
        <v>129</v>
      </c>
      <c r="K1527" s="16">
        <v>0.64</v>
      </c>
      <c r="L1527" s="1" t="s">
        <v>21</v>
      </c>
      <c r="M1527" t="s">
        <v>22</v>
      </c>
      <c r="N1527" t="str">
        <f t="shared" si="29"/>
        <v>Ireland</v>
      </c>
      <c r="O1527" s="8">
        <f>IF(K1527&gt;=1,K1527,K1527*1000)</f>
        <v>640</v>
      </c>
      <c r="P1527">
        <f>ABS(H1527)</f>
        <v>1</v>
      </c>
      <c r="R1527"/>
    </row>
    <row r="1528" spans="1:18" x14ac:dyDescent="0.35">
      <c r="A1528" t="s">
        <v>2775</v>
      </c>
      <c r="B1528" s="2">
        <v>46076</v>
      </c>
      <c r="C1528" t="s">
        <v>1415</v>
      </c>
      <c r="D1528" s="3" t="s">
        <v>61</v>
      </c>
      <c r="E1528" t="s">
        <v>67</v>
      </c>
      <c r="F1528" t="s">
        <v>89</v>
      </c>
      <c r="G1528" t="s">
        <v>90</v>
      </c>
      <c r="H1528" s="8">
        <v>2</v>
      </c>
      <c r="I1528" s="10">
        <v>95</v>
      </c>
      <c r="J1528" s="14">
        <f>P1528*I1528</f>
        <v>190</v>
      </c>
      <c r="K1528" s="16">
        <v>640</v>
      </c>
      <c r="L1528" s="1" t="s">
        <v>30</v>
      </c>
      <c r="M1528" t="s">
        <v>22</v>
      </c>
      <c r="N1528" t="str">
        <f t="shared" si="29"/>
        <v>Ireland</v>
      </c>
      <c r="O1528" s="8">
        <f>IF(K1528&gt;=1,K1528,K1528*1000)</f>
        <v>640</v>
      </c>
      <c r="P1528">
        <f>ABS(H1528)</f>
        <v>2</v>
      </c>
      <c r="R1528"/>
    </row>
    <row r="1529" spans="1:18" x14ac:dyDescent="0.35">
      <c r="A1529" t="s">
        <v>2776</v>
      </c>
      <c r="B1529" s="2">
        <v>46060</v>
      </c>
      <c r="C1529" t="s">
        <v>2777</v>
      </c>
      <c r="D1529" s="3" t="s">
        <v>4613</v>
      </c>
      <c r="E1529" t="s">
        <v>34</v>
      </c>
      <c r="F1529" t="s">
        <v>74</v>
      </c>
      <c r="G1529" t="s">
        <v>75</v>
      </c>
      <c r="H1529" s="8">
        <v>1</v>
      </c>
      <c r="I1529" s="12" t="s">
        <v>4617</v>
      </c>
      <c r="J1529" s="14">
        <f>P1529*R1529</f>
        <v>45</v>
      </c>
      <c r="K1529" s="16">
        <v>410</v>
      </c>
      <c r="L1529" s="1" t="s">
        <v>30</v>
      </c>
      <c r="M1529" t="s">
        <v>22</v>
      </c>
      <c r="N1529" t="str">
        <f t="shared" si="29"/>
        <v>United Kingdom</v>
      </c>
      <c r="O1529" s="8">
        <f>IF(K1529&gt;=1,K1529,K1529*1000)</f>
        <v>410</v>
      </c>
      <c r="P1529">
        <f>ABS(H1529)</f>
        <v>1</v>
      </c>
      <c r="Q1529" t="str">
        <f>LEFT(I1529,3)</f>
        <v>GBP</v>
      </c>
      <c r="R1529" s="10" t="str">
        <f>RIGHT(I1529,5)</f>
        <v>45,00</v>
      </c>
    </row>
    <row r="1530" spans="1:18" x14ac:dyDescent="0.35">
      <c r="A1530" t="s">
        <v>2778</v>
      </c>
      <c r="B1530" s="2">
        <v>46239</v>
      </c>
      <c r="C1530" t="s">
        <v>2779</v>
      </c>
      <c r="D1530" s="3" t="s">
        <v>116</v>
      </c>
      <c r="E1530" t="s">
        <v>16</v>
      </c>
      <c r="F1530" t="s">
        <v>47</v>
      </c>
      <c r="G1530" t="s">
        <v>48</v>
      </c>
      <c r="H1530" s="8">
        <v>1</v>
      </c>
      <c r="I1530" s="10">
        <v>79</v>
      </c>
      <c r="J1530" s="14">
        <f>P1530*I1530</f>
        <v>79</v>
      </c>
      <c r="K1530" s="16">
        <v>0.38</v>
      </c>
      <c r="L1530" s="1" t="s">
        <v>30</v>
      </c>
      <c r="M1530" t="s">
        <v>22</v>
      </c>
      <c r="N1530" t="str">
        <f t="shared" si="29"/>
        <v>Germany</v>
      </c>
      <c r="O1530" s="8">
        <f>IF(K1530&gt;=1,K1530,K1530*1000)</f>
        <v>380</v>
      </c>
      <c r="P1530">
        <f>ABS(H1530)</f>
        <v>1</v>
      </c>
      <c r="R1530"/>
    </row>
    <row r="1531" spans="1:18" x14ac:dyDescent="0.35">
      <c r="A1531" t="s">
        <v>2780</v>
      </c>
      <c r="B1531" s="2">
        <v>46045</v>
      </c>
      <c r="C1531" t="s">
        <v>2452</v>
      </c>
      <c r="D1531" s="3" t="s">
        <v>61</v>
      </c>
      <c r="E1531" t="s">
        <v>41</v>
      </c>
      <c r="F1531" t="s">
        <v>35</v>
      </c>
      <c r="G1531" t="s">
        <v>36</v>
      </c>
      <c r="H1531" s="8">
        <v>2</v>
      </c>
      <c r="I1531" s="10">
        <v>95</v>
      </c>
      <c r="J1531" s="14">
        <f>P1531*I1531</f>
        <v>190</v>
      </c>
      <c r="K1531" s="16">
        <v>85</v>
      </c>
      <c r="L1531" s="1" t="s">
        <v>21</v>
      </c>
      <c r="M1531" t="s">
        <v>22</v>
      </c>
      <c r="N1531" t="str">
        <f t="shared" si="29"/>
        <v>Ireland</v>
      </c>
      <c r="O1531" s="8">
        <f>IF(K1531&gt;=1,K1531,K1531*1000)</f>
        <v>85</v>
      </c>
      <c r="P1531">
        <f>ABS(H1531)</f>
        <v>2</v>
      </c>
      <c r="R1531"/>
    </row>
    <row r="1532" spans="1:18" x14ac:dyDescent="0.35">
      <c r="A1532" t="s">
        <v>2781</v>
      </c>
      <c r="B1532" s="2">
        <v>46297</v>
      </c>
      <c r="C1532" t="s">
        <v>2782</v>
      </c>
      <c r="D1532" s="3" t="s">
        <v>4613</v>
      </c>
      <c r="E1532" t="s">
        <v>67</v>
      </c>
      <c r="F1532" t="s">
        <v>17</v>
      </c>
      <c r="G1532" t="s">
        <v>18</v>
      </c>
      <c r="H1532" s="8">
        <v>1</v>
      </c>
      <c r="I1532" s="10">
        <v>129</v>
      </c>
      <c r="J1532" s="14">
        <f>P1532*I1532</f>
        <v>129</v>
      </c>
      <c r="K1532" s="16">
        <v>520</v>
      </c>
      <c r="L1532" s="1" t="s">
        <v>30</v>
      </c>
      <c r="M1532" t="s">
        <v>22</v>
      </c>
      <c r="N1532" t="str">
        <f t="shared" si="29"/>
        <v>United Kingdom</v>
      </c>
      <c r="O1532" s="8">
        <f>IF(K1532&gt;=1,K1532,K1532*1000)</f>
        <v>520</v>
      </c>
      <c r="P1532">
        <f>ABS(H1532)</f>
        <v>1</v>
      </c>
      <c r="R1532"/>
    </row>
    <row r="1533" spans="1:18" x14ac:dyDescent="0.35">
      <c r="A1533" t="s">
        <v>2783</v>
      </c>
      <c r="B1533" s="2">
        <v>46197</v>
      </c>
      <c r="C1533" t="s">
        <v>2784</v>
      </c>
      <c r="D1533" s="3" t="s">
        <v>116</v>
      </c>
      <c r="E1533" t="s">
        <v>67</v>
      </c>
      <c r="F1533" t="s">
        <v>35</v>
      </c>
      <c r="G1533" t="s">
        <v>36</v>
      </c>
      <c r="H1533" s="8">
        <v>1</v>
      </c>
      <c r="I1533" s="10">
        <v>45</v>
      </c>
      <c r="J1533" s="14">
        <f>P1533*I1533</f>
        <v>45</v>
      </c>
      <c r="K1533" s="16">
        <v>8.5000000000000006E-2</v>
      </c>
      <c r="L1533" s="1" t="s">
        <v>30</v>
      </c>
      <c r="M1533" t="s">
        <v>22</v>
      </c>
      <c r="N1533" t="str">
        <f t="shared" si="29"/>
        <v>Germany</v>
      </c>
      <c r="O1533" s="8">
        <f>IF(K1533&gt;=1,K1533,K1533*1000)</f>
        <v>85</v>
      </c>
      <c r="P1533">
        <f>ABS(H1533)</f>
        <v>1</v>
      </c>
      <c r="R1533"/>
    </row>
    <row r="1534" spans="1:18" x14ac:dyDescent="0.35">
      <c r="A1534" t="s">
        <v>2785</v>
      </c>
      <c r="B1534" s="2">
        <v>46127</v>
      </c>
      <c r="C1534" t="s">
        <v>2786</v>
      </c>
      <c r="D1534" s="3" t="s">
        <v>61</v>
      </c>
      <c r="E1534" t="s">
        <v>34</v>
      </c>
      <c r="F1534" t="s">
        <v>83</v>
      </c>
      <c r="G1534" t="s">
        <v>84</v>
      </c>
      <c r="H1534" s="8">
        <v>3</v>
      </c>
      <c r="I1534" s="10">
        <v>95</v>
      </c>
      <c r="J1534" s="14">
        <f>P1534*I1534</f>
        <v>285</v>
      </c>
      <c r="K1534" s="16">
        <v>340</v>
      </c>
      <c r="L1534" s="1" t="s">
        <v>30</v>
      </c>
      <c r="M1534" t="s">
        <v>58</v>
      </c>
      <c r="N1534" t="str">
        <f t="shared" si="29"/>
        <v>Ireland</v>
      </c>
      <c r="O1534" s="8">
        <f>IF(K1534&gt;=1,K1534,K1534*1000)</f>
        <v>340</v>
      </c>
      <c r="P1534">
        <f>ABS(H1534)</f>
        <v>3</v>
      </c>
      <c r="R1534"/>
    </row>
    <row r="1535" spans="1:18" x14ac:dyDescent="0.35">
      <c r="A1535" t="s">
        <v>2787</v>
      </c>
      <c r="B1535" s="2">
        <v>46084</v>
      </c>
      <c r="C1535" t="s">
        <v>996</v>
      </c>
      <c r="D1535" s="3" t="s">
        <v>116</v>
      </c>
      <c r="E1535" t="s">
        <v>25</v>
      </c>
      <c r="F1535" t="s">
        <v>83</v>
      </c>
      <c r="G1535" t="s">
        <v>84</v>
      </c>
      <c r="H1535" s="8">
        <v>1</v>
      </c>
      <c r="I1535" s="10">
        <v>79</v>
      </c>
      <c r="J1535" s="14">
        <f>P1535*I1535</f>
        <v>79</v>
      </c>
      <c r="K1535" s="16">
        <v>340</v>
      </c>
      <c r="L1535" s="1" t="s">
        <v>21</v>
      </c>
      <c r="M1535" t="s">
        <v>58</v>
      </c>
      <c r="N1535" t="str">
        <f t="shared" si="29"/>
        <v>Germany</v>
      </c>
      <c r="O1535" s="8">
        <f>IF(K1535&gt;=1,K1535,K1535*1000)</f>
        <v>340</v>
      </c>
      <c r="P1535">
        <f>ABS(H1535)</f>
        <v>1</v>
      </c>
      <c r="R1535"/>
    </row>
    <row r="1536" spans="1:18" x14ac:dyDescent="0.35">
      <c r="A1536" t="s">
        <v>2788</v>
      </c>
      <c r="B1536" s="2">
        <v>46180</v>
      </c>
      <c r="C1536" t="s">
        <v>862</v>
      </c>
      <c r="D1536" s="3" t="s">
        <v>15</v>
      </c>
      <c r="E1536" t="s">
        <v>25</v>
      </c>
      <c r="F1536" t="s">
        <v>83</v>
      </c>
      <c r="G1536" t="s">
        <v>84</v>
      </c>
      <c r="H1536" s="8">
        <v>1</v>
      </c>
      <c r="I1536" s="10">
        <v>89</v>
      </c>
      <c r="J1536" s="14">
        <f>P1536*I1536</f>
        <v>89</v>
      </c>
      <c r="K1536" s="16">
        <v>0.34</v>
      </c>
      <c r="L1536" s="1" t="s">
        <v>21</v>
      </c>
      <c r="M1536" t="s">
        <v>58</v>
      </c>
      <c r="N1536" t="str">
        <f t="shared" si="29"/>
        <v>France</v>
      </c>
      <c r="O1536" s="8">
        <f>IF(K1536&gt;=1,K1536,K1536*1000)</f>
        <v>340</v>
      </c>
      <c r="P1536">
        <f>ABS(H1536)</f>
        <v>1</v>
      </c>
      <c r="R1536"/>
    </row>
    <row r="1537" spans="1:18" x14ac:dyDescent="0.35">
      <c r="A1537" t="s">
        <v>2789</v>
      </c>
      <c r="B1537" s="2">
        <v>46031</v>
      </c>
      <c r="C1537" t="s">
        <v>1168</v>
      </c>
      <c r="D1537" s="3" t="s">
        <v>99</v>
      </c>
      <c r="E1537" t="s">
        <v>34</v>
      </c>
      <c r="F1537" t="s">
        <v>83</v>
      </c>
      <c r="G1537" t="s">
        <v>84</v>
      </c>
      <c r="H1537" s="8">
        <v>2</v>
      </c>
      <c r="I1537" s="10">
        <v>40.5</v>
      </c>
      <c r="J1537" s="14">
        <f>P1537*I1537</f>
        <v>81</v>
      </c>
      <c r="K1537" s="16">
        <v>340</v>
      </c>
      <c r="L1537" s="1" t="s">
        <v>30</v>
      </c>
      <c r="M1537" t="s">
        <v>58</v>
      </c>
      <c r="N1537" t="str">
        <f t="shared" si="29"/>
        <v>United Kingdom</v>
      </c>
      <c r="O1537" s="8">
        <f>IF(K1537&gt;=1,K1537,K1537*1000)</f>
        <v>340</v>
      </c>
      <c r="P1537">
        <f>ABS(H1537)</f>
        <v>2</v>
      </c>
      <c r="R1537"/>
    </row>
    <row r="1538" spans="1:18" x14ac:dyDescent="0.35">
      <c r="A1538" t="s">
        <v>2790</v>
      </c>
      <c r="B1538" s="2">
        <v>46051</v>
      </c>
      <c r="C1538" t="s">
        <v>2791</v>
      </c>
      <c r="D1538" s="3" t="s">
        <v>61</v>
      </c>
      <c r="E1538" t="s">
        <v>41</v>
      </c>
      <c r="F1538" t="s">
        <v>89</v>
      </c>
      <c r="G1538" t="s">
        <v>90</v>
      </c>
      <c r="H1538" s="8">
        <v>3</v>
      </c>
      <c r="I1538" s="12" t="s">
        <v>4624</v>
      </c>
      <c r="J1538" s="14">
        <f>P1538*R1538</f>
        <v>72</v>
      </c>
      <c r="K1538" s="16">
        <v>640</v>
      </c>
      <c r="L1538" s="1" t="s">
        <v>21</v>
      </c>
      <c r="M1538" t="s">
        <v>22</v>
      </c>
      <c r="N1538" t="str">
        <f t="shared" si="29"/>
        <v>Ireland</v>
      </c>
      <c r="O1538" s="8">
        <f>IF(K1538&gt;=1,K1538,K1538*1000)</f>
        <v>640</v>
      </c>
      <c r="P1538">
        <f>ABS(H1538)</f>
        <v>3</v>
      </c>
      <c r="Q1538" t="str">
        <f>LEFT(I1538,2)</f>
        <v>Â£</v>
      </c>
      <c r="R1538" t="str">
        <f>RIGHT(I1538,5)</f>
        <v>24,00</v>
      </c>
    </row>
    <row r="1539" spans="1:18" x14ac:dyDescent="0.35">
      <c r="A1539" t="s">
        <v>2792</v>
      </c>
      <c r="B1539" s="2">
        <v>46206</v>
      </c>
      <c r="C1539" t="s">
        <v>2793</v>
      </c>
      <c r="D1539" s="3" t="s">
        <v>4613</v>
      </c>
      <c r="E1539" t="s">
        <v>25</v>
      </c>
      <c r="F1539" t="s">
        <v>42</v>
      </c>
      <c r="G1539" t="s">
        <v>43</v>
      </c>
      <c r="H1539" s="8">
        <v>1</v>
      </c>
      <c r="I1539" s="10">
        <v>89</v>
      </c>
      <c r="J1539" s="14">
        <f>P1539*I1539</f>
        <v>89</v>
      </c>
      <c r="K1539" s="16">
        <v>190</v>
      </c>
      <c r="L1539" s="1" t="s">
        <v>21</v>
      </c>
      <c r="M1539" t="s">
        <v>58</v>
      </c>
      <c r="N1539" t="str">
        <f t="shared" ref="N1539:N1602" si="33">PROPER(TRIM(D1539))</f>
        <v>United Kingdom</v>
      </c>
      <c r="O1539" s="8">
        <f>IF(K1539&gt;=1,K1539,K1539*1000)</f>
        <v>190</v>
      </c>
      <c r="P1539">
        <f>ABS(H1539)</f>
        <v>1</v>
      </c>
      <c r="R1539"/>
    </row>
    <row r="1540" spans="1:18" x14ac:dyDescent="0.35">
      <c r="A1540" t="s">
        <v>2794</v>
      </c>
      <c r="B1540" s="2">
        <v>46054</v>
      </c>
      <c r="C1540" t="s">
        <v>1686</v>
      </c>
      <c r="D1540" s="3" t="s">
        <v>53</v>
      </c>
      <c r="E1540" t="s">
        <v>25</v>
      </c>
      <c r="F1540" t="s">
        <v>74</v>
      </c>
      <c r="G1540" t="s">
        <v>75</v>
      </c>
      <c r="H1540" s="8">
        <v>2</v>
      </c>
      <c r="I1540" s="10">
        <v>134.1</v>
      </c>
      <c r="J1540" s="14">
        <f>P1540*I1540</f>
        <v>268.2</v>
      </c>
      <c r="K1540" s="16">
        <v>410</v>
      </c>
      <c r="L1540" s="1" t="s">
        <v>30</v>
      </c>
      <c r="M1540" t="s">
        <v>22</v>
      </c>
      <c r="N1540" t="str">
        <f t="shared" si="33"/>
        <v>Gb</v>
      </c>
      <c r="O1540" s="8">
        <f>IF(K1540&gt;=1,K1540,K1540*1000)</f>
        <v>410</v>
      </c>
      <c r="P1540">
        <f>ABS(H1540)</f>
        <v>2</v>
      </c>
      <c r="R1540"/>
    </row>
    <row r="1541" spans="1:18" x14ac:dyDescent="0.35">
      <c r="A1541" t="s">
        <v>2795</v>
      </c>
      <c r="B1541" s="2" t="s">
        <v>2796</v>
      </c>
      <c r="C1541" t="s">
        <v>1993</v>
      </c>
      <c r="D1541" s="3" t="s">
        <v>46</v>
      </c>
      <c r="E1541" t="s">
        <v>16</v>
      </c>
      <c r="F1541" t="s">
        <v>74</v>
      </c>
      <c r="G1541" t="s">
        <v>75</v>
      </c>
      <c r="H1541" s="8">
        <v>1</v>
      </c>
      <c r="I1541" s="10">
        <v>95</v>
      </c>
      <c r="J1541" s="14">
        <f>P1541*I1541</f>
        <v>95</v>
      </c>
      <c r="K1541" s="16">
        <v>0.41</v>
      </c>
      <c r="L1541" s="1" t="s">
        <v>21</v>
      </c>
      <c r="M1541" t="s">
        <v>22</v>
      </c>
      <c r="N1541" t="str">
        <f t="shared" si="33"/>
        <v>Ireland</v>
      </c>
      <c r="O1541" s="8">
        <f>IF(K1541&gt;=1,K1541,K1541*1000)</f>
        <v>410</v>
      </c>
      <c r="P1541">
        <f>ABS(H1541)</f>
        <v>1</v>
      </c>
      <c r="R1541"/>
    </row>
    <row r="1542" spans="1:18" x14ac:dyDescent="0.35">
      <c r="A1542" t="s">
        <v>2797</v>
      </c>
      <c r="B1542" s="2">
        <v>46124</v>
      </c>
      <c r="C1542" t="s">
        <v>2798</v>
      </c>
      <c r="D1542" s="3" t="s">
        <v>116</v>
      </c>
      <c r="E1542" t="s">
        <v>41</v>
      </c>
      <c r="F1542" t="s">
        <v>42</v>
      </c>
      <c r="G1542" t="s">
        <v>43</v>
      </c>
      <c r="H1542" s="8">
        <v>2</v>
      </c>
      <c r="I1542" s="10">
        <v>12.5</v>
      </c>
      <c r="J1542" s="14">
        <f>P1542*I1542</f>
        <v>25</v>
      </c>
      <c r="K1542" s="16">
        <v>190</v>
      </c>
      <c r="L1542" s="1" t="s">
        <v>30</v>
      </c>
      <c r="M1542" t="s">
        <v>22</v>
      </c>
      <c r="N1542" t="str">
        <f t="shared" si="33"/>
        <v>Germany</v>
      </c>
      <c r="O1542" s="8">
        <f>IF(K1542&gt;=1,K1542,K1542*1000)</f>
        <v>190</v>
      </c>
      <c r="P1542">
        <f>ABS(H1542)</f>
        <v>2</v>
      </c>
      <c r="R1542"/>
    </row>
    <row r="1543" spans="1:18" x14ac:dyDescent="0.35">
      <c r="A1543" t="s">
        <v>2799</v>
      </c>
      <c r="B1543" s="2">
        <v>46177</v>
      </c>
      <c r="C1543" t="s">
        <v>2800</v>
      </c>
      <c r="D1543" s="3" t="s">
        <v>61</v>
      </c>
      <c r="E1543" t="s">
        <v>41</v>
      </c>
      <c r="F1543" t="s">
        <v>35</v>
      </c>
      <c r="G1543" t="s">
        <v>36</v>
      </c>
      <c r="H1543" s="8">
        <v>2</v>
      </c>
      <c r="I1543" s="10">
        <v>80.099999999999994</v>
      </c>
      <c r="J1543" s="14">
        <f>P1543*I1543</f>
        <v>160.19999999999999</v>
      </c>
      <c r="K1543" s="16">
        <v>8.5000000000000006E-2</v>
      </c>
      <c r="L1543" s="1" t="s">
        <v>30</v>
      </c>
      <c r="M1543" t="s">
        <v>22</v>
      </c>
      <c r="N1543" t="str">
        <f t="shared" si="33"/>
        <v>Ireland</v>
      </c>
      <c r="O1543" s="8">
        <f>IF(K1543&gt;=1,K1543,K1543*1000)</f>
        <v>85</v>
      </c>
      <c r="P1543">
        <f>ABS(H1543)</f>
        <v>2</v>
      </c>
      <c r="R1543"/>
    </row>
    <row r="1544" spans="1:18" x14ac:dyDescent="0.35">
      <c r="A1544" t="s">
        <v>2801</v>
      </c>
      <c r="B1544" s="2">
        <v>46136</v>
      </c>
      <c r="C1544" t="s">
        <v>834</v>
      </c>
      <c r="D1544" s="3" t="s">
        <v>61</v>
      </c>
      <c r="E1544" t="s">
        <v>67</v>
      </c>
      <c r="F1544" t="s">
        <v>74</v>
      </c>
      <c r="G1544" t="s">
        <v>75</v>
      </c>
      <c r="H1544" s="8">
        <v>1</v>
      </c>
      <c r="I1544" s="10">
        <v>129</v>
      </c>
      <c r="J1544" s="14">
        <f>P1544*I1544</f>
        <v>129</v>
      </c>
      <c r="K1544" s="16">
        <v>0.41</v>
      </c>
      <c r="L1544" s="1" t="s">
        <v>30</v>
      </c>
      <c r="M1544" t="s">
        <v>58</v>
      </c>
      <c r="N1544" t="str">
        <f t="shared" si="33"/>
        <v>Ireland</v>
      </c>
      <c r="O1544" s="8">
        <f>IF(K1544&gt;=1,K1544,K1544*1000)</f>
        <v>410</v>
      </c>
      <c r="P1544">
        <f>ABS(H1544)</f>
        <v>1</v>
      </c>
      <c r="R1544"/>
    </row>
    <row r="1545" spans="1:18" x14ac:dyDescent="0.35">
      <c r="A1545" t="s">
        <v>2802</v>
      </c>
      <c r="B1545" s="2">
        <v>46155</v>
      </c>
      <c r="C1545" t="s">
        <v>1087</v>
      </c>
      <c r="D1545" s="3" t="s">
        <v>116</v>
      </c>
      <c r="E1545" t="s">
        <v>25</v>
      </c>
      <c r="F1545" t="s">
        <v>26</v>
      </c>
      <c r="G1545" t="s">
        <v>27</v>
      </c>
      <c r="H1545" s="8">
        <v>1</v>
      </c>
      <c r="I1545" s="10">
        <v>129</v>
      </c>
      <c r="J1545" s="14">
        <f>P1545*I1545</f>
        <v>129</v>
      </c>
      <c r="K1545" s="16">
        <v>0.52</v>
      </c>
      <c r="L1545" s="1" t="s">
        <v>30</v>
      </c>
      <c r="M1545" t="s">
        <v>58</v>
      </c>
      <c r="N1545" t="str">
        <f t="shared" si="33"/>
        <v>Germany</v>
      </c>
      <c r="O1545" s="8">
        <f>IF(K1545&gt;=1,K1545,K1545*1000)</f>
        <v>520</v>
      </c>
      <c r="P1545">
        <f>ABS(H1545)</f>
        <v>1</v>
      </c>
      <c r="R1545"/>
    </row>
    <row r="1546" spans="1:18" x14ac:dyDescent="0.35">
      <c r="A1546" t="s">
        <v>2803</v>
      </c>
      <c r="B1546" s="2">
        <v>46157</v>
      </c>
      <c r="C1546" t="s">
        <v>2804</v>
      </c>
      <c r="D1546" s="3" t="s">
        <v>66</v>
      </c>
      <c r="E1546" t="s">
        <v>41</v>
      </c>
      <c r="F1546" t="s">
        <v>89</v>
      </c>
      <c r="G1546" t="s">
        <v>90</v>
      </c>
      <c r="H1546" s="8">
        <v>1</v>
      </c>
      <c r="I1546" s="10">
        <v>40.5</v>
      </c>
      <c r="J1546" s="14">
        <f>P1546*I1546</f>
        <v>40.5</v>
      </c>
      <c r="K1546" s="16">
        <v>0.64</v>
      </c>
      <c r="L1546" s="1" t="s">
        <v>21</v>
      </c>
      <c r="M1546" t="s">
        <v>22</v>
      </c>
      <c r="N1546" t="str">
        <f t="shared" si="33"/>
        <v>Gb</v>
      </c>
      <c r="O1546" s="8">
        <f>IF(K1546&gt;=1,K1546,K1546*1000)</f>
        <v>640</v>
      </c>
      <c r="P1546">
        <f>ABS(H1546)</f>
        <v>1</v>
      </c>
      <c r="R1546"/>
    </row>
    <row r="1547" spans="1:18" x14ac:dyDescent="0.35">
      <c r="A1547" t="s">
        <v>2805</v>
      </c>
      <c r="B1547" s="2">
        <v>46125</v>
      </c>
      <c r="C1547" t="s">
        <v>2806</v>
      </c>
      <c r="D1547" s="3" t="s">
        <v>53</v>
      </c>
      <c r="E1547" t="s">
        <v>34</v>
      </c>
      <c r="F1547" t="s">
        <v>74</v>
      </c>
      <c r="G1547" t="s">
        <v>75</v>
      </c>
      <c r="H1547" s="8">
        <v>2</v>
      </c>
      <c r="I1547" s="10">
        <v>79</v>
      </c>
      <c r="J1547" s="14">
        <f>P1547*I1547</f>
        <v>158</v>
      </c>
      <c r="K1547" s="16">
        <v>410</v>
      </c>
      <c r="L1547" s="1" t="s">
        <v>30</v>
      </c>
      <c r="M1547" t="s">
        <v>58</v>
      </c>
      <c r="N1547" t="str">
        <f t="shared" si="33"/>
        <v>Gb</v>
      </c>
      <c r="O1547" s="8">
        <f>IF(K1547&gt;=1,K1547,K1547*1000)</f>
        <v>410</v>
      </c>
      <c r="P1547">
        <f>ABS(H1547)</f>
        <v>2</v>
      </c>
      <c r="R1547"/>
    </row>
    <row r="1548" spans="1:18" x14ac:dyDescent="0.35">
      <c r="A1548" t="s">
        <v>2807</v>
      </c>
      <c r="B1548" s="2">
        <v>46106</v>
      </c>
      <c r="C1548" t="s">
        <v>1275</v>
      </c>
      <c r="D1548" s="3" t="s">
        <v>116</v>
      </c>
      <c r="E1548" t="s">
        <v>41</v>
      </c>
      <c r="F1548" t="s">
        <v>42</v>
      </c>
      <c r="G1548" t="s">
        <v>43</v>
      </c>
      <c r="H1548" s="8">
        <v>2</v>
      </c>
      <c r="I1548" s="10">
        <v>89</v>
      </c>
      <c r="J1548" s="14">
        <f>P1548*I1548</f>
        <v>178</v>
      </c>
      <c r="K1548" s="16">
        <v>190</v>
      </c>
      <c r="L1548" s="1" t="s">
        <v>30</v>
      </c>
      <c r="M1548" t="s">
        <v>58</v>
      </c>
      <c r="N1548" t="str">
        <f t="shared" si="33"/>
        <v>Germany</v>
      </c>
      <c r="O1548" s="8">
        <f>IF(K1548&gt;=1,K1548,K1548*1000)</f>
        <v>190</v>
      </c>
      <c r="P1548">
        <f>ABS(H1548)</f>
        <v>2</v>
      </c>
      <c r="R1548"/>
    </row>
    <row r="1549" spans="1:18" x14ac:dyDescent="0.35">
      <c r="A1549" t="s">
        <v>2808</v>
      </c>
      <c r="B1549" s="2">
        <v>46125</v>
      </c>
      <c r="C1549" t="s">
        <v>2809</v>
      </c>
      <c r="D1549" s="3" t="s">
        <v>99</v>
      </c>
      <c r="E1549" t="s">
        <v>25</v>
      </c>
      <c r="F1549" t="s">
        <v>74</v>
      </c>
      <c r="G1549" t="s">
        <v>75</v>
      </c>
      <c r="H1549" s="8">
        <v>2</v>
      </c>
      <c r="I1549" s="10">
        <v>11.25</v>
      </c>
      <c r="J1549" s="14">
        <f>P1549*I1549</f>
        <v>22.5</v>
      </c>
      <c r="K1549" s="16">
        <v>410</v>
      </c>
      <c r="L1549" s="1" t="s">
        <v>30</v>
      </c>
      <c r="M1549" t="s">
        <v>22</v>
      </c>
      <c r="N1549" t="str">
        <f t="shared" si="33"/>
        <v>United Kingdom</v>
      </c>
      <c r="O1549" s="8">
        <f>IF(K1549&gt;=1,K1549,K1549*1000)</f>
        <v>410</v>
      </c>
      <c r="P1549">
        <f>ABS(H1549)</f>
        <v>2</v>
      </c>
      <c r="R1549"/>
    </row>
    <row r="1550" spans="1:18" x14ac:dyDescent="0.35">
      <c r="A1550" t="s">
        <v>2810</v>
      </c>
      <c r="B1550" s="2">
        <v>46124</v>
      </c>
      <c r="C1550" t="s">
        <v>2811</v>
      </c>
      <c r="D1550" s="3" t="s">
        <v>61</v>
      </c>
      <c r="E1550" t="s">
        <v>25</v>
      </c>
      <c r="F1550" t="s">
        <v>17</v>
      </c>
      <c r="G1550" t="s">
        <v>18</v>
      </c>
      <c r="H1550" s="8">
        <v>1</v>
      </c>
      <c r="I1550" s="12" t="s">
        <v>4646</v>
      </c>
      <c r="J1550" s="14">
        <f>P1550*R1550</f>
        <v>95</v>
      </c>
      <c r="K1550" s="16">
        <v>520</v>
      </c>
      <c r="L1550" s="1" t="s">
        <v>30</v>
      </c>
      <c r="M1550" t="s">
        <v>22</v>
      </c>
      <c r="N1550" t="str">
        <f t="shared" si="33"/>
        <v>Ireland</v>
      </c>
      <c r="O1550" s="8">
        <f>IF(K1550&gt;=1,K1550,K1550*1000)</f>
        <v>520</v>
      </c>
      <c r="P1550">
        <f>ABS(H1550)</f>
        <v>1</v>
      </c>
      <c r="Q1550" t="str">
        <f>LEFT(I1550,2)</f>
        <v>Â£</v>
      </c>
      <c r="R1550" t="str">
        <f>RIGHT(I1550,5)</f>
        <v>95,00</v>
      </c>
    </row>
    <row r="1551" spans="1:18" x14ac:dyDescent="0.35">
      <c r="A1551" t="s">
        <v>2812</v>
      </c>
      <c r="B1551" s="2">
        <v>46044</v>
      </c>
      <c r="C1551" t="s">
        <v>2813</v>
      </c>
      <c r="D1551" s="3" t="s">
        <v>4612</v>
      </c>
      <c r="E1551" t="s">
        <v>41</v>
      </c>
      <c r="F1551" t="s">
        <v>35</v>
      </c>
      <c r="G1551" t="s">
        <v>36</v>
      </c>
      <c r="H1551" s="8">
        <v>2</v>
      </c>
      <c r="I1551" s="12" t="s">
        <v>4641</v>
      </c>
      <c r="J1551" s="14">
        <f>P1551*R1551</f>
        <v>98</v>
      </c>
      <c r="K1551" s="16">
        <v>85</v>
      </c>
      <c r="L1551" s="1" t="s">
        <v>30</v>
      </c>
      <c r="M1551" t="s">
        <v>58</v>
      </c>
      <c r="N1551" t="str">
        <f t="shared" si="33"/>
        <v>United Kingdom</v>
      </c>
      <c r="O1551" s="8">
        <f>IF(K1551&gt;=1,K1551,K1551*1000)</f>
        <v>85</v>
      </c>
      <c r="P1551">
        <f>ABS(H1551)</f>
        <v>2</v>
      </c>
      <c r="Q1551" t="str">
        <f>LEFT(I1551,3)</f>
        <v>GBP</v>
      </c>
      <c r="R1551" s="10" t="str">
        <f>RIGHT(I1551,5)</f>
        <v>49,00</v>
      </c>
    </row>
    <row r="1552" spans="1:18" x14ac:dyDescent="0.35">
      <c r="A1552" t="s">
        <v>2814</v>
      </c>
      <c r="B1552" s="2">
        <v>46051</v>
      </c>
      <c r="C1552" t="s">
        <v>1241</v>
      </c>
      <c r="D1552" s="3" t="s">
        <v>61</v>
      </c>
      <c r="E1552" t="s">
        <v>34</v>
      </c>
      <c r="F1552" t="s">
        <v>83</v>
      </c>
      <c r="G1552" t="s">
        <v>84</v>
      </c>
      <c r="H1552" s="8">
        <v>3</v>
      </c>
      <c r="I1552" s="10">
        <v>40.5</v>
      </c>
      <c r="J1552" s="14">
        <f>P1552*I1552</f>
        <v>121.5</v>
      </c>
      <c r="K1552" s="16">
        <v>340</v>
      </c>
      <c r="L1552" s="1" t="s">
        <v>21</v>
      </c>
      <c r="M1552" t="s">
        <v>22</v>
      </c>
      <c r="N1552" t="str">
        <f t="shared" si="33"/>
        <v>Ireland</v>
      </c>
      <c r="O1552" s="8">
        <f>IF(K1552&gt;=1,K1552,K1552*1000)</f>
        <v>340</v>
      </c>
      <c r="P1552">
        <f>ABS(H1552)</f>
        <v>3</v>
      </c>
      <c r="R1552"/>
    </row>
    <row r="1553" spans="1:18" x14ac:dyDescent="0.35">
      <c r="A1553" t="s">
        <v>2815</v>
      </c>
      <c r="B1553" s="2">
        <v>46109</v>
      </c>
      <c r="C1553" t="s">
        <v>1828</v>
      </c>
      <c r="D1553" s="3" t="s">
        <v>46</v>
      </c>
      <c r="E1553" t="s">
        <v>41</v>
      </c>
      <c r="F1553" t="s">
        <v>74</v>
      </c>
      <c r="G1553" t="s">
        <v>75</v>
      </c>
      <c r="H1553" s="8">
        <v>2</v>
      </c>
      <c r="I1553" s="10">
        <v>89</v>
      </c>
      <c r="J1553" s="14">
        <f>P1553*I1553</f>
        <v>178</v>
      </c>
      <c r="K1553" s="16">
        <v>410</v>
      </c>
      <c r="L1553" s="1" t="s">
        <v>30</v>
      </c>
      <c r="M1553" t="s">
        <v>22</v>
      </c>
      <c r="N1553" t="str">
        <f t="shared" si="33"/>
        <v>Ireland</v>
      </c>
      <c r="O1553" s="8">
        <f>IF(K1553&gt;=1,K1553,K1553*1000)</f>
        <v>410</v>
      </c>
      <c r="P1553">
        <f>ABS(H1553)</f>
        <v>2</v>
      </c>
      <c r="R1553"/>
    </row>
    <row r="1554" spans="1:18" x14ac:dyDescent="0.35">
      <c r="A1554" t="s">
        <v>2817</v>
      </c>
      <c r="B1554" s="2">
        <v>46164</v>
      </c>
      <c r="C1554" t="s">
        <v>2818</v>
      </c>
      <c r="D1554" s="3" t="s">
        <v>116</v>
      </c>
      <c r="E1554" t="s">
        <v>67</v>
      </c>
      <c r="F1554" t="s">
        <v>83</v>
      </c>
      <c r="G1554" t="s">
        <v>84</v>
      </c>
      <c r="H1554" s="8">
        <v>2</v>
      </c>
      <c r="I1554" s="10">
        <v>149</v>
      </c>
      <c r="J1554" s="14">
        <f>P1554*I1554</f>
        <v>298</v>
      </c>
      <c r="K1554" s="16">
        <v>0.34</v>
      </c>
      <c r="L1554" s="1" t="s">
        <v>30</v>
      </c>
      <c r="M1554" t="s">
        <v>22</v>
      </c>
      <c r="N1554" t="str">
        <f t="shared" si="33"/>
        <v>Germany</v>
      </c>
      <c r="O1554" s="8">
        <f>IF(K1554&gt;=1,K1554,K1554*1000)</f>
        <v>340</v>
      </c>
      <c r="P1554">
        <f>ABS(H1554)</f>
        <v>2</v>
      </c>
      <c r="R1554"/>
    </row>
    <row r="1555" spans="1:18" x14ac:dyDescent="0.35">
      <c r="A1555" t="s">
        <v>2819</v>
      </c>
      <c r="B1555" s="2">
        <v>46150</v>
      </c>
      <c r="C1555" t="s">
        <v>567</v>
      </c>
      <c r="D1555" s="3" t="s">
        <v>53</v>
      </c>
      <c r="E1555" t="s">
        <v>67</v>
      </c>
      <c r="F1555" t="s">
        <v>42</v>
      </c>
      <c r="G1555" t="s">
        <v>43</v>
      </c>
      <c r="H1555" s="8">
        <v>2</v>
      </c>
      <c r="I1555" s="10">
        <v>12.5</v>
      </c>
      <c r="J1555" s="14">
        <f>P1555*I1555</f>
        <v>25</v>
      </c>
      <c r="K1555" s="16">
        <v>0.19</v>
      </c>
      <c r="L1555" s="1" t="s">
        <v>30</v>
      </c>
      <c r="M1555" t="s">
        <v>22</v>
      </c>
      <c r="N1555" t="str">
        <f t="shared" si="33"/>
        <v>Gb</v>
      </c>
      <c r="O1555" s="8">
        <f>IF(K1555&gt;=1,K1555,K1555*1000)</f>
        <v>190</v>
      </c>
      <c r="P1555">
        <f>ABS(H1555)</f>
        <v>2</v>
      </c>
      <c r="R1555"/>
    </row>
    <row r="1556" spans="1:18" x14ac:dyDescent="0.35">
      <c r="A1556" t="s">
        <v>2820</v>
      </c>
      <c r="B1556" s="2">
        <v>46157</v>
      </c>
      <c r="C1556" t="s">
        <v>541</v>
      </c>
      <c r="D1556" s="3" t="s">
        <v>66</v>
      </c>
      <c r="E1556" t="s">
        <v>67</v>
      </c>
      <c r="F1556" t="s">
        <v>89</v>
      </c>
      <c r="G1556" t="s">
        <v>90</v>
      </c>
      <c r="H1556" s="8">
        <v>1</v>
      </c>
      <c r="I1556" s="10">
        <v>12.5</v>
      </c>
      <c r="J1556" s="14">
        <f>P1556*I1556</f>
        <v>12.5</v>
      </c>
      <c r="K1556" s="16">
        <v>0.64</v>
      </c>
      <c r="L1556" s="1" t="s">
        <v>30</v>
      </c>
      <c r="M1556" t="s">
        <v>22</v>
      </c>
      <c r="N1556" t="str">
        <f t="shared" si="33"/>
        <v>Gb</v>
      </c>
      <c r="O1556" s="8">
        <f>IF(K1556&gt;=1,K1556,K1556*1000)</f>
        <v>640</v>
      </c>
      <c r="P1556">
        <f>ABS(H1556)</f>
        <v>1</v>
      </c>
      <c r="R1556"/>
    </row>
    <row r="1557" spans="1:18" x14ac:dyDescent="0.35">
      <c r="A1557" t="s">
        <v>2821</v>
      </c>
      <c r="B1557" s="2">
        <v>46060</v>
      </c>
      <c r="C1557" t="s">
        <v>2822</v>
      </c>
      <c r="D1557" s="3" t="s">
        <v>15</v>
      </c>
      <c r="E1557" t="s">
        <v>67</v>
      </c>
      <c r="F1557" t="s">
        <v>17</v>
      </c>
      <c r="G1557" t="s">
        <v>18</v>
      </c>
      <c r="H1557" s="8">
        <v>1</v>
      </c>
      <c r="I1557" s="10">
        <v>71.099999999999994</v>
      </c>
      <c r="J1557" s="14">
        <f>P1557*I1557</f>
        <v>71.099999999999994</v>
      </c>
      <c r="K1557" s="16">
        <v>520</v>
      </c>
      <c r="L1557" s="1" t="s">
        <v>30</v>
      </c>
      <c r="M1557" t="s">
        <v>58</v>
      </c>
      <c r="N1557" t="str">
        <f t="shared" si="33"/>
        <v>France</v>
      </c>
      <c r="O1557" s="8">
        <f>IF(K1557&gt;=1,K1557,K1557*1000)</f>
        <v>520</v>
      </c>
      <c r="P1557">
        <f>ABS(H1557)</f>
        <v>1</v>
      </c>
      <c r="R1557"/>
    </row>
    <row r="1558" spans="1:18" x14ac:dyDescent="0.35">
      <c r="A1558" t="s">
        <v>2823</v>
      </c>
      <c r="B1558" s="2">
        <v>46095</v>
      </c>
      <c r="C1558" t="s">
        <v>496</v>
      </c>
      <c r="D1558" s="3" t="s">
        <v>4613</v>
      </c>
      <c r="E1558" t="s">
        <v>34</v>
      </c>
      <c r="F1558" t="s">
        <v>35</v>
      </c>
      <c r="G1558" t="s">
        <v>36</v>
      </c>
      <c r="H1558" s="8">
        <v>3</v>
      </c>
      <c r="I1558" s="10">
        <v>80.099999999999994</v>
      </c>
      <c r="J1558" s="14">
        <f>P1558*I1558</f>
        <v>240.29999999999998</v>
      </c>
      <c r="K1558" s="16">
        <v>85</v>
      </c>
      <c r="L1558" s="1" t="s">
        <v>30</v>
      </c>
      <c r="M1558" t="s">
        <v>22</v>
      </c>
      <c r="N1558" t="str">
        <f t="shared" si="33"/>
        <v>United Kingdom</v>
      </c>
      <c r="O1558" s="8">
        <f>IF(K1558&gt;=1,K1558,K1558*1000)</f>
        <v>85</v>
      </c>
      <c r="P1558">
        <f>ABS(H1558)</f>
        <v>3</v>
      </c>
      <c r="R1558"/>
    </row>
    <row r="1559" spans="1:18" x14ac:dyDescent="0.35">
      <c r="A1559" t="s">
        <v>2824</v>
      </c>
      <c r="B1559" s="2">
        <v>46113</v>
      </c>
      <c r="C1559" t="s">
        <v>2825</v>
      </c>
      <c r="D1559" s="3" t="s">
        <v>15</v>
      </c>
      <c r="E1559" t="s">
        <v>16</v>
      </c>
      <c r="F1559" t="s">
        <v>17</v>
      </c>
      <c r="G1559" t="s">
        <v>18</v>
      </c>
      <c r="H1559" s="8">
        <v>1</v>
      </c>
      <c r="I1559" s="10">
        <v>95</v>
      </c>
      <c r="J1559" s="14">
        <f>P1559*I1559</f>
        <v>95</v>
      </c>
      <c r="K1559" s="16">
        <v>520</v>
      </c>
      <c r="L1559" s="1" t="s">
        <v>30</v>
      </c>
      <c r="M1559" t="s">
        <v>22</v>
      </c>
      <c r="N1559" t="str">
        <f t="shared" si="33"/>
        <v>France</v>
      </c>
      <c r="O1559" s="8">
        <f>IF(K1559&gt;=1,K1559,K1559*1000)</f>
        <v>520</v>
      </c>
      <c r="P1559">
        <f>ABS(H1559)</f>
        <v>1</v>
      </c>
      <c r="R1559"/>
    </row>
    <row r="1560" spans="1:18" x14ac:dyDescent="0.35">
      <c r="A1560" t="s">
        <v>2826</v>
      </c>
      <c r="B1560" s="2">
        <v>46098</v>
      </c>
      <c r="C1560" t="s">
        <v>2827</v>
      </c>
      <c r="D1560" s="3" t="s">
        <v>66</v>
      </c>
      <c r="E1560" t="s">
        <v>67</v>
      </c>
      <c r="F1560" t="s">
        <v>17</v>
      </c>
      <c r="G1560" t="s">
        <v>18</v>
      </c>
      <c r="H1560" s="8">
        <v>3</v>
      </c>
      <c r="I1560" s="10">
        <v>40.5</v>
      </c>
      <c r="J1560" s="14">
        <f>P1560*I1560</f>
        <v>121.5</v>
      </c>
      <c r="K1560" s="16">
        <v>520</v>
      </c>
      <c r="L1560" s="1" t="s">
        <v>21</v>
      </c>
      <c r="M1560" t="s">
        <v>22</v>
      </c>
      <c r="N1560" t="str">
        <f t="shared" si="33"/>
        <v>Gb</v>
      </c>
      <c r="O1560" s="8">
        <f>IF(K1560&gt;=1,K1560,K1560*1000)</f>
        <v>520</v>
      </c>
      <c r="P1560">
        <f>ABS(H1560)</f>
        <v>3</v>
      </c>
      <c r="R1560"/>
    </row>
    <row r="1561" spans="1:18" x14ac:dyDescent="0.35">
      <c r="A1561" t="s">
        <v>2829</v>
      </c>
      <c r="B1561" s="2">
        <v>46125</v>
      </c>
      <c r="C1561" t="s">
        <v>2830</v>
      </c>
      <c r="D1561" s="3" t="s">
        <v>99</v>
      </c>
      <c r="E1561" t="s">
        <v>25</v>
      </c>
      <c r="F1561" t="s">
        <v>47</v>
      </c>
      <c r="G1561" t="s">
        <v>48</v>
      </c>
      <c r="H1561" s="8">
        <v>1</v>
      </c>
      <c r="I1561" s="10">
        <v>85.5</v>
      </c>
      <c r="J1561" s="14">
        <f>P1561*I1561</f>
        <v>85.5</v>
      </c>
      <c r="K1561" s="16">
        <v>380</v>
      </c>
      <c r="L1561" s="1" t="s">
        <v>30</v>
      </c>
      <c r="M1561" t="s">
        <v>22</v>
      </c>
      <c r="N1561" t="str">
        <f t="shared" si="33"/>
        <v>United Kingdom</v>
      </c>
      <c r="O1561" s="8">
        <f>IF(K1561&gt;=1,K1561,K1561*1000)</f>
        <v>380</v>
      </c>
      <c r="P1561">
        <f>ABS(H1561)</f>
        <v>1</v>
      </c>
      <c r="R1561"/>
    </row>
    <row r="1562" spans="1:18" x14ac:dyDescent="0.35">
      <c r="A1562" t="s">
        <v>2831</v>
      </c>
      <c r="B1562" s="2">
        <v>46173</v>
      </c>
      <c r="C1562" t="s">
        <v>2080</v>
      </c>
      <c r="D1562" s="3" t="s">
        <v>61</v>
      </c>
      <c r="E1562" t="s">
        <v>25</v>
      </c>
      <c r="F1562" t="s">
        <v>83</v>
      </c>
      <c r="G1562" t="s">
        <v>84</v>
      </c>
      <c r="H1562" s="8">
        <v>1</v>
      </c>
      <c r="I1562" s="10">
        <v>12.5</v>
      </c>
      <c r="J1562" s="14">
        <f>P1562*I1562</f>
        <v>12.5</v>
      </c>
      <c r="K1562" s="16">
        <v>0.34</v>
      </c>
      <c r="L1562" s="1" t="s">
        <v>30</v>
      </c>
      <c r="M1562" t="s">
        <v>22</v>
      </c>
      <c r="N1562" t="str">
        <f t="shared" si="33"/>
        <v>Ireland</v>
      </c>
      <c r="O1562" s="8">
        <f>IF(K1562&gt;=1,K1562,K1562*1000)</f>
        <v>340</v>
      </c>
      <c r="P1562">
        <f>ABS(H1562)</f>
        <v>1</v>
      </c>
      <c r="R1562"/>
    </row>
    <row r="1563" spans="1:18" x14ac:dyDescent="0.35">
      <c r="A1563" t="s">
        <v>2832</v>
      </c>
      <c r="B1563" s="2" t="s">
        <v>2833</v>
      </c>
      <c r="C1563" t="s">
        <v>2076</v>
      </c>
      <c r="D1563" s="3" t="s">
        <v>15</v>
      </c>
      <c r="E1563" t="s">
        <v>41</v>
      </c>
      <c r="F1563" t="s">
        <v>47</v>
      </c>
      <c r="G1563" t="s">
        <v>48</v>
      </c>
      <c r="H1563" s="8">
        <v>2</v>
      </c>
      <c r="I1563" s="10">
        <v>149</v>
      </c>
      <c r="J1563" s="14">
        <f>P1563*I1563</f>
        <v>298</v>
      </c>
      <c r="K1563" s="16">
        <v>380</v>
      </c>
      <c r="L1563" s="1" t="s">
        <v>30</v>
      </c>
      <c r="M1563" t="s">
        <v>22</v>
      </c>
      <c r="N1563" t="str">
        <f t="shared" si="33"/>
        <v>France</v>
      </c>
      <c r="O1563" s="8">
        <f>IF(K1563&gt;=1,K1563,K1563*1000)</f>
        <v>380</v>
      </c>
      <c r="P1563">
        <f>ABS(H1563)</f>
        <v>2</v>
      </c>
      <c r="R1563"/>
    </row>
    <row r="1564" spans="1:18" x14ac:dyDescent="0.35">
      <c r="A1564" t="s">
        <v>2834</v>
      </c>
      <c r="B1564" s="2">
        <v>46150</v>
      </c>
      <c r="C1564" t="s">
        <v>832</v>
      </c>
      <c r="D1564" s="3" t="s">
        <v>46</v>
      </c>
      <c r="E1564" t="s">
        <v>67</v>
      </c>
      <c r="F1564" t="s">
        <v>89</v>
      </c>
      <c r="G1564" t="s">
        <v>90</v>
      </c>
      <c r="H1564" s="8">
        <v>2</v>
      </c>
      <c r="I1564" s="10">
        <v>89</v>
      </c>
      <c r="J1564" s="14">
        <f>P1564*I1564</f>
        <v>178</v>
      </c>
      <c r="K1564" s="16">
        <v>0.64</v>
      </c>
      <c r="L1564" s="1" t="s">
        <v>30</v>
      </c>
      <c r="M1564" t="s">
        <v>22</v>
      </c>
      <c r="N1564" t="str">
        <f t="shared" si="33"/>
        <v>Ireland</v>
      </c>
      <c r="O1564" s="8">
        <f>IF(K1564&gt;=1,K1564,K1564*1000)</f>
        <v>640</v>
      </c>
      <c r="P1564">
        <f>ABS(H1564)</f>
        <v>2</v>
      </c>
      <c r="R1564"/>
    </row>
    <row r="1565" spans="1:18" x14ac:dyDescent="0.35">
      <c r="A1565" t="s">
        <v>2835</v>
      </c>
      <c r="B1565" s="2">
        <v>46087</v>
      </c>
      <c r="C1565" t="s">
        <v>2836</v>
      </c>
      <c r="D1565" s="3" t="s">
        <v>15</v>
      </c>
      <c r="E1565" t="s">
        <v>67</v>
      </c>
      <c r="F1565" t="s">
        <v>47</v>
      </c>
      <c r="G1565" t="s">
        <v>48</v>
      </c>
      <c r="H1565" s="8">
        <v>1</v>
      </c>
      <c r="I1565" s="10">
        <v>45</v>
      </c>
      <c r="J1565" s="14">
        <f>P1565*I1565</f>
        <v>45</v>
      </c>
      <c r="K1565" s="16">
        <v>380</v>
      </c>
      <c r="L1565" s="1" t="s">
        <v>30</v>
      </c>
      <c r="M1565" t="s">
        <v>22</v>
      </c>
      <c r="N1565" t="str">
        <f t="shared" si="33"/>
        <v>France</v>
      </c>
      <c r="O1565" s="8">
        <f>IF(K1565&gt;=1,K1565,K1565*1000)</f>
        <v>380</v>
      </c>
      <c r="P1565">
        <f>ABS(H1565)</f>
        <v>1</v>
      </c>
      <c r="R1565"/>
    </row>
    <row r="1566" spans="1:18" x14ac:dyDescent="0.35">
      <c r="A1566" t="s">
        <v>2837</v>
      </c>
      <c r="B1566" s="2">
        <v>46130</v>
      </c>
      <c r="C1566" t="s">
        <v>2838</v>
      </c>
      <c r="D1566" s="3" t="s">
        <v>53</v>
      </c>
      <c r="E1566" t="s">
        <v>41</v>
      </c>
      <c r="F1566" t="s">
        <v>35</v>
      </c>
      <c r="G1566" t="s">
        <v>36</v>
      </c>
      <c r="H1566" s="8">
        <v>1</v>
      </c>
      <c r="I1566" s="10">
        <v>11.25</v>
      </c>
      <c r="J1566" s="14">
        <f>P1566*I1566</f>
        <v>11.25</v>
      </c>
      <c r="K1566" s="16">
        <v>85</v>
      </c>
      <c r="L1566" s="1" t="s">
        <v>30</v>
      </c>
      <c r="M1566" t="s">
        <v>22</v>
      </c>
      <c r="N1566" t="str">
        <f t="shared" si="33"/>
        <v>Gb</v>
      </c>
      <c r="O1566" s="8">
        <f>IF(K1566&gt;=1,K1566,K1566*1000)</f>
        <v>85</v>
      </c>
      <c r="P1566">
        <f>ABS(H1566)</f>
        <v>1</v>
      </c>
      <c r="R1566"/>
    </row>
    <row r="1567" spans="1:18" x14ac:dyDescent="0.35">
      <c r="A1567" t="s">
        <v>2839</v>
      </c>
      <c r="B1567" s="2">
        <v>46075</v>
      </c>
      <c r="C1567" t="s">
        <v>1435</v>
      </c>
      <c r="D1567" s="3" t="s">
        <v>99</v>
      </c>
      <c r="E1567" t="s">
        <v>41</v>
      </c>
      <c r="F1567" t="s">
        <v>35</v>
      </c>
      <c r="G1567" t="s">
        <v>36</v>
      </c>
      <c r="H1567" s="8">
        <v>3</v>
      </c>
      <c r="I1567" s="10">
        <v>21.6</v>
      </c>
      <c r="J1567" s="14">
        <f>P1567*I1567</f>
        <v>64.800000000000011</v>
      </c>
      <c r="K1567" s="16">
        <v>85</v>
      </c>
      <c r="L1567" s="1" t="s">
        <v>21</v>
      </c>
      <c r="M1567" t="s">
        <v>22</v>
      </c>
      <c r="N1567" t="str">
        <f t="shared" si="33"/>
        <v>United Kingdom</v>
      </c>
      <c r="O1567" s="8">
        <f>IF(K1567&gt;=1,K1567,K1567*1000)</f>
        <v>85</v>
      </c>
      <c r="P1567">
        <f>ABS(H1567)</f>
        <v>3</v>
      </c>
      <c r="R1567"/>
    </row>
    <row r="1568" spans="1:18" x14ac:dyDescent="0.35">
      <c r="A1568" t="s">
        <v>2840</v>
      </c>
      <c r="B1568" s="2">
        <v>46071</v>
      </c>
      <c r="C1568" t="s">
        <v>1931</v>
      </c>
      <c r="D1568" s="3" t="s">
        <v>61</v>
      </c>
      <c r="E1568" t="s">
        <v>34</v>
      </c>
      <c r="F1568" t="s">
        <v>42</v>
      </c>
      <c r="G1568" t="s">
        <v>43</v>
      </c>
      <c r="H1568" s="8">
        <v>2</v>
      </c>
      <c r="I1568" s="10">
        <v>79</v>
      </c>
      <c r="J1568" s="14">
        <f>P1568*I1568</f>
        <v>158</v>
      </c>
      <c r="K1568" s="16">
        <v>190</v>
      </c>
      <c r="L1568" s="1" t="s">
        <v>30</v>
      </c>
      <c r="M1568" t="s">
        <v>58</v>
      </c>
      <c r="N1568" t="str">
        <f t="shared" si="33"/>
        <v>Ireland</v>
      </c>
      <c r="O1568" s="8">
        <f>IF(K1568&gt;=1,K1568,K1568*1000)</f>
        <v>190</v>
      </c>
      <c r="P1568">
        <f>ABS(H1568)</f>
        <v>2</v>
      </c>
      <c r="R1568"/>
    </row>
    <row r="1569" spans="1:18" x14ac:dyDescent="0.35">
      <c r="A1569" t="s">
        <v>2841</v>
      </c>
      <c r="B1569" s="2">
        <v>46125</v>
      </c>
      <c r="C1569" t="s">
        <v>2642</v>
      </c>
      <c r="D1569" s="3" t="s">
        <v>53</v>
      </c>
      <c r="E1569" t="s">
        <v>67</v>
      </c>
      <c r="F1569" t="s">
        <v>17</v>
      </c>
      <c r="G1569" t="s">
        <v>18</v>
      </c>
      <c r="H1569" s="8">
        <v>1</v>
      </c>
      <c r="I1569" s="10">
        <v>129</v>
      </c>
      <c r="J1569" s="14">
        <f>P1569*I1569</f>
        <v>129</v>
      </c>
      <c r="K1569" s="16">
        <v>520</v>
      </c>
      <c r="L1569" s="1" t="s">
        <v>30</v>
      </c>
      <c r="M1569" t="s">
        <v>22</v>
      </c>
      <c r="N1569" t="str">
        <f t="shared" si="33"/>
        <v>Gb</v>
      </c>
      <c r="O1569" s="8">
        <f>IF(K1569&gt;=1,K1569,K1569*1000)</f>
        <v>520</v>
      </c>
      <c r="P1569">
        <f>ABS(H1569)</f>
        <v>1</v>
      </c>
      <c r="R1569"/>
    </row>
    <row r="1570" spans="1:18" x14ac:dyDescent="0.35">
      <c r="A1570" t="s">
        <v>2842</v>
      </c>
      <c r="B1570" s="2">
        <v>46057</v>
      </c>
      <c r="C1570" t="s">
        <v>1246</v>
      </c>
      <c r="D1570" s="3" t="s">
        <v>61</v>
      </c>
      <c r="E1570" t="s">
        <v>16</v>
      </c>
      <c r="F1570" t="s">
        <v>47</v>
      </c>
      <c r="G1570" t="s">
        <v>48</v>
      </c>
      <c r="H1570" s="8">
        <v>1</v>
      </c>
      <c r="I1570" s="10">
        <v>12.5</v>
      </c>
      <c r="J1570" s="14">
        <f>P1570*I1570</f>
        <v>12.5</v>
      </c>
      <c r="K1570" s="16">
        <v>380</v>
      </c>
      <c r="L1570" s="1" t="s">
        <v>30</v>
      </c>
      <c r="M1570" t="s">
        <v>22</v>
      </c>
      <c r="N1570" t="str">
        <f t="shared" si="33"/>
        <v>Ireland</v>
      </c>
      <c r="O1570" s="8">
        <f>IF(K1570&gt;=1,K1570,K1570*1000)</f>
        <v>380</v>
      </c>
      <c r="P1570">
        <f>ABS(H1570)</f>
        <v>1</v>
      </c>
      <c r="R1570"/>
    </row>
    <row r="1571" spans="1:18" x14ac:dyDescent="0.35">
      <c r="A1571" t="s">
        <v>2843</v>
      </c>
      <c r="B1571" s="2">
        <v>46161</v>
      </c>
      <c r="C1571" t="s">
        <v>2391</v>
      </c>
      <c r="D1571" s="3" t="s">
        <v>46</v>
      </c>
      <c r="E1571" t="s">
        <v>67</v>
      </c>
      <c r="F1571" t="s">
        <v>17</v>
      </c>
      <c r="G1571" t="s">
        <v>18</v>
      </c>
      <c r="H1571" s="8">
        <v>1</v>
      </c>
      <c r="I1571" s="10">
        <v>45</v>
      </c>
      <c r="J1571" s="14">
        <f>P1571*I1571</f>
        <v>45</v>
      </c>
      <c r="K1571" s="16">
        <v>0.52</v>
      </c>
      <c r="L1571" s="1" t="s">
        <v>21</v>
      </c>
      <c r="M1571" t="s">
        <v>22</v>
      </c>
      <c r="N1571" t="str">
        <f t="shared" si="33"/>
        <v>Ireland</v>
      </c>
      <c r="O1571" s="8">
        <f>IF(K1571&gt;=1,K1571,K1571*1000)</f>
        <v>520</v>
      </c>
      <c r="P1571">
        <f>ABS(H1571)</f>
        <v>1</v>
      </c>
      <c r="R1571"/>
    </row>
    <row r="1572" spans="1:18" x14ac:dyDescent="0.35">
      <c r="A1572" t="s">
        <v>2844</v>
      </c>
      <c r="B1572" s="2">
        <v>46176</v>
      </c>
      <c r="C1572" t="s">
        <v>564</v>
      </c>
      <c r="D1572" s="3" t="s">
        <v>53</v>
      </c>
      <c r="E1572" t="s">
        <v>34</v>
      </c>
      <c r="F1572" t="s">
        <v>47</v>
      </c>
      <c r="G1572" t="s">
        <v>48</v>
      </c>
      <c r="H1572" s="8">
        <v>2</v>
      </c>
      <c r="I1572" s="10">
        <v>40.5</v>
      </c>
      <c r="J1572" s="14">
        <f>P1572*I1572</f>
        <v>81</v>
      </c>
      <c r="K1572" s="16">
        <v>0.38</v>
      </c>
      <c r="L1572" s="1" t="s">
        <v>30</v>
      </c>
      <c r="M1572" t="s">
        <v>22</v>
      </c>
      <c r="N1572" t="str">
        <f t="shared" si="33"/>
        <v>Gb</v>
      </c>
      <c r="O1572" s="8">
        <f>IF(K1572&gt;=1,K1572,K1572*1000)</f>
        <v>380</v>
      </c>
      <c r="P1572">
        <f>ABS(H1572)</f>
        <v>2</v>
      </c>
      <c r="R1572"/>
    </row>
    <row r="1573" spans="1:18" x14ac:dyDescent="0.35">
      <c r="A1573" t="s">
        <v>2845</v>
      </c>
      <c r="B1573" s="2" t="s">
        <v>81</v>
      </c>
      <c r="C1573" t="s">
        <v>2360</v>
      </c>
      <c r="D1573" s="3" t="s">
        <v>99</v>
      </c>
      <c r="E1573" t="s">
        <v>16</v>
      </c>
      <c r="F1573" t="s">
        <v>17</v>
      </c>
      <c r="G1573" t="s">
        <v>18</v>
      </c>
      <c r="H1573" s="8">
        <v>2</v>
      </c>
      <c r="I1573" s="10">
        <v>85.5</v>
      </c>
      <c r="J1573" s="14">
        <f>P1573*I1573</f>
        <v>171</v>
      </c>
      <c r="K1573" s="16">
        <v>520</v>
      </c>
      <c r="L1573" s="1" t="s">
        <v>30</v>
      </c>
      <c r="M1573" t="s">
        <v>58</v>
      </c>
      <c r="N1573" t="str">
        <f t="shared" si="33"/>
        <v>United Kingdom</v>
      </c>
      <c r="O1573" s="8">
        <f>IF(K1573&gt;=1,K1573,K1573*1000)</f>
        <v>520</v>
      </c>
      <c r="P1573">
        <f>ABS(H1573)</f>
        <v>2</v>
      </c>
      <c r="R1573"/>
    </row>
    <row r="1574" spans="1:18" x14ac:dyDescent="0.35">
      <c r="A1574" t="s">
        <v>2846</v>
      </c>
      <c r="B1574" s="2">
        <v>46080</v>
      </c>
      <c r="C1574" t="s">
        <v>2847</v>
      </c>
      <c r="D1574" s="3" t="s">
        <v>66</v>
      </c>
      <c r="E1574" t="s">
        <v>67</v>
      </c>
      <c r="F1574" t="s">
        <v>74</v>
      </c>
      <c r="G1574" t="s">
        <v>75</v>
      </c>
      <c r="H1574" s="8">
        <v>2</v>
      </c>
      <c r="I1574" s="10">
        <v>80.099999999999994</v>
      </c>
      <c r="J1574" s="14">
        <f>P1574*I1574</f>
        <v>160.19999999999999</v>
      </c>
      <c r="K1574" s="16">
        <v>410</v>
      </c>
      <c r="L1574" s="1" t="s">
        <v>30</v>
      </c>
      <c r="M1574" t="s">
        <v>22</v>
      </c>
      <c r="N1574" t="str">
        <f t="shared" si="33"/>
        <v>Gb</v>
      </c>
      <c r="O1574" s="8">
        <f>IF(K1574&gt;=1,K1574,K1574*1000)</f>
        <v>410</v>
      </c>
      <c r="P1574">
        <f>ABS(H1574)</f>
        <v>2</v>
      </c>
      <c r="R1574"/>
    </row>
    <row r="1575" spans="1:18" x14ac:dyDescent="0.35">
      <c r="A1575" t="s">
        <v>2848</v>
      </c>
      <c r="B1575" s="2" t="s">
        <v>629</v>
      </c>
      <c r="C1575" t="s">
        <v>923</v>
      </c>
      <c r="D1575" s="3" t="s">
        <v>99</v>
      </c>
      <c r="E1575" t="s">
        <v>34</v>
      </c>
      <c r="F1575" t="s">
        <v>17</v>
      </c>
      <c r="G1575" t="s">
        <v>18</v>
      </c>
      <c r="H1575" s="8">
        <v>2</v>
      </c>
      <c r="I1575" s="10">
        <v>134.1</v>
      </c>
      <c r="J1575" s="14">
        <f>P1575*I1575</f>
        <v>268.2</v>
      </c>
      <c r="K1575" s="16">
        <v>520</v>
      </c>
      <c r="L1575" s="1" t="s">
        <v>30</v>
      </c>
      <c r="M1575" t="s">
        <v>22</v>
      </c>
      <c r="N1575" t="str">
        <f t="shared" si="33"/>
        <v>United Kingdom</v>
      </c>
      <c r="O1575" s="8">
        <f>IF(K1575&gt;=1,K1575,K1575*1000)</f>
        <v>520</v>
      </c>
      <c r="P1575">
        <f>ABS(H1575)</f>
        <v>2</v>
      </c>
      <c r="R1575"/>
    </row>
    <row r="1576" spans="1:18" x14ac:dyDescent="0.35">
      <c r="A1576" t="s">
        <v>2849</v>
      </c>
      <c r="B1576" s="2">
        <v>46160</v>
      </c>
      <c r="C1576" t="s">
        <v>2850</v>
      </c>
      <c r="D1576" s="3" t="s">
        <v>61</v>
      </c>
      <c r="E1576" t="s">
        <v>67</v>
      </c>
      <c r="F1576" t="s">
        <v>89</v>
      </c>
      <c r="G1576" t="s">
        <v>90</v>
      </c>
      <c r="H1576" s="8">
        <v>2</v>
      </c>
      <c r="I1576" s="10">
        <v>24</v>
      </c>
      <c r="J1576" s="14">
        <f>P1576*I1576</f>
        <v>48</v>
      </c>
      <c r="K1576" s="16">
        <v>0.64</v>
      </c>
      <c r="L1576" s="1" t="s">
        <v>30</v>
      </c>
      <c r="M1576" t="s">
        <v>22</v>
      </c>
      <c r="N1576" t="str">
        <f t="shared" si="33"/>
        <v>Ireland</v>
      </c>
      <c r="O1576" s="8">
        <f>IF(K1576&gt;=1,K1576,K1576*1000)</f>
        <v>640</v>
      </c>
      <c r="P1576">
        <f>ABS(H1576)</f>
        <v>2</v>
      </c>
      <c r="R1576"/>
    </row>
    <row r="1577" spans="1:18" x14ac:dyDescent="0.35">
      <c r="A1577" t="s">
        <v>2851</v>
      </c>
      <c r="B1577" s="2">
        <v>46092</v>
      </c>
      <c r="C1577" t="s">
        <v>665</v>
      </c>
      <c r="D1577" s="3" t="s">
        <v>53</v>
      </c>
      <c r="E1577" t="s">
        <v>34</v>
      </c>
      <c r="F1577" t="s">
        <v>74</v>
      </c>
      <c r="G1577" t="s">
        <v>75</v>
      </c>
      <c r="H1577" s="8">
        <v>3</v>
      </c>
      <c r="I1577" s="10">
        <v>89</v>
      </c>
      <c r="J1577" s="14">
        <f>P1577*I1577</f>
        <v>267</v>
      </c>
      <c r="K1577" s="16">
        <v>410</v>
      </c>
      <c r="L1577" s="1" t="s">
        <v>30</v>
      </c>
      <c r="M1577" t="s">
        <v>22</v>
      </c>
      <c r="N1577" t="str">
        <f t="shared" si="33"/>
        <v>Gb</v>
      </c>
      <c r="O1577" s="8">
        <f>IF(K1577&gt;=1,K1577,K1577*1000)</f>
        <v>410</v>
      </c>
      <c r="P1577">
        <f>ABS(H1577)</f>
        <v>3</v>
      </c>
      <c r="R1577"/>
    </row>
    <row r="1578" spans="1:18" x14ac:dyDescent="0.35">
      <c r="A1578" t="s">
        <v>2853</v>
      </c>
      <c r="B1578" s="2">
        <v>46077</v>
      </c>
      <c r="C1578" t="s">
        <v>135</v>
      </c>
      <c r="D1578" s="3" t="s">
        <v>99</v>
      </c>
      <c r="E1578" t="s">
        <v>25</v>
      </c>
      <c r="F1578" t="s">
        <v>47</v>
      </c>
      <c r="G1578" t="s">
        <v>48</v>
      </c>
      <c r="H1578" s="8">
        <v>2</v>
      </c>
      <c r="I1578" s="10">
        <v>79</v>
      </c>
      <c r="J1578" s="14">
        <f>P1578*I1578</f>
        <v>158</v>
      </c>
      <c r="K1578" s="16">
        <v>380</v>
      </c>
      <c r="L1578" s="1" t="s">
        <v>30</v>
      </c>
      <c r="M1578" t="s">
        <v>22</v>
      </c>
      <c r="N1578" t="str">
        <f t="shared" si="33"/>
        <v>United Kingdom</v>
      </c>
      <c r="O1578" s="8">
        <f>IF(K1578&gt;=1,K1578,K1578*1000)</f>
        <v>380</v>
      </c>
      <c r="P1578">
        <f>ABS(H1578)</f>
        <v>2</v>
      </c>
      <c r="R1578"/>
    </row>
    <row r="1579" spans="1:18" x14ac:dyDescent="0.35">
      <c r="A1579" t="s">
        <v>2854</v>
      </c>
      <c r="B1579" s="2">
        <v>46105</v>
      </c>
      <c r="C1579" t="s">
        <v>1653</v>
      </c>
      <c r="D1579" s="3" t="s">
        <v>61</v>
      </c>
      <c r="E1579" t="s">
        <v>41</v>
      </c>
      <c r="F1579" t="s">
        <v>26</v>
      </c>
      <c r="G1579" t="s">
        <v>27</v>
      </c>
      <c r="H1579" s="8">
        <v>2</v>
      </c>
      <c r="I1579" s="10">
        <v>116.1</v>
      </c>
      <c r="J1579" s="14">
        <f>P1579*I1579</f>
        <v>232.2</v>
      </c>
      <c r="K1579" s="16">
        <v>520</v>
      </c>
      <c r="L1579" s="1" t="s">
        <v>21</v>
      </c>
      <c r="M1579" t="s">
        <v>58</v>
      </c>
      <c r="N1579" t="str">
        <f t="shared" si="33"/>
        <v>Ireland</v>
      </c>
      <c r="O1579" s="8">
        <f>IF(K1579&gt;=1,K1579,K1579*1000)</f>
        <v>520</v>
      </c>
      <c r="P1579">
        <f>ABS(H1579)</f>
        <v>2</v>
      </c>
      <c r="R1579"/>
    </row>
    <row r="1580" spans="1:18" x14ac:dyDescent="0.35">
      <c r="A1580" t="s">
        <v>2855</v>
      </c>
      <c r="B1580" s="2" t="s">
        <v>1025</v>
      </c>
      <c r="C1580" t="s">
        <v>1227</v>
      </c>
      <c r="D1580" s="3" t="s">
        <v>61</v>
      </c>
      <c r="E1580" t="s">
        <v>67</v>
      </c>
      <c r="F1580" t="s">
        <v>83</v>
      </c>
      <c r="G1580" t="s">
        <v>84</v>
      </c>
      <c r="H1580" s="8">
        <v>1</v>
      </c>
      <c r="I1580" s="10">
        <v>79</v>
      </c>
      <c r="J1580" s="14">
        <f>P1580*I1580</f>
        <v>79</v>
      </c>
      <c r="K1580" s="16">
        <v>0.34</v>
      </c>
      <c r="L1580" s="1" t="s">
        <v>30</v>
      </c>
      <c r="M1580" t="s">
        <v>22</v>
      </c>
      <c r="N1580" t="str">
        <f t="shared" si="33"/>
        <v>Ireland</v>
      </c>
      <c r="O1580" s="8">
        <f>IF(K1580&gt;=1,K1580,K1580*1000)</f>
        <v>340</v>
      </c>
      <c r="P1580">
        <f>ABS(H1580)</f>
        <v>1</v>
      </c>
      <c r="R1580"/>
    </row>
    <row r="1581" spans="1:18" x14ac:dyDescent="0.35">
      <c r="A1581" t="s">
        <v>2856</v>
      </c>
      <c r="B1581" s="2">
        <v>46162</v>
      </c>
      <c r="C1581" t="s">
        <v>2779</v>
      </c>
      <c r="D1581" s="3" t="s">
        <v>4612</v>
      </c>
      <c r="E1581" t="s">
        <v>16</v>
      </c>
      <c r="F1581" t="s">
        <v>26</v>
      </c>
      <c r="G1581" t="s">
        <v>27</v>
      </c>
      <c r="H1581" s="8">
        <v>2</v>
      </c>
      <c r="I1581" s="10">
        <v>134.1</v>
      </c>
      <c r="J1581" s="14">
        <f>P1581*I1581</f>
        <v>268.2</v>
      </c>
      <c r="K1581" s="16">
        <v>0.52</v>
      </c>
      <c r="L1581" s="1" t="s">
        <v>30</v>
      </c>
      <c r="M1581" t="s">
        <v>22</v>
      </c>
      <c r="N1581" t="str">
        <f t="shared" si="33"/>
        <v>United Kingdom</v>
      </c>
      <c r="O1581" s="8">
        <f>IF(K1581&gt;=1,K1581,K1581*1000)</f>
        <v>520</v>
      </c>
      <c r="P1581">
        <f>ABS(H1581)</f>
        <v>2</v>
      </c>
      <c r="R1581"/>
    </row>
    <row r="1582" spans="1:18" x14ac:dyDescent="0.35">
      <c r="A1582" t="s">
        <v>2857</v>
      </c>
      <c r="B1582" s="2" t="s">
        <v>1753</v>
      </c>
      <c r="C1582" t="s">
        <v>730</v>
      </c>
      <c r="D1582" s="3" t="s">
        <v>4612</v>
      </c>
      <c r="E1582" t="s">
        <v>34</v>
      </c>
      <c r="F1582" t="s">
        <v>26</v>
      </c>
      <c r="G1582" t="s">
        <v>27</v>
      </c>
      <c r="H1582" s="8">
        <v>1</v>
      </c>
      <c r="I1582" s="10">
        <v>95</v>
      </c>
      <c r="J1582" s="14">
        <f>P1582*I1582</f>
        <v>95</v>
      </c>
      <c r="K1582" s="16">
        <v>520</v>
      </c>
      <c r="L1582" s="1" t="s">
        <v>30</v>
      </c>
      <c r="M1582" t="s">
        <v>58</v>
      </c>
      <c r="N1582" t="str">
        <f t="shared" si="33"/>
        <v>United Kingdom</v>
      </c>
      <c r="O1582" s="8">
        <f>IF(K1582&gt;=1,K1582,K1582*1000)</f>
        <v>520</v>
      </c>
      <c r="P1582">
        <f>ABS(H1582)</f>
        <v>1</v>
      </c>
      <c r="R1582"/>
    </row>
    <row r="1583" spans="1:18" x14ac:dyDescent="0.35">
      <c r="A1583" t="s">
        <v>2858</v>
      </c>
      <c r="B1583" s="2">
        <v>46137</v>
      </c>
      <c r="C1583" t="s">
        <v>361</v>
      </c>
      <c r="D1583" s="3" t="s">
        <v>4613</v>
      </c>
      <c r="E1583" t="s">
        <v>41</v>
      </c>
      <c r="F1583" t="s">
        <v>17</v>
      </c>
      <c r="G1583" t="s">
        <v>18</v>
      </c>
      <c r="H1583" s="8">
        <v>1</v>
      </c>
      <c r="I1583" s="10">
        <v>129</v>
      </c>
      <c r="J1583" s="14">
        <f>P1583*I1583</f>
        <v>129</v>
      </c>
      <c r="K1583" s="16">
        <v>0.52</v>
      </c>
      <c r="L1583" s="1" t="s">
        <v>30</v>
      </c>
      <c r="M1583" t="s">
        <v>22</v>
      </c>
      <c r="N1583" t="str">
        <f t="shared" si="33"/>
        <v>United Kingdom</v>
      </c>
      <c r="O1583" s="8">
        <f>IF(K1583&gt;=1,K1583,K1583*1000)</f>
        <v>520</v>
      </c>
      <c r="P1583">
        <f>ABS(H1583)</f>
        <v>1</v>
      </c>
      <c r="R1583"/>
    </row>
    <row r="1584" spans="1:18" x14ac:dyDescent="0.35">
      <c r="A1584" t="s">
        <v>2859</v>
      </c>
      <c r="B1584" s="2">
        <v>46068</v>
      </c>
      <c r="C1584" t="s">
        <v>2860</v>
      </c>
      <c r="D1584" s="3" t="s">
        <v>46</v>
      </c>
      <c r="E1584" t="s">
        <v>67</v>
      </c>
      <c r="F1584" t="s">
        <v>47</v>
      </c>
      <c r="G1584" t="s">
        <v>48</v>
      </c>
      <c r="H1584" s="8">
        <v>1</v>
      </c>
      <c r="I1584" s="10">
        <v>129</v>
      </c>
      <c r="J1584" s="14">
        <f>P1584*I1584</f>
        <v>129</v>
      </c>
      <c r="K1584" s="16">
        <v>380</v>
      </c>
      <c r="L1584" s="1" t="s">
        <v>30</v>
      </c>
      <c r="M1584" t="s">
        <v>58</v>
      </c>
      <c r="N1584" t="str">
        <f t="shared" si="33"/>
        <v>Ireland</v>
      </c>
      <c r="O1584" s="8">
        <f>IF(K1584&gt;=1,K1584,K1584*1000)</f>
        <v>380</v>
      </c>
      <c r="P1584">
        <f>ABS(H1584)</f>
        <v>1</v>
      </c>
      <c r="R1584"/>
    </row>
    <row r="1585" spans="1:18" x14ac:dyDescent="0.35">
      <c r="A1585" t="s">
        <v>2861</v>
      </c>
      <c r="B1585" s="2" t="s">
        <v>120</v>
      </c>
      <c r="C1585" t="s">
        <v>2862</v>
      </c>
      <c r="D1585" s="3" t="s">
        <v>116</v>
      </c>
      <c r="E1585" t="s">
        <v>16</v>
      </c>
      <c r="F1585" t="s">
        <v>35</v>
      </c>
      <c r="G1585" t="s">
        <v>36</v>
      </c>
      <c r="H1585" s="8">
        <v>3</v>
      </c>
      <c r="I1585" s="10">
        <v>129</v>
      </c>
      <c r="J1585" s="14">
        <f>P1585*I1585</f>
        <v>387</v>
      </c>
      <c r="K1585" s="16">
        <v>85</v>
      </c>
      <c r="L1585" s="1" t="s">
        <v>30</v>
      </c>
      <c r="M1585" t="s">
        <v>22</v>
      </c>
      <c r="N1585" t="str">
        <f t="shared" si="33"/>
        <v>Germany</v>
      </c>
      <c r="O1585" s="8">
        <f>IF(K1585&gt;=1,K1585,K1585*1000)</f>
        <v>85</v>
      </c>
      <c r="P1585">
        <f>ABS(H1585)</f>
        <v>3</v>
      </c>
      <c r="R1585"/>
    </row>
    <row r="1586" spans="1:18" x14ac:dyDescent="0.35">
      <c r="A1586" t="s">
        <v>2863</v>
      </c>
      <c r="B1586" s="2">
        <v>46143</v>
      </c>
      <c r="C1586" t="s">
        <v>2864</v>
      </c>
      <c r="D1586" s="3" t="s">
        <v>46</v>
      </c>
      <c r="E1586" t="s">
        <v>41</v>
      </c>
      <c r="F1586" t="s">
        <v>35</v>
      </c>
      <c r="G1586" t="s">
        <v>36</v>
      </c>
      <c r="H1586" s="8">
        <v>2</v>
      </c>
      <c r="I1586" s="10">
        <v>79</v>
      </c>
      <c r="J1586" s="14">
        <f>P1586*I1586</f>
        <v>158</v>
      </c>
      <c r="K1586" s="16">
        <v>8.5000000000000006E-2</v>
      </c>
      <c r="L1586" s="1" t="s">
        <v>30</v>
      </c>
      <c r="M1586" t="s">
        <v>22</v>
      </c>
      <c r="N1586" t="str">
        <f t="shared" si="33"/>
        <v>Ireland</v>
      </c>
      <c r="O1586" s="8">
        <f>IF(K1586&gt;=1,K1586,K1586*1000)</f>
        <v>85</v>
      </c>
      <c r="P1586">
        <f>ABS(H1586)</f>
        <v>2</v>
      </c>
      <c r="R1586"/>
    </row>
    <row r="1587" spans="1:18" x14ac:dyDescent="0.35">
      <c r="A1587" t="s">
        <v>2865</v>
      </c>
      <c r="B1587" s="2" t="s">
        <v>120</v>
      </c>
      <c r="C1587" t="s">
        <v>2039</v>
      </c>
      <c r="D1587" s="3" t="s">
        <v>53</v>
      </c>
      <c r="E1587" t="s">
        <v>25</v>
      </c>
      <c r="F1587" t="s">
        <v>89</v>
      </c>
      <c r="G1587" t="s">
        <v>90</v>
      </c>
      <c r="H1587" s="8">
        <v>3</v>
      </c>
      <c r="I1587" s="10">
        <v>79</v>
      </c>
      <c r="J1587" s="14">
        <f>P1587*I1587</f>
        <v>237</v>
      </c>
      <c r="K1587" s="16">
        <v>640</v>
      </c>
      <c r="L1587" s="1" t="s">
        <v>30</v>
      </c>
      <c r="M1587" t="s">
        <v>22</v>
      </c>
      <c r="N1587" t="str">
        <f t="shared" si="33"/>
        <v>Gb</v>
      </c>
      <c r="O1587" s="8">
        <f>IF(K1587&gt;=1,K1587,K1587*1000)</f>
        <v>640</v>
      </c>
      <c r="P1587">
        <f>ABS(H1587)</f>
        <v>3</v>
      </c>
      <c r="R1587"/>
    </row>
    <row r="1588" spans="1:18" x14ac:dyDescent="0.35">
      <c r="A1588" t="s">
        <v>2866</v>
      </c>
      <c r="B1588" s="2">
        <v>46082</v>
      </c>
      <c r="C1588" t="s">
        <v>587</v>
      </c>
      <c r="D1588" s="3" t="s">
        <v>99</v>
      </c>
      <c r="E1588" t="s">
        <v>34</v>
      </c>
      <c r="F1588" t="s">
        <v>26</v>
      </c>
      <c r="G1588" t="s">
        <v>27</v>
      </c>
      <c r="H1588" s="8">
        <v>3</v>
      </c>
      <c r="I1588" s="10">
        <v>12.5</v>
      </c>
      <c r="J1588" s="14">
        <f>P1588*I1588</f>
        <v>37.5</v>
      </c>
      <c r="K1588" s="16">
        <v>520</v>
      </c>
      <c r="L1588" s="1" t="s">
        <v>21</v>
      </c>
      <c r="M1588" t="s">
        <v>22</v>
      </c>
      <c r="N1588" t="str">
        <f t="shared" si="33"/>
        <v>United Kingdom</v>
      </c>
      <c r="O1588" s="8">
        <f>IF(K1588&gt;=1,K1588,K1588*1000)</f>
        <v>520</v>
      </c>
      <c r="P1588">
        <f>ABS(H1588)</f>
        <v>3</v>
      </c>
      <c r="R1588"/>
    </row>
    <row r="1589" spans="1:18" x14ac:dyDescent="0.35">
      <c r="A1589" t="s">
        <v>2867</v>
      </c>
      <c r="B1589" s="2">
        <v>46070</v>
      </c>
      <c r="C1589" t="s">
        <v>2868</v>
      </c>
      <c r="D1589" s="3" t="s">
        <v>4612</v>
      </c>
      <c r="E1589" t="s">
        <v>41</v>
      </c>
      <c r="F1589" t="s">
        <v>83</v>
      </c>
      <c r="G1589" t="s">
        <v>84</v>
      </c>
      <c r="H1589" s="8">
        <v>1</v>
      </c>
      <c r="I1589" s="12" t="s">
        <v>4632</v>
      </c>
      <c r="J1589" s="14">
        <f>P1589*R1589</f>
        <v>89</v>
      </c>
      <c r="K1589" s="16">
        <v>340</v>
      </c>
      <c r="L1589" s="1" t="s">
        <v>30</v>
      </c>
      <c r="M1589" t="s">
        <v>22</v>
      </c>
      <c r="N1589" t="str">
        <f t="shared" si="33"/>
        <v>United Kingdom</v>
      </c>
      <c r="O1589" s="8">
        <f>IF(K1589&gt;=1,K1589,K1589*1000)</f>
        <v>340</v>
      </c>
      <c r="P1589">
        <f>ABS(H1589)</f>
        <v>1</v>
      </c>
      <c r="Q1589" t="str">
        <f>LEFT(I1589,3)</f>
        <v>GBP</v>
      </c>
      <c r="R1589" s="10" t="str">
        <f>RIGHT(I1589,5)</f>
        <v>89,00</v>
      </c>
    </row>
    <row r="1590" spans="1:18" x14ac:dyDescent="0.35">
      <c r="A1590" t="s">
        <v>2869</v>
      </c>
      <c r="B1590" s="2" t="s">
        <v>949</v>
      </c>
      <c r="C1590" t="s">
        <v>2870</v>
      </c>
      <c r="D1590" s="3" t="s">
        <v>46</v>
      </c>
      <c r="E1590" t="s">
        <v>25</v>
      </c>
      <c r="F1590" t="s">
        <v>89</v>
      </c>
      <c r="G1590" t="s">
        <v>90</v>
      </c>
      <c r="H1590" s="8">
        <v>3</v>
      </c>
      <c r="I1590" s="10">
        <v>149</v>
      </c>
      <c r="J1590" s="14">
        <f>P1590*I1590</f>
        <v>447</v>
      </c>
      <c r="K1590" s="16">
        <v>0.64</v>
      </c>
      <c r="L1590" s="1" t="s">
        <v>30</v>
      </c>
      <c r="M1590" t="s">
        <v>22</v>
      </c>
      <c r="N1590" t="str">
        <f t="shared" si="33"/>
        <v>Ireland</v>
      </c>
      <c r="O1590" s="8">
        <f>IF(K1590&gt;=1,K1590,K1590*1000)</f>
        <v>640</v>
      </c>
      <c r="P1590">
        <f>ABS(H1590)</f>
        <v>3</v>
      </c>
      <c r="R1590"/>
    </row>
    <row r="1591" spans="1:18" x14ac:dyDescent="0.35">
      <c r="A1591" t="s">
        <v>2871</v>
      </c>
      <c r="B1591" s="2">
        <v>46187</v>
      </c>
      <c r="C1591" t="s">
        <v>204</v>
      </c>
      <c r="D1591" s="3" t="s">
        <v>4613</v>
      </c>
      <c r="E1591" t="s">
        <v>41</v>
      </c>
      <c r="F1591" t="s">
        <v>17</v>
      </c>
      <c r="G1591" t="s">
        <v>18</v>
      </c>
      <c r="H1591" s="8">
        <v>1</v>
      </c>
      <c r="I1591" s="10">
        <v>89</v>
      </c>
      <c r="J1591" s="14">
        <f>P1591*I1591</f>
        <v>89</v>
      </c>
      <c r="K1591" s="16">
        <v>0.52</v>
      </c>
      <c r="L1591" s="1" t="s">
        <v>30</v>
      </c>
      <c r="M1591" t="s">
        <v>58</v>
      </c>
      <c r="N1591" t="str">
        <f t="shared" si="33"/>
        <v>United Kingdom</v>
      </c>
      <c r="O1591" s="8">
        <f>IF(K1591&gt;=1,K1591,K1591*1000)</f>
        <v>520</v>
      </c>
      <c r="P1591">
        <f>ABS(H1591)</f>
        <v>1</v>
      </c>
      <c r="R1591"/>
    </row>
    <row r="1592" spans="1:18" x14ac:dyDescent="0.35">
      <c r="A1592" t="s">
        <v>2872</v>
      </c>
      <c r="B1592" s="2">
        <v>46266</v>
      </c>
      <c r="C1592" t="s">
        <v>2873</v>
      </c>
      <c r="D1592" s="3" t="s">
        <v>66</v>
      </c>
      <c r="E1592" t="s">
        <v>41</v>
      </c>
      <c r="F1592" t="s">
        <v>42</v>
      </c>
      <c r="G1592" t="s">
        <v>43</v>
      </c>
      <c r="H1592" s="8">
        <v>1</v>
      </c>
      <c r="I1592" s="10">
        <v>116.1</v>
      </c>
      <c r="J1592" s="14">
        <f>P1592*I1592</f>
        <v>116.1</v>
      </c>
      <c r="K1592" s="16">
        <v>190</v>
      </c>
      <c r="L1592" s="1" t="s">
        <v>21</v>
      </c>
      <c r="M1592" t="s">
        <v>22</v>
      </c>
      <c r="N1592" t="str">
        <f t="shared" si="33"/>
        <v>Gb</v>
      </c>
      <c r="O1592" s="8">
        <f>IF(K1592&gt;=1,K1592,K1592*1000)</f>
        <v>190</v>
      </c>
      <c r="P1592">
        <f>ABS(H1592)</f>
        <v>1</v>
      </c>
      <c r="R1592"/>
    </row>
    <row r="1593" spans="1:18" x14ac:dyDescent="0.35">
      <c r="A1593" t="s">
        <v>2875</v>
      </c>
      <c r="B1593" s="2">
        <v>46030</v>
      </c>
      <c r="C1593" t="s">
        <v>299</v>
      </c>
      <c r="D1593" s="3" t="s">
        <v>53</v>
      </c>
      <c r="E1593" t="s">
        <v>67</v>
      </c>
      <c r="F1593" t="s">
        <v>83</v>
      </c>
      <c r="G1593" t="s">
        <v>84</v>
      </c>
      <c r="H1593" s="8">
        <v>2</v>
      </c>
      <c r="I1593" s="10">
        <v>95</v>
      </c>
      <c r="J1593" s="14">
        <f>P1593*I1593</f>
        <v>190</v>
      </c>
      <c r="K1593" s="16">
        <v>340</v>
      </c>
      <c r="L1593" s="1" t="s">
        <v>30</v>
      </c>
      <c r="M1593" t="s">
        <v>22</v>
      </c>
      <c r="N1593" t="str">
        <f t="shared" si="33"/>
        <v>Gb</v>
      </c>
      <c r="O1593" s="8">
        <f>IF(K1593&gt;=1,K1593,K1593*1000)</f>
        <v>340</v>
      </c>
      <c r="P1593">
        <f>ABS(H1593)</f>
        <v>2</v>
      </c>
      <c r="R1593"/>
    </row>
    <row r="1594" spans="1:18" x14ac:dyDescent="0.35">
      <c r="A1594" t="s">
        <v>2876</v>
      </c>
      <c r="B1594" s="2">
        <v>46077</v>
      </c>
      <c r="C1594" t="s">
        <v>817</v>
      </c>
      <c r="D1594" s="3" t="s">
        <v>53</v>
      </c>
      <c r="E1594" t="s">
        <v>16</v>
      </c>
      <c r="F1594" t="s">
        <v>42</v>
      </c>
      <c r="G1594" t="s">
        <v>43</v>
      </c>
      <c r="H1594" s="8">
        <v>1</v>
      </c>
      <c r="I1594" s="10">
        <v>45</v>
      </c>
      <c r="J1594" s="14">
        <f>P1594*I1594</f>
        <v>45</v>
      </c>
      <c r="K1594" s="16">
        <v>190</v>
      </c>
      <c r="L1594" s="1" t="s">
        <v>30</v>
      </c>
      <c r="M1594" t="s">
        <v>22</v>
      </c>
      <c r="N1594" t="str">
        <f t="shared" si="33"/>
        <v>Gb</v>
      </c>
      <c r="O1594" s="8">
        <f>IF(K1594&gt;=1,K1594,K1594*1000)</f>
        <v>190</v>
      </c>
      <c r="P1594">
        <f>ABS(H1594)</f>
        <v>1</v>
      </c>
      <c r="R1594"/>
    </row>
    <row r="1595" spans="1:18" x14ac:dyDescent="0.35">
      <c r="A1595" t="s">
        <v>2877</v>
      </c>
      <c r="B1595" s="2" t="s">
        <v>880</v>
      </c>
      <c r="C1595" t="s">
        <v>1473</v>
      </c>
      <c r="D1595" s="3" t="s">
        <v>15</v>
      </c>
      <c r="E1595" t="s">
        <v>41</v>
      </c>
      <c r="F1595" t="s">
        <v>42</v>
      </c>
      <c r="G1595" t="s">
        <v>43</v>
      </c>
      <c r="H1595" s="8">
        <v>2</v>
      </c>
      <c r="I1595" s="10">
        <v>149</v>
      </c>
      <c r="J1595" s="14">
        <f>P1595*I1595</f>
        <v>298</v>
      </c>
      <c r="K1595" s="16">
        <v>190</v>
      </c>
      <c r="L1595" s="1" t="s">
        <v>30</v>
      </c>
      <c r="M1595" t="s">
        <v>22</v>
      </c>
      <c r="N1595" t="str">
        <f t="shared" si="33"/>
        <v>France</v>
      </c>
      <c r="O1595" s="8">
        <f>IF(K1595&gt;=1,K1595,K1595*1000)</f>
        <v>190</v>
      </c>
      <c r="P1595">
        <f>ABS(H1595)</f>
        <v>2</v>
      </c>
      <c r="R1595"/>
    </row>
    <row r="1596" spans="1:18" x14ac:dyDescent="0.35">
      <c r="A1596" t="s">
        <v>2878</v>
      </c>
      <c r="B1596" s="2">
        <v>46122</v>
      </c>
      <c r="C1596" t="s">
        <v>412</v>
      </c>
      <c r="D1596" s="3" t="s">
        <v>4613</v>
      </c>
      <c r="E1596" t="s">
        <v>67</v>
      </c>
      <c r="F1596" t="s">
        <v>74</v>
      </c>
      <c r="G1596" t="s">
        <v>75</v>
      </c>
      <c r="H1596" s="8">
        <v>3</v>
      </c>
      <c r="I1596" s="10">
        <v>24</v>
      </c>
      <c r="J1596" s="14">
        <f>P1596*I1596</f>
        <v>72</v>
      </c>
      <c r="K1596" s="16">
        <v>410</v>
      </c>
      <c r="L1596" s="1" t="s">
        <v>21</v>
      </c>
      <c r="M1596" t="s">
        <v>22</v>
      </c>
      <c r="N1596" t="str">
        <f t="shared" si="33"/>
        <v>United Kingdom</v>
      </c>
      <c r="O1596" s="8">
        <f>IF(K1596&gt;=1,K1596,K1596*1000)</f>
        <v>410</v>
      </c>
      <c r="P1596">
        <f>ABS(H1596)</f>
        <v>3</v>
      </c>
      <c r="R1596"/>
    </row>
    <row r="1597" spans="1:18" x14ac:dyDescent="0.35">
      <c r="A1597" t="s">
        <v>2879</v>
      </c>
      <c r="B1597" s="2">
        <v>46202</v>
      </c>
      <c r="C1597" t="s">
        <v>631</v>
      </c>
      <c r="D1597" s="3" t="s">
        <v>46</v>
      </c>
      <c r="E1597" t="s">
        <v>67</v>
      </c>
      <c r="F1597" t="s">
        <v>47</v>
      </c>
      <c r="G1597" t="s">
        <v>48</v>
      </c>
      <c r="H1597" s="8">
        <v>3</v>
      </c>
      <c r="I1597" s="12" t="s">
        <v>4622</v>
      </c>
      <c r="J1597" s="14">
        <f>P1597*R1597</f>
        <v>48.300000000000004</v>
      </c>
      <c r="K1597" s="16">
        <v>0.38</v>
      </c>
      <c r="L1597" s="1" t="s">
        <v>30</v>
      </c>
      <c r="M1597" t="s">
        <v>22</v>
      </c>
      <c r="N1597" t="str">
        <f t="shared" si="33"/>
        <v>Ireland</v>
      </c>
      <c r="O1597" s="8">
        <f>IF(K1597&gt;=1,K1597,K1597*1000)</f>
        <v>380</v>
      </c>
      <c r="P1597">
        <f>ABS(H1597)</f>
        <v>3</v>
      </c>
      <c r="Q1597" t="str">
        <f>LEFT(I1597,2)</f>
        <v>Â£</v>
      </c>
      <c r="R1597" t="str">
        <f>RIGHT(I1597,5)</f>
        <v>16,10</v>
      </c>
    </row>
    <row r="1598" spans="1:18" x14ac:dyDescent="0.35">
      <c r="A1598" t="s">
        <v>2881</v>
      </c>
      <c r="B1598" s="2">
        <v>46177</v>
      </c>
      <c r="C1598" t="s">
        <v>607</v>
      </c>
      <c r="D1598" s="3" t="s">
        <v>66</v>
      </c>
      <c r="E1598" t="s">
        <v>34</v>
      </c>
      <c r="F1598" t="s">
        <v>89</v>
      </c>
      <c r="G1598" t="s">
        <v>90</v>
      </c>
      <c r="H1598" s="8">
        <v>1</v>
      </c>
      <c r="I1598" s="10">
        <v>134.1</v>
      </c>
      <c r="J1598" s="14">
        <f>P1598*I1598</f>
        <v>134.1</v>
      </c>
      <c r="K1598" s="16">
        <v>0.64</v>
      </c>
      <c r="L1598" s="1" t="s">
        <v>30</v>
      </c>
      <c r="M1598" t="s">
        <v>22</v>
      </c>
      <c r="N1598" t="str">
        <f t="shared" si="33"/>
        <v>Gb</v>
      </c>
      <c r="O1598" s="8">
        <f>IF(K1598&gt;=1,K1598,K1598*1000)</f>
        <v>640</v>
      </c>
      <c r="P1598">
        <f>ABS(H1598)</f>
        <v>1</v>
      </c>
      <c r="R1598"/>
    </row>
    <row r="1599" spans="1:18" x14ac:dyDescent="0.35">
      <c r="A1599" t="s">
        <v>2882</v>
      </c>
      <c r="B1599" s="2">
        <v>46029</v>
      </c>
      <c r="C1599" t="s">
        <v>1130</v>
      </c>
      <c r="D1599" s="3" t="s">
        <v>99</v>
      </c>
      <c r="E1599" t="s">
        <v>67</v>
      </c>
      <c r="F1599" t="s">
        <v>74</v>
      </c>
      <c r="G1599" t="s">
        <v>75</v>
      </c>
      <c r="H1599" s="8">
        <v>3</v>
      </c>
      <c r="I1599" s="10">
        <v>11.25</v>
      </c>
      <c r="J1599" s="14">
        <f>P1599*I1599</f>
        <v>33.75</v>
      </c>
      <c r="K1599" s="16">
        <v>410</v>
      </c>
      <c r="L1599" s="1" t="s">
        <v>30</v>
      </c>
      <c r="M1599" t="s">
        <v>22</v>
      </c>
      <c r="N1599" t="str">
        <f t="shared" si="33"/>
        <v>United Kingdom</v>
      </c>
      <c r="O1599" s="8">
        <f>IF(K1599&gt;=1,K1599,K1599*1000)</f>
        <v>410</v>
      </c>
      <c r="P1599">
        <f>ABS(H1599)</f>
        <v>3</v>
      </c>
      <c r="R1599"/>
    </row>
    <row r="1600" spans="1:18" x14ac:dyDescent="0.35">
      <c r="A1600" t="s">
        <v>2883</v>
      </c>
      <c r="B1600" s="2">
        <v>46151</v>
      </c>
      <c r="C1600" t="s">
        <v>696</v>
      </c>
      <c r="D1600" s="3" t="s">
        <v>116</v>
      </c>
      <c r="E1600" t="s">
        <v>16</v>
      </c>
      <c r="F1600" t="s">
        <v>74</v>
      </c>
      <c r="G1600" t="s">
        <v>75</v>
      </c>
      <c r="H1600" s="8">
        <v>1</v>
      </c>
      <c r="I1600" s="12" t="s">
        <v>4638</v>
      </c>
      <c r="J1600" s="14">
        <f>P1600*R1600</f>
        <v>21.6</v>
      </c>
      <c r="K1600" s="16">
        <v>0.41</v>
      </c>
      <c r="L1600" s="1" t="s">
        <v>30</v>
      </c>
      <c r="M1600" t="s">
        <v>22</v>
      </c>
      <c r="N1600" t="str">
        <f t="shared" si="33"/>
        <v>Germany</v>
      </c>
      <c r="O1600" s="8">
        <f>IF(K1600&gt;=1,K1600,K1600*1000)</f>
        <v>410</v>
      </c>
      <c r="P1600">
        <f>ABS(H1600)</f>
        <v>1</v>
      </c>
      <c r="Q1600" t="str">
        <f>LEFT(I1600,2)</f>
        <v>Â£</v>
      </c>
      <c r="R1600" t="str">
        <f>RIGHT(I1600,5)</f>
        <v>21,60</v>
      </c>
    </row>
    <row r="1601" spans="1:18" x14ac:dyDescent="0.35">
      <c r="A1601" t="s">
        <v>2884</v>
      </c>
      <c r="B1601" s="2">
        <v>46332</v>
      </c>
      <c r="C1601" t="s">
        <v>2022</v>
      </c>
      <c r="D1601" s="3" t="s">
        <v>116</v>
      </c>
      <c r="E1601" t="s">
        <v>16</v>
      </c>
      <c r="F1601" t="s">
        <v>47</v>
      </c>
      <c r="G1601" t="s">
        <v>48</v>
      </c>
      <c r="H1601" s="8">
        <v>1</v>
      </c>
      <c r="I1601" s="10">
        <v>79</v>
      </c>
      <c r="J1601" s="14">
        <f>P1601*I1601</f>
        <v>79</v>
      </c>
      <c r="K1601" s="16">
        <v>0.38</v>
      </c>
      <c r="L1601" s="1" t="s">
        <v>30</v>
      </c>
      <c r="M1601" t="s">
        <v>22</v>
      </c>
      <c r="N1601" t="str">
        <f t="shared" si="33"/>
        <v>Germany</v>
      </c>
      <c r="O1601" s="8">
        <f>IF(K1601&gt;=1,K1601,K1601*1000)</f>
        <v>380</v>
      </c>
      <c r="P1601">
        <f>ABS(H1601)</f>
        <v>1</v>
      </c>
      <c r="R1601"/>
    </row>
    <row r="1602" spans="1:18" x14ac:dyDescent="0.35">
      <c r="A1602" t="s">
        <v>2885</v>
      </c>
      <c r="B1602" s="2" t="s">
        <v>2645</v>
      </c>
      <c r="C1602" t="s">
        <v>1054</v>
      </c>
      <c r="D1602" s="3" t="s">
        <v>15</v>
      </c>
      <c r="E1602" t="s">
        <v>16</v>
      </c>
      <c r="F1602" t="s">
        <v>17</v>
      </c>
      <c r="G1602" t="s">
        <v>18</v>
      </c>
      <c r="H1602" s="8">
        <v>1</v>
      </c>
      <c r="I1602" s="10">
        <v>129</v>
      </c>
      <c r="J1602" s="14">
        <f>P1602*I1602</f>
        <v>129</v>
      </c>
      <c r="K1602" s="16">
        <v>0.52</v>
      </c>
      <c r="L1602" s="1" t="s">
        <v>30</v>
      </c>
      <c r="M1602" t="s">
        <v>58</v>
      </c>
      <c r="N1602" t="str">
        <f t="shared" si="33"/>
        <v>France</v>
      </c>
      <c r="O1602" s="8">
        <f>IF(K1602&gt;=1,K1602,K1602*1000)</f>
        <v>520</v>
      </c>
      <c r="P1602">
        <f>ABS(H1602)</f>
        <v>1</v>
      </c>
      <c r="R1602"/>
    </row>
    <row r="1603" spans="1:18" x14ac:dyDescent="0.35">
      <c r="A1603" t="s">
        <v>2886</v>
      </c>
      <c r="B1603" s="2">
        <v>46063</v>
      </c>
      <c r="C1603" t="s">
        <v>320</v>
      </c>
      <c r="D1603" s="3" t="s">
        <v>4612</v>
      </c>
      <c r="E1603" t="s">
        <v>34</v>
      </c>
      <c r="F1603" t="s">
        <v>89</v>
      </c>
      <c r="G1603" t="s">
        <v>90</v>
      </c>
      <c r="H1603" s="8">
        <v>2</v>
      </c>
      <c r="I1603" s="10">
        <v>71.099999999999994</v>
      </c>
      <c r="J1603" s="14">
        <f>P1603*I1603</f>
        <v>142.19999999999999</v>
      </c>
      <c r="K1603" s="16">
        <v>640</v>
      </c>
      <c r="L1603" s="1" t="s">
        <v>30</v>
      </c>
      <c r="M1603" t="s">
        <v>58</v>
      </c>
      <c r="N1603" t="str">
        <f t="shared" ref="N1603:N1666" si="34">PROPER(TRIM(D1603))</f>
        <v>United Kingdom</v>
      </c>
      <c r="O1603" s="8">
        <f>IF(K1603&gt;=1,K1603,K1603*1000)</f>
        <v>640</v>
      </c>
      <c r="P1603">
        <f>ABS(H1603)</f>
        <v>2</v>
      </c>
      <c r="R1603"/>
    </row>
    <row r="1604" spans="1:18" x14ac:dyDescent="0.35">
      <c r="A1604" t="s">
        <v>2887</v>
      </c>
      <c r="B1604" s="2">
        <v>46208</v>
      </c>
      <c r="C1604" t="s">
        <v>513</v>
      </c>
      <c r="D1604" s="3" t="s">
        <v>4613</v>
      </c>
      <c r="E1604" t="s">
        <v>16</v>
      </c>
      <c r="F1604" t="s">
        <v>89</v>
      </c>
      <c r="G1604" t="s">
        <v>90</v>
      </c>
      <c r="H1604" s="8">
        <v>2</v>
      </c>
      <c r="I1604" s="10">
        <v>21.6</v>
      </c>
      <c r="J1604" s="14">
        <f>P1604*I1604</f>
        <v>43.2</v>
      </c>
      <c r="K1604" s="16">
        <v>0.64</v>
      </c>
      <c r="L1604" s="1" t="s">
        <v>30</v>
      </c>
      <c r="M1604" t="s">
        <v>22</v>
      </c>
      <c r="N1604" t="str">
        <f t="shared" si="34"/>
        <v>United Kingdom</v>
      </c>
      <c r="O1604" s="8">
        <f>IF(K1604&gt;=1,K1604,K1604*1000)</f>
        <v>640</v>
      </c>
      <c r="P1604">
        <f>ABS(H1604)</f>
        <v>2</v>
      </c>
      <c r="R1604"/>
    </row>
    <row r="1605" spans="1:18" x14ac:dyDescent="0.35">
      <c r="A1605" t="s">
        <v>2888</v>
      </c>
      <c r="B1605" s="2">
        <v>46115</v>
      </c>
      <c r="C1605" t="s">
        <v>938</v>
      </c>
      <c r="D1605" s="3" t="s">
        <v>53</v>
      </c>
      <c r="E1605" t="s">
        <v>16</v>
      </c>
      <c r="F1605" t="s">
        <v>26</v>
      </c>
      <c r="G1605" t="s">
        <v>27</v>
      </c>
      <c r="H1605" s="8">
        <v>1</v>
      </c>
      <c r="I1605" s="10">
        <v>129</v>
      </c>
      <c r="J1605" s="14">
        <f>P1605*I1605</f>
        <v>129</v>
      </c>
      <c r="K1605" s="16">
        <v>520</v>
      </c>
      <c r="L1605" s="1" t="s">
        <v>30</v>
      </c>
      <c r="M1605" t="s">
        <v>58</v>
      </c>
      <c r="N1605" t="str">
        <f t="shared" si="34"/>
        <v>Gb</v>
      </c>
      <c r="O1605" s="8">
        <f>IF(K1605&gt;=1,K1605,K1605*1000)</f>
        <v>520</v>
      </c>
      <c r="P1605">
        <f>ABS(H1605)</f>
        <v>1</v>
      </c>
      <c r="R1605"/>
    </row>
    <row r="1606" spans="1:18" x14ac:dyDescent="0.35">
      <c r="A1606" t="s">
        <v>2889</v>
      </c>
      <c r="B1606" s="2">
        <v>46079</v>
      </c>
      <c r="C1606" t="s">
        <v>2890</v>
      </c>
      <c r="D1606" s="3" t="s">
        <v>15</v>
      </c>
      <c r="E1606" t="s">
        <v>34</v>
      </c>
      <c r="F1606" t="s">
        <v>47</v>
      </c>
      <c r="G1606" t="s">
        <v>48</v>
      </c>
      <c r="H1606" s="8">
        <v>1</v>
      </c>
      <c r="I1606" s="10">
        <v>45</v>
      </c>
      <c r="J1606" s="14">
        <f>P1606*I1606</f>
        <v>45</v>
      </c>
      <c r="K1606" s="16">
        <v>380</v>
      </c>
      <c r="L1606" s="1" t="s">
        <v>21</v>
      </c>
      <c r="M1606" t="s">
        <v>22</v>
      </c>
      <c r="N1606" t="str">
        <f t="shared" si="34"/>
        <v>France</v>
      </c>
      <c r="O1606" s="8">
        <f>IF(K1606&gt;=1,K1606,K1606*1000)</f>
        <v>380</v>
      </c>
      <c r="P1606">
        <f>ABS(H1606)</f>
        <v>1</v>
      </c>
      <c r="R1606"/>
    </row>
    <row r="1607" spans="1:18" x14ac:dyDescent="0.35">
      <c r="A1607" t="s">
        <v>2891</v>
      </c>
      <c r="B1607" s="2">
        <v>46144</v>
      </c>
      <c r="C1607" t="s">
        <v>860</v>
      </c>
      <c r="D1607" s="3" t="s">
        <v>4613</v>
      </c>
      <c r="E1607" t="s">
        <v>67</v>
      </c>
      <c r="F1607" t="s">
        <v>26</v>
      </c>
      <c r="G1607" t="s">
        <v>27</v>
      </c>
      <c r="H1607" s="8">
        <v>3</v>
      </c>
      <c r="I1607" s="10">
        <v>11.25</v>
      </c>
      <c r="J1607" s="14">
        <f>P1607*I1607</f>
        <v>33.75</v>
      </c>
      <c r="K1607" s="16">
        <v>520</v>
      </c>
      <c r="L1607" s="1" t="s">
        <v>30</v>
      </c>
      <c r="M1607" t="s">
        <v>22</v>
      </c>
      <c r="N1607" t="str">
        <f t="shared" si="34"/>
        <v>United Kingdom</v>
      </c>
      <c r="O1607" s="8">
        <f>IF(K1607&gt;=1,K1607,K1607*1000)</f>
        <v>520</v>
      </c>
      <c r="P1607">
        <f>ABS(H1607)</f>
        <v>3</v>
      </c>
      <c r="R1607"/>
    </row>
    <row r="1608" spans="1:18" x14ac:dyDescent="0.35">
      <c r="A1608" t="s">
        <v>2892</v>
      </c>
      <c r="B1608" s="2">
        <v>46088</v>
      </c>
      <c r="C1608" t="s">
        <v>881</v>
      </c>
      <c r="D1608" s="3" t="s">
        <v>116</v>
      </c>
      <c r="E1608" t="s">
        <v>25</v>
      </c>
      <c r="F1608" t="s">
        <v>17</v>
      </c>
      <c r="G1608" t="s">
        <v>18</v>
      </c>
      <c r="H1608" s="8">
        <v>1</v>
      </c>
      <c r="I1608" s="10">
        <v>129</v>
      </c>
      <c r="J1608" s="14">
        <f>P1608*I1608</f>
        <v>129</v>
      </c>
      <c r="K1608" s="16">
        <v>520</v>
      </c>
      <c r="L1608" s="1" t="s">
        <v>30</v>
      </c>
      <c r="M1608" t="s">
        <v>22</v>
      </c>
      <c r="N1608" t="str">
        <f t="shared" si="34"/>
        <v>Germany</v>
      </c>
      <c r="O1608" s="8">
        <f>IF(K1608&gt;=1,K1608,K1608*1000)</f>
        <v>520</v>
      </c>
      <c r="P1608">
        <f>ABS(H1608)</f>
        <v>1</v>
      </c>
      <c r="R1608"/>
    </row>
    <row r="1609" spans="1:18" x14ac:dyDescent="0.35">
      <c r="A1609" t="s">
        <v>2893</v>
      </c>
      <c r="B1609" s="2">
        <v>46096</v>
      </c>
      <c r="C1609" t="s">
        <v>2894</v>
      </c>
      <c r="D1609" s="3" t="s">
        <v>46</v>
      </c>
      <c r="E1609" t="s">
        <v>67</v>
      </c>
      <c r="F1609" t="s">
        <v>35</v>
      </c>
      <c r="G1609" t="s">
        <v>36</v>
      </c>
      <c r="H1609" s="8">
        <v>1</v>
      </c>
      <c r="I1609" s="10">
        <v>89</v>
      </c>
      <c r="J1609" s="14">
        <f>P1609*I1609</f>
        <v>89</v>
      </c>
      <c r="K1609" s="16">
        <v>85</v>
      </c>
      <c r="L1609" s="1" t="s">
        <v>21</v>
      </c>
      <c r="M1609" t="s">
        <v>58</v>
      </c>
      <c r="N1609" t="str">
        <f t="shared" si="34"/>
        <v>Ireland</v>
      </c>
      <c r="O1609" s="8">
        <f>IF(K1609&gt;=1,K1609,K1609*1000)</f>
        <v>85</v>
      </c>
      <c r="P1609">
        <f>ABS(H1609)</f>
        <v>1</v>
      </c>
      <c r="R1609"/>
    </row>
    <row r="1610" spans="1:18" x14ac:dyDescent="0.35">
      <c r="A1610" t="s">
        <v>2895</v>
      </c>
      <c r="B1610" s="2">
        <v>46117</v>
      </c>
      <c r="C1610" t="s">
        <v>2896</v>
      </c>
      <c r="D1610" s="3" t="s">
        <v>46</v>
      </c>
      <c r="E1610" t="s">
        <v>25</v>
      </c>
      <c r="F1610" t="s">
        <v>47</v>
      </c>
      <c r="G1610" t="s">
        <v>48</v>
      </c>
      <c r="H1610" s="8">
        <v>1</v>
      </c>
      <c r="I1610" s="10">
        <v>134.1</v>
      </c>
      <c r="J1610" s="14">
        <f>P1610*I1610</f>
        <v>134.1</v>
      </c>
      <c r="K1610" s="16">
        <v>380</v>
      </c>
      <c r="L1610" s="1" t="s">
        <v>21</v>
      </c>
      <c r="M1610" t="s">
        <v>22</v>
      </c>
      <c r="N1610" t="str">
        <f t="shared" si="34"/>
        <v>Ireland</v>
      </c>
      <c r="O1610" s="8">
        <f>IF(K1610&gt;=1,K1610,K1610*1000)</f>
        <v>380</v>
      </c>
      <c r="P1610">
        <f>ABS(H1610)</f>
        <v>1</v>
      </c>
      <c r="R1610"/>
    </row>
    <row r="1611" spans="1:18" x14ac:dyDescent="0.35">
      <c r="A1611" t="s">
        <v>2897</v>
      </c>
      <c r="B1611" s="2">
        <v>46120</v>
      </c>
      <c r="C1611" t="s">
        <v>2898</v>
      </c>
      <c r="D1611" s="3" t="s">
        <v>116</v>
      </c>
      <c r="E1611" t="s">
        <v>34</v>
      </c>
      <c r="F1611" t="s">
        <v>35</v>
      </c>
      <c r="G1611" t="s">
        <v>36</v>
      </c>
      <c r="H1611" s="8">
        <v>1</v>
      </c>
      <c r="I1611" s="10">
        <v>45</v>
      </c>
      <c r="J1611" s="14">
        <f>P1611*I1611</f>
        <v>45</v>
      </c>
      <c r="K1611" s="16">
        <v>85</v>
      </c>
      <c r="L1611" s="1" t="s">
        <v>21</v>
      </c>
      <c r="M1611" t="s">
        <v>58</v>
      </c>
      <c r="N1611" t="str">
        <f t="shared" si="34"/>
        <v>Germany</v>
      </c>
      <c r="O1611" s="8">
        <f>IF(K1611&gt;=1,K1611,K1611*1000)</f>
        <v>85</v>
      </c>
      <c r="P1611">
        <f>ABS(H1611)</f>
        <v>1</v>
      </c>
      <c r="R1611"/>
    </row>
    <row r="1612" spans="1:18" x14ac:dyDescent="0.35">
      <c r="A1612" t="s">
        <v>2899</v>
      </c>
      <c r="B1612" s="2">
        <v>46112</v>
      </c>
      <c r="C1612" t="s">
        <v>481</v>
      </c>
      <c r="D1612" s="3" t="s">
        <v>4613</v>
      </c>
      <c r="E1612" t="s">
        <v>67</v>
      </c>
      <c r="F1612" t="s">
        <v>47</v>
      </c>
      <c r="G1612" t="s">
        <v>48</v>
      </c>
      <c r="H1612" s="8">
        <v>2</v>
      </c>
      <c r="I1612" s="10">
        <v>89</v>
      </c>
      <c r="J1612" s="14">
        <f>P1612*I1612</f>
        <v>178</v>
      </c>
      <c r="K1612" s="16">
        <v>380</v>
      </c>
      <c r="L1612" s="1" t="s">
        <v>30</v>
      </c>
      <c r="M1612" t="s">
        <v>22</v>
      </c>
      <c r="N1612" t="str">
        <f t="shared" si="34"/>
        <v>United Kingdom</v>
      </c>
      <c r="O1612" s="8">
        <f>IF(K1612&gt;=1,K1612,K1612*1000)</f>
        <v>380</v>
      </c>
      <c r="P1612">
        <f>ABS(H1612)</f>
        <v>2</v>
      </c>
      <c r="R1612"/>
    </row>
    <row r="1613" spans="1:18" x14ac:dyDescent="0.35">
      <c r="A1613" t="s">
        <v>2900</v>
      </c>
      <c r="B1613" s="2">
        <v>46140</v>
      </c>
      <c r="C1613" t="s">
        <v>229</v>
      </c>
      <c r="D1613" s="3" t="s">
        <v>66</v>
      </c>
      <c r="E1613" t="s">
        <v>25</v>
      </c>
      <c r="F1613" t="s">
        <v>26</v>
      </c>
      <c r="G1613" t="s">
        <v>27</v>
      </c>
      <c r="H1613" s="8">
        <v>1</v>
      </c>
      <c r="I1613" s="10">
        <v>45</v>
      </c>
      <c r="J1613" s="14">
        <f>P1613*I1613</f>
        <v>45</v>
      </c>
      <c r="K1613" s="16">
        <v>0.52</v>
      </c>
      <c r="L1613" s="1" t="s">
        <v>30</v>
      </c>
      <c r="M1613" t="s">
        <v>22</v>
      </c>
      <c r="N1613" t="str">
        <f t="shared" si="34"/>
        <v>Gb</v>
      </c>
      <c r="O1613" s="8">
        <f>IF(K1613&gt;=1,K1613,K1613*1000)</f>
        <v>520</v>
      </c>
      <c r="P1613">
        <f>ABS(H1613)</f>
        <v>1</v>
      </c>
      <c r="R1613"/>
    </row>
    <row r="1614" spans="1:18" x14ac:dyDescent="0.35">
      <c r="A1614" t="s">
        <v>2901</v>
      </c>
      <c r="B1614" s="2">
        <v>46134</v>
      </c>
      <c r="C1614" t="s">
        <v>2376</v>
      </c>
      <c r="D1614" s="3" t="s">
        <v>46</v>
      </c>
      <c r="E1614" t="s">
        <v>41</v>
      </c>
      <c r="F1614" t="s">
        <v>35</v>
      </c>
      <c r="G1614" t="s">
        <v>36</v>
      </c>
      <c r="H1614" s="8">
        <v>2</v>
      </c>
      <c r="I1614" s="10">
        <v>79</v>
      </c>
      <c r="J1614" s="14">
        <f>P1614*I1614</f>
        <v>158</v>
      </c>
      <c r="K1614" s="16">
        <v>8.5000000000000006E-2</v>
      </c>
      <c r="L1614" s="1" t="s">
        <v>30</v>
      </c>
      <c r="M1614" t="s">
        <v>22</v>
      </c>
      <c r="N1614" t="str">
        <f t="shared" si="34"/>
        <v>Ireland</v>
      </c>
      <c r="O1614" s="8">
        <f>IF(K1614&gt;=1,K1614,K1614*1000)</f>
        <v>85</v>
      </c>
      <c r="P1614">
        <f>ABS(H1614)</f>
        <v>2</v>
      </c>
      <c r="R1614"/>
    </row>
    <row r="1615" spans="1:18" x14ac:dyDescent="0.35">
      <c r="A1615" t="s">
        <v>2902</v>
      </c>
      <c r="B1615" s="2">
        <v>46035</v>
      </c>
      <c r="C1615" t="s">
        <v>1296</v>
      </c>
      <c r="D1615" s="3" t="s">
        <v>99</v>
      </c>
      <c r="E1615" t="s">
        <v>25</v>
      </c>
      <c r="F1615" t="s">
        <v>42</v>
      </c>
      <c r="G1615" t="s">
        <v>43</v>
      </c>
      <c r="H1615" s="8">
        <v>2</v>
      </c>
      <c r="I1615" s="10">
        <v>24</v>
      </c>
      <c r="J1615" s="14">
        <f>P1615*I1615</f>
        <v>48</v>
      </c>
      <c r="K1615" s="16">
        <v>190</v>
      </c>
      <c r="L1615" s="1" t="s">
        <v>30</v>
      </c>
      <c r="M1615" t="s">
        <v>22</v>
      </c>
      <c r="N1615" t="str">
        <f t="shared" si="34"/>
        <v>United Kingdom</v>
      </c>
      <c r="O1615" s="8">
        <f>IF(K1615&gt;=1,K1615,K1615*1000)</f>
        <v>190</v>
      </c>
      <c r="P1615">
        <f>ABS(H1615)</f>
        <v>2</v>
      </c>
      <c r="R1615"/>
    </row>
    <row r="1616" spans="1:18" x14ac:dyDescent="0.35">
      <c r="A1616" t="s">
        <v>2903</v>
      </c>
      <c r="B1616" s="2" t="s">
        <v>610</v>
      </c>
      <c r="C1616" t="s">
        <v>1199</v>
      </c>
      <c r="D1616" s="3" t="s">
        <v>15</v>
      </c>
      <c r="E1616" t="s">
        <v>41</v>
      </c>
      <c r="F1616" t="s">
        <v>74</v>
      </c>
      <c r="G1616" t="s">
        <v>75</v>
      </c>
      <c r="H1616" s="8">
        <v>1</v>
      </c>
      <c r="I1616" s="10">
        <v>89</v>
      </c>
      <c r="J1616" s="14">
        <f>P1616*I1616</f>
        <v>89</v>
      </c>
      <c r="K1616" s="16">
        <v>0.41</v>
      </c>
      <c r="L1616" s="1" t="s">
        <v>30</v>
      </c>
      <c r="M1616" t="s">
        <v>22</v>
      </c>
      <c r="N1616" t="str">
        <f t="shared" si="34"/>
        <v>France</v>
      </c>
      <c r="O1616" s="8">
        <f>IF(K1616&gt;=1,K1616,K1616*1000)</f>
        <v>410</v>
      </c>
      <c r="P1616">
        <f>ABS(H1616)</f>
        <v>1</v>
      </c>
      <c r="R1616"/>
    </row>
    <row r="1617" spans="1:18" x14ac:dyDescent="0.35">
      <c r="A1617" t="s">
        <v>2904</v>
      </c>
      <c r="B1617" s="2">
        <v>46178</v>
      </c>
      <c r="C1617" t="s">
        <v>1798</v>
      </c>
      <c r="D1617" s="3" t="s">
        <v>61</v>
      </c>
      <c r="E1617" t="s">
        <v>41</v>
      </c>
      <c r="F1617" t="s">
        <v>35</v>
      </c>
      <c r="G1617" t="s">
        <v>36</v>
      </c>
      <c r="H1617" s="8">
        <v>1</v>
      </c>
      <c r="I1617" s="10">
        <v>79</v>
      </c>
      <c r="J1617" s="14">
        <f>P1617*I1617</f>
        <v>79</v>
      </c>
      <c r="K1617" s="16">
        <v>8.5000000000000006E-2</v>
      </c>
      <c r="L1617" s="1" t="s">
        <v>21</v>
      </c>
      <c r="M1617" t="s">
        <v>22</v>
      </c>
      <c r="N1617" t="str">
        <f t="shared" si="34"/>
        <v>Ireland</v>
      </c>
      <c r="O1617" s="8">
        <f>IF(K1617&gt;=1,K1617,K1617*1000)</f>
        <v>85</v>
      </c>
      <c r="P1617">
        <f>ABS(H1617)</f>
        <v>1</v>
      </c>
      <c r="R1617"/>
    </row>
    <row r="1618" spans="1:18" x14ac:dyDescent="0.35">
      <c r="A1618" t="s">
        <v>2905</v>
      </c>
      <c r="B1618" s="2">
        <v>46111</v>
      </c>
      <c r="C1618" t="s">
        <v>2906</v>
      </c>
      <c r="D1618" s="3" t="s">
        <v>46</v>
      </c>
      <c r="E1618" t="s">
        <v>41</v>
      </c>
      <c r="F1618" t="s">
        <v>89</v>
      </c>
      <c r="G1618" t="s">
        <v>90</v>
      </c>
      <c r="H1618" s="8">
        <v>2</v>
      </c>
      <c r="I1618" s="10">
        <v>149</v>
      </c>
      <c r="J1618" s="14">
        <f>P1618*I1618</f>
        <v>298</v>
      </c>
      <c r="K1618" s="16">
        <v>640</v>
      </c>
      <c r="L1618" s="1" t="s">
        <v>30</v>
      </c>
      <c r="M1618" t="s">
        <v>58</v>
      </c>
      <c r="N1618" t="str">
        <f t="shared" si="34"/>
        <v>Ireland</v>
      </c>
      <c r="O1618" s="8">
        <f>IF(K1618&gt;=1,K1618,K1618*1000)</f>
        <v>640</v>
      </c>
      <c r="P1618">
        <f>ABS(H1618)</f>
        <v>2</v>
      </c>
      <c r="R1618"/>
    </row>
    <row r="1619" spans="1:18" x14ac:dyDescent="0.35">
      <c r="A1619" t="s">
        <v>2907</v>
      </c>
      <c r="B1619" s="2">
        <v>46205</v>
      </c>
      <c r="C1619" t="s">
        <v>2908</v>
      </c>
      <c r="D1619" s="3" t="s">
        <v>46</v>
      </c>
      <c r="E1619" t="s">
        <v>16</v>
      </c>
      <c r="F1619" t="s">
        <v>17</v>
      </c>
      <c r="G1619" t="s">
        <v>18</v>
      </c>
      <c r="H1619" s="8">
        <v>1</v>
      </c>
      <c r="I1619" s="10">
        <v>12.5</v>
      </c>
      <c r="J1619" s="14">
        <f>P1619*I1619</f>
        <v>12.5</v>
      </c>
      <c r="K1619" s="16">
        <v>0.52</v>
      </c>
      <c r="L1619" s="1" t="s">
        <v>21</v>
      </c>
      <c r="M1619" t="s">
        <v>22</v>
      </c>
      <c r="N1619" t="str">
        <f t="shared" si="34"/>
        <v>Ireland</v>
      </c>
      <c r="O1619" s="8">
        <f>IF(K1619&gt;=1,K1619,K1619*1000)</f>
        <v>520</v>
      </c>
      <c r="P1619">
        <f>ABS(H1619)</f>
        <v>1</v>
      </c>
      <c r="R1619"/>
    </row>
    <row r="1620" spans="1:18" x14ac:dyDescent="0.35">
      <c r="A1620" t="s">
        <v>2909</v>
      </c>
      <c r="B1620" s="2">
        <v>46030</v>
      </c>
      <c r="C1620" t="s">
        <v>2583</v>
      </c>
      <c r="D1620" s="3" t="s">
        <v>116</v>
      </c>
      <c r="E1620" t="s">
        <v>67</v>
      </c>
      <c r="F1620" t="s">
        <v>47</v>
      </c>
      <c r="G1620" t="s">
        <v>48</v>
      </c>
      <c r="H1620" s="8">
        <v>1</v>
      </c>
      <c r="I1620" s="10">
        <v>24</v>
      </c>
      <c r="J1620" s="14">
        <f>P1620*I1620</f>
        <v>24</v>
      </c>
      <c r="K1620" s="16">
        <v>380</v>
      </c>
      <c r="L1620" s="1" t="s">
        <v>30</v>
      </c>
      <c r="M1620" t="s">
        <v>22</v>
      </c>
      <c r="N1620" t="str">
        <f t="shared" si="34"/>
        <v>Germany</v>
      </c>
      <c r="O1620" s="8">
        <f>IF(K1620&gt;=1,K1620,K1620*1000)</f>
        <v>380</v>
      </c>
      <c r="P1620">
        <f>ABS(H1620)</f>
        <v>1</v>
      </c>
      <c r="R1620"/>
    </row>
    <row r="1621" spans="1:18" x14ac:dyDescent="0.35">
      <c r="A1621" t="s">
        <v>2910</v>
      </c>
      <c r="B1621" s="2">
        <v>46129</v>
      </c>
      <c r="C1621" t="s">
        <v>2052</v>
      </c>
      <c r="D1621" s="3" t="s">
        <v>53</v>
      </c>
      <c r="E1621" t="s">
        <v>34</v>
      </c>
      <c r="F1621" t="s">
        <v>89</v>
      </c>
      <c r="G1621" t="s">
        <v>90</v>
      </c>
      <c r="H1621" s="8">
        <v>2</v>
      </c>
      <c r="I1621" s="10">
        <v>24</v>
      </c>
      <c r="J1621" s="14">
        <f>P1621*I1621</f>
        <v>48</v>
      </c>
      <c r="K1621" s="16">
        <v>640</v>
      </c>
      <c r="L1621" s="1" t="s">
        <v>21</v>
      </c>
      <c r="M1621" t="s">
        <v>22</v>
      </c>
      <c r="N1621" t="str">
        <f t="shared" si="34"/>
        <v>Gb</v>
      </c>
      <c r="O1621" s="8">
        <f>IF(K1621&gt;=1,K1621,K1621*1000)</f>
        <v>640</v>
      </c>
      <c r="P1621">
        <f>ABS(H1621)</f>
        <v>2</v>
      </c>
      <c r="R1621"/>
    </row>
    <row r="1622" spans="1:18" x14ac:dyDescent="0.35">
      <c r="A1622" t="s">
        <v>2911</v>
      </c>
      <c r="B1622" s="2">
        <v>46068</v>
      </c>
      <c r="C1622" t="s">
        <v>2912</v>
      </c>
      <c r="D1622" s="3" t="s">
        <v>53</v>
      </c>
      <c r="E1622" t="s">
        <v>16</v>
      </c>
      <c r="F1622" t="s">
        <v>26</v>
      </c>
      <c r="G1622" t="s">
        <v>27</v>
      </c>
      <c r="H1622" s="8">
        <v>1</v>
      </c>
      <c r="I1622" s="10">
        <v>21.6</v>
      </c>
      <c r="J1622" s="14">
        <f>P1622*I1622</f>
        <v>21.6</v>
      </c>
      <c r="K1622" s="16">
        <v>520</v>
      </c>
      <c r="L1622" s="1" t="s">
        <v>30</v>
      </c>
      <c r="M1622" t="s">
        <v>22</v>
      </c>
      <c r="N1622" t="str">
        <f t="shared" si="34"/>
        <v>Gb</v>
      </c>
      <c r="O1622" s="8">
        <f>IF(K1622&gt;=1,K1622,K1622*1000)</f>
        <v>520</v>
      </c>
      <c r="P1622">
        <f>ABS(H1622)</f>
        <v>1</v>
      </c>
      <c r="R1622"/>
    </row>
    <row r="1623" spans="1:18" x14ac:dyDescent="0.35">
      <c r="A1623" t="s">
        <v>2913</v>
      </c>
      <c r="B1623" s="2">
        <v>46128</v>
      </c>
      <c r="C1623" t="s">
        <v>2914</v>
      </c>
      <c r="D1623" s="3" t="s">
        <v>15</v>
      </c>
      <c r="E1623" t="s">
        <v>16</v>
      </c>
      <c r="F1623" t="s">
        <v>17</v>
      </c>
      <c r="G1623" t="s">
        <v>18</v>
      </c>
      <c r="H1623" s="8">
        <v>1</v>
      </c>
      <c r="I1623" s="10">
        <v>71.099999999999994</v>
      </c>
      <c r="J1623" s="14">
        <f>P1623*I1623</f>
        <v>71.099999999999994</v>
      </c>
      <c r="K1623" s="16">
        <v>520</v>
      </c>
      <c r="L1623" s="1" t="s">
        <v>21</v>
      </c>
      <c r="M1623" t="s">
        <v>22</v>
      </c>
      <c r="N1623" t="str">
        <f t="shared" si="34"/>
        <v>France</v>
      </c>
      <c r="O1623" s="8">
        <f>IF(K1623&gt;=1,K1623,K1623*1000)</f>
        <v>520</v>
      </c>
      <c r="P1623">
        <f>ABS(H1623)</f>
        <v>1</v>
      </c>
      <c r="R1623"/>
    </row>
    <row r="1624" spans="1:18" x14ac:dyDescent="0.35">
      <c r="A1624" t="s">
        <v>2915</v>
      </c>
      <c r="B1624" s="2">
        <v>46096</v>
      </c>
      <c r="C1624" t="s">
        <v>2696</v>
      </c>
      <c r="D1624" s="3" t="s">
        <v>53</v>
      </c>
      <c r="E1624" t="s">
        <v>41</v>
      </c>
      <c r="F1624" t="s">
        <v>42</v>
      </c>
      <c r="G1624" t="s">
        <v>43</v>
      </c>
      <c r="H1624" s="8">
        <v>1</v>
      </c>
      <c r="I1624" s="10">
        <v>129</v>
      </c>
      <c r="J1624" s="14">
        <f>P1624*I1624</f>
        <v>129</v>
      </c>
      <c r="K1624" s="16">
        <v>190</v>
      </c>
      <c r="L1624" s="1" t="s">
        <v>30</v>
      </c>
      <c r="M1624" t="s">
        <v>22</v>
      </c>
      <c r="N1624" t="str">
        <f t="shared" si="34"/>
        <v>Gb</v>
      </c>
      <c r="O1624" s="8">
        <f>IF(K1624&gt;=1,K1624,K1624*1000)</f>
        <v>190</v>
      </c>
      <c r="P1624">
        <f>ABS(H1624)</f>
        <v>1</v>
      </c>
      <c r="R1624"/>
    </row>
    <row r="1625" spans="1:18" x14ac:dyDescent="0.35">
      <c r="A1625" t="s">
        <v>2916</v>
      </c>
      <c r="B1625" s="2">
        <v>46187</v>
      </c>
      <c r="C1625" t="s">
        <v>403</v>
      </c>
      <c r="D1625" s="3" t="s">
        <v>4613</v>
      </c>
      <c r="E1625" t="s">
        <v>25</v>
      </c>
      <c r="F1625" t="s">
        <v>42</v>
      </c>
      <c r="G1625" t="s">
        <v>43</v>
      </c>
      <c r="H1625" s="8">
        <v>2</v>
      </c>
      <c r="I1625" s="10">
        <v>12.5</v>
      </c>
      <c r="J1625" s="14">
        <f>P1625*I1625</f>
        <v>25</v>
      </c>
      <c r="K1625" s="16">
        <v>0.19</v>
      </c>
      <c r="L1625" s="1" t="s">
        <v>30</v>
      </c>
      <c r="M1625" t="s">
        <v>58</v>
      </c>
      <c r="N1625" t="str">
        <f t="shared" si="34"/>
        <v>United Kingdom</v>
      </c>
      <c r="O1625" s="8">
        <f>IF(K1625&gt;=1,K1625,K1625*1000)</f>
        <v>190</v>
      </c>
      <c r="P1625">
        <f>ABS(H1625)</f>
        <v>2</v>
      </c>
      <c r="R1625"/>
    </row>
    <row r="1626" spans="1:18" x14ac:dyDescent="0.35">
      <c r="A1626" t="s">
        <v>2917</v>
      </c>
      <c r="B1626" s="2">
        <v>46143</v>
      </c>
      <c r="C1626" t="s">
        <v>2042</v>
      </c>
      <c r="D1626" s="3" t="s">
        <v>46</v>
      </c>
      <c r="E1626" t="s">
        <v>16</v>
      </c>
      <c r="F1626" t="s">
        <v>89</v>
      </c>
      <c r="G1626" t="s">
        <v>90</v>
      </c>
      <c r="H1626" s="8">
        <v>2</v>
      </c>
      <c r="I1626" s="10">
        <v>79</v>
      </c>
      <c r="J1626" s="14">
        <f>P1626*I1626</f>
        <v>158</v>
      </c>
      <c r="K1626" s="16">
        <v>0.64</v>
      </c>
      <c r="L1626" s="1" t="s">
        <v>30</v>
      </c>
      <c r="M1626" t="s">
        <v>58</v>
      </c>
      <c r="N1626" t="str">
        <f t="shared" si="34"/>
        <v>Ireland</v>
      </c>
      <c r="O1626" s="8">
        <f>IF(K1626&gt;=1,K1626,K1626*1000)</f>
        <v>640</v>
      </c>
      <c r="P1626">
        <f>ABS(H1626)</f>
        <v>2</v>
      </c>
      <c r="R1626"/>
    </row>
    <row r="1627" spans="1:18" x14ac:dyDescent="0.35">
      <c r="A1627" t="s">
        <v>2918</v>
      </c>
      <c r="B1627" s="2">
        <v>46128</v>
      </c>
      <c r="C1627" t="s">
        <v>2919</v>
      </c>
      <c r="D1627" s="3" t="s">
        <v>15</v>
      </c>
      <c r="E1627" t="s">
        <v>34</v>
      </c>
      <c r="F1627" t="s">
        <v>26</v>
      </c>
      <c r="G1627" t="s">
        <v>27</v>
      </c>
      <c r="H1627" s="8">
        <v>-1</v>
      </c>
      <c r="I1627" s="10">
        <v>40.5</v>
      </c>
      <c r="J1627" s="14">
        <f>P1627*I1627</f>
        <v>40.5</v>
      </c>
      <c r="K1627" s="16">
        <v>520</v>
      </c>
      <c r="L1627" s="1" t="s">
        <v>30</v>
      </c>
      <c r="M1627" t="s">
        <v>22</v>
      </c>
      <c r="N1627" t="str">
        <f t="shared" si="34"/>
        <v>France</v>
      </c>
      <c r="O1627" s="8">
        <f>IF(K1627&gt;=1,K1627,K1627*1000)</f>
        <v>520</v>
      </c>
      <c r="P1627">
        <f>ABS(H1627)</f>
        <v>1</v>
      </c>
      <c r="R1627"/>
    </row>
    <row r="1628" spans="1:18" x14ac:dyDescent="0.35">
      <c r="A1628" t="s">
        <v>2921</v>
      </c>
      <c r="B1628" s="2">
        <v>46208</v>
      </c>
      <c r="C1628" t="s">
        <v>2028</v>
      </c>
      <c r="D1628" s="3" t="s">
        <v>53</v>
      </c>
      <c r="E1628" t="s">
        <v>41</v>
      </c>
      <c r="F1628" t="s">
        <v>47</v>
      </c>
      <c r="G1628" t="s">
        <v>48</v>
      </c>
      <c r="H1628" s="8">
        <v>2</v>
      </c>
      <c r="I1628" s="10">
        <v>21.6</v>
      </c>
      <c r="J1628" s="14">
        <f>P1628*I1628</f>
        <v>43.2</v>
      </c>
      <c r="K1628" s="16">
        <v>0.38</v>
      </c>
      <c r="L1628" s="1" t="s">
        <v>30</v>
      </c>
      <c r="M1628" t="s">
        <v>22</v>
      </c>
      <c r="N1628" t="str">
        <f t="shared" si="34"/>
        <v>Gb</v>
      </c>
      <c r="O1628" s="8">
        <f>IF(K1628&gt;=1,K1628,K1628*1000)</f>
        <v>380</v>
      </c>
      <c r="P1628">
        <f>ABS(H1628)</f>
        <v>2</v>
      </c>
      <c r="R1628"/>
    </row>
    <row r="1629" spans="1:18" x14ac:dyDescent="0.35">
      <c r="A1629" t="s">
        <v>2922</v>
      </c>
      <c r="B1629" s="2">
        <v>46074</v>
      </c>
      <c r="C1629" t="s">
        <v>1854</v>
      </c>
      <c r="D1629" s="3" t="s">
        <v>61</v>
      </c>
      <c r="E1629" t="s">
        <v>25</v>
      </c>
      <c r="F1629" t="s">
        <v>83</v>
      </c>
      <c r="G1629" t="s">
        <v>84</v>
      </c>
      <c r="H1629" s="8">
        <v>1</v>
      </c>
      <c r="I1629" s="12" t="s">
        <v>4641</v>
      </c>
      <c r="J1629" s="14">
        <f>P1629*R1629</f>
        <v>49</v>
      </c>
      <c r="K1629" s="16">
        <v>340</v>
      </c>
      <c r="L1629" s="1" t="s">
        <v>30</v>
      </c>
      <c r="M1629" t="s">
        <v>22</v>
      </c>
      <c r="N1629" t="str">
        <f t="shared" si="34"/>
        <v>Ireland</v>
      </c>
      <c r="O1629" s="8">
        <f>IF(K1629&gt;=1,K1629,K1629*1000)</f>
        <v>340</v>
      </c>
      <c r="P1629">
        <f>ABS(H1629)</f>
        <v>1</v>
      </c>
      <c r="Q1629" t="str">
        <f>LEFT(I1629,3)</f>
        <v>GBP</v>
      </c>
      <c r="R1629" s="10" t="str">
        <f>RIGHT(I1629,5)</f>
        <v>49,00</v>
      </c>
    </row>
    <row r="1630" spans="1:18" x14ac:dyDescent="0.35">
      <c r="A1630" t="s">
        <v>2923</v>
      </c>
      <c r="B1630" s="2">
        <v>46114</v>
      </c>
      <c r="C1630" t="s">
        <v>98</v>
      </c>
      <c r="D1630" s="3" t="s">
        <v>15</v>
      </c>
      <c r="E1630" t="s">
        <v>25</v>
      </c>
      <c r="F1630" t="s">
        <v>17</v>
      </c>
      <c r="G1630" t="s">
        <v>18</v>
      </c>
      <c r="H1630" s="8">
        <v>3</v>
      </c>
      <c r="I1630" s="10">
        <v>129</v>
      </c>
      <c r="J1630" s="14">
        <f>P1630*I1630</f>
        <v>387</v>
      </c>
      <c r="K1630" s="16">
        <v>520</v>
      </c>
      <c r="L1630" s="1" t="s">
        <v>30</v>
      </c>
      <c r="M1630" t="s">
        <v>22</v>
      </c>
      <c r="N1630" t="str">
        <f t="shared" si="34"/>
        <v>France</v>
      </c>
      <c r="O1630" s="8">
        <f>IF(K1630&gt;=1,K1630,K1630*1000)</f>
        <v>520</v>
      </c>
      <c r="P1630">
        <f>ABS(H1630)</f>
        <v>3</v>
      </c>
      <c r="R1630"/>
    </row>
    <row r="1631" spans="1:18" x14ac:dyDescent="0.35">
      <c r="A1631" t="s">
        <v>2924</v>
      </c>
      <c r="B1631" s="2">
        <v>46146</v>
      </c>
      <c r="C1631" t="s">
        <v>2925</v>
      </c>
      <c r="D1631" s="3" t="s">
        <v>53</v>
      </c>
      <c r="E1631" t="s">
        <v>25</v>
      </c>
      <c r="F1631" t="s">
        <v>89</v>
      </c>
      <c r="G1631" t="s">
        <v>90</v>
      </c>
      <c r="H1631" s="8">
        <v>1</v>
      </c>
      <c r="I1631" s="10">
        <v>149</v>
      </c>
      <c r="J1631" s="14">
        <f>P1631*I1631</f>
        <v>149</v>
      </c>
      <c r="K1631" s="16">
        <v>0.64</v>
      </c>
      <c r="L1631" s="1" t="s">
        <v>30</v>
      </c>
      <c r="M1631" t="s">
        <v>22</v>
      </c>
      <c r="N1631" t="str">
        <f t="shared" si="34"/>
        <v>Gb</v>
      </c>
      <c r="O1631" s="8">
        <f>IF(K1631&gt;=1,K1631,K1631*1000)</f>
        <v>640</v>
      </c>
      <c r="P1631">
        <f>ABS(H1631)</f>
        <v>1</v>
      </c>
      <c r="R1631"/>
    </row>
    <row r="1632" spans="1:18" x14ac:dyDescent="0.35">
      <c r="A1632" t="s">
        <v>2926</v>
      </c>
      <c r="B1632" s="2">
        <v>46154</v>
      </c>
      <c r="C1632" t="s">
        <v>70</v>
      </c>
      <c r="D1632" s="3" t="s">
        <v>4613</v>
      </c>
      <c r="E1632" t="s">
        <v>16</v>
      </c>
      <c r="F1632" t="s">
        <v>89</v>
      </c>
      <c r="G1632" t="s">
        <v>90</v>
      </c>
      <c r="H1632" s="8">
        <v>2</v>
      </c>
      <c r="I1632" s="10">
        <v>12.5</v>
      </c>
      <c r="J1632" s="14">
        <f>P1632*I1632</f>
        <v>25</v>
      </c>
      <c r="K1632" s="16">
        <v>0.64</v>
      </c>
      <c r="L1632" s="1" t="s">
        <v>30</v>
      </c>
      <c r="M1632" t="s">
        <v>22</v>
      </c>
      <c r="N1632" t="str">
        <f t="shared" si="34"/>
        <v>United Kingdom</v>
      </c>
      <c r="O1632" s="8">
        <f>IF(K1632&gt;=1,K1632,K1632*1000)</f>
        <v>640</v>
      </c>
      <c r="P1632">
        <f>ABS(H1632)</f>
        <v>2</v>
      </c>
      <c r="R1632"/>
    </row>
    <row r="1633" spans="1:18" x14ac:dyDescent="0.35">
      <c r="A1633" t="s">
        <v>2927</v>
      </c>
      <c r="B1633" s="2">
        <v>46099</v>
      </c>
      <c r="C1633" t="s">
        <v>1199</v>
      </c>
      <c r="D1633" s="3" t="s">
        <v>53</v>
      </c>
      <c r="E1633" t="s">
        <v>34</v>
      </c>
      <c r="F1633" t="s">
        <v>35</v>
      </c>
      <c r="G1633" t="s">
        <v>36</v>
      </c>
      <c r="H1633" s="8">
        <v>1</v>
      </c>
      <c r="I1633" s="10">
        <v>149</v>
      </c>
      <c r="J1633" s="14">
        <f>P1633*I1633</f>
        <v>149</v>
      </c>
      <c r="K1633" s="16">
        <v>85</v>
      </c>
      <c r="L1633" s="1" t="s">
        <v>21</v>
      </c>
      <c r="M1633" t="s">
        <v>22</v>
      </c>
      <c r="N1633" t="str">
        <f t="shared" si="34"/>
        <v>Gb</v>
      </c>
      <c r="O1633" s="8">
        <f>IF(K1633&gt;=1,K1633,K1633*1000)</f>
        <v>85</v>
      </c>
      <c r="P1633">
        <f>ABS(H1633)</f>
        <v>1</v>
      </c>
      <c r="R1633"/>
    </row>
    <row r="1634" spans="1:18" x14ac:dyDescent="0.35">
      <c r="A1634" t="s">
        <v>2928</v>
      </c>
      <c r="B1634" s="2" t="s">
        <v>2929</v>
      </c>
      <c r="C1634" t="s">
        <v>977</v>
      </c>
      <c r="D1634" s="3" t="s">
        <v>15</v>
      </c>
      <c r="E1634" t="s">
        <v>67</v>
      </c>
      <c r="F1634" t="s">
        <v>74</v>
      </c>
      <c r="G1634" t="s">
        <v>75</v>
      </c>
      <c r="H1634" s="8">
        <v>2</v>
      </c>
      <c r="I1634" s="10">
        <v>149</v>
      </c>
      <c r="J1634" s="14">
        <f>P1634*I1634</f>
        <v>298</v>
      </c>
      <c r="K1634" s="16">
        <v>410</v>
      </c>
      <c r="L1634" s="1" t="s">
        <v>30</v>
      </c>
      <c r="M1634" t="s">
        <v>22</v>
      </c>
      <c r="N1634" t="str">
        <f t="shared" si="34"/>
        <v>France</v>
      </c>
      <c r="O1634" s="8">
        <f>IF(K1634&gt;=1,K1634,K1634*1000)</f>
        <v>410</v>
      </c>
      <c r="P1634">
        <f>ABS(H1634)</f>
        <v>2</v>
      </c>
      <c r="R1634"/>
    </row>
    <row r="1635" spans="1:18" x14ac:dyDescent="0.35">
      <c r="A1635" t="s">
        <v>2930</v>
      </c>
      <c r="B1635" s="2">
        <v>46033</v>
      </c>
      <c r="C1635" t="s">
        <v>2931</v>
      </c>
      <c r="D1635" s="3" t="s">
        <v>99</v>
      </c>
      <c r="E1635" t="s">
        <v>67</v>
      </c>
      <c r="F1635" t="s">
        <v>26</v>
      </c>
      <c r="G1635" t="s">
        <v>27</v>
      </c>
      <c r="H1635" s="8">
        <v>1</v>
      </c>
      <c r="I1635" s="10">
        <v>24</v>
      </c>
      <c r="J1635" s="14">
        <f>P1635*I1635</f>
        <v>24</v>
      </c>
      <c r="K1635" s="16">
        <v>520</v>
      </c>
      <c r="L1635" s="1" t="s">
        <v>30</v>
      </c>
      <c r="M1635" t="s">
        <v>58</v>
      </c>
      <c r="N1635" t="str">
        <f t="shared" si="34"/>
        <v>United Kingdom</v>
      </c>
      <c r="O1635" s="8">
        <f>IF(K1635&gt;=1,K1635,K1635*1000)</f>
        <v>520</v>
      </c>
      <c r="P1635">
        <f>ABS(H1635)</f>
        <v>1</v>
      </c>
      <c r="R1635"/>
    </row>
    <row r="1636" spans="1:18" x14ac:dyDescent="0.35">
      <c r="A1636" t="s">
        <v>2932</v>
      </c>
      <c r="B1636" s="2">
        <v>46111</v>
      </c>
      <c r="C1636" t="s">
        <v>2933</v>
      </c>
      <c r="D1636" s="3" t="s">
        <v>4613</v>
      </c>
      <c r="E1636" t="s">
        <v>41</v>
      </c>
      <c r="F1636" t="s">
        <v>83</v>
      </c>
      <c r="G1636" t="s">
        <v>84</v>
      </c>
      <c r="H1636" s="8">
        <v>2</v>
      </c>
      <c r="I1636" s="10">
        <v>11.25</v>
      </c>
      <c r="J1636" s="14">
        <f>P1636*I1636</f>
        <v>22.5</v>
      </c>
      <c r="K1636" s="16">
        <v>340</v>
      </c>
      <c r="L1636" s="1" t="s">
        <v>30</v>
      </c>
      <c r="M1636" t="s">
        <v>22</v>
      </c>
      <c r="N1636" t="str">
        <f t="shared" si="34"/>
        <v>United Kingdom</v>
      </c>
      <c r="O1636" s="8">
        <f>IF(K1636&gt;=1,K1636,K1636*1000)</f>
        <v>340</v>
      </c>
      <c r="P1636">
        <f>ABS(H1636)</f>
        <v>2</v>
      </c>
      <c r="R1636"/>
    </row>
    <row r="1637" spans="1:18" x14ac:dyDescent="0.35">
      <c r="A1637" t="s">
        <v>2934</v>
      </c>
      <c r="B1637" s="2">
        <v>46039</v>
      </c>
      <c r="C1637" t="s">
        <v>1083</v>
      </c>
      <c r="D1637" s="3" t="s">
        <v>53</v>
      </c>
      <c r="E1637" t="s">
        <v>67</v>
      </c>
      <c r="F1637" t="s">
        <v>89</v>
      </c>
      <c r="G1637" t="s">
        <v>90</v>
      </c>
      <c r="H1637" s="8">
        <v>2</v>
      </c>
      <c r="I1637" s="10">
        <v>71.099999999999994</v>
      </c>
      <c r="J1637" s="14">
        <f>P1637*I1637</f>
        <v>142.19999999999999</v>
      </c>
      <c r="K1637" s="16">
        <v>640</v>
      </c>
      <c r="L1637" s="1" t="s">
        <v>30</v>
      </c>
      <c r="M1637" t="s">
        <v>22</v>
      </c>
      <c r="N1637" t="str">
        <f t="shared" si="34"/>
        <v>Gb</v>
      </c>
      <c r="O1637" s="8">
        <f>IF(K1637&gt;=1,K1637,K1637*1000)</f>
        <v>640</v>
      </c>
      <c r="P1637">
        <f>ABS(H1637)</f>
        <v>2</v>
      </c>
      <c r="R1637"/>
    </row>
    <row r="1638" spans="1:18" x14ac:dyDescent="0.35">
      <c r="A1638" t="s">
        <v>2935</v>
      </c>
      <c r="B1638" s="2">
        <v>46057</v>
      </c>
      <c r="C1638" t="s">
        <v>521</v>
      </c>
      <c r="D1638" s="3" t="s">
        <v>66</v>
      </c>
      <c r="E1638" t="s">
        <v>67</v>
      </c>
      <c r="F1638" t="s">
        <v>17</v>
      </c>
      <c r="G1638" t="s">
        <v>18</v>
      </c>
      <c r="H1638" s="8">
        <v>2</v>
      </c>
      <c r="I1638" s="10">
        <v>149</v>
      </c>
      <c r="J1638" s="14">
        <f>P1638*I1638</f>
        <v>298</v>
      </c>
      <c r="K1638" s="16">
        <v>520</v>
      </c>
      <c r="L1638" s="1" t="s">
        <v>30</v>
      </c>
      <c r="M1638" t="s">
        <v>22</v>
      </c>
      <c r="N1638" t="str">
        <f t="shared" si="34"/>
        <v>Gb</v>
      </c>
      <c r="O1638" s="8">
        <f>IF(K1638&gt;=1,K1638,K1638*1000)</f>
        <v>520</v>
      </c>
      <c r="P1638">
        <f>ABS(H1638)</f>
        <v>2</v>
      </c>
      <c r="R1638"/>
    </row>
    <row r="1639" spans="1:18" x14ac:dyDescent="0.35">
      <c r="A1639" t="s">
        <v>2936</v>
      </c>
      <c r="B1639" s="2">
        <v>46152</v>
      </c>
      <c r="C1639" t="s">
        <v>2150</v>
      </c>
      <c r="D1639" s="3" t="s">
        <v>99</v>
      </c>
      <c r="E1639" t="s">
        <v>67</v>
      </c>
      <c r="F1639" t="s">
        <v>74</v>
      </c>
      <c r="G1639" t="s">
        <v>75</v>
      </c>
      <c r="H1639" s="8">
        <v>1</v>
      </c>
      <c r="I1639" s="10">
        <v>134.1</v>
      </c>
      <c r="J1639" s="14">
        <f>P1639*I1639</f>
        <v>134.1</v>
      </c>
      <c r="K1639" s="16">
        <v>0.41</v>
      </c>
      <c r="L1639" s="1" t="s">
        <v>21</v>
      </c>
      <c r="M1639" t="s">
        <v>22</v>
      </c>
      <c r="N1639" t="str">
        <f t="shared" si="34"/>
        <v>United Kingdom</v>
      </c>
      <c r="O1639" s="8">
        <f>IF(K1639&gt;=1,K1639,K1639*1000)</f>
        <v>410</v>
      </c>
      <c r="P1639">
        <f>ABS(H1639)</f>
        <v>1</v>
      </c>
      <c r="R1639"/>
    </row>
    <row r="1640" spans="1:18" x14ac:dyDescent="0.35">
      <c r="A1640" t="s">
        <v>2937</v>
      </c>
      <c r="B1640" s="2">
        <v>46190</v>
      </c>
      <c r="C1640" t="s">
        <v>2473</v>
      </c>
      <c r="D1640" s="3" t="s">
        <v>46</v>
      </c>
      <c r="E1640" t="s">
        <v>67</v>
      </c>
      <c r="F1640" t="s">
        <v>83</v>
      </c>
      <c r="G1640" t="s">
        <v>84</v>
      </c>
      <c r="H1640" s="8">
        <v>1</v>
      </c>
      <c r="I1640" s="10">
        <v>134.1</v>
      </c>
      <c r="J1640" s="14">
        <f>P1640*I1640</f>
        <v>134.1</v>
      </c>
      <c r="K1640" s="16">
        <v>0.34</v>
      </c>
      <c r="L1640" s="1" t="s">
        <v>21</v>
      </c>
      <c r="M1640" t="s">
        <v>58</v>
      </c>
      <c r="N1640" t="str">
        <f t="shared" si="34"/>
        <v>Ireland</v>
      </c>
      <c r="O1640" s="8">
        <f>IF(K1640&gt;=1,K1640,K1640*1000)</f>
        <v>340</v>
      </c>
      <c r="P1640">
        <f>ABS(H1640)</f>
        <v>1</v>
      </c>
      <c r="R1640"/>
    </row>
    <row r="1641" spans="1:18" x14ac:dyDescent="0.35">
      <c r="A1641" t="s">
        <v>2938</v>
      </c>
      <c r="B1641" s="2">
        <v>46038</v>
      </c>
      <c r="C1641" t="s">
        <v>580</v>
      </c>
      <c r="D1641" s="3" t="s">
        <v>4612</v>
      </c>
      <c r="E1641" t="s">
        <v>25</v>
      </c>
      <c r="F1641" t="s">
        <v>89</v>
      </c>
      <c r="G1641" t="s">
        <v>90</v>
      </c>
      <c r="H1641" s="8">
        <v>1</v>
      </c>
      <c r="I1641" s="10">
        <v>129</v>
      </c>
      <c r="J1641" s="14">
        <f>P1641*I1641</f>
        <v>129</v>
      </c>
      <c r="K1641" s="16">
        <v>640</v>
      </c>
      <c r="L1641" s="1" t="s">
        <v>30</v>
      </c>
      <c r="M1641" t="s">
        <v>22</v>
      </c>
      <c r="N1641" t="str">
        <f t="shared" si="34"/>
        <v>United Kingdom</v>
      </c>
      <c r="O1641" s="8">
        <f>IF(K1641&gt;=1,K1641,K1641*1000)</f>
        <v>640</v>
      </c>
      <c r="P1641">
        <f>ABS(H1641)</f>
        <v>1</v>
      </c>
      <c r="R1641"/>
    </row>
    <row r="1642" spans="1:18" x14ac:dyDescent="0.35">
      <c r="A1642" t="s">
        <v>2939</v>
      </c>
      <c r="B1642" s="2">
        <v>46173</v>
      </c>
      <c r="C1642" t="s">
        <v>1227</v>
      </c>
      <c r="D1642" s="3" t="s">
        <v>4612</v>
      </c>
      <c r="E1642" t="s">
        <v>25</v>
      </c>
      <c r="F1642" t="s">
        <v>17</v>
      </c>
      <c r="G1642" t="s">
        <v>18</v>
      </c>
      <c r="H1642" s="8">
        <v>1</v>
      </c>
      <c r="I1642" s="10">
        <v>11.25</v>
      </c>
      <c r="J1642" s="14">
        <f>P1642*I1642</f>
        <v>11.25</v>
      </c>
      <c r="K1642" s="16">
        <v>0.52</v>
      </c>
      <c r="L1642" s="1" t="s">
        <v>30</v>
      </c>
      <c r="M1642" t="s">
        <v>22</v>
      </c>
      <c r="N1642" t="str">
        <f t="shared" si="34"/>
        <v>United Kingdom</v>
      </c>
      <c r="O1642" s="8">
        <f>IF(K1642&gt;=1,K1642,K1642*1000)</f>
        <v>520</v>
      </c>
      <c r="P1642">
        <f>ABS(H1642)</f>
        <v>1</v>
      </c>
      <c r="R1642"/>
    </row>
    <row r="1643" spans="1:18" x14ac:dyDescent="0.35">
      <c r="A1643" t="s">
        <v>2940</v>
      </c>
      <c r="B1643" s="2">
        <v>46119</v>
      </c>
      <c r="C1643" t="s">
        <v>425</v>
      </c>
      <c r="D1643" s="3" t="s">
        <v>4612</v>
      </c>
      <c r="E1643" t="s">
        <v>41</v>
      </c>
      <c r="F1643" t="s">
        <v>17</v>
      </c>
      <c r="G1643" t="s">
        <v>18</v>
      </c>
      <c r="H1643" s="8">
        <v>3</v>
      </c>
      <c r="I1643" s="10">
        <v>89</v>
      </c>
      <c r="J1643" s="14">
        <f>P1643*I1643</f>
        <v>267</v>
      </c>
      <c r="K1643" s="16">
        <v>520</v>
      </c>
      <c r="L1643" s="1" t="s">
        <v>30</v>
      </c>
      <c r="M1643" t="s">
        <v>22</v>
      </c>
      <c r="N1643" t="str">
        <f t="shared" si="34"/>
        <v>United Kingdom</v>
      </c>
      <c r="O1643" s="8">
        <f>IF(K1643&gt;=1,K1643,K1643*1000)</f>
        <v>520</v>
      </c>
      <c r="P1643">
        <f>ABS(H1643)</f>
        <v>3</v>
      </c>
      <c r="R1643"/>
    </row>
    <row r="1644" spans="1:18" x14ac:dyDescent="0.35">
      <c r="A1644" t="s">
        <v>2941</v>
      </c>
      <c r="B1644" s="2">
        <v>46050</v>
      </c>
      <c r="C1644" t="s">
        <v>2501</v>
      </c>
      <c r="D1644" s="3" t="s">
        <v>99</v>
      </c>
      <c r="E1644" t="s">
        <v>41</v>
      </c>
      <c r="F1644" t="s">
        <v>74</v>
      </c>
      <c r="G1644" t="s">
        <v>75</v>
      </c>
      <c r="H1644" s="8">
        <v>2</v>
      </c>
      <c r="I1644" s="10">
        <v>129</v>
      </c>
      <c r="J1644" s="14">
        <f>P1644*I1644</f>
        <v>258</v>
      </c>
      <c r="K1644" s="16">
        <v>410</v>
      </c>
      <c r="L1644" s="1" t="s">
        <v>30</v>
      </c>
      <c r="M1644" t="s">
        <v>22</v>
      </c>
      <c r="N1644" t="str">
        <f t="shared" si="34"/>
        <v>United Kingdom</v>
      </c>
      <c r="O1644" s="8">
        <f>IF(K1644&gt;=1,K1644,K1644*1000)</f>
        <v>410</v>
      </c>
      <c r="P1644">
        <f>ABS(H1644)</f>
        <v>2</v>
      </c>
      <c r="R1644"/>
    </row>
    <row r="1645" spans="1:18" x14ac:dyDescent="0.35">
      <c r="A1645" t="s">
        <v>2942</v>
      </c>
      <c r="B1645" s="2">
        <v>46065</v>
      </c>
      <c r="C1645" t="s">
        <v>1672</v>
      </c>
      <c r="D1645" s="3" t="s">
        <v>99</v>
      </c>
      <c r="E1645" t="s">
        <v>41</v>
      </c>
      <c r="F1645" t="s">
        <v>26</v>
      </c>
      <c r="G1645" t="s">
        <v>27</v>
      </c>
      <c r="H1645" s="8">
        <v>1</v>
      </c>
      <c r="I1645" s="12" t="s">
        <v>4648</v>
      </c>
      <c r="J1645" s="14">
        <f t="shared" ref="J1645:J1646" si="35">P1645*R1645</f>
        <v>45</v>
      </c>
      <c r="K1645" s="16">
        <v>520</v>
      </c>
      <c r="L1645" s="1" t="s">
        <v>21</v>
      </c>
      <c r="M1645" t="s">
        <v>22</v>
      </c>
      <c r="N1645" t="str">
        <f t="shared" si="34"/>
        <v>United Kingdom</v>
      </c>
      <c r="O1645" s="8">
        <f>IF(K1645&gt;=1,K1645,K1645*1000)</f>
        <v>520</v>
      </c>
      <c r="P1645">
        <f>ABS(H1645)</f>
        <v>1</v>
      </c>
      <c r="Q1645" t="str">
        <f t="shared" ref="Q1645:Q1646" si="36">LEFT(I1645,2)</f>
        <v>Â£</v>
      </c>
      <c r="R1645" t="str">
        <f t="shared" ref="R1645:R1646" si="37">RIGHT(I1645,5)</f>
        <v>45,00</v>
      </c>
    </row>
    <row r="1646" spans="1:18" x14ac:dyDescent="0.35">
      <c r="A1646" t="s">
        <v>2944</v>
      </c>
      <c r="B1646" s="2">
        <v>46146</v>
      </c>
      <c r="C1646" t="s">
        <v>2945</v>
      </c>
      <c r="D1646" s="3" t="s">
        <v>46</v>
      </c>
      <c r="E1646" t="s">
        <v>41</v>
      </c>
      <c r="F1646" t="s">
        <v>83</v>
      </c>
      <c r="G1646" t="s">
        <v>84</v>
      </c>
      <c r="H1646" s="8">
        <v>1</v>
      </c>
      <c r="I1646" s="12" t="s">
        <v>4618</v>
      </c>
      <c r="J1646" s="14">
        <f t="shared" si="35"/>
        <v>80.099999999999994</v>
      </c>
      <c r="K1646" s="16">
        <v>0.34</v>
      </c>
      <c r="L1646" s="1" t="s">
        <v>30</v>
      </c>
      <c r="M1646" t="s">
        <v>22</v>
      </c>
      <c r="N1646" t="str">
        <f t="shared" si="34"/>
        <v>Ireland</v>
      </c>
      <c r="O1646" s="8">
        <f>IF(K1646&gt;=1,K1646,K1646*1000)</f>
        <v>340</v>
      </c>
      <c r="P1646">
        <f>ABS(H1646)</f>
        <v>1</v>
      </c>
      <c r="Q1646" t="str">
        <f t="shared" si="36"/>
        <v>Â£</v>
      </c>
      <c r="R1646" t="str">
        <f t="shared" si="37"/>
        <v>80,10</v>
      </c>
    </row>
    <row r="1647" spans="1:18" x14ac:dyDescent="0.35">
      <c r="A1647" t="s">
        <v>2946</v>
      </c>
      <c r="B1647" s="2">
        <v>46141</v>
      </c>
      <c r="C1647" t="s">
        <v>2791</v>
      </c>
      <c r="D1647" s="3" t="s">
        <v>99</v>
      </c>
      <c r="E1647" t="s">
        <v>67</v>
      </c>
      <c r="F1647" t="s">
        <v>74</v>
      </c>
      <c r="G1647" t="s">
        <v>75</v>
      </c>
      <c r="H1647" s="8">
        <v>1</v>
      </c>
      <c r="I1647" s="10">
        <v>80.099999999999994</v>
      </c>
      <c r="J1647" s="14">
        <f>P1647*I1647</f>
        <v>80.099999999999994</v>
      </c>
      <c r="K1647" s="16">
        <v>0.41</v>
      </c>
      <c r="L1647" s="1" t="s">
        <v>21</v>
      </c>
      <c r="M1647" t="s">
        <v>58</v>
      </c>
      <c r="N1647" t="str">
        <f t="shared" si="34"/>
        <v>United Kingdom</v>
      </c>
      <c r="O1647" s="8">
        <f>IF(K1647&gt;=1,K1647,K1647*1000)</f>
        <v>410</v>
      </c>
      <c r="P1647">
        <f>ABS(H1647)</f>
        <v>1</v>
      </c>
      <c r="R1647"/>
    </row>
    <row r="1648" spans="1:18" x14ac:dyDescent="0.35">
      <c r="A1648" t="s">
        <v>2947</v>
      </c>
      <c r="B1648" s="2">
        <v>46101</v>
      </c>
      <c r="C1648" t="s">
        <v>700</v>
      </c>
      <c r="D1648" s="3" t="s">
        <v>15</v>
      </c>
      <c r="E1648" t="s">
        <v>67</v>
      </c>
      <c r="F1648" t="s">
        <v>42</v>
      </c>
      <c r="G1648" t="s">
        <v>43</v>
      </c>
      <c r="H1648" s="8">
        <v>1</v>
      </c>
      <c r="I1648" s="10">
        <v>85.5</v>
      </c>
      <c r="J1648" s="14">
        <f>P1648*I1648</f>
        <v>85.5</v>
      </c>
      <c r="K1648" s="16">
        <v>190</v>
      </c>
      <c r="L1648" s="1" t="s">
        <v>30</v>
      </c>
      <c r="M1648" t="s">
        <v>22</v>
      </c>
      <c r="N1648" t="str">
        <f t="shared" si="34"/>
        <v>France</v>
      </c>
      <c r="O1648" s="8">
        <f>IF(K1648&gt;=1,K1648,K1648*1000)</f>
        <v>190</v>
      </c>
      <c r="P1648">
        <f>ABS(H1648)</f>
        <v>1</v>
      </c>
      <c r="R1648"/>
    </row>
    <row r="1649" spans="1:18" x14ac:dyDescent="0.35">
      <c r="A1649" t="s">
        <v>2948</v>
      </c>
      <c r="B1649" s="2" t="s">
        <v>1900</v>
      </c>
      <c r="C1649" t="s">
        <v>2949</v>
      </c>
      <c r="D1649" s="3" t="s">
        <v>46</v>
      </c>
      <c r="E1649" t="s">
        <v>41</v>
      </c>
      <c r="F1649" t="s">
        <v>17</v>
      </c>
      <c r="G1649" t="s">
        <v>18</v>
      </c>
      <c r="H1649" s="8">
        <v>3</v>
      </c>
      <c r="I1649" s="10">
        <v>12.5</v>
      </c>
      <c r="J1649" s="14">
        <f>P1649*I1649</f>
        <v>37.5</v>
      </c>
      <c r="K1649" s="16">
        <v>0.52</v>
      </c>
      <c r="L1649" s="1" t="s">
        <v>30</v>
      </c>
      <c r="M1649" t="s">
        <v>58</v>
      </c>
      <c r="N1649" t="str">
        <f t="shared" si="34"/>
        <v>Ireland</v>
      </c>
      <c r="O1649" s="8">
        <f>IF(K1649&gt;=1,K1649,K1649*1000)</f>
        <v>520</v>
      </c>
      <c r="P1649">
        <f>ABS(H1649)</f>
        <v>3</v>
      </c>
      <c r="R1649"/>
    </row>
    <row r="1650" spans="1:18" x14ac:dyDescent="0.35">
      <c r="A1650" t="s">
        <v>2950</v>
      </c>
      <c r="B1650" s="2">
        <v>46092</v>
      </c>
      <c r="C1650" t="s">
        <v>800</v>
      </c>
      <c r="D1650" s="3" t="s">
        <v>4613</v>
      </c>
      <c r="E1650" t="s">
        <v>67</v>
      </c>
      <c r="F1650" t="s">
        <v>83</v>
      </c>
      <c r="G1650" t="s">
        <v>84</v>
      </c>
      <c r="H1650" s="8">
        <v>2</v>
      </c>
      <c r="I1650" s="12" t="s">
        <v>4636</v>
      </c>
      <c r="J1650" s="14">
        <f>P1650*R1650</f>
        <v>178</v>
      </c>
      <c r="K1650" s="16">
        <v>340</v>
      </c>
      <c r="L1650" s="1" t="s">
        <v>30</v>
      </c>
      <c r="M1650" t="s">
        <v>22</v>
      </c>
      <c r="N1650" t="str">
        <f t="shared" si="34"/>
        <v>United Kingdom</v>
      </c>
      <c r="O1650" s="8">
        <f>IF(K1650&gt;=1,K1650,K1650*1000)</f>
        <v>340</v>
      </c>
      <c r="P1650">
        <f>ABS(H1650)</f>
        <v>2</v>
      </c>
      <c r="Q1650" t="str">
        <f>LEFT(I1650,2)</f>
        <v>Â£</v>
      </c>
      <c r="R1650" t="str">
        <f>RIGHT(I1650,5)</f>
        <v>89,00</v>
      </c>
    </row>
    <row r="1651" spans="1:18" x14ac:dyDescent="0.35">
      <c r="A1651" t="s">
        <v>2951</v>
      </c>
      <c r="B1651" s="2">
        <v>46066</v>
      </c>
      <c r="C1651" t="s">
        <v>2168</v>
      </c>
      <c r="D1651" s="3" t="s">
        <v>4612</v>
      </c>
      <c r="E1651" t="s">
        <v>25</v>
      </c>
      <c r="F1651" t="s">
        <v>47</v>
      </c>
      <c r="G1651" t="s">
        <v>48</v>
      </c>
      <c r="H1651" s="8">
        <v>1</v>
      </c>
      <c r="I1651" s="10">
        <v>11.25</v>
      </c>
      <c r="J1651" s="14">
        <f>P1651*I1651</f>
        <v>11.25</v>
      </c>
      <c r="K1651" s="16">
        <v>380</v>
      </c>
      <c r="L1651" s="1" t="s">
        <v>30</v>
      </c>
      <c r="M1651" t="s">
        <v>22</v>
      </c>
      <c r="N1651" t="str">
        <f t="shared" si="34"/>
        <v>United Kingdom</v>
      </c>
      <c r="O1651" s="8">
        <f>IF(K1651&gt;=1,K1651,K1651*1000)</f>
        <v>380</v>
      </c>
      <c r="P1651">
        <f>ABS(H1651)</f>
        <v>1</v>
      </c>
      <c r="R1651"/>
    </row>
    <row r="1652" spans="1:18" x14ac:dyDescent="0.35">
      <c r="A1652" t="s">
        <v>2952</v>
      </c>
      <c r="B1652" s="2">
        <v>46064</v>
      </c>
      <c r="C1652" t="s">
        <v>1360</v>
      </c>
      <c r="D1652" s="3" t="s">
        <v>4613</v>
      </c>
      <c r="E1652" t="s">
        <v>16</v>
      </c>
      <c r="F1652" t="s">
        <v>74</v>
      </c>
      <c r="G1652" t="s">
        <v>75</v>
      </c>
      <c r="H1652" s="8">
        <v>2</v>
      </c>
      <c r="I1652" s="10">
        <v>45</v>
      </c>
      <c r="J1652" s="14">
        <f>P1652*I1652</f>
        <v>90</v>
      </c>
      <c r="K1652" s="16">
        <v>410</v>
      </c>
      <c r="L1652" s="1" t="s">
        <v>30</v>
      </c>
      <c r="M1652" t="s">
        <v>58</v>
      </c>
      <c r="N1652" t="str">
        <f t="shared" si="34"/>
        <v>United Kingdom</v>
      </c>
      <c r="O1652" s="8">
        <f>IF(K1652&gt;=1,K1652,K1652*1000)</f>
        <v>410</v>
      </c>
      <c r="P1652">
        <f>ABS(H1652)</f>
        <v>2</v>
      </c>
      <c r="R1652"/>
    </row>
    <row r="1653" spans="1:18" x14ac:dyDescent="0.35">
      <c r="A1653" t="s">
        <v>2953</v>
      </c>
      <c r="B1653" s="2">
        <v>46098</v>
      </c>
      <c r="C1653" t="s">
        <v>1612</v>
      </c>
      <c r="D1653" s="3" t="s">
        <v>99</v>
      </c>
      <c r="E1653" t="s">
        <v>67</v>
      </c>
      <c r="F1653" t="s">
        <v>89</v>
      </c>
      <c r="G1653" t="s">
        <v>90</v>
      </c>
      <c r="H1653" s="8">
        <v>1</v>
      </c>
      <c r="I1653" s="10">
        <v>89</v>
      </c>
      <c r="J1653" s="14">
        <f>P1653*I1653</f>
        <v>89</v>
      </c>
      <c r="K1653" s="16">
        <v>640</v>
      </c>
      <c r="L1653" s="1" t="s">
        <v>30</v>
      </c>
      <c r="M1653" t="s">
        <v>58</v>
      </c>
      <c r="N1653" t="str">
        <f t="shared" si="34"/>
        <v>United Kingdom</v>
      </c>
      <c r="O1653" s="8">
        <f>IF(K1653&gt;=1,K1653,K1653*1000)</f>
        <v>640</v>
      </c>
      <c r="P1653">
        <f>ABS(H1653)</f>
        <v>1</v>
      </c>
      <c r="R1653"/>
    </row>
    <row r="1654" spans="1:18" x14ac:dyDescent="0.35">
      <c r="A1654" t="s">
        <v>2954</v>
      </c>
      <c r="B1654" s="2">
        <v>46097</v>
      </c>
      <c r="C1654" t="s">
        <v>842</v>
      </c>
      <c r="D1654" s="3" t="s">
        <v>99</v>
      </c>
      <c r="E1654" t="s">
        <v>67</v>
      </c>
      <c r="F1654" t="s">
        <v>17</v>
      </c>
      <c r="G1654" t="s">
        <v>18</v>
      </c>
      <c r="H1654" s="8">
        <v>1</v>
      </c>
      <c r="I1654" s="10">
        <v>12.5</v>
      </c>
      <c r="J1654" s="14">
        <f>P1654*I1654</f>
        <v>12.5</v>
      </c>
      <c r="K1654" s="16">
        <v>520</v>
      </c>
      <c r="L1654" s="1" t="s">
        <v>30</v>
      </c>
      <c r="M1654" t="s">
        <v>22</v>
      </c>
      <c r="N1654" t="str">
        <f t="shared" si="34"/>
        <v>United Kingdom</v>
      </c>
      <c r="O1654" s="8">
        <f>IF(K1654&gt;=1,K1654,K1654*1000)</f>
        <v>520</v>
      </c>
      <c r="P1654">
        <f>ABS(H1654)</f>
        <v>1</v>
      </c>
      <c r="R1654"/>
    </row>
    <row r="1655" spans="1:18" x14ac:dyDescent="0.35">
      <c r="A1655" t="s">
        <v>2955</v>
      </c>
      <c r="B1655" s="2">
        <v>46203</v>
      </c>
      <c r="C1655" t="s">
        <v>1890</v>
      </c>
      <c r="D1655" s="3" t="s">
        <v>4612</v>
      </c>
      <c r="E1655" t="s">
        <v>16</v>
      </c>
      <c r="F1655" t="s">
        <v>74</v>
      </c>
      <c r="G1655" t="s">
        <v>75</v>
      </c>
      <c r="H1655" s="8">
        <v>1</v>
      </c>
      <c r="I1655" s="12" t="s">
        <v>4638</v>
      </c>
      <c r="J1655" s="14">
        <f>P1655*R1655</f>
        <v>21.6</v>
      </c>
      <c r="K1655" s="16">
        <v>0.41</v>
      </c>
      <c r="L1655" s="1" t="s">
        <v>21</v>
      </c>
      <c r="M1655" t="s">
        <v>22</v>
      </c>
      <c r="N1655" t="str">
        <f t="shared" si="34"/>
        <v>United Kingdom</v>
      </c>
      <c r="O1655" s="8">
        <f>IF(K1655&gt;=1,K1655,K1655*1000)</f>
        <v>410</v>
      </c>
      <c r="P1655">
        <f>ABS(H1655)</f>
        <v>1</v>
      </c>
      <c r="Q1655" t="str">
        <f>LEFT(I1655,2)</f>
        <v>Â£</v>
      </c>
      <c r="R1655" t="str">
        <f>RIGHT(I1655,5)</f>
        <v>21,60</v>
      </c>
    </row>
    <row r="1656" spans="1:18" x14ac:dyDescent="0.35">
      <c r="A1656" t="s">
        <v>2956</v>
      </c>
      <c r="B1656" s="2">
        <v>46116</v>
      </c>
      <c r="C1656" t="s">
        <v>1298</v>
      </c>
      <c r="D1656" s="3" t="s">
        <v>4612</v>
      </c>
      <c r="E1656" t="s">
        <v>34</v>
      </c>
      <c r="F1656" t="s">
        <v>47</v>
      </c>
      <c r="G1656" t="s">
        <v>48</v>
      </c>
      <c r="H1656" s="8">
        <v>2</v>
      </c>
      <c r="I1656" s="10">
        <v>40.5</v>
      </c>
      <c r="J1656" s="14">
        <f>P1656*I1656</f>
        <v>81</v>
      </c>
      <c r="K1656" s="16">
        <v>380</v>
      </c>
      <c r="L1656" s="1" t="s">
        <v>30</v>
      </c>
      <c r="M1656" t="s">
        <v>58</v>
      </c>
      <c r="N1656" t="str">
        <f t="shared" si="34"/>
        <v>United Kingdom</v>
      </c>
      <c r="O1656" s="8">
        <f>IF(K1656&gt;=1,K1656,K1656*1000)</f>
        <v>380</v>
      </c>
      <c r="P1656">
        <f>ABS(H1656)</f>
        <v>2</v>
      </c>
      <c r="R1656"/>
    </row>
    <row r="1657" spans="1:18" x14ac:dyDescent="0.35">
      <c r="A1657" t="s">
        <v>2957</v>
      </c>
      <c r="B1657" s="2">
        <v>46164</v>
      </c>
      <c r="C1657" t="s">
        <v>1536</v>
      </c>
      <c r="D1657" s="3" t="s">
        <v>4613</v>
      </c>
      <c r="E1657" t="s">
        <v>34</v>
      </c>
      <c r="F1657" t="s">
        <v>26</v>
      </c>
      <c r="G1657" t="s">
        <v>27</v>
      </c>
      <c r="H1657" s="8">
        <v>1</v>
      </c>
      <c r="I1657" s="10">
        <v>129</v>
      </c>
      <c r="J1657" s="14">
        <f>P1657*I1657</f>
        <v>129</v>
      </c>
      <c r="K1657" s="16">
        <v>0.52</v>
      </c>
      <c r="L1657" s="1" t="s">
        <v>30</v>
      </c>
      <c r="M1657" t="s">
        <v>22</v>
      </c>
      <c r="N1657" t="str">
        <f t="shared" si="34"/>
        <v>United Kingdom</v>
      </c>
      <c r="O1657" s="8">
        <f>IF(K1657&gt;=1,K1657,K1657*1000)</f>
        <v>520</v>
      </c>
      <c r="P1657">
        <f>ABS(H1657)</f>
        <v>1</v>
      </c>
      <c r="R1657"/>
    </row>
    <row r="1658" spans="1:18" x14ac:dyDescent="0.35">
      <c r="A1658" t="s">
        <v>2958</v>
      </c>
      <c r="B1658" s="2">
        <v>46028</v>
      </c>
      <c r="C1658" t="s">
        <v>2222</v>
      </c>
      <c r="D1658" s="3" t="s">
        <v>61</v>
      </c>
      <c r="E1658" t="s">
        <v>16</v>
      </c>
      <c r="F1658" t="s">
        <v>35</v>
      </c>
      <c r="G1658" t="s">
        <v>36</v>
      </c>
      <c r="H1658" s="8">
        <v>1</v>
      </c>
      <c r="I1658" s="10">
        <v>149</v>
      </c>
      <c r="J1658" s="14">
        <f>P1658*I1658</f>
        <v>149</v>
      </c>
      <c r="K1658" s="16">
        <v>85</v>
      </c>
      <c r="L1658" s="1" t="s">
        <v>30</v>
      </c>
      <c r="M1658" t="s">
        <v>58</v>
      </c>
      <c r="N1658" t="str">
        <f t="shared" si="34"/>
        <v>Ireland</v>
      </c>
      <c r="O1658" s="8">
        <f>IF(K1658&gt;=1,K1658,K1658*1000)</f>
        <v>85</v>
      </c>
      <c r="P1658">
        <f>ABS(H1658)</f>
        <v>1</v>
      </c>
      <c r="R1658"/>
    </row>
    <row r="1659" spans="1:18" x14ac:dyDescent="0.35">
      <c r="A1659" t="s">
        <v>2959</v>
      </c>
      <c r="B1659" s="2">
        <v>46143</v>
      </c>
      <c r="C1659" t="s">
        <v>847</v>
      </c>
      <c r="D1659" s="3" t="s">
        <v>46</v>
      </c>
      <c r="E1659" t="s">
        <v>67</v>
      </c>
      <c r="F1659" t="s">
        <v>47</v>
      </c>
      <c r="G1659" t="s">
        <v>48</v>
      </c>
      <c r="H1659" s="8">
        <v>1</v>
      </c>
      <c r="I1659" s="10">
        <v>12.5</v>
      </c>
      <c r="J1659" s="14">
        <f>P1659*I1659</f>
        <v>12.5</v>
      </c>
      <c r="K1659" s="16">
        <v>0.38</v>
      </c>
      <c r="L1659" s="1" t="s">
        <v>30</v>
      </c>
      <c r="M1659" t="s">
        <v>22</v>
      </c>
      <c r="N1659" t="str">
        <f t="shared" si="34"/>
        <v>Ireland</v>
      </c>
      <c r="O1659" s="8">
        <f>IF(K1659&gt;=1,K1659,K1659*1000)</f>
        <v>380</v>
      </c>
      <c r="P1659">
        <f>ABS(H1659)</f>
        <v>1</v>
      </c>
      <c r="R1659"/>
    </row>
    <row r="1660" spans="1:18" x14ac:dyDescent="0.35">
      <c r="A1660" t="s">
        <v>2960</v>
      </c>
      <c r="B1660" s="2">
        <v>46124</v>
      </c>
      <c r="C1660" t="s">
        <v>2961</v>
      </c>
      <c r="D1660" s="3" t="s">
        <v>66</v>
      </c>
      <c r="E1660" t="s">
        <v>41</v>
      </c>
      <c r="F1660" t="s">
        <v>83</v>
      </c>
      <c r="G1660" t="s">
        <v>84</v>
      </c>
      <c r="H1660" s="8">
        <v>2</v>
      </c>
      <c r="I1660" s="10">
        <v>21.6</v>
      </c>
      <c r="J1660" s="14">
        <f>P1660*I1660</f>
        <v>43.2</v>
      </c>
      <c r="K1660" s="16">
        <v>340</v>
      </c>
      <c r="L1660" s="1" t="s">
        <v>21</v>
      </c>
      <c r="M1660" t="s">
        <v>22</v>
      </c>
      <c r="N1660" t="str">
        <f t="shared" si="34"/>
        <v>Gb</v>
      </c>
      <c r="O1660" s="8">
        <f>IF(K1660&gt;=1,K1660,K1660*1000)</f>
        <v>340</v>
      </c>
      <c r="P1660">
        <f>ABS(H1660)</f>
        <v>2</v>
      </c>
      <c r="R1660"/>
    </row>
    <row r="1661" spans="1:18" x14ac:dyDescent="0.35">
      <c r="A1661" t="s">
        <v>2963</v>
      </c>
      <c r="B1661" s="2">
        <v>46101</v>
      </c>
      <c r="C1661" t="s">
        <v>2964</v>
      </c>
      <c r="D1661" s="3" t="s">
        <v>15</v>
      </c>
      <c r="E1661" t="s">
        <v>34</v>
      </c>
      <c r="F1661" t="s">
        <v>42</v>
      </c>
      <c r="G1661" t="s">
        <v>43</v>
      </c>
      <c r="H1661" s="8">
        <v>2</v>
      </c>
      <c r="I1661" s="12" t="s">
        <v>4625</v>
      </c>
      <c r="J1661" s="14">
        <f>P1661*R1661</f>
        <v>142.19999999999999</v>
      </c>
      <c r="K1661" s="16">
        <v>190</v>
      </c>
      <c r="L1661" s="1" t="s">
        <v>21</v>
      </c>
      <c r="M1661" t="s">
        <v>22</v>
      </c>
      <c r="N1661" t="str">
        <f t="shared" si="34"/>
        <v>France</v>
      </c>
      <c r="O1661" s="8">
        <f>IF(K1661&gt;=1,K1661,K1661*1000)</f>
        <v>190</v>
      </c>
      <c r="P1661">
        <f>ABS(H1661)</f>
        <v>2</v>
      </c>
      <c r="Q1661" t="str">
        <f>LEFT(I1661,2)</f>
        <v>Â£</v>
      </c>
      <c r="R1661" t="str">
        <f>RIGHT(I1661,5)</f>
        <v>71,10</v>
      </c>
    </row>
    <row r="1662" spans="1:18" x14ac:dyDescent="0.35">
      <c r="A1662" t="s">
        <v>2965</v>
      </c>
      <c r="B1662" s="2" t="s">
        <v>339</v>
      </c>
      <c r="C1662" t="s">
        <v>868</v>
      </c>
      <c r="D1662" s="3" t="s">
        <v>99</v>
      </c>
      <c r="E1662" t="s">
        <v>16</v>
      </c>
      <c r="F1662" t="s">
        <v>42</v>
      </c>
      <c r="G1662" t="s">
        <v>43</v>
      </c>
      <c r="H1662" s="8">
        <v>1</v>
      </c>
      <c r="I1662" s="10">
        <v>116.1</v>
      </c>
      <c r="J1662" s="14">
        <f>P1662*I1662</f>
        <v>116.1</v>
      </c>
      <c r="K1662" s="16">
        <v>190</v>
      </c>
      <c r="L1662" s="1" t="s">
        <v>30</v>
      </c>
      <c r="M1662" t="s">
        <v>58</v>
      </c>
      <c r="N1662" t="str">
        <f t="shared" si="34"/>
        <v>United Kingdom</v>
      </c>
      <c r="O1662" s="8">
        <f>IF(K1662&gt;=1,K1662,K1662*1000)</f>
        <v>190</v>
      </c>
      <c r="P1662">
        <f>ABS(H1662)</f>
        <v>1</v>
      </c>
      <c r="R1662"/>
    </row>
    <row r="1663" spans="1:18" x14ac:dyDescent="0.35">
      <c r="A1663" t="s">
        <v>2966</v>
      </c>
      <c r="B1663" s="2">
        <v>46112</v>
      </c>
      <c r="C1663" t="s">
        <v>229</v>
      </c>
      <c r="D1663" s="3" t="s">
        <v>116</v>
      </c>
      <c r="E1663" t="s">
        <v>67</v>
      </c>
      <c r="F1663" t="s">
        <v>83</v>
      </c>
      <c r="G1663" t="s">
        <v>84</v>
      </c>
      <c r="H1663" s="8">
        <v>2</v>
      </c>
      <c r="I1663" s="10">
        <v>149</v>
      </c>
      <c r="J1663" s="14">
        <f>P1663*I1663</f>
        <v>298</v>
      </c>
      <c r="K1663" s="16">
        <v>340</v>
      </c>
      <c r="L1663" s="1" t="s">
        <v>21</v>
      </c>
      <c r="M1663" t="s">
        <v>22</v>
      </c>
      <c r="N1663" t="str">
        <f t="shared" si="34"/>
        <v>Germany</v>
      </c>
      <c r="O1663" s="8">
        <f>IF(K1663&gt;=1,K1663,K1663*1000)</f>
        <v>340</v>
      </c>
      <c r="P1663">
        <f>ABS(H1663)</f>
        <v>2</v>
      </c>
      <c r="R1663"/>
    </row>
    <row r="1664" spans="1:18" x14ac:dyDescent="0.35">
      <c r="A1664" t="s">
        <v>2967</v>
      </c>
      <c r="B1664" s="2">
        <v>46299</v>
      </c>
      <c r="C1664" t="s">
        <v>2968</v>
      </c>
      <c r="D1664" s="3" t="s">
        <v>46</v>
      </c>
      <c r="E1664" t="s">
        <v>16</v>
      </c>
      <c r="F1664" t="s">
        <v>83</v>
      </c>
      <c r="G1664" t="s">
        <v>84</v>
      </c>
      <c r="H1664" s="8">
        <v>1</v>
      </c>
      <c r="I1664" s="10">
        <v>95</v>
      </c>
      <c r="J1664" s="14">
        <f>P1664*I1664</f>
        <v>95</v>
      </c>
      <c r="K1664" s="16">
        <v>340</v>
      </c>
      <c r="L1664" s="1" t="s">
        <v>30</v>
      </c>
      <c r="M1664" t="s">
        <v>22</v>
      </c>
      <c r="N1664" t="str">
        <f t="shared" si="34"/>
        <v>Ireland</v>
      </c>
      <c r="O1664" s="8">
        <f>IF(K1664&gt;=1,K1664,K1664*1000)</f>
        <v>340</v>
      </c>
      <c r="P1664">
        <f>ABS(H1664)</f>
        <v>1</v>
      </c>
      <c r="R1664"/>
    </row>
    <row r="1665" spans="1:18" x14ac:dyDescent="0.35">
      <c r="A1665" t="s">
        <v>2969</v>
      </c>
      <c r="B1665" s="2">
        <v>46176</v>
      </c>
      <c r="C1665" t="s">
        <v>2364</v>
      </c>
      <c r="D1665" s="3" t="s">
        <v>99</v>
      </c>
      <c r="E1665" t="s">
        <v>25</v>
      </c>
      <c r="F1665" t="s">
        <v>42</v>
      </c>
      <c r="G1665" t="s">
        <v>43</v>
      </c>
      <c r="H1665" s="8">
        <v>2</v>
      </c>
      <c r="I1665" s="10">
        <v>85.5</v>
      </c>
      <c r="J1665" s="14">
        <f>P1665*I1665</f>
        <v>171</v>
      </c>
      <c r="K1665" s="16">
        <v>0.19</v>
      </c>
      <c r="L1665" s="1" t="s">
        <v>30</v>
      </c>
      <c r="M1665" t="s">
        <v>22</v>
      </c>
      <c r="N1665" t="str">
        <f t="shared" si="34"/>
        <v>United Kingdom</v>
      </c>
      <c r="O1665" s="8">
        <f>IF(K1665&gt;=1,K1665,K1665*1000)</f>
        <v>190</v>
      </c>
      <c r="P1665">
        <f>ABS(H1665)</f>
        <v>2</v>
      </c>
      <c r="R1665"/>
    </row>
    <row r="1666" spans="1:18" x14ac:dyDescent="0.35">
      <c r="A1666" t="s">
        <v>2970</v>
      </c>
      <c r="B1666" s="2">
        <v>46061</v>
      </c>
      <c r="C1666" t="s">
        <v>2971</v>
      </c>
      <c r="D1666" s="3" t="s">
        <v>99</v>
      </c>
      <c r="E1666" t="s">
        <v>34</v>
      </c>
      <c r="F1666" t="s">
        <v>89</v>
      </c>
      <c r="G1666" t="s">
        <v>90</v>
      </c>
      <c r="H1666" s="8">
        <v>1</v>
      </c>
      <c r="I1666" s="10">
        <v>79</v>
      </c>
      <c r="J1666" s="14">
        <f>P1666*I1666</f>
        <v>79</v>
      </c>
      <c r="K1666" s="16">
        <v>640</v>
      </c>
      <c r="L1666" s="1" t="s">
        <v>30</v>
      </c>
      <c r="M1666" t="s">
        <v>58</v>
      </c>
      <c r="N1666" t="str">
        <f t="shared" si="34"/>
        <v>United Kingdom</v>
      </c>
      <c r="O1666" s="8">
        <f>IF(K1666&gt;=1,K1666,K1666*1000)</f>
        <v>640</v>
      </c>
      <c r="P1666">
        <f>ABS(H1666)</f>
        <v>1</v>
      </c>
      <c r="R1666"/>
    </row>
    <row r="1667" spans="1:18" x14ac:dyDescent="0.35">
      <c r="A1667" t="s">
        <v>2972</v>
      </c>
      <c r="B1667" s="2">
        <v>46198</v>
      </c>
      <c r="C1667" t="s">
        <v>2973</v>
      </c>
      <c r="D1667" s="3" t="s">
        <v>53</v>
      </c>
      <c r="E1667" t="s">
        <v>16</v>
      </c>
      <c r="F1667" t="s">
        <v>47</v>
      </c>
      <c r="G1667" t="s">
        <v>48</v>
      </c>
      <c r="H1667" s="8">
        <v>2</v>
      </c>
      <c r="I1667" s="10">
        <v>116.1</v>
      </c>
      <c r="J1667" s="14">
        <f>P1667*I1667</f>
        <v>232.2</v>
      </c>
      <c r="K1667" s="16">
        <v>0.38</v>
      </c>
      <c r="L1667" s="1" t="s">
        <v>30</v>
      </c>
      <c r="M1667" t="s">
        <v>58</v>
      </c>
      <c r="N1667" t="str">
        <f t="shared" ref="N1667:N1730" si="38">PROPER(TRIM(D1667))</f>
        <v>Gb</v>
      </c>
      <c r="O1667" s="8">
        <f>IF(K1667&gt;=1,K1667,K1667*1000)</f>
        <v>380</v>
      </c>
      <c r="P1667">
        <f>ABS(H1667)</f>
        <v>2</v>
      </c>
      <c r="R1667"/>
    </row>
    <row r="1668" spans="1:18" x14ac:dyDescent="0.35">
      <c r="A1668" t="s">
        <v>2974</v>
      </c>
      <c r="B1668" s="2">
        <v>46041</v>
      </c>
      <c r="C1668" t="s">
        <v>173</v>
      </c>
      <c r="D1668" s="3" t="s">
        <v>15</v>
      </c>
      <c r="E1668" t="s">
        <v>41</v>
      </c>
      <c r="F1668" t="s">
        <v>74</v>
      </c>
      <c r="G1668" t="s">
        <v>75</v>
      </c>
      <c r="H1668" s="8">
        <v>1</v>
      </c>
      <c r="I1668" s="10">
        <v>149</v>
      </c>
      <c r="J1668" s="14">
        <f>P1668*I1668</f>
        <v>149</v>
      </c>
      <c r="K1668" s="16">
        <v>410</v>
      </c>
      <c r="L1668" s="1" t="s">
        <v>30</v>
      </c>
      <c r="M1668" t="s">
        <v>22</v>
      </c>
      <c r="N1668" t="str">
        <f t="shared" si="38"/>
        <v>France</v>
      </c>
      <c r="O1668" s="8">
        <f>IF(K1668&gt;=1,K1668,K1668*1000)</f>
        <v>410</v>
      </c>
      <c r="P1668">
        <f>ABS(H1668)</f>
        <v>1</v>
      </c>
      <c r="R1668"/>
    </row>
    <row r="1669" spans="1:18" x14ac:dyDescent="0.35">
      <c r="A1669" t="s">
        <v>2975</v>
      </c>
      <c r="B1669" s="2">
        <v>46043</v>
      </c>
      <c r="C1669" t="s">
        <v>870</v>
      </c>
      <c r="D1669" s="3" t="s">
        <v>4613</v>
      </c>
      <c r="E1669" t="s">
        <v>41</v>
      </c>
      <c r="F1669" t="s">
        <v>83</v>
      </c>
      <c r="G1669" t="s">
        <v>84</v>
      </c>
      <c r="H1669" s="8">
        <v>3</v>
      </c>
      <c r="I1669" s="10">
        <v>89</v>
      </c>
      <c r="J1669" s="14">
        <f>P1669*I1669</f>
        <v>267</v>
      </c>
      <c r="K1669" s="16">
        <v>340</v>
      </c>
      <c r="L1669" s="1" t="s">
        <v>30</v>
      </c>
      <c r="M1669" t="s">
        <v>22</v>
      </c>
      <c r="N1669" t="str">
        <f t="shared" si="38"/>
        <v>United Kingdom</v>
      </c>
      <c r="O1669" s="8">
        <f>IF(K1669&gt;=1,K1669,K1669*1000)</f>
        <v>340</v>
      </c>
      <c r="P1669">
        <f>ABS(H1669)</f>
        <v>3</v>
      </c>
      <c r="R1669"/>
    </row>
    <row r="1670" spans="1:18" x14ac:dyDescent="0.35">
      <c r="A1670" t="s">
        <v>2976</v>
      </c>
      <c r="B1670" s="2">
        <v>46194</v>
      </c>
      <c r="C1670" t="s">
        <v>2977</v>
      </c>
      <c r="D1670" s="3" t="s">
        <v>99</v>
      </c>
      <c r="E1670" t="s">
        <v>67</v>
      </c>
      <c r="F1670" t="s">
        <v>42</v>
      </c>
      <c r="G1670" t="s">
        <v>43</v>
      </c>
      <c r="H1670" s="8">
        <v>1</v>
      </c>
      <c r="I1670" s="10">
        <v>134.1</v>
      </c>
      <c r="J1670" s="14">
        <f>P1670*I1670</f>
        <v>134.1</v>
      </c>
      <c r="K1670" s="16">
        <v>0.19</v>
      </c>
      <c r="L1670" s="1" t="s">
        <v>21</v>
      </c>
      <c r="M1670" t="s">
        <v>22</v>
      </c>
      <c r="N1670" t="str">
        <f t="shared" si="38"/>
        <v>United Kingdom</v>
      </c>
      <c r="O1670" s="8">
        <f>IF(K1670&gt;=1,K1670,K1670*1000)</f>
        <v>190</v>
      </c>
      <c r="P1670">
        <f>ABS(H1670)</f>
        <v>1</v>
      </c>
      <c r="R1670"/>
    </row>
    <row r="1671" spans="1:18" x14ac:dyDescent="0.35">
      <c r="A1671" t="s">
        <v>2978</v>
      </c>
      <c r="B1671" s="2" t="s">
        <v>2067</v>
      </c>
      <c r="C1671" t="s">
        <v>2979</v>
      </c>
      <c r="D1671" s="3" t="s">
        <v>99</v>
      </c>
      <c r="E1671" t="s">
        <v>41</v>
      </c>
      <c r="F1671" t="s">
        <v>89</v>
      </c>
      <c r="G1671" t="s">
        <v>90</v>
      </c>
      <c r="H1671" s="8">
        <v>1</v>
      </c>
      <c r="I1671" s="10">
        <v>116.1</v>
      </c>
      <c r="J1671" s="14">
        <f>P1671*I1671</f>
        <v>116.1</v>
      </c>
      <c r="K1671" s="16">
        <v>0.64</v>
      </c>
      <c r="L1671" s="1" t="s">
        <v>30</v>
      </c>
      <c r="M1671" t="s">
        <v>58</v>
      </c>
      <c r="N1671" t="str">
        <f t="shared" si="38"/>
        <v>United Kingdom</v>
      </c>
      <c r="O1671" s="8">
        <f>IF(K1671&gt;=1,K1671,K1671*1000)</f>
        <v>640</v>
      </c>
      <c r="P1671">
        <f>ABS(H1671)</f>
        <v>1</v>
      </c>
      <c r="R1671"/>
    </row>
    <row r="1672" spans="1:18" x14ac:dyDescent="0.35">
      <c r="A1672" t="s">
        <v>2980</v>
      </c>
      <c r="B1672" s="2">
        <v>46122</v>
      </c>
      <c r="C1672" t="s">
        <v>716</v>
      </c>
      <c r="D1672" s="3" t="s">
        <v>53</v>
      </c>
      <c r="E1672" t="s">
        <v>25</v>
      </c>
      <c r="F1672" t="s">
        <v>42</v>
      </c>
      <c r="G1672" t="s">
        <v>43</v>
      </c>
      <c r="H1672" s="8">
        <v>3</v>
      </c>
      <c r="I1672" s="10">
        <v>24</v>
      </c>
      <c r="J1672" s="14">
        <f>P1672*I1672</f>
        <v>72</v>
      </c>
      <c r="K1672" s="16">
        <v>190</v>
      </c>
      <c r="L1672" s="1" t="s">
        <v>30</v>
      </c>
      <c r="M1672" t="s">
        <v>58</v>
      </c>
      <c r="N1672" t="str">
        <f t="shared" si="38"/>
        <v>Gb</v>
      </c>
      <c r="O1672" s="8">
        <f>IF(K1672&gt;=1,K1672,K1672*1000)</f>
        <v>190</v>
      </c>
      <c r="P1672">
        <f>ABS(H1672)</f>
        <v>3</v>
      </c>
      <c r="R1672"/>
    </row>
    <row r="1673" spans="1:18" x14ac:dyDescent="0.35">
      <c r="A1673" t="s">
        <v>2981</v>
      </c>
      <c r="B1673" s="2">
        <v>46195</v>
      </c>
      <c r="C1673" t="s">
        <v>663</v>
      </c>
      <c r="D1673" s="3" t="s">
        <v>4613</v>
      </c>
      <c r="E1673" t="s">
        <v>25</v>
      </c>
      <c r="F1673" t="s">
        <v>35</v>
      </c>
      <c r="G1673" t="s">
        <v>36</v>
      </c>
      <c r="H1673" s="8">
        <v>1</v>
      </c>
      <c r="I1673" s="10">
        <v>116.1</v>
      </c>
      <c r="J1673" s="14">
        <f>P1673*I1673</f>
        <v>116.1</v>
      </c>
      <c r="K1673" s="16">
        <v>8.5000000000000006E-2</v>
      </c>
      <c r="L1673" s="1" t="s">
        <v>30</v>
      </c>
      <c r="M1673" t="s">
        <v>22</v>
      </c>
      <c r="N1673" t="str">
        <f t="shared" si="38"/>
        <v>United Kingdom</v>
      </c>
      <c r="O1673" s="8">
        <f>IF(K1673&gt;=1,K1673,K1673*1000)</f>
        <v>85</v>
      </c>
      <c r="P1673">
        <f>ABS(H1673)</f>
        <v>1</v>
      </c>
      <c r="R1673"/>
    </row>
    <row r="1674" spans="1:18" x14ac:dyDescent="0.35">
      <c r="A1674" t="s">
        <v>2982</v>
      </c>
      <c r="B1674" s="2">
        <v>46205</v>
      </c>
      <c r="C1674" t="s">
        <v>2983</v>
      </c>
      <c r="D1674" s="3" t="s">
        <v>61</v>
      </c>
      <c r="E1674" t="s">
        <v>34</v>
      </c>
      <c r="F1674" t="s">
        <v>89</v>
      </c>
      <c r="G1674" t="s">
        <v>90</v>
      </c>
      <c r="H1674" s="8">
        <v>3</v>
      </c>
      <c r="I1674" s="10">
        <v>95</v>
      </c>
      <c r="J1674" s="14">
        <f>P1674*I1674</f>
        <v>285</v>
      </c>
      <c r="K1674" s="16">
        <v>0.64</v>
      </c>
      <c r="L1674" s="1" t="s">
        <v>30</v>
      </c>
      <c r="M1674" t="s">
        <v>22</v>
      </c>
      <c r="N1674" t="str">
        <f t="shared" si="38"/>
        <v>Ireland</v>
      </c>
      <c r="O1674" s="8">
        <f>IF(K1674&gt;=1,K1674,K1674*1000)</f>
        <v>640</v>
      </c>
      <c r="P1674">
        <f>ABS(H1674)</f>
        <v>3</v>
      </c>
      <c r="R1674"/>
    </row>
    <row r="1675" spans="1:18" x14ac:dyDescent="0.35">
      <c r="A1675" t="s">
        <v>2984</v>
      </c>
      <c r="B1675" s="2">
        <v>46037</v>
      </c>
      <c r="C1675" t="s">
        <v>1163</v>
      </c>
      <c r="D1675" s="3" t="s">
        <v>99</v>
      </c>
      <c r="E1675" t="s">
        <v>67</v>
      </c>
      <c r="F1675" t="s">
        <v>35</v>
      </c>
      <c r="G1675" t="s">
        <v>36</v>
      </c>
      <c r="H1675" s="8">
        <v>2</v>
      </c>
      <c r="I1675" s="10">
        <v>79</v>
      </c>
      <c r="J1675" s="14">
        <f>P1675*I1675</f>
        <v>158</v>
      </c>
      <c r="K1675" s="16">
        <v>85</v>
      </c>
      <c r="L1675" s="1" t="s">
        <v>21</v>
      </c>
      <c r="M1675" t="s">
        <v>22</v>
      </c>
      <c r="N1675" t="str">
        <f t="shared" si="38"/>
        <v>United Kingdom</v>
      </c>
      <c r="O1675" s="8">
        <f>IF(K1675&gt;=1,K1675,K1675*1000)</f>
        <v>85</v>
      </c>
      <c r="P1675">
        <f>ABS(H1675)</f>
        <v>2</v>
      </c>
      <c r="R1675"/>
    </row>
    <row r="1676" spans="1:18" x14ac:dyDescent="0.35">
      <c r="A1676" t="s">
        <v>2985</v>
      </c>
      <c r="B1676" s="2">
        <v>46195</v>
      </c>
      <c r="C1676" t="s">
        <v>525</v>
      </c>
      <c r="D1676" s="3" t="s">
        <v>53</v>
      </c>
      <c r="E1676" t="s">
        <v>25</v>
      </c>
      <c r="F1676" t="s">
        <v>42</v>
      </c>
      <c r="G1676" t="s">
        <v>43</v>
      </c>
      <c r="H1676" s="8">
        <v>1</v>
      </c>
      <c r="I1676" s="10">
        <v>89</v>
      </c>
      <c r="J1676" s="14">
        <f>P1676*I1676</f>
        <v>89</v>
      </c>
      <c r="K1676" s="16">
        <v>0.19</v>
      </c>
      <c r="L1676" s="1" t="s">
        <v>21</v>
      </c>
      <c r="M1676" t="s">
        <v>22</v>
      </c>
      <c r="N1676" t="str">
        <f t="shared" si="38"/>
        <v>Gb</v>
      </c>
      <c r="O1676" s="8">
        <f>IF(K1676&gt;=1,K1676,K1676*1000)</f>
        <v>190</v>
      </c>
      <c r="P1676">
        <f>ABS(H1676)</f>
        <v>1</v>
      </c>
      <c r="R1676"/>
    </row>
    <row r="1677" spans="1:18" x14ac:dyDescent="0.35">
      <c r="A1677" t="s">
        <v>2986</v>
      </c>
      <c r="B1677" s="2">
        <v>46053</v>
      </c>
      <c r="C1677" t="s">
        <v>2987</v>
      </c>
      <c r="D1677" s="3" t="s">
        <v>15</v>
      </c>
      <c r="E1677" t="s">
        <v>67</v>
      </c>
      <c r="F1677" t="s">
        <v>17</v>
      </c>
      <c r="G1677" t="s">
        <v>18</v>
      </c>
      <c r="H1677" s="8">
        <v>2</v>
      </c>
      <c r="I1677" s="10">
        <v>89</v>
      </c>
      <c r="J1677" s="14">
        <f>P1677*I1677</f>
        <v>178</v>
      </c>
      <c r="K1677" s="16">
        <v>520</v>
      </c>
      <c r="L1677" s="1" t="s">
        <v>30</v>
      </c>
      <c r="M1677" t="s">
        <v>22</v>
      </c>
      <c r="N1677" t="str">
        <f t="shared" si="38"/>
        <v>France</v>
      </c>
      <c r="O1677" s="8">
        <f>IF(K1677&gt;=1,K1677,K1677*1000)</f>
        <v>520</v>
      </c>
      <c r="P1677">
        <f>ABS(H1677)</f>
        <v>2</v>
      </c>
      <c r="R1677"/>
    </row>
    <row r="1678" spans="1:18" x14ac:dyDescent="0.35">
      <c r="A1678" t="s">
        <v>2988</v>
      </c>
      <c r="B1678" s="2">
        <v>46069</v>
      </c>
      <c r="C1678" t="s">
        <v>2086</v>
      </c>
      <c r="D1678" s="3" t="s">
        <v>61</v>
      </c>
      <c r="E1678" t="s">
        <v>67</v>
      </c>
      <c r="F1678" t="s">
        <v>17</v>
      </c>
      <c r="G1678" t="s">
        <v>18</v>
      </c>
      <c r="H1678" s="8">
        <v>2</v>
      </c>
      <c r="I1678" s="10">
        <v>89</v>
      </c>
      <c r="J1678" s="14">
        <f>P1678*I1678</f>
        <v>178</v>
      </c>
      <c r="K1678" s="16">
        <v>520</v>
      </c>
      <c r="L1678" s="1" t="s">
        <v>30</v>
      </c>
      <c r="M1678" t="s">
        <v>22</v>
      </c>
      <c r="N1678" t="str">
        <f t="shared" si="38"/>
        <v>Ireland</v>
      </c>
      <c r="O1678" s="8">
        <f>IF(K1678&gt;=1,K1678,K1678*1000)</f>
        <v>520</v>
      </c>
      <c r="P1678">
        <f>ABS(H1678)</f>
        <v>2</v>
      </c>
      <c r="R1678"/>
    </row>
    <row r="1679" spans="1:18" x14ac:dyDescent="0.35">
      <c r="A1679" t="s">
        <v>2989</v>
      </c>
      <c r="B1679" s="2">
        <v>46079</v>
      </c>
      <c r="C1679" t="s">
        <v>325</v>
      </c>
      <c r="D1679" s="3" t="s">
        <v>61</v>
      </c>
      <c r="E1679" t="s">
        <v>67</v>
      </c>
      <c r="F1679" t="s">
        <v>35</v>
      </c>
      <c r="G1679" t="s">
        <v>36</v>
      </c>
      <c r="H1679" s="8">
        <v>3</v>
      </c>
      <c r="I1679" s="10">
        <v>11.25</v>
      </c>
      <c r="J1679" s="14">
        <f>P1679*I1679</f>
        <v>33.75</v>
      </c>
      <c r="K1679" s="16">
        <v>85</v>
      </c>
      <c r="L1679" s="1" t="s">
        <v>21</v>
      </c>
      <c r="M1679" t="s">
        <v>22</v>
      </c>
      <c r="N1679" t="str">
        <f t="shared" si="38"/>
        <v>Ireland</v>
      </c>
      <c r="O1679" s="8">
        <f>IF(K1679&gt;=1,K1679,K1679*1000)</f>
        <v>85</v>
      </c>
      <c r="P1679">
        <f>ABS(H1679)</f>
        <v>3</v>
      </c>
      <c r="R1679"/>
    </row>
    <row r="1680" spans="1:18" x14ac:dyDescent="0.35">
      <c r="A1680" t="s">
        <v>2990</v>
      </c>
      <c r="B1680" s="2" t="s">
        <v>158</v>
      </c>
      <c r="C1680" t="s">
        <v>583</v>
      </c>
      <c r="D1680" s="3" t="s">
        <v>53</v>
      </c>
      <c r="E1680" t="s">
        <v>16</v>
      </c>
      <c r="F1680" t="s">
        <v>17</v>
      </c>
      <c r="G1680" t="s">
        <v>18</v>
      </c>
      <c r="H1680" s="8">
        <v>1</v>
      </c>
      <c r="I1680" s="10">
        <v>85.5</v>
      </c>
      <c r="J1680" s="14">
        <f>P1680*I1680</f>
        <v>85.5</v>
      </c>
      <c r="K1680" s="16">
        <v>520</v>
      </c>
      <c r="L1680" s="1" t="s">
        <v>30</v>
      </c>
      <c r="M1680" t="s">
        <v>22</v>
      </c>
      <c r="N1680" t="str">
        <f t="shared" si="38"/>
        <v>Gb</v>
      </c>
      <c r="O1680" s="8">
        <f>IF(K1680&gt;=1,K1680,K1680*1000)</f>
        <v>520</v>
      </c>
      <c r="P1680">
        <f>ABS(H1680)</f>
        <v>1</v>
      </c>
      <c r="R1680"/>
    </row>
    <row r="1681" spans="1:18" x14ac:dyDescent="0.35">
      <c r="A1681" t="s">
        <v>2991</v>
      </c>
      <c r="B1681" s="2">
        <v>46064</v>
      </c>
      <c r="C1681" t="s">
        <v>1931</v>
      </c>
      <c r="D1681" s="3" t="s">
        <v>66</v>
      </c>
      <c r="E1681" t="s">
        <v>16</v>
      </c>
      <c r="F1681" t="s">
        <v>17</v>
      </c>
      <c r="G1681" t="s">
        <v>18</v>
      </c>
      <c r="H1681" s="8">
        <v>2</v>
      </c>
      <c r="I1681" s="10">
        <v>21.6</v>
      </c>
      <c r="J1681" s="14">
        <f>P1681*I1681</f>
        <v>43.2</v>
      </c>
      <c r="K1681" s="16">
        <v>520</v>
      </c>
      <c r="L1681" s="1" t="s">
        <v>30</v>
      </c>
      <c r="M1681" t="s">
        <v>22</v>
      </c>
      <c r="N1681" t="str">
        <f t="shared" si="38"/>
        <v>Gb</v>
      </c>
      <c r="O1681" s="8">
        <f>IF(K1681&gt;=1,K1681,K1681*1000)</f>
        <v>520</v>
      </c>
      <c r="P1681">
        <f>ABS(H1681)</f>
        <v>2</v>
      </c>
      <c r="R1681"/>
    </row>
    <row r="1682" spans="1:18" x14ac:dyDescent="0.35">
      <c r="A1682" t="s">
        <v>2992</v>
      </c>
      <c r="B1682" s="2">
        <v>46178</v>
      </c>
      <c r="C1682" t="s">
        <v>2993</v>
      </c>
      <c r="D1682" s="3" t="s">
        <v>15</v>
      </c>
      <c r="E1682" t="s">
        <v>34</v>
      </c>
      <c r="F1682" t="s">
        <v>17</v>
      </c>
      <c r="G1682" t="s">
        <v>18</v>
      </c>
      <c r="H1682" s="8">
        <v>2</v>
      </c>
      <c r="I1682" s="10">
        <v>45</v>
      </c>
      <c r="J1682" s="14">
        <f>P1682*I1682</f>
        <v>90</v>
      </c>
      <c r="K1682" s="16">
        <v>0.52</v>
      </c>
      <c r="L1682" s="1" t="s">
        <v>30</v>
      </c>
      <c r="M1682" t="s">
        <v>22</v>
      </c>
      <c r="N1682" t="str">
        <f t="shared" si="38"/>
        <v>France</v>
      </c>
      <c r="O1682" s="8">
        <f>IF(K1682&gt;=1,K1682,K1682*1000)</f>
        <v>520</v>
      </c>
      <c r="P1682">
        <f>ABS(H1682)</f>
        <v>2</v>
      </c>
      <c r="R1682"/>
    </row>
    <row r="1683" spans="1:18" x14ac:dyDescent="0.35">
      <c r="A1683" t="s">
        <v>2994</v>
      </c>
      <c r="B1683" s="2" t="s">
        <v>1610</v>
      </c>
      <c r="C1683" t="s">
        <v>2995</v>
      </c>
      <c r="D1683" s="3" t="s">
        <v>99</v>
      </c>
      <c r="E1683" t="s">
        <v>16</v>
      </c>
      <c r="F1683" t="s">
        <v>26</v>
      </c>
      <c r="G1683" t="s">
        <v>27</v>
      </c>
      <c r="H1683" s="8">
        <v>1</v>
      </c>
      <c r="I1683" s="10">
        <v>11.25</v>
      </c>
      <c r="J1683" s="14">
        <f>P1683*I1683</f>
        <v>11.25</v>
      </c>
      <c r="K1683" s="16">
        <v>0.52</v>
      </c>
      <c r="L1683" s="1" t="s">
        <v>21</v>
      </c>
      <c r="M1683" t="s">
        <v>58</v>
      </c>
      <c r="N1683" t="str">
        <f t="shared" si="38"/>
        <v>United Kingdom</v>
      </c>
      <c r="O1683" s="8">
        <f>IF(K1683&gt;=1,K1683,K1683*1000)</f>
        <v>520</v>
      </c>
      <c r="P1683">
        <f>ABS(H1683)</f>
        <v>1</v>
      </c>
      <c r="R1683"/>
    </row>
    <row r="1684" spans="1:18" x14ac:dyDescent="0.35">
      <c r="A1684" t="s">
        <v>2996</v>
      </c>
      <c r="B1684" s="2">
        <v>46076</v>
      </c>
      <c r="C1684" t="s">
        <v>180</v>
      </c>
      <c r="D1684" s="3" t="s">
        <v>15</v>
      </c>
      <c r="E1684" t="s">
        <v>16</v>
      </c>
      <c r="F1684" t="s">
        <v>89</v>
      </c>
      <c r="G1684" t="s">
        <v>90</v>
      </c>
      <c r="H1684" s="8">
        <v>1</v>
      </c>
      <c r="I1684" s="10">
        <v>12.5</v>
      </c>
      <c r="J1684" s="14">
        <f>P1684*I1684</f>
        <v>12.5</v>
      </c>
      <c r="K1684" s="16">
        <v>640</v>
      </c>
      <c r="L1684" s="1" t="s">
        <v>30</v>
      </c>
      <c r="M1684" t="s">
        <v>22</v>
      </c>
      <c r="N1684" t="str">
        <f t="shared" si="38"/>
        <v>France</v>
      </c>
      <c r="O1684" s="8">
        <f>IF(K1684&gt;=1,K1684,K1684*1000)</f>
        <v>640</v>
      </c>
      <c r="P1684">
        <f>ABS(H1684)</f>
        <v>1</v>
      </c>
      <c r="R1684"/>
    </row>
    <row r="1685" spans="1:18" x14ac:dyDescent="0.35">
      <c r="A1685" t="s">
        <v>2997</v>
      </c>
      <c r="B1685" s="2">
        <v>46165</v>
      </c>
      <c r="C1685" t="s">
        <v>2998</v>
      </c>
      <c r="D1685" s="3" t="s">
        <v>66</v>
      </c>
      <c r="E1685" t="s">
        <v>16</v>
      </c>
      <c r="F1685" t="s">
        <v>17</v>
      </c>
      <c r="G1685" t="s">
        <v>18</v>
      </c>
      <c r="H1685" s="8">
        <v>1</v>
      </c>
      <c r="I1685" s="10">
        <v>95</v>
      </c>
      <c r="J1685" s="14">
        <f>P1685*I1685</f>
        <v>95</v>
      </c>
      <c r="K1685" s="16">
        <v>0.52</v>
      </c>
      <c r="L1685" s="1" t="s">
        <v>30</v>
      </c>
      <c r="M1685" t="s">
        <v>58</v>
      </c>
      <c r="N1685" t="str">
        <f t="shared" si="38"/>
        <v>Gb</v>
      </c>
      <c r="O1685" s="8">
        <f>IF(K1685&gt;=1,K1685,K1685*1000)</f>
        <v>520</v>
      </c>
      <c r="P1685">
        <f>ABS(H1685)</f>
        <v>1</v>
      </c>
      <c r="R1685"/>
    </row>
    <row r="1686" spans="1:18" x14ac:dyDescent="0.35">
      <c r="A1686" t="s">
        <v>2999</v>
      </c>
      <c r="B1686" s="2">
        <v>46187</v>
      </c>
      <c r="C1686" t="s">
        <v>245</v>
      </c>
      <c r="D1686" s="3" t="s">
        <v>66</v>
      </c>
      <c r="E1686" t="s">
        <v>16</v>
      </c>
      <c r="F1686" t="s">
        <v>17</v>
      </c>
      <c r="G1686" t="s">
        <v>18</v>
      </c>
      <c r="H1686" s="8">
        <v>1</v>
      </c>
      <c r="I1686" s="10">
        <v>79</v>
      </c>
      <c r="J1686" s="14">
        <f>P1686*I1686</f>
        <v>79</v>
      </c>
      <c r="K1686" s="16">
        <v>0.52</v>
      </c>
      <c r="L1686" s="1" t="s">
        <v>30</v>
      </c>
      <c r="M1686" t="s">
        <v>22</v>
      </c>
      <c r="N1686" t="str">
        <f t="shared" si="38"/>
        <v>Gb</v>
      </c>
      <c r="O1686" s="8">
        <f>IF(K1686&gt;=1,K1686,K1686*1000)</f>
        <v>520</v>
      </c>
      <c r="P1686">
        <f>ABS(H1686)</f>
        <v>1</v>
      </c>
      <c r="R1686"/>
    </row>
    <row r="1687" spans="1:18" x14ac:dyDescent="0.35">
      <c r="A1687" t="s">
        <v>3001</v>
      </c>
      <c r="B1687" s="2">
        <v>46055</v>
      </c>
      <c r="C1687" t="s">
        <v>1181</v>
      </c>
      <c r="D1687" s="3" t="s">
        <v>4613</v>
      </c>
      <c r="E1687" t="s">
        <v>67</v>
      </c>
      <c r="F1687" t="s">
        <v>47</v>
      </c>
      <c r="G1687" t="s">
        <v>48</v>
      </c>
      <c r="H1687" s="8">
        <v>2</v>
      </c>
      <c r="I1687" s="10">
        <v>89</v>
      </c>
      <c r="J1687" s="14">
        <f>P1687*I1687</f>
        <v>178</v>
      </c>
      <c r="K1687" s="16">
        <v>380</v>
      </c>
      <c r="L1687" s="1" t="s">
        <v>30</v>
      </c>
      <c r="M1687" t="s">
        <v>22</v>
      </c>
      <c r="N1687" t="str">
        <f t="shared" si="38"/>
        <v>United Kingdom</v>
      </c>
      <c r="O1687" s="8">
        <f>IF(K1687&gt;=1,K1687,K1687*1000)</f>
        <v>380</v>
      </c>
      <c r="P1687">
        <f>ABS(H1687)</f>
        <v>2</v>
      </c>
      <c r="R1687"/>
    </row>
    <row r="1688" spans="1:18" x14ac:dyDescent="0.35">
      <c r="A1688" t="s">
        <v>3002</v>
      </c>
      <c r="B1688" s="2">
        <v>46150</v>
      </c>
      <c r="C1688" t="s">
        <v>231</v>
      </c>
      <c r="D1688" s="3" t="s">
        <v>53</v>
      </c>
      <c r="E1688" t="s">
        <v>34</v>
      </c>
      <c r="F1688" t="s">
        <v>26</v>
      </c>
      <c r="G1688" t="s">
        <v>27</v>
      </c>
      <c r="H1688" s="8">
        <v>-1</v>
      </c>
      <c r="I1688" s="10">
        <v>21.6</v>
      </c>
      <c r="J1688" s="14">
        <f>P1688*I1688</f>
        <v>21.6</v>
      </c>
      <c r="K1688" s="16">
        <v>0.52</v>
      </c>
      <c r="L1688" s="1" t="s">
        <v>30</v>
      </c>
      <c r="M1688" t="s">
        <v>22</v>
      </c>
      <c r="N1688" t="str">
        <f t="shared" si="38"/>
        <v>Gb</v>
      </c>
      <c r="O1688" s="8">
        <f>IF(K1688&gt;=1,K1688,K1688*1000)</f>
        <v>520</v>
      </c>
      <c r="P1688">
        <f>ABS(H1688)</f>
        <v>1</v>
      </c>
      <c r="R1688"/>
    </row>
    <row r="1689" spans="1:18" x14ac:dyDescent="0.35">
      <c r="A1689" t="s">
        <v>3004</v>
      </c>
      <c r="B1689" s="2">
        <v>46114</v>
      </c>
      <c r="C1689" t="s">
        <v>3005</v>
      </c>
      <c r="D1689" s="3" t="s">
        <v>99</v>
      </c>
      <c r="E1689" t="s">
        <v>41</v>
      </c>
      <c r="F1689" t="s">
        <v>89</v>
      </c>
      <c r="G1689" t="s">
        <v>90</v>
      </c>
      <c r="H1689" s="8">
        <v>-2</v>
      </c>
      <c r="I1689" s="10">
        <v>24</v>
      </c>
      <c r="J1689" s="14">
        <f>P1689*I1689</f>
        <v>48</v>
      </c>
      <c r="K1689" s="16">
        <v>640</v>
      </c>
      <c r="L1689" s="1" t="s">
        <v>30</v>
      </c>
      <c r="M1689" t="s">
        <v>22</v>
      </c>
      <c r="N1689" t="str">
        <f t="shared" si="38"/>
        <v>United Kingdom</v>
      </c>
      <c r="O1689" s="8">
        <f>IF(K1689&gt;=1,K1689,K1689*1000)</f>
        <v>640</v>
      </c>
      <c r="P1689">
        <f>ABS(H1689)</f>
        <v>2</v>
      </c>
      <c r="R1689"/>
    </row>
    <row r="1690" spans="1:18" x14ac:dyDescent="0.35">
      <c r="A1690" t="s">
        <v>3006</v>
      </c>
      <c r="B1690" s="2">
        <v>46055</v>
      </c>
      <c r="C1690" t="s">
        <v>504</v>
      </c>
      <c r="D1690" s="3" t="s">
        <v>116</v>
      </c>
      <c r="E1690" t="s">
        <v>25</v>
      </c>
      <c r="F1690" t="s">
        <v>35</v>
      </c>
      <c r="G1690" t="s">
        <v>36</v>
      </c>
      <c r="H1690" s="8">
        <v>1</v>
      </c>
      <c r="I1690" s="10">
        <v>79</v>
      </c>
      <c r="J1690" s="14">
        <f>P1690*I1690</f>
        <v>79</v>
      </c>
      <c r="K1690" s="16">
        <v>85</v>
      </c>
      <c r="L1690" s="1" t="s">
        <v>30</v>
      </c>
      <c r="M1690" t="s">
        <v>58</v>
      </c>
      <c r="N1690" t="str">
        <f t="shared" si="38"/>
        <v>Germany</v>
      </c>
      <c r="O1690" s="8">
        <f>IF(K1690&gt;=1,K1690,K1690*1000)</f>
        <v>85</v>
      </c>
      <c r="P1690">
        <f>ABS(H1690)</f>
        <v>1</v>
      </c>
      <c r="R1690"/>
    </row>
    <row r="1691" spans="1:18" x14ac:dyDescent="0.35">
      <c r="A1691" t="s">
        <v>3007</v>
      </c>
      <c r="B1691" s="2">
        <v>46128</v>
      </c>
      <c r="C1691" t="s">
        <v>3008</v>
      </c>
      <c r="D1691" s="3" t="s">
        <v>53</v>
      </c>
      <c r="E1691" t="s">
        <v>41</v>
      </c>
      <c r="F1691" t="s">
        <v>17</v>
      </c>
      <c r="G1691" t="s">
        <v>18</v>
      </c>
      <c r="H1691" s="8">
        <v>1</v>
      </c>
      <c r="I1691" s="10">
        <v>129</v>
      </c>
      <c r="J1691" s="14">
        <f>P1691*I1691</f>
        <v>129</v>
      </c>
      <c r="K1691" s="16">
        <v>520</v>
      </c>
      <c r="L1691" s="1" t="s">
        <v>30</v>
      </c>
      <c r="M1691" t="s">
        <v>22</v>
      </c>
      <c r="N1691" t="str">
        <f t="shared" si="38"/>
        <v>Gb</v>
      </c>
      <c r="O1691" s="8">
        <f>IF(K1691&gt;=1,K1691,K1691*1000)</f>
        <v>520</v>
      </c>
      <c r="P1691">
        <f>ABS(H1691)</f>
        <v>1</v>
      </c>
      <c r="R1691"/>
    </row>
    <row r="1692" spans="1:18" x14ac:dyDescent="0.35">
      <c r="A1692" t="s">
        <v>3009</v>
      </c>
      <c r="B1692" s="2">
        <v>46198</v>
      </c>
      <c r="C1692" t="s">
        <v>968</v>
      </c>
      <c r="D1692" s="3" t="s">
        <v>53</v>
      </c>
      <c r="E1692" t="s">
        <v>16</v>
      </c>
      <c r="F1692" t="s">
        <v>47</v>
      </c>
      <c r="G1692" t="s">
        <v>48</v>
      </c>
      <c r="H1692" s="8">
        <v>2</v>
      </c>
      <c r="I1692" s="12" t="s">
        <v>4628</v>
      </c>
      <c r="J1692" s="14">
        <f>P1692*R1692</f>
        <v>81</v>
      </c>
      <c r="K1692" s="16">
        <v>0.38</v>
      </c>
      <c r="L1692" s="1" t="s">
        <v>21</v>
      </c>
      <c r="M1692" t="s">
        <v>22</v>
      </c>
      <c r="N1692" t="str">
        <f t="shared" si="38"/>
        <v>Gb</v>
      </c>
      <c r="O1692" s="8">
        <f>IF(K1692&gt;=1,K1692,K1692*1000)</f>
        <v>380</v>
      </c>
      <c r="P1692">
        <f>ABS(H1692)</f>
        <v>2</v>
      </c>
      <c r="Q1692" t="str">
        <f>LEFT(I1692,2)</f>
        <v>Â£</v>
      </c>
      <c r="R1692" t="str">
        <f>RIGHT(I1692,5)</f>
        <v>40,50</v>
      </c>
    </row>
    <row r="1693" spans="1:18" x14ac:dyDescent="0.35">
      <c r="A1693" t="s">
        <v>3010</v>
      </c>
      <c r="B1693" s="2">
        <v>46036</v>
      </c>
      <c r="C1693" t="s">
        <v>3011</v>
      </c>
      <c r="D1693" s="3" t="s">
        <v>116</v>
      </c>
      <c r="E1693" t="s">
        <v>16</v>
      </c>
      <c r="F1693" t="s">
        <v>83</v>
      </c>
      <c r="G1693" t="s">
        <v>84</v>
      </c>
      <c r="H1693" s="8">
        <v>2</v>
      </c>
      <c r="I1693" s="10">
        <v>89</v>
      </c>
      <c r="J1693" s="14">
        <f>P1693*I1693</f>
        <v>178</v>
      </c>
      <c r="K1693" s="16">
        <v>340</v>
      </c>
      <c r="L1693" s="1" t="s">
        <v>30</v>
      </c>
      <c r="M1693" t="s">
        <v>58</v>
      </c>
      <c r="N1693" t="str">
        <f t="shared" si="38"/>
        <v>Germany</v>
      </c>
      <c r="O1693" s="8">
        <f>IF(K1693&gt;=1,K1693,K1693*1000)</f>
        <v>340</v>
      </c>
      <c r="P1693">
        <f>ABS(H1693)</f>
        <v>2</v>
      </c>
      <c r="R1693"/>
    </row>
    <row r="1694" spans="1:18" x14ac:dyDescent="0.35">
      <c r="A1694" t="s">
        <v>3012</v>
      </c>
      <c r="B1694" s="2">
        <v>46271</v>
      </c>
      <c r="C1694" t="s">
        <v>2014</v>
      </c>
      <c r="D1694" s="3" t="s">
        <v>4612</v>
      </c>
      <c r="E1694" t="s">
        <v>67</v>
      </c>
      <c r="F1694" t="s">
        <v>89</v>
      </c>
      <c r="G1694" t="s">
        <v>90</v>
      </c>
      <c r="H1694" s="8">
        <v>1</v>
      </c>
      <c r="I1694" s="10">
        <v>89</v>
      </c>
      <c r="J1694" s="14">
        <f>P1694*I1694</f>
        <v>89</v>
      </c>
      <c r="K1694" s="16">
        <v>0.64</v>
      </c>
      <c r="L1694" s="1" t="s">
        <v>30</v>
      </c>
      <c r="M1694" t="s">
        <v>22</v>
      </c>
      <c r="N1694" t="str">
        <f t="shared" si="38"/>
        <v>United Kingdom</v>
      </c>
      <c r="O1694" s="8">
        <f>IF(K1694&gt;=1,K1694,K1694*1000)</f>
        <v>640</v>
      </c>
      <c r="P1694">
        <f>ABS(H1694)</f>
        <v>1</v>
      </c>
      <c r="R1694"/>
    </row>
    <row r="1695" spans="1:18" x14ac:dyDescent="0.35">
      <c r="A1695" t="s">
        <v>3013</v>
      </c>
      <c r="B1695" s="2">
        <v>46182</v>
      </c>
      <c r="C1695" t="s">
        <v>3014</v>
      </c>
      <c r="D1695" s="3" t="s">
        <v>53</v>
      </c>
      <c r="E1695" t="s">
        <v>41</v>
      </c>
      <c r="F1695" t="s">
        <v>74</v>
      </c>
      <c r="G1695" t="s">
        <v>75</v>
      </c>
      <c r="H1695" s="8">
        <v>1</v>
      </c>
      <c r="I1695" s="10">
        <v>11.25</v>
      </c>
      <c r="J1695" s="14">
        <f>P1695*I1695</f>
        <v>11.25</v>
      </c>
      <c r="K1695" s="16">
        <v>0.41</v>
      </c>
      <c r="L1695" s="1" t="s">
        <v>30</v>
      </c>
      <c r="M1695" t="s">
        <v>22</v>
      </c>
      <c r="N1695" t="str">
        <f t="shared" si="38"/>
        <v>Gb</v>
      </c>
      <c r="O1695" s="8">
        <f>IF(K1695&gt;=1,K1695,K1695*1000)</f>
        <v>410</v>
      </c>
      <c r="P1695">
        <f>ABS(H1695)</f>
        <v>1</v>
      </c>
      <c r="R1695"/>
    </row>
    <row r="1696" spans="1:18" x14ac:dyDescent="0.35">
      <c r="A1696" t="s">
        <v>3015</v>
      </c>
      <c r="B1696" s="2">
        <v>46111</v>
      </c>
      <c r="C1696" t="s">
        <v>1833</v>
      </c>
      <c r="D1696" s="3" t="s">
        <v>116</v>
      </c>
      <c r="E1696" t="s">
        <v>67</v>
      </c>
      <c r="F1696" t="s">
        <v>89</v>
      </c>
      <c r="G1696" t="s">
        <v>90</v>
      </c>
      <c r="H1696" s="8">
        <v>2</v>
      </c>
      <c r="I1696" s="10">
        <v>40.5</v>
      </c>
      <c r="J1696" s="14">
        <f>P1696*I1696</f>
        <v>81</v>
      </c>
      <c r="K1696" s="16">
        <v>640</v>
      </c>
      <c r="L1696" s="1" t="s">
        <v>30</v>
      </c>
      <c r="M1696" t="s">
        <v>58</v>
      </c>
      <c r="N1696" t="str">
        <f t="shared" si="38"/>
        <v>Germany</v>
      </c>
      <c r="O1696" s="8">
        <f>IF(K1696&gt;=1,K1696,K1696*1000)</f>
        <v>640</v>
      </c>
      <c r="P1696">
        <f>ABS(H1696)</f>
        <v>2</v>
      </c>
      <c r="R1696"/>
    </row>
    <row r="1697" spans="1:18" x14ac:dyDescent="0.35">
      <c r="A1697" t="s">
        <v>3016</v>
      </c>
      <c r="B1697" s="2">
        <v>46145</v>
      </c>
      <c r="C1697" t="s">
        <v>2401</v>
      </c>
      <c r="D1697" s="3" t="s">
        <v>61</v>
      </c>
      <c r="E1697" t="s">
        <v>67</v>
      </c>
      <c r="F1697" t="s">
        <v>35</v>
      </c>
      <c r="G1697" t="s">
        <v>36</v>
      </c>
      <c r="H1697" s="8">
        <v>1</v>
      </c>
      <c r="I1697" s="10">
        <v>129</v>
      </c>
      <c r="J1697" s="14">
        <f>P1697*I1697</f>
        <v>129</v>
      </c>
      <c r="K1697" s="16">
        <v>8.5000000000000006E-2</v>
      </c>
      <c r="L1697" s="1" t="s">
        <v>30</v>
      </c>
      <c r="M1697" t="s">
        <v>58</v>
      </c>
      <c r="N1697" t="str">
        <f t="shared" si="38"/>
        <v>Ireland</v>
      </c>
      <c r="O1697" s="8">
        <f>IF(K1697&gt;=1,K1697,K1697*1000)</f>
        <v>85</v>
      </c>
      <c r="P1697">
        <f>ABS(H1697)</f>
        <v>1</v>
      </c>
      <c r="R1697"/>
    </row>
    <row r="1698" spans="1:18" x14ac:dyDescent="0.35">
      <c r="A1698" t="s">
        <v>3017</v>
      </c>
      <c r="B1698" s="2">
        <v>46080</v>
      </c>
      <c r="C1698" t="s">
        <v>3018</v>
      </c>
      <c r="D1698" s="3" t="s">
        <v>4612</v>
      </c>
      <c r="E1698" t="s">
        <v>34</v>
      </c>
      <c r="F1698" t="s">
        <v>89</v>
      </c>
      <c r="G1698" t="s">
        <v>90</v>
      </c>
      <c r="H1698" s="8">
        <v>-1</v>
      </c>
      <c r="I1698" s="10">
        <v>79</v>
      </c>
      <c r="J1698" s="14">
        <f>P1698*I1698</f>
        <v>79</v>
      </c>
      <c r="K1698" s="16">
        <v>640</v>
      </c>
      <c r="L1698" s="1" t="s">
        <v>30</v>
      </c>
      <c r="M1698" t="s">
        <v>58</v>
      </c>
      <c r="N1698" t="str">
        <f t="shared" si="38"/>
        <v>United Kingdom</v>
      </c>
      <c r="O1698" s="8">
        <f>IF(K1698&gt;=1,K1698,K1698*1000)</f>
        <v>640</v>
      </c>
      <c r="P1698">
        <f>ABS(H1698)</f>
        <v>1</v>
      </c>
      <c r="R1698"/>
    </row>
    <row r="1699" spans="1:18" x14ac:dyDescent="0.35">
      <c r="A1699" t="s">
        <v>3019</v>
      </c>
      <c r="B1699" s="2">
        <v>46172</v>
      </c>
      <c r="C1699" t="s">
        <v>788</v>
      </c>
      <c r="D1699" s="3" t="s">
        <v>61</v>
      </c>
      <c r="E1699" t="s">
        <v>34</v>
      </c>
      <c r="F1699" t="s">
        <v>42</v>
      </c>
      <c r="G1699" t="s">
        <v>43</v>
      </c>
      <c r="H1699" s="8">
        <v>1</v>
      </c>
      <c r="I1699" s="10">
        <v>95</v>
      </c>
      <c r="J1699" s="14">
        <f>P1699*I1699</f>
        <v>95</v>
      </c>
      <c r="K1699" s="16">
        <v>0.19</v>
      </c>
      <c r="L1699" s="1" t="s">
        <v>30</v>
      </c>
      <c r="M1699" t="s">
        <v>22</v>
      </c>
      <c r="N1699" t="str">
        <f t="shared" si="38"/>
        <v>Ireland</v>
      </c>
      <c r="O1699" s="8">
        <f>IF(K1699&gt;=1,K1699,K1699*1000)</f>
        <v>190</v>
      </c>
      <c r="P1699">
        <f>ABS(H1699)</f>
        <v>1</v>
      </c>
      <c r="R1699"/>
    </row>
    <row r="1700" spans="1:18" x14ac:dyDescent="0.35">
      <c r="A1700" t="s">
        <v>3020</v>
      </c>
      <c r="B1700" s="2">
        <v>46158</v>
      </c>
      <c r="C1700" t="s">
        <v>3021</v>
      </c>
      <c r="D1700" s="3" t="s">
        <v>116</v>
      </c>
      <c r="E1700" t="s">
        <v>67</v>
      </c>
      <c r="F1700" t="s">
        <v>42</v>
      </c>
      <c r="G1700" t="s">
        <v>43</v>
      </c>
      <c r="H1700" s="8">
        <v>1</v>
      </c>
      <c r="I1700" s="10">
        <v>95</v>
      </c>
      <c r="J1700" s="14">
        <f>P1700*I1700</f>
        <v>95</v>
      </c>
      <c r="K1700" s="16">
        <v>0.19</v>
      </c>
      <c r="L1700" s="1" t="s">
        <v>21</v>
      </c>
      <c r="M1700" t="s">
        <v>22</v>
      </c>
      <c r="N1700" t="str">
        <f t="shared" si="38"/>
        <v>Germany</v>
      </c>
      <c r="O1700" s="8">
        <f>IF(K1700&gt;=1,K1700,K1700*1000)</f>
        <v>190</v>
      </c>
      <c r="P1700">
        <f>ABS(H1700)</f>
        <v>1</v>
      </c>
      <c r="R1700"/>
    </row>
    <row r="1701" spans="1:18" x14ac:dyDescent="0.35">
      <c r="A1701" t="s">
        <v>3022</v>
      </c>
      <c r="B1701" s="2">
        <v>46151</v>
      </c>
      <c r="C1701" t="s">
        <v>2374</v>
      </c>
      <c r="D1701" s="3" t="s">
        <v>15</v>
      </c>
      <c r="E1701" t="s">
        <v>34</v>
      </c>
      <c r="F1701" t="s">
        <v>74</v>
      </c>
      <c r="G1701" t="s">
        <v>75</v>
      </c>
      <c r="H1701" s="8">
        <v>-2</v>
      </c>
      <c r="I1701" s="10">
        <v>129</v>
      </c>
      <c r="J1701" s="14">
        <f>P1701*I1701</f>
        <v>258</v>
      </c>
      <c r="K1701" s="16">
        <v>0.41</v>
      </c>
      <c r="L1701" s="1" t="s">
        <v>30</v>
      </c>
      <c r="M1701" t="s">
        <v>22</v>
      </c>
      <c r="N1701" t="str">
        <f t="shared" si="38"/>
        <v>France</v>
      </c>
      <c r="O1701" s="8">
        <f>IF(K1701&gt;=1,K1701,K1701*1000)</f>
        <v>410</v>
      </c>
      <c r="P1701">
        <f>ABS(H1701)</f>
        <v>2</v>
      </c>
      <c r="R1701"/>
    </row>
    <row r="1702" spans="1:18" x14ac:dyDescent="0.35">
      <c r="A1702" t="s">
        <v>3023</v>
      </c>
      <c r="B1702" s="2">
        <v>46184</v>
      </c>
      <c r="C1702" t="s">
        <v>3024</v>
      </c>
      <c r="D1702" s="3" t="s">
        <v>66</v>
      </c>
      <c r="E1702" t="s">
        <v>25</v>
      </c>
      <c r="F1702" t="s">
        <v>89</v>
      </c>
      <c r="G1702" t="s">
        <v>90</v>
      </c>
      <c r="H1702" s="8">
        <v>3</v>
      </c>
      <c r="I1702" s="10">
        <v>116.1</v>
      </c>
      <c r="J1702" s="14">
        <f>P1702*I1702</f>
        <v>348.29999999999995</v>
      </c>
      <c r="K1702" s="16">
        <v>0.64</v>
      </c>
      <c r="L1702" s="1" t="s">
        <v>30</v>
      </c>
      <c r="M1702" t="s">
        <v>22</v>
      </c>
      <c r="N1702" t="str">
        <f t="shared" si="38"/>
        <v>Gb</v>
      </c>
      <c r="O1702" s="8">
        <f>IF(K1702&gt;=1,K1702,K1702*1000)</f>
        <v>640</v>
      </c>
      <c r="P1702">
        <f>ABS(H1702)</f>
        <v>3</v>
      </c>
      <c r="R1702"/>
    </row>
    <row r="1703" spans="1:18" x14ac:dyDescent="0.35">
      <c r="A1703" t="s">
        <v>3025</v>
      </c>
      <c r="B1703" s="2">
        <v>46034</v>
      </c>
      <c r="C1703" t="s">
        <v>720</v>
      </c>
      <c r="D1703" s="3" t="s">
        <v>53</v>
      </c>
      <c r="E1703" t="s">
        <v>67</v>
      </c>
      <c r="F1703" t="s">
        <v>47</v>
      </c>
      <c r="G1703" t="s">
        <v>48</v>
      </c>
      <c r="H1703" s="8">
        <v>3</v>
      </c>
      <c r="I1703" s="10">
        <v>71.099999999999994</v>
      </c>
      <c r="J1703" s="14">
        <f>P1703*I1703</f>
        <v>213.29999999999998</v>
      </c>
      <c r="K1703" s="16">
        <v>380</v>
      </c>
      <c r="L1703" s="1" t="s">
        <v>21</v>
      </c>
      <c r="M1703" t="s">
        <v>22</v>
      </c>
      <c r="N1703" t="str">
        <f t="shared" si="38"/>
        <v>Gb</v>
      </c>
      <c r="O1703" s="8">
        <f>IF(K1703&gt;=1,K1703,K1703*1000)</f>
        <v>380</v>
      </c>
      <c r="P1703">
        <f>ABS(H1703)</f>
        <v>3</v>
      </c>
      <c r="R1703"/>
    </row>
    <row r="1704" spans="1:18" x14ac:dyDescent="0.35">
      <c r="A1704" t="s">
        <v>3026</v>
      </c>
      <c r="B1704" s="2">
        <v>46032</v>
      </c>
      <c r="C1704" t="s">
        <v>985</v>
      </c>
      <c r="D1704" s="3" t="s">
        <v>99</v>
      </c>
      <c r="E1704" t="s">
        <v>41</v>
      </c>
      <c r="F1704" t="s">
        <v>83</v>
      </c>
      <c r="G1704" t="s">
        <v>84</v>
      </c>
      <c r="H1704" s="8">
        <v>2</v>
      </c>
      <c r="I1704" s="10">
        <v>129</v>
      </c>
      <c r="J1704" s="14">
        <f>P1704*I1704</f>
        <v>258</v>
      </c>
      <c r="K1704" s="16">
        <v>340</v>
      </c>
      <c r="L1704" s="1" t="s">
        <v>30</v>
      </c>
      <c r="M1704" t="s">
        <v>22</v>
      </c>
      <c r="N1704" t="str">
        <f t="shared" si="38"/>
        <v>United Kingdom</v>
      </c>
      <c r="O1704" s="8">
        <f>IF(K1704&gt;=1,K1704,K1704*1000)</f>
        <v>340</v>
      </c>
      <c r="P1704">
        <f>ABS(H1704)</f>
        <v>2</v>
      </c>
      <c r="R1704"/>
    </row>
    <row r="1705" spans="1:18" x14ac:dyDescent="0.35">
      <c r="A1705" t="s">
        <v>3027</v>
      </c>
      <c r="B1705" s="2">
        <v>46137</v>
      </c>
      <c r="C1705" t="s">
        <v>2182</v>
      </c>
      <c r="D1705" s="3" t="s">
        <v>4612</v>
      </c>
      <c r="E1705" t="s">
        <v>41</v>
      </c>
      <c r="F1705" t="s">
        <v>42</v>
      </c>
      <c r="G1705" t="s">
        <v>43</v>
      </c>
      <c r="H1705" s="8">
        <v>2</v>
      </c>
      <c r="I1705" s="10">
        <v>24</v>
      </c>
      <c r="J1705" s="14">
        <f>P1705*I1705</f>
        <v>48</v>
      </c>
      <c r="K1705" s="16">
        <v>0.19</v>
      </c>
      <c r="L1705" s="1" t="s">
        <v>30</v>
      </c>
      <c r="M1705" t="s">
        <v>58</v>
      </c>
      <c r="N1705" t="str">
        <f t="shared" si="38"/>
        <v>United Kingdom</v>
      </c>
      <c r="O1705" s="8">
        <f>IF(K1705&gt;=1,K1705,K1705*1000)</f>
        <v>190</v>
      </c>
      <c r="P1705">
        <f>ABS(H1705)</f>
        <v>2</v>
      </c>
      <c r="R1705"/>
    </row>
    <row r="1706" spans="1:18" x14ac:dyDescent="0.35">
      <c r="A1706" t="s">
        <v>3028</v>
      </c>
      <c r="B1706" s="2">
        <v>46036</v>
      </c>
      <c r="C1706" t="s">
        <v>3029</v>
      </c>
      <c r="D1706" s="3" t="s">
        <v>46</v>
      </c>
      <c r="E1706" t="s">
        <v>67</v>
      </c>
      <c r="F1706" t="s">
        <v>89</v>
      </c>
      <c r="G1706" t="s">
        <v>90</v>
      </c>
      <c r="H1706" s="8">
        <v>2</v>
      </c>
      <c r="I1706" s="10">
        <v>149</v>
      </c>
      <c r="J1706" s="14">
        <f>P1706*I1706</f>
        <v>298</v>
      </c>
      <c r="K1706" s="16">
        <v>640</v>
      </c>
      <c r="L1706" s="1" t="s">
        <v>30</v>
      </c>
      <c r="M1706" t="s">
        <v>22</v>
      </c>
      <c r="N1706" t="str">
        <f t="shared" si="38"/>
        <v>Ireland</v>
      </c>
      <c r="O1706" s="8">
        <f>IF(K1706&gt;=1,K1706,K1706*1000)</f>
        <v>640</v>
      </c>
      <c r="P1706">
        <f>ABS(H1706)</f>
        <v>2</v>
      </c>
      <c r="R1706"/>
    </row>
    <row r="1707" spans="1:18" x14ac:dyDescent="0.35">
      <c r="A1707" t="s">
        <v>3030</v>
      </c>
      <c r="B1707" s="2">
        <v>46031</v>
      </c>
      <c r="C1707" t="s">
        <v>3031</v>
      </c>
      <c r="D1707" s="3" t="s">
        <v>4613</v>
      </c>
      <c r="E1707" t="s">
        <v>41</v>
      </c>
      <c r="F1707" t="s">
        <v>35</v>
      </c>
      <c r="G1707" t="s">
        <v>36</v>
      </c>
      <c r="H1707" s="8">
        <v>3</v>
      </c>
      <c r="I1707" s="10">
        <v>95</v>
      </c>
      <c r="J1707" s="14">
        <f>P1707*I1707</f>
        <v>285</v>
      </c>
      <c r="K1707" s="16">
        <v>85</v>
      </c>
      <c r="L1707" s="1" t="s">
        <v>30</v>
      </c>
      <c r="M1707" t="s">
        <v>22</v>
      </c>
      <c r="N1707" t="str">
        <f t="shared" si="38"/>
        <v>United Kingdom</v>
      </c>
      <c r="O1707" s="8">
        <f>IF(K1707&gt;=1,K1707,K1707*1000)</f>
        <v>85</v>
      </c>
      <c r="P1707">
        <f>ABS(H1707)</f>
        <v>3</v>
      </c>
      <c r="R1707"/>
    </row>
    <row r="1708" spans="1:18" x14ac:dyDescent="0.35">
      <c r="A1708" t="s">
        <v>3032</v>
      </c>
      <c r="B1708" s="2">
        <v>46197</v>
      </c>
      <c r="C1708" t="s">
        <v>3033</v>
      </c>
      <c r="D1708" s="3" t="s">
        <v>46</v>
      </c>
      <c r="E1708" t="s">
        <v>34</v>
      </c>
      <c r="F1708" t="s">
        <v>83</v>
      </c>
      <c r="G1708" t="s">
        <v>84</v>
      </c>
      <c r="H1708" s="8">
        <v>3</v>
      </c>
      <c r="I1708" s="10">
        <v>21.6</v>
      </c>
      <c r="J1708" s="14">
        <f>P1708*I1708</f>
        <v>64.800000000000011</v>
      </c>
      <c r="K1708" s="16">
        <v>0.34</v>
      </c>
      <c r="L1708" s="1" t="s">
        <v>21</v>
      </c>
      <c r="M1708" t="s">
        <v>22</v>
      </c>
      <c r="N1708" t="str">
        <f t="shared" si="38"/>
        <v>Ireland</v>
      </c>
      <c r="O1708" s="8">
        <f>IF(K1708&gt;=1,K1708,K1708*1000)</f>
        <v>340</v>
      </c>
      <c r="P1708">
        <f>ABS(H1708)</f>
        <v>3</v>
      </c>
      <c r="R1708"/>
    </row>
    <row r="1709" spans="1:18" x14ac:dyDescent="0.35">
      <c r="A1709" t="s">
        <v>3034</v>
      </c>
      <c r="B1709" s="2">
        <v>46361</v>
      </c>
      <c r="C1709" t="s">
        <v>1737</v>
      </c>
      <c r="D1709" s="3" t="s">
        <v>99</v>
      </c>
      <c r="E1709" t="s">
        <v>16</v>
      </c>
      <c r="F1709" t="s">
        <v>26</v>
      </c>
      <c r="G1709" t="s">
        <v>27</v>
      </c>
      <c r="H1709" s="8">
        <v>1</v>
      </c>
      <c r="I1709" s="10">
        <v>12.5</v>
      </c>
      <c r="J1709" s="14">
        <f>P1709*I1709</f>
        <v>12.5</v>
      </c>
      <c r="K1709" s="16">
        <v>0.52</v>
      </c>
      <c r="L1709" s="1" t="s">
        <v>30</v>
      </c>
      <c r="M1709" t="s">
        <v>58</v>
      </c>
      <c r="N1709" t="str">
        <f t="shared" si="38"/>
        <v>United Kingdom</v>
      </c>
      <c r="O1709" s="8">
        <f>IF(K1709&gt;=1,K1709,K1709*1000)</f>
        <v>520</v>
      </c>
      <c r="P1709">
        <f>ABS(H1709)</f>
        <v>1</v>
      </c>
      <c r="R1709"/>
    </row>
    <row r="1710" spans="1:18" x14ac:dyDescent="0.35">
      <c r="A1710" t="s">
        <v>3035</v>
      </c>
      <c r="B1710" s="2" t="s">
        <v>998</v>
      </c>
      <c r="C1710" t="s">
        <v>1528</v>
      </c>
      <c r="D1710" s="3" t="s">
        <v>61</v>
      </c>
      <c r="E1710" t="s">
        <v>67</v>
      </c>
      <c r="F1710" t="s">
        <v>47</v>
      </c>
      <c r="G1710" t="s">
        <v>48</v>
      </c>
      <c r="H1710" s="8">
        <v>2</v>
      </c>
      <c r="I1710" s="10">
        <v>79</v>
      </c>
      <c r="J1710" s="14">
        <f>P1710*I1710</f>
        <v>158</v>
      </c>
      <c r="K1710" s="16">
        <v>380</v>
      </c>
      <c r="L1710" s="1" t="s">
        <v>30</v>
      </c>
      <c r="M1710" t="s">
        <v>22</v>
      </c>
      <c r="N1710" t="str">
        <f t="shared" si="38"/>
        <v>Ireland</v>
      </c>
      <c r="O1710" s="8">
        <f>IF(K1710&gt;=1,K1710,K1710*1000)</f>
        <v>380</v>
      </c>
      <c r="P1710">
        <f>ABS(H1710)</f>
        <v>2</v>
      </c>
      <c r="R1710"/>
    </row>
    <row r="1711" spans="1:18" x14ac:dyDescent="0.35">
      <c r="A1711" t="s">
        <v>3037</v>
      </c>
      <c r="B1711" s="2" t="s">
        <v>290</v>
      </c>
      <c r="C1711" t="s">
        <v>2401</v>
      </c>
      <c r="D1711" s="3" t="s">
        <v>15</v>
      </c>
      <c r="E1711" t="s">
        <v>16</v>
      </c>
      <c r="F1711" t="s">
        <v>42</v>
      </c>
      <c r="G1711" t="s">
        <v>43</v>
      </c>
      <c r="H1711" s="8">
        <v>1</v>
      </c>
      <c r="I1711" s="10">
        <v>24</v>
      </c>
      <c r="J1711" s="14">
        <f>P1711*I1711</f>
        <v>24</v>
      </c>
      <c r="K1711" s="16">
        <v>190</v>
      </c>
      <c r="L1711" s="1" t="s">
        <v>30</v>
      </c>
      <c r="M1711" t="s">
        <v>58</v>
      </c>
      <c r="N1711" t="str">
        <f t="shared" si="38"/>
        <v>France</v>
      </c>
      <c r="O1711" s="8">
        <f>IF(K1711&gt;=1,K1711,K1711*1000)</f>
        <v>190</v>
      </c>
      <c r="P1711">
        <f>ABS(H1711)</f>
        <v>1</v>
      </c>
      <c r="R1711"/>
    </row>
    <row r="1712" spans="1:18" x14ac:dyDescent="0.35">
      <c r="A1712" t="s">
        <v>3038</v>
      </c>
      <c r="B1712" s="2">
        <v>46298</v>
      </c>
      <c r="C1712" t="s">
        <v>981</v>
      </c>
      <c r="D1712" s="3" t="s">
        <v>99</v>
      </c>
      <c r="E1712" t="s">
        <v>16</v>
      </c>
      <c r="F1712" t="s">
        <v>26</v>
      </c>
      <c r="G1712" t="s">
        <v>27</v>
      </c>
      <c r="H1712" s="8">
        <v>2</v>
      </c>
      <c r="I1712" s="10">
        <v>149</v>
      </c>
      <c r="J1712" s="14">
        <f>P1712*I1712</f>
        <v>298</v>
      </c>
      <c r="K1712" s="16">
        <v>520</v>
      </c>
      <c r="L1712" s="1" t="s">
        <v>30</v>
      </c>
      <c r="M1712" t="s">
        <v>22</v>
      </c>
      <c r="N1712" t="str">
        <f t="shared" si="38"/>
        <v>United Kingdom</v>
      </c>
      <c r="O1712" s="8">
        <f>IF(K1712&gt;=1,K1712,K1712*1000)</f>
        <v>520</v>
      </c>
      <c r="P1712">
        <f>ABS(H1712)</f>
        <v>2</v>
      </c>
      <c r="R1712"/>
    </row>
    <row r="1713" spans="1:18" x14ac:dyDescent="0.35">
      <c r="A1713" t="s">
        <v>3039</v>
      </c>
      <c r="B1713" s="2">
        <v>46101</v>
      </c>
      <c r="C1713" t="s">
        <v>2100</v>
      </c>
      <c r="D1713" s="3" t="s">
        <v>61</v>
      </c>
      <c r="E1713" t="s">
        <v>67</v>
      </c>
      <c r="F1713" t="s">
        <v>47</v>
      </c>
      <c r="G1713" t="s">
        <v>48</v>
      </c>
      <c r="H1713" s="8">
        <v>3</v>
      </c>
      <c r="I1713" s="10">
        <v>45</v>
      </c>
      <c r="J1713" s="14">
        <f>P1713*I1713</f>
        <v>135</v>
      </c>
      <c r="K1713" s="16">
        <v>380</v>
      </c>
      <c r="L1713" s="1" t="s">
        <v>30</v>
      </c>
      <c r="M1713" t="s">
        <v>58</v>
      </c>
      <c r="N1713" t="str">
        <f t="shared" si="38"/>
        <v>Ireland</v>
      </c>
      <c r="O1713" s="8">
        <f>IF(K1713&gt;=1,K1713,K1713*1000)</f>
        <v>380</v>
      </c>
      <c r="P1713">
        <f>ABS(H1713)</f>
        <v>3</v>
      </c>
      <c r="R1713"/>
    </row>
    <row r="1714" spans="1:18" x14ac:dyDescent="0.35">
      <c r="A1714" t="s">
        <v>3040</v>
      </c>
      <c r="B1714" s="2">
        <v>46107</v>
      </c>
      <c r="C1714" t="s">
        <v>1924</v>
      </c>
      <c r="D1714" s="3" t="s">
        <v>99</v>
      </c>
      <c r="E1714" t="s">
        <v>25</v>
      </c>
      <c r="F1714" t="s">
        <v>89</v>
      </c>
      <c r="G1714" t="s">
        <v>90</v>
      </c>
      <c r="H1714" s="8">
        <v>1</v>
      </c>
      <c r="I1714" s="10">
        <v>71.099999999999994</v>
      </c>
      <c r="J1714" s="14">
        <f>P1714*I1714</f>
        <v>71.099999999999994</v>
      </c>
      <c r="K1714" s="16">
        <v>640</v>
      </c>
      <c r="L1714" s="1" t="s">
        <v>21</v>
      </c>
      <c r="M1714" t="s">
        <v>58</v>
      </c>
      <c r="N1714" t="str">
        <f t="shared" si="38"/>
        <v>United Kingdom</v>
      </c>
      <c r="O1714" s="8">
        <f>IF(K1714&gt;=1,K1714,K1714*1000)</f>
        <v>640</v>
      </c>
      <c r="P1714">
        <f>ABS(H1714)</f>
        <v>1</v>
      </c>
      <c r="R1714"/>
    </row>
    <row r="1715" spans="1:18" x14ac:dyDescent="0.35">
      <c r="A1715" t="s">
        <v>3041</v>
      </c>
      <c r="B1715" s="2">
        <v>46128</v>
      </c>
      <c r="C1715" t="s">
        <v>428</v>
      </c>
      <c r="D1715" s="3" t="s">
        <v>116</v>
      </c>
      <c r="E1715" t="s">
        <v>67</v>
      </c>
      <c r="F1715" t="s">
        <v>83</v>
      </c>
      <c r="G1715" t="s">
        <v>84</v>
      </c>
      <c r="H1715" s="8">
        <v>1</v>
      </c>
      <c r="I1715" s="10">
        <v>79</v>
      </c>
      <c r="J1715" s="14">
        <f>P1715*I1715</f>
        <v>79</v>
      </c>
      <c r="K1715" s="16">
        <v>340</v>
      </c>
      <c r="L1715" s="1" t="s">
        <v>30</v>
      </c>
      <c r="M1715" t="s">
        <v>58</v>
      </c>
      <c r="N1715" t="str">
        <f t="shared" si="38"/>
        <v>Germany</v>
      </c>
      <c r="O1715" s="8">
        <f>IF(K1715&gt;=1,K1715,K1715*1000)</f>
        <v>340</v>
      </c>
      <c r="P1715">
        <f>ABS(H1715)</f>
        <v>1</v>
      </c>
      <c r="R1715"/>
    </row>
    <row r="1716" spans="1:18" x14ac:dyDescent="0.35">
      <c r="A1716" t="s">
        <v>3042</v>
      </c>
      <c r="B1716" s="2">
        <v>46079</v>
      </c>
      <c r="C1716" t="s">
        <v>1248</v>
      </c>
      <c r="D1716" s="3" t="s">
        <v>99</v>
      </c>
      <c r="E1716" t="s">
        <v>67</v>
      </c>
      <c r="F1716" t="s">
        <v>89</v>
      </c>
      <c r="G1716" t="s">
        <v>90</v>
      </c>
      <c r="H1716" s="8">
        <v>3</v>
      </c>
      <c r="I1716" s="10">
        <v>24</v>
      </c>
      <c r="J1716" s="14">
        <f>P1716*I1716</f>
        <v>72</v>
      </c>
      <c r="K1716" s="16">
        <v>640</v>
      </c>
      <c r="L1716" s="1" t="s">
        <v>30</v>
      </c>
      <c r="M1716" t="s">
        <v>22</v>
      </c>
      <c r="N1716" t="str">
        <f t="shared" si="38"/>
        <v>United Kingdom</v>
      </c>
      <c r="O1716" s="8">
        <f>IF(K1716&gt;=1,K1716,K1716*1000)</f>
        <v>640</v>
      </c>
      <c r="P1716">
        <f>ABS(H1716)</f>
        <v>3</v>
      </c>
      <c r="R1716"/>
    </row>
    <row r="1717" spans="1:18" x14ac:dyDescent="0.35">
      <c r="A1717" t="s">
        <v>3043</v>
      </c>
      <c r="B1717" s="2">
        <v>46114</v>
      </c>
      <c r="C1717" t="s">
        <v>760</v>
      </c>
      <c r="D1717" s="3" t="s">
        <v>99</v>
      </c>
      <c r="E1717" t="s">
        <v>67</v>
      </c>
      <c r="F1717" t="s">
        <v>74</v>
      </c>
      <c r="G1717" t="s">
        <v>75</v>
      </c>
      <c r="H1717" s="8">
        <v>2</v>
      </c>
      <c r="I1717" s="10">
        <v>24</v>
      </c>
      <c r="J1717" s="14">
        <f>P1717*I1717</f>
        <v>48</v>
      </c>
      <c r="K1717" s="16">
        <v>410</v>
      </c>
      <c r="L1717" s="1" t="s">
        <v>30</v>
      </c>
      <c r="M1717" t="s">
        <v>22</v>
      </c>
      <c r="N1717" t="str">
        <f t="shared" si="38"/>
        <v>United Kingdom</v>
      </c>
      <c r="O1717" s="8">
        <f>IF(K1717&gt;=1,K1717,K1717*1000)</f>
        <v>410</v>
      </c>
      <c r="P1717">
        <f>ABS(H1717)</f>
        <v>2</v>
      </c>
      <c r="R1717"/>
    </row>
    <row r="1718" spans="1:18" x14ac:dyDescent="0.35">
      <c r="A1718" t="s">
        <v>3044</v>
      </c>
      <c r="B1718" s="2">
        <v>46131</v>
      </c>
      <c r="C1718" t="s">
        <v>131</v>
      </c>
      <c r="D1718" s="3" t="s">
        <v>61</v>
      </c>
      <c r="E1718" t="s">
        <v>41</v>
      </c>
      <c r="F1718" t="s">
        <v>35</v>
      </c>
      <c r="G1718" t="s">
        <v>36</v>
      </c>
      <c r="H1718" s="8">
        <v>1</v>
      </c>
      <c r="I1718" s="10">
        <v>79</v>
      </c>
      <c r="J1718" s="14">
        <f>P1718*I1718</f>
        <v>79</v>
      </c>
      <c r="K1718" s="16">
        <v>85</v>
      </c>
      <c r="L1718" s="1" t="s">
        <v>30</v>
      </c>
      <c r="M1718" t="s">
        <v>22</v>
      </c>
      <c r="N1718" t="str">
        <f t="shared" si="38"/>
        <v>Ireland</v>
      </c>
      <c r="O1718" s="8">
        <f>IF(K1718&gt;=1,K1718,K1718*1000)</f>
        <v>85</v>
      </c>
      <c r="P1718">
        <f>ABS(H1718)</f>
        <v>1</v>
      </c>
      <c r="R1718"/>
    </row>
    <row r="1719" spans="1:18" x14ac:dyDescent="0.35">
      <c r="A1719" t="s">
        <v>3045</v>
      </c>
      <c r="B1719" s="2">
        <v>46028</v>
      </c>
      <c r="C1719" t="s">
        <v>3046</v>
      </c>
      <c r="D1719" s="3" t="s">
        <v>99</v>
      </c>
      <c r="E1719" t="s">
        <v>34</v>
      </c>
      <c r="F1719" t="s">
        <v>17</v>
      </c>
      <c r="G1719" t="s">
        <v>18</v>
      </c>
      <c r="H1719" s="8">
        <v>1</v>
      </c>
      <c r="I1719" s="10">
        <v>149</v>
      </c>
      <c r="J1719" s="14">
        <f>P1719*I1719</f>
        <v>149</v>
      </c>
      <c r="K1719" s="16">
        <v>520</v>
      </c>
      <c r="L1719" s="1" t="s">
        <v>30</v>
      </c>
      <c r="M1719" t="s">
        <v>22</v>
      </c>
      <c r="N1719" t="str">
        <f t="shared" si="38"/>
        <v>United Kingdom</v>
      </c>
      <c r="O1719" s="8">
        <f>IF(K1719&gt;=1,K1719,K1719*1000)</f>
        <v>520</v>
      </c>
      <c r="P1719">
        <f>ABS(H1719)</f>
        <v>1</v>
      </c>
      <c r="R1719"/>
    </row>
    <row r="1720" spans="1:18" x14ac:dyDescent="0.35">
      <c r="A1720" t="s">
        <v>3047</v>
      </c>
      <c r="B1720" s="2">
        <v>46171</v>
      </c>
      <c r="C1720" t="s">
        <v>1375</v>
      </c>
      <c r="D1720" s="3" t="s">
        <v>15</v>
      </c>
      <c r="E1720" t="s">
        <v>25</v>
      </c>
      <c r="F1720" t="s">
        <v>47</v>
      </c>
      <c r="G1720" t="s">
        <v>48</v>
      </c>
      <c r="H1720" s="8">
        <v>3</v>
      </c>
      <c r="I1720" s="10">
        <v>89</v>
      </c>
      <c r="J1720" s="14">
        <f>P1720*I1720</f>
        <v>267</v>
      </c>
      <c r="K1720" s="16">
        <v>0.38</v>
      </c>
      <c r="L1720" s="1" t="s">
        <v>21</v>
      </c>
      <c r="M1720" t="s">
        <v>22</v>
      </c>
      <c r="N1720" t="str">
        <f t="shared" si="38"/>
        <v>France</v>
      </c>
      <c r="O1720" s="8">
        <f>IF(K1720&gt;=1,K1720,K1720*1000)</f>
        <v>380</v>
      </c>
      <c r="P1720">
        <f>ABS(H1720)</f>
        <v>3</v>
      </c>
      <c r="R1720"/>
    </row>
    <row r="1721" spans="1:18" x14ac:dyDescent="0.35">
      <c r="A1721" t="s">
        <v>3048</v>
      </c>
      <c r="B1721" s="2">
        <v>46206</v>
      </c>
      <c r="C1721" t="s">
        <v>464</v>
      </c>
      <c r="D1721" s="3" t="s">
        <v>4612</v>
      </c>
      <c r="E1721" t="s">
        <v>41</v>
      </c>
      <c r="F1721" t="s">
        <v>26</v>
      </c>
      <c r="G1721" t="s">
        <v>27</v>
      </c>
      <c r="H1721" s="8">
        <v>3</v>
      </c>
      <c r="I1721" s="10">
        <v>89</v>
      </c>
      <c r="J1721" s="14">
        <f>P1721*I1721</f>
        <v>267</v>
      </c>
      <c r="K1721" s="16">
        <v>0.52</v>
      </c>
      <c r="L1721" s="1" t="s">
        <v>30</v>
      </c>
      <c r="M1721" t="s">
        <v>22</v>
      </c>
      <c r="N1721" t="str">
        <f t="shared" si="38"/>
        <v>United Kingdom</v>
      </c>
      <c r="O1721" s="8">
        <f>IF(K1721&gt;=1,K1721,K1721*1000)</f>
        <v>520</v>
      </c>
      <c r="P1721">
        <f>ABS(H1721)</f>
        <v>3</v>
      </c>
      <c r="R1721"/>
    </row>
    <row r="1722" spans="1:18" x14ac:dyDescent="0.35">
      <c r="A1722" t="s">
        <v>3049</v>
      </c>
      <c r="B1722" s="2">
        <v>46186</v>
      </c>
      <c r="C1722" t="s">
        <v>2509</v>
      </c>
      <c r="D1722" s="3" t="s">
        <v>4613</v>
      </c>
      <c r="E1722" t="s">
        <v>16</v>
      </c>
      <c r="F1722" t="s">
        <v>89</v>
      </c>
      <c r="G1722" t="s">
        <v>90</v>
      </c>
      <c r="H1722" s="8">
        <v>2</v>
      </c>
      <c r="I1722" s="10">
        <v>129</v>
      </c>
      <c r="J1722" s="14">
        <f>P1722*I1722</f>
        <v>258</v>
      </c>
      <c r="K1722" s="16">
        <v>0.64</v>
      </c>
      <c r="L1722" s="1" t="s">
        <v>30</v>
      </c>
      <c r="M1722" t="s">
        <v>22</v>
      </c>
      <c r="N1722" t="str">
        <f t="shared" si="38"/>
        <v>United Kingdom</v>
      </c>
      <c r="O1722" s="8">
        <f>IF(K1722&gt;=1,K1722,K1722*1000)</f>
        <v>640</v>
      </c>
      <c r="P1722">
        <f>ABS(H1722)</f>
        <v>2</v>
      </c>
      <c r="R1722"/>
    </row>
    <row r="1723" spans="1:18" x14ac:dyDescent="0.35">
      <c r="A1723" t="s">
        <v>3050</v>
      </c>
      <c r="B1723" s="2">
        <v>46079</v>
      </c>
      <c r="C1723" t="s">
        <v>1735</v>
      </c>
      <c r="D1723" s="3" t="s">
        <v>99</v>
      </c>
      <c r="E1723" t="s">
        <v>25</v>
      </c>
      <c r="F1723" t="s">
        <v>83</v>
      </c>
      <c r="G1723" t="s">
        <v>84</v>
      </c>
      <c r="H1723" s="8">
        <v>3</v>
      </c>
      <c r="I1723" s="10">
        <v>116.1</v>
      </c>
      <c r="J1723" s="14">
        <f>P1723*I1723</f>
        <v>348.29999999999995</v>
      </c>
      <c r="K1723" s="16">
        <v>340</v>
      </c>
      <c r="L1723" s="1" t="s">
        <v>21</v>
      </c>
      <c r="M1723" t="s">
        <v>22</v>
      </c>
      <c r="N1723" t="str">
        <f t="shared" si="38"/>
        <v>United Kingdom</v>
      </c>
      <c r="O1723" s="8">
        <f>IF(K1723&gt;=1,K1723,K1723*1000)</f>
        <v>340</v>
      </c>
      <c r="P1723">
        <f>ABS(H1723)</f>
        <v>3</v>
      </c>
      <c r="R1723"/>
    </row>
    <row r="1724" spans="1:18" x14ac:dyDescent="0.35">
      <c r="A1724" t="s">
        <v>3051</v>
      </c>
      <c r="B1724" s="2">
        <v>46167</v>
      </c>
      <c r="C1724" t="s">
        <v>201</v>
      </c>
      <c r="D1724" s="3" t="s">
        <v>66</v>
      </c>
      <c r="E1724" t="s">
        <v>34</v>
      </c>
      <c r="F1724" t="s">
        <v>89</v>
      </c>
      <c r="G1724" t="s">
        <v>90</v>
      </c>
      <c r="H1724" s="8">
        <v>-1</v>
      </c>
      <c r="I1724" s="12" t="s">
        <v>4627</v>
      </c>
      <c r="J1724" s="14">
        <f>P1724*R1724</f>
        <v>95</v>
      </c>
      <c r="K1724" s="16">
        <v>0.64</v>
      </c>
      <c r="L1724" s="1" t="s">
        <v>30</v>
      </c>
      <c r="M1724" t="s">
        <v>22</v>
      </c>
      <c r="N1724" t="str">
        <f t="shared" si="38"/>
        <v>Gb</v>
      </c>
      <c r="O1724" s="8">
        <f>IF(K1724&gt;=1,K1724,K1724*1000)</f>
        <v>640</v>
      </c>
      <c r="P1724">
        <f>ABS(H1724)</f>
        <v>1</v>
      </c>
      <c r="Q1724" t="str">
        <f>LEFT(I1724,3)</f>
        <v>GBP</v>
      </c>
      <c r="R1724" s="10" t="str">
        <f>RIGHT(I1724,5)</f>
        <v>95,00</v>
      </c>
    </row>
    <row r="1725" spans="1:18" x14ac:dyDescent="0.35">
      <c r="A1725" t="s">
        <v>3052</v>
      </c>
      <c r="B1725" s="2">
        <v>46024</v>
      </c>
      <c r="C1725" t="s">
        <v>2052</v>
      </c>
      <c r="D1725" s="3" t="s">
        <v>4613</v>
      </c>
      <c r="E1725" t="s">
        <v>41</v>
      </c>
      <c r="F1725" t="s">
        <v>83</v>
      </c>
      <c r="G1725" t="s">
        <v>84</v>
      </c>
      <c r="H1725" s="8">
        <v>2</v>
      </c>
      <c r="I1725" s="10">
        <v>12.5</v>
      </c>
      <c r="J1725" s="14">
        <f>P1725*I1725</f>
        <v>25</v>
      </c>
      <c r="K1725" s="16">
        <v>340</v>
      </c>
      <c r="L1725" s="1" t="s">
        <v>30</v>
      </c>
      <c r="M1725" t="s">
        <v>22</v>
      </c>
      <c r="N1725" t="str">
        <f t="shared" si="38"/>
        <v>United Kingdom</v>
      </c>
      <c r="O1725" s="8">
        <f>IF(K1725&gt;=1,K1725,K1725*1000)</f>
        <v>340</v>
      </c>
      <c r="P1725">
        <f>ABS(H1725)</f>
        <v>2</v>
      </c>
      <c r="R1725"/>
    </row>
    <row r="1726" spans="1:18" x14ac:dyDescent="0.35">
      <c r="A1726" t="s">
        <v>3053</v>
      </c>
      <c r="B1726" s="2">
        <v>46200</v>
      </c>
      <c r="C1726" t="s">
        <v>3054</v>
      </c>
      <c r="D1726" s="3" t="s">
        <v>99</v>
      </c>
      <c r="E1726" t="s">
        <v>34</v>
      </c>
      <c r="F1726" t="s">
        <v>17</v>
      </c>
      <c r="G1726" t="s">
        <v>18</v>
      </c>
      <c r="H1726" s="8">
        <v>1</v>
      </c>
      <c r="I1726" s="10">
        <v>71.099999999999994</v>
      </c>
      <c r="J1726" s="14">
        <f>P1726*I1726</f>
        <v>71.099999999999994</v>
      </c>
      <c r="K1726" s="16">
        <v>0.52</v>
      </c>
      <c r="L1726" s="1" t="s">
        <v>30</v>
      </c>
      <c r="M1726" t="s">
        <v>22</v>
      </c>
      <c r="N1726" t="str">
        <f t="shared" si="38"/>
        <v>United Kingdom</v>
      </c>
      <c r="O1726" s="8">
        <f>IF(K1726&gt;=1,K1726,K1726*1000)</f>
        <v>520</v>
      </c>
      <c r="P1726">
        <f>ABS(H1726)</f>
        <v>1</v>
      </c>
      <c r="R1726"/>
    </row>
    <row r="1727" spans="1:18" x14ac:dyDescent="0.35">
      <c r="A1727" t="s">
        <v>3055</v>
      </c>
      <c r="B1727" s="2">
        <v>46041</v>
      </c>
      <c r="C1727" t="s">
        <v>2320</v>
      </c>
      <c r="D1727" s="3" t="s">
        <v>53</v>
      </c>
      <c r="E1727" t="s">
        <v>25</v>
      </c>
      <c r="F1727" t="s">
        <v>17</v>
      </c>
      <c r="G1727" t="s">
        <v>18</v>
      </c>
      <c r="H1727" s="8">
        <v>1</v>
      </c>
      <c r="I1727" s="10">
        <v>116.1</v>
      </c>
      <c r="J1727" s="14">
        <f>P1727*I1727</f>
        <v>116.1</v>
      </c>
      <c r="K1727" s="16">
        <v>520</v>
      </c>
      <c r="L1727" s="1" t="s">
        <v>21</v>
      </c>
      <c r="M1727" t="s">
        <v>22</v>
      </c>
      <c r="N1727" t="str">
        <f t="shared" si="38"/>
        <v>Gb</v>
      </c>
      <c r="O1727" s="8">
        <f>IF(K1727&gt;=1,K1727,K1727*1000)</f>
        <v>520</v>
      </c>
      <c r="P1727">
        <f>ABS(H1727)</f>
        <v>1</v>
      </c>
      <c r="R1727"/>
    </row>
    <row r="1728" spans="1:18" x14ac:dyDescent="0.35">
      <c r="A1728" t="s">
        <v>3056</v>
      </c>
      <c r="B1728" s="2">
        <v>46183</v>
      </c>
      <c r="C1728" t="s">
        <v>1824</v>
      </c>
      <c r="D1728" s="3" t="s">
        <v>15</v>
      </c>
      <c r="E1728" t="s">
        <v>41</v>
      </c>
      <c r="F1728" t="s">
        <v>26</v>
      </c>
      <c r="G1728" t="s">
        <v>27</v>
      </c>
      <c r="H1728" s="8">
        <v>2</v>
      </c>
      <c r="I1728" s="10">
        <v>134.1</v>
      </c>
      <c r="J1728" s="14">
        <f>P1728*I1728</f>
        <v>268.2</v>
      </c>
      <c r="K1728" s="16">
        <v>0.52</v>
      </c>
      <c r="L1728" s="1" t="s">
        <v>30</v>
      </c>
      <c r="M1728" t="s">
        <v>22</v>
      </c>
      <c r="N1728" t="str">
        <f t="shared" si="38"/>
        <v>France</v>
      </c>
      <c r="O1728" s="8">
        <f>IF(K1728&gt;=1,K1728,K1728*1000)</f>
        <v>520</v>
      </c>
      <c r="P1728">
        <f>ABS(H1728)</f>
        <v>2</v>
      </c>
      <c r="R1728"/>
    </row>
    <row r="1729" spans="1:18" x14ac:dyDescent="0.35">
      <c r="A1729" t="s">
        <v>3057</v>
      </c>
      <c r="B1729" s="2" t="s">
        <v>3058</v>
      </c>
      <c r="C1729" t="s">
        <v>696</v>
      </c>
      <c r="D1729" s="3" t="s">
        <v>61</v>
      </c>
      <c r="E1729" t="s">
        <v>41</v>
      </c>
      <c r="F1729" t="s">
        <v>35</v>
      </c>
      <c r="G1729" t="s">
        <v>36</v>
      </c>
      <c r="H1729" s="8">
        <v>1</v>
      </c>
      <c r="I1729" s="10">
        <v>116.1</v>
      </c>
      <c r="J1729" s="14">
        <f>P1729*I1729</f>
        <v>116.1</v>
      </c>
      <c r="K1729" s="16">
        <v>85</v>
      </c>
      <c r="L1729" s="1" t="s">
        <v>30</v>
      </c>
      <c r="M1729" t="s">
        <v>22</v>
      </c>
      <c r="N1729" t="str">
        <f t="shared" si="38"/>
        <v>Ireland</v>
      </c>
      <c r="O1729" s="8">
        <f>IF(K1729&gt;=1,K1729,K1729*1000)</f>
        <v>85</v>
      </c>
      <c r="P1729">
        <f>ABS(H1729)</f>
        <v>1</v>
      </c>
      <c r="R1729"/>
    </row>
    <row r="1730" spans="1:18" x14ac:dyDescent="0.35">
      <c r="A1730" t="s">
        <v>3059</v>
      </c>
      <c r="B1730" s="2">
        <v>46189</v>
      </c>
      <c r="C1730" t="s">
        <v>1721</v>
      </c>
      <c r="D1730" s="3" t="s">
        <v>15</v>
      </c>
      <c r="E1730" t="s">
        <v>34</v>
      </c>
      <c r="F1730" t="s">
        <v>17</v>
      </c>
      <c r="G1730" t="s">
        <v>18</v>
      </c>
      <c r="H1730" s="8">
        <v>2</v>
      </c>
      <c r="I1730" s="10">
        <v>21.6</v>
      </c>
      <c r="J1730" s="14">
        <f>P1730*I1730</f>
        <v>43.2</v>
      </c>
      <c r="K1730" s="16">
        <v>0.52</v>
      </c>
      <c r="L1730" s="1" t="s">
        <v>30</v>
      </c>
      <c r="M1730" t="s">
        <v>58</v>
      </c>
      <c r="N1730" t="str">
        <f t="shared" si="38"/>
        <v>France</v>
      </c>
      <c r="O1730" s="8">
        <f>IF(K1730&gt;=1,K1730,K1730*1000)</f>
        <v>520</v>
      </c>
      <c r="P1730">
        <f>ABS(H1730)</f>
        <v>2</v>
      </c>
      <c r="R1730"/>
    </row>
    <row r="1731" spans="1:18" x14ac:dyDescent="0.35">
      <c r="A1731" t="s">
        <v>3060</v>
      </c>
      <c r="B1731" s="2" t="s">
        <v>259</v>
      </c>
      <c r="C1731" t="s">
        <v>509</v>
      </c>
      <c r="D1731" s="3" t="s">
        <v>53</v>
      </c>
      <c r="E1731" t="s">
        <v>16</v>
      </c>
      <c r="F1731" t="s">
        <v>26</v>
      </c>
      <c r="G1731" t="s">
        <v>27</v>
      </c>
      <c r="H1731" s="8">
        <v>1</v>
      </c>
      <c r="I1731" s="10">
        <v>24</v>
      </c>
      <c r="J1731" s="14">
        <f>P1731*I1731</f>
        <v>24</v>
      </c>
      <c r="K1731" s="16">
        <v>0.52</v>
      </c>
      <c r="L1731" s="1" t="s">
        <v>30</v>
      </c>
      <c r="M1731" t="s">
        <v>58</v>
      </c>
      <c r="N1731" t="str">
        <f t="shared" ref="N1731:N1794" si="39">PROPER(TRIM(D1731))</f>
        <v>Gb</v>
      </c>
      <c r="O1731" s="8">
        <f>IF(K1731&gt;=1,K1731,K1731*1000)</f>
        <v>520</v>
      </c>
      <c r="P1731">
        <f>ABS(H1731)</f>
        <v>1</v>
      </c>
      <c r="R1731"/>
    </row>
    <row r="1732" spans="1:18" x14ac:dyDescent="0.35">
      <c r="A1732" t="s">
        <v>3061</v>
      </c>
      <c r="B1732" s="2">
        <v>46046</v>
      </c>
      <c r="C1732" t="s">
        <v>195</v>
      </c>
      <c r="D1732" s="3" t="s">
        <v>4612</v>
      </c>
      <c r="E1732" t="s">
        <v>41</v>
      </c>
      <c r="F1732" t="s">
        <v>74</v>
      </c>
      <c r="G1732" t="s">
        <v>75</v>
      </c>
      <c r="H1732" s="8">
        <v>1</v>
      </c>
      <c r="I1732" s="10">
        <v>149</v>
      </c>
      <c r="J1732" s="14">
        <f>P1732*I1732</f>
        <v>149</v>
      </c>
      <c r="K1732" s="16">
        <v>410</v>
      </c>
      <c r="L1732" s="1" t="s">
        <v>30</v>
      </c>
      <c r="M1732" t="s">
        <v>22</v>
      </c>
      <c r="N1732" t="str">
        <f t="shared" si="39"/>
        <v>United Kingdom</v>
      </c>
      <c r="O1732" s="8">
        <f>IF(K1732&gt;=1,K1732,K1732*1000)</f>
        <v>410</v>
      </c>
      <c r="P1732">
        <f>ABS(H1732)</f>
        <v>1</v>
      </c>
      <c r="R1732"/>
    </row>
    <row r="1733" spans="1:18" x14ac:dyDescent="0.35">
      <c r="A1733" t="s">
        <v>3062</v>
      </c>
      <c r="B1733" s="2">
        <v>46161</v>
      </c>
      <c r="C1733" t="s">
        <v>135</v>
      </c>
      <c r="D1733" s="3" t="s">
        <v>46</v>
      </c>
      <c r="E1733" t="s">
        <v>41</v>
      </c>
      <c r="F1733" t="s">
        <v>26</v>
      </c>
      <c r="G1733" t="s">
        <v>27</v>
      </c>
      <c r="H1733" s="8">
        <v>1</v>
      </c>
      <c r="I1733" s="10">
        <v>129</v>
      </c>
      <c r="J1733" s="14">
        <f>P1733*I1733</f>
        <v>129</v>
      </c>
      <c r="K1733" s="16">
        <v>0.52</v>
      </c>
      <c r="L1733" s="1" t="s">
        <v>30</v>
      </c>
      <c r="M1733" t="s">
        <v>22</v>
      </c>
      <c r="N1733" t="str">
        <f t="shared" si="39"/>
        <v>Ireland</v>
      </c>
      <c r="O1733" s="8">
        <f>IF(K1733&gt;=1,K1733,K1733*1000)</f>
        <v>520</v>
      </c>
      <c r="P1733">
        <f>ABS(H1733)</f>
        <v>1</v>
      </c>
      <c r="R1733"/>
    </row>
    <row r="1734" spans="1:18" x14ac:dyDescent="0.35">
      <c r="A1734" t="s">
        <v>3063</v>
      </c>
      <c r="B1734" s="2">
        <v>46067</v>
      </c>
      <c r="C1734" t="s">
        <v>3064</v>
      </c>
      <c r="D1734" s="3" t="s">
        <v>53</v>
      </c>
      <c r="E1734" t="s">
        <v>41</v>
      </c>
      <c r="F1734" t="s">
        <v>74</v>
      </c>
      <c r="G1734" t="s">
        <v>75</v>
      </c>
      <c r="H1734" s="8">
        <v>2</v>
      </c>
      <c r="I1734" s="10">
        <v>89</v>
      </c>
      <c r="J1734" s="14">
        <f>P1734*I1734</f>
        <v>178</v>
      </c>
      <c r="K1734" s="16">
        <v>410</v>
      </c>
      <c r="L1734" s="1" t="s">
        <v>30</v>
      </c>
      <c r="M1734" t="s">
        <v>22</v>
      </c>
      <c r="N1734" t="str">
        <f t="shared" si="39"/>
        <v>Gb</v>
      </c>
      <c r="O1734" s="8">
        <f>IF(K1734&gt;=1,K1734,K1734*1000)</f>
        <v>410</v>
      </c>
      <c r="P1734">
        <f>ABS(H1734)</f>
        <v>2</v>
      </c>
      <c r="R1734"/>
    </row>
    <row r="1735" spans="1:18" x14ac:dyDescent="0.35">
      <c r="A1735" t="s">
        <v>3065</v>
      </c>
      <c r="B1735" s="2">
        <v>46068</v>
      </c>
      <c r="C1735" t="s">
        <v>3066</v>
      </c>
      <c r="D1735" s="3" t="s">
        <v>53</v>
      </c>
      <c r="E1735" t="s">
        <v>25</v>
      </c>
      <c r="F1735" t="s">
        <v>17</v>
      </c>
      <c r="G1735" t="s">
        <v>18</v>
      </c>
      <c r="H1735" s="8">
        <v>1</v>
      </c>
      <c r="I1735" s="10">
        <v>95</v>
      </c>
      <c r="J1735" s="14">
        <f>P1735*I1735</f>
        <v>95</v>
      </c>
      <c r="K1735" s="16">
        <v>520</v>
      </c>
      <c r="L1735" s="1" t="s">
        <v>30</v>
      </c>
      <c r="M1735" t="s">
        <v>22</v>
      </c>
      <c r="N1735" t="str">
        <f t="shared" si="39"/>
        <v>Gb</v>
      </c>
      <c r="O1735" s="8">
        <f>IF(K1735&gt;=1,K1735,K1735*1000)</f>
        <v>520</v>
      </c>
      <c r="P1735">
        <f>ABS(H1735)</f>
        <v>1</v>
      </c>
      <c r="R1735"/>
    </row>
    <row r="1736" spans="1:18" x14ac:dyDescent="0.35">
      <c r="A1736" t="s">
        <v>3067</v>
      </c>
      <c r="B1736" s="2">
        <v>46036</v>
      </c>
      <c r="C1736" t="s">
        <v>1332</v>
      </c>
      <c r="D1736" s="3" t="s">
        <v>61</v>
      </c>
      <c r="E1736" t="s">
        <v>16</v>
      </c>
      <c r="F1736" t="s">
        <v>74</v>
      </c>
      <c r="G1736" t="s">
        <v>75</v>
      </c>
      <c r="H1736" s="8">
        <v>1</v>
      </c>
      <c r="I1736" s="10">
        <v>89</v>
      </c>
      <c r="J1736" s="14">
        <f>P1736*I1736</f>
        <v>89</v>
      </c>
      <c r="K1736" s="16">
        <v>410</v>
      </c>
      <c r="L1736" s="1" t="s">
        <v>21</v>
      </c>
      <c r="M1736" t="s">
        <v>58</v>
      </c>
      <c r="N1736" t="str">
        <f t="shared" si="39"/>
        <v>Ireland</v>
      </c>
      <c r="O1736" s="8">
        <f>IF(K1736&gt;=1,K1736,K1736*1000)</f>
        <v>410</v>
      </c>
      <c r="P1736">
        <f>ABS(H1736)</f>
        <v>1</v>
      </c>
      <c r="R1736"/>
    </row>
    <row r="1737" spans="1:18" x14ac:dyDescent="0.35">
      <c r="A1737" t="s">
        <v>3068</v>
      </c>
      <c r="B1737" s="2">
        <v>46088</v>
      </c>
      <c r="C1737" t="s">
        <v>1978</v>
      </c>
      <c r="D1737" s="3" t="s">
        <v>4613</v>
      </c>
      <c r="E1737" t="s">
        <v>25</v>
      </c>
      <c r="F1737" t="s">
        <v>26</v>
      </c>
      <c r="G1737" t="s">
        <v>27</v>
      </c>
      <c r="H1737" s="8">
        <v>1</v>
      </c>
      <c r="I1737" s="10">
        <v>95</v>
      </c>
      <c r="J1737" s="14">
        <f>P1737*I1737</f>
        <v>95</v>
      </c>
      <c r="K1737" s="16">
        <v>520</v>
      </c>
      <c r="L1737" s="1" t="s">
        <v>30</v>
      </c>
      <c r="M1737" t="s">
        <v>58</v>
      </c>
      <c r="N1737" t="str">
        <f t="shared" si="39"/>
        <v>United Kingdom</v>
      </c>
      <c r="O1737" s="8">
        <f>IF(K1737&gt;=1,K1737,K1737*1000)</f>
        <v>520</v>
      </c>
      <c r="P1737">
        <f>ABS(H1737)</f>
        <v>1</v>
      </c>
      <c r="R1737"/>
    </row>
    <row r="1738" spans="1:18" x14ac:dyDescent="0.35">
      <c r="A1738" t="s">
        <v>3069</v>
      </c>
      <c r="B1738" s="2">
        <v>46157</v>
      </c>
      <c r="C1738" t="s">
        <v>2168</v>
      </c>
      <c r="D1738" s="3" t="s">
        <v>99</v>
      </c>
      <c r="E1738" t="s">
        <v>25</v>
      </c>
      <c r="F1738" t="s">
        <v>83</v>
      </c>
      <c r="G1738" t="s">
        <v>84</v>
      </c>
      <c r="H1738" s="8">
        <v>1</v>
      </c>
      <c r="I1738" s="10">
        <v>129</v>
      </c>
      <c r="J1738" s="14">
        <f>P1738*I1738</f>
        <v>129</v>
      </c>
      <c r="K1738" s="16">
        <v>0.34</v>
      </c>
      <c r="L1738" s="1" t="s">
        <v>30</v>
      </c>
      <c r="M1738" t="s">
        <v>22</v>
      </c>
      <c r="N1738" t="str">
        <f t="shared" si="39"/>
        <v>United Kingdom</v>
      </c>
      <c r="O1738" s="8">
        <f>IF(K1738&gt;=1,K1738,K1738*1000)</f>
        <v>340</v>
      </c>
      <c r="P1738">
        <f>ABS(H1738)</f>
        <v>1</v>
      </c>
      <c r="R1738"/>
    </row>
    <row r="1739" spans="1:18" x14ac:dyDescent="0.35">
      <c r="A1739" t="s">
        <v>3070</v>
      </c>
      <c r="B1739" s="2">
        <v>46091</v>
      </c>
      <c r="C1739" t="s">
        <v>3071</v>
      </c>
      <c r="D1739" s="3" t="s">
        <v>99</v>
      </c>
      <c r="E1739" t="s">
        <v>67</v>
      </c>
      <c r="F1739" t="s">
        <v>17</v>
      </c>
      <c r="G1739" t="s">
        <v>18</v>
      </c>
      <c r="H1739" s="8">
        <v>2</v>
      </c>
      <c r="I1739" s="10">
        <v>21.6</v>
      </c>
      <c r="J1739" s="14">
        <f>P1739*I1739</f>
        <v>43.2</v>
      </c>
      <c r="K1739" s="16">
        <v>520</v>
      </c>
      <c r="L1739" s="1" t="s">
        <v>30</v>
      </c>
      <c r="M1739" t="s">
        <v>22</v>
      </c>
      <c r="N1739" t="str">
        <f t="shared" si="39"/>
        <v>United Kingdom</v>
      </c>
      <c r="O1739" s="8">
        <f>IF(K1739&gt;=1,K1739,K1739*1000)</f>
        <v>520</v>
      </c>
      <c r="P1739">
        <f>ABS(H1739)</f>
        <v>2</v>
      </c>
      <c r="R1739"/>
    </row>
    <row r="1740" spans="1:18" x14ac:dyDescent="0.35">
      <c r="A1740" t="s">
        <v>3072</v>
      </c>
      <c r="B1740" s="2">
        <v>46147</v>
      </c>
      <c r="C1740" t="s">
        <v>1128</v>
      </c>
      <c r="D1740" s="3" t="s">
        <v>53</v>
      </c>
      <c r="E1740" t="s">
        <v>34</v>
      </c>
      <c r="F1740" t="s">
        <v>26</v>
      </c>
      <c r="G1740" t="s">
        <v>27</v>
      </c>
      <c r="H1740" s="8">
        <v>1</v>
      </c>
      <c r="I1740" s="10">
        <v>11.25</v>
      </c>
      <c r="J1740" s="14">
        <f>P1740*I1740</f>
        <v>11.25</v>
      </c>
      <c r="K1740" s="16">
        <v>0.52</v>
      </c>
      <c r="L1740" s="1" t="s">
        <v>30</v>
      </c>
      <c r="M1740" t="s">
        <v>22</v>
      </c>
      <c r="N1740" t="str">
        <f t="shared" si="39"/>
        <v>Gb</v>
      </c>
      <c r="O1740" s="8">
        <f>IF(K1740&gt;=1,K1740,K1740*1000)</f>
        <v>520</v>
      </c>
      <c r="P1740">
        <f>ABS(H1740)</f>
        <v>1</v>
      </c>
      <c r="R1740"/>
    </row>
    <row r="1741" spans="1:18" x14ac:dyDescent="0.35">
      <c r="A1741" t="s">
        <v>3073</v>
      </c>
      <c r="B1741" s="2">
        <v>46036</v>
      </c>
      <c r="C1741" t="s">
        <v>3074</v>
      </c>
      <c r="D1741" s="3" t="s">
        <v>99</v>
      </c>
      <c r="E1741" t="s">
        <v>25</v>
      </c>
      <c r="F1741" t="s">
        <v>89</v>
      </c>
      <c r="G1741" t="s">
        <v>90</v>
      </c>
      <c r="H1741" s="8">
        <v>1</v>
      </c>
      <c r="I1741" s="10">
        <v>95</v>
      </c>
      <c r="J1741" s="14">
        <f>P1741*I1741</f>
        <v>95</v>
      </c>
      <c r="K1741" s="16">
        <v>640</v>
      </c>
      <c r="L1741" s="1" t="s">
        <v>30</v>
      </c>
      <c r="M1741" t="s">
        <v>22</v>
      </c>
      <c r="N1741" t="str">
        <f t="shared" si="39"/>
        <v>United Kingdom</v>
      </c>
      <c r="O1741" s="8">
        <f>IF(K1741&gt;=1,K1741,K1741*1000)</f>
        <v>640</v>
      </c>
      <c r="P1741">
        <f>ABS(H1741)</f>
        <v>1</v>
      </c>
      <c r="R1741"/>
    </row>
    <row r="1742" spans="1:18" x14ac:dyDescent="0.35">
      <c r="A1742" t="s">
        <v>3075</v>
      </c>
      <c r="B1742" s="2" t="s">
        <v>3058</v>
      </c>
      <c r="C1742" t="s">
        <v>553</v>
      </c>
      <c r="D1742" s="3" t="s">
        <v>4612</v>
      </c>
      <c r="E1742" t="s">
        <v>67</v>
      </c>
      <c r="F1742" t="s">
        <v>83</v>
      </c>
      <c r="G1742" t="s">
        <v>84</v>
      </c>
      <c r="H1742" s="8">
        <v>2</v>
      </c>
      <c r="I1742" s="10">
        <v>11.25</v>
      </c>
      <c r="J1742" s="14">
        <f>P1742*I1742</f>
        <v>22.5</v>
      </c>
      <c r="K1742" s="16">
        <v>340</v>
      </c>
      <c r="L1742" s="1" t="s">
        <v>30</v>
      </c>
      <c r="M1742" t="s">
        <v>22</v>
      </c>
      <c r="N1742" t="str">
        <f t="shared" si="39"/>
        <v>United Kingdom</v>
      </c>
      <c r="O1742" s="8">
        <f>IF(K1742&gt;=1,K1742,K1742*1000)</f>
        <v>340</v>
      </c>
      <c r="P1742">
        <f>ABS(H1742)</f>
        <v>2</v>
      </c>
      <c r="R1742"/>
    </row>
    <row r="1743" spans="1:18" x14ac:dyDescent="0.35">
      <c r="A1743" t="s">
        <v>3077</v>
      </c>
      <c r="B1743" s="2" t="s">
        <v>989</v>
      </c>
      <c r="C1743" t="s">
        <v>2142</v>
      </c>
      <c r="D1743" s="3" t="s">
        <v>15</v>
      </c>
      <c r="E1743" t="s">
        <v>41</v>
      </c>
      <c r="F1743" t="s">
        <v>74</v>
      </c>
      <c r="G1743" t="s">
        <v>75</v>
      </c>
      <c r="H1743" s="8">
        <v>1</v>
      </c>
      <c r="I1743" s="10">
        <v>149</v>
      </c>
      <c r="J1743" s="14">
        <f>P1743*I1743</f>
        <v>149</v>
      </c>
      <c r="K1743" s="16">
        <v>0.41</v>
      </c>
      <c r="L1743" s="1" t="s">
        <v>21</v>
      </c>
      <c r="M1743" t="s">
        <v>58</v>
      </c>
      <c r="N1743" t="str">
        <f t="shared" si="39"/>
        <v>France</v>
      </c>
      <c r="O1743" s="8">
        <f>IF(K1743&gt;=1,K1743,K1743*1000)</f>
        <v>410</v>
      </c>
      <c r="P1743">
        <f>ABS(H1743)</f>
        <v>1</v>
      </c>
      <c r="R1743"/>
    </row>
    <row r="1744" spans="1:18" x14ac:dyDescent="0.35">
      <c r="A1744" t="s">
        <v>3078</v>
      </c>
      <c r="B1744" s="2">
        <v>46296</v>
      </c>
      <c r="C1744" t="s">
        <v>3079</v>
      </c>
      <c r="D1744" s="3" t="s">
        <v>53</v>
      </c>
      <c r="E1744" t="s">
        <v>41</v>
      </c>
      <c r="F1744" t="s">
        <v>47</v>
      </c>
      <c r="G1744" t="s">
        <v>48</v>
      </c>
      <c r="H1744" s="8">
        <v>1</v>
      </c>
      <c r="I1744" s="10">
        <v>24</v>
      </c>
      <c r="J1744" s="14">
        <f>P1744*I1744</f>
        <v>24</v>
      </c>
      <c r="K1744" s="16">
        <v>380</v>
      </c>
      <c r="L1744" s="1" t="s">
        <v>30</v>
      </c>
      <c r="M1744" t="s">
        <v>58</v>
      </c>
      <c r="N1744" t="str">
        <f t="shared" si="39"/>
        <v>Gb</v>
      </c>
      <c r="O1744" s="8">
        <f>IF(K1744&gt;=1,K1744,K1744*1000)</f>
        <v>380</v>
      </c>
      <c r="P1744">
        <f>ABS(H1744)</f>
        <v>1</v>
      </c>
      <c r="R1744"/>
    </row>
    <row r="1745" spans="1:18" x14ac:dyDescent="0.35">
      <c r="A1745" t="s">
        <v>3080</v>
      </c>
      <c r="B1745" s="2">
        <v>46192</v>
      </c>
      <c r="C1745" t="s">
        <v>1986</v>
      </c>
      <c r="D1745" s="3" t="s">
        <v>4613</v>
      </c>
      <c r="E1745" t="s">
        <v>67</v>
      </c>
      <c r="F1745" t="s">
        <v>42</v>
      </c>
      <c r="G1745" t="s">
        <v>43</v>
      </c>
      <c r="H1745" s="8">
        <v>2</v>
      </c>
      <c r="I1745" s="10">
        <v>45</v>
      </c>
      <c r="J1745" s="14">
        <f>P1745*I1745</f>
        <v>90</v>
      </c>
      <c r="K1745" s="16">
        <v>0.19</v>
      </c>
      <c r="L1745" s="1" t="s">
        <v>30</v>
      </c>
      <c r="M1745" t="s">
        <v>22</v>
      </c>
      <c r="N1745" t="str">
        <f t="shared" si="39"/>
        <v>United Kingdom</v>
      </c>
      <c r="O1745" s="8">
        <f>IF(K1745&gt;=1,K1745,K1745*1000)</f>
        <v>190</v>
      </c>
      <c r="P1745">
        <f>ABS(H1745)</f>
        <v>2</v>
      </c>
      <c r="R1745"/>
    </row>
    <row r="1746" spans="1:18" x14ac:dyDescent="0.35">
      <c r="A1746" t="s">
        <v>3081</v>
      </c>
      <c r="B1746" s="2">
        <v>46062</v>
      </c>
      <c r="C1746" t="s">
        <v>3082</v>
      </c>
      <c r="D1746" s="3" t="s">
        <v>15</v>
      </c>
      <c r="E1746" t="s">
        <v>34</v>
      </c>
      <c r="F1746" t="s">
        <v>35</v>
      </c>
      <c r="G1746" t="s">
        <v>36</v>
      </c>
      <c r="H1746" s="8">
        <v>3</v>
      </c>
      <c r="I1746" s="10">
        <v>116.1</v>
      </c>
      <c r="J1746" s="14">
        <f>P1746*I1746</f>
        <v>348.29999999999995</v>
      </c>
      <c r="K1746" s="16">
        <v>85</v>
      </c>
      <c r="L1746" s="1" t="s">
        <v>30</v>
      </c>
      <c r="M1746" t="s">
        <v>22</v>
      </c>
      <c r="N1746" t="str">
        <f t="shared" si="39"/>
        <v>France</v>
      </c>
      <c r="O1746" s="8">
        <f>IF(K1746&gt;=1,K1746,K1746*1000)</f>
        <v>85</v>
      </c>
      <c r="P1746">
        <f>ABS(H1746)</f>
        <v>3</v>
      </c>
      <c r="R1746"/>
    </row>
    <row r="1747" spans="1:18" x14ac:dyDescent="0.35">
      <c r="A1747" t="s">
        <v>3083</v>
      </c>
      <c r="B1747" s="2">
        <v>46054</v>
      </c>
      <c r="C1747" t="s">
        <v>3084</v>
      </c>
      <c r="D1747" s="3" t="s">
        <v>46</v>
      </c>
      <c r="E1747" t="s">
        <v>34</v>
      </c>
      <c r="F1747" t="s">
        <v>42</v>
      </c>
      <c r="G1747" t="s">
        <v>43</v>
      </c>
      <c r="H1747" s="8">
        <v>1</v>
      </c>
      <c r="I1747" s="10">
        <v>12.5</v>
      </c>
      <c r="J1747" s="14">
        <f>P1747*I1747</f>
        <v>12.5</v>
      </c>
      <c r="K1747" s="16">
        <v>190</v>
      </c>
      <c r="L1747" s="1" t="s">
        <v>30</v>
      </c>
      <c r="M1747" t="s">
        <v>58</v>
      </c>
      <c r="N1747" t="str">
        <f t="shared" si="39"/>
        <v>Ireland</v>
      </c>
      <c r="O1747" s="8">
        <f>IF(K1747&gt;=1,K1747,K1747*1000)</f>
        <v>190</v>
      </c>
      <c r="P1747">
        <f>ABS(H1747)</f>
        <v>1</v>
      </c>
      <c r="R1747"/>
    </row>
    <row r="1748" spans="1:18" x14ac:dyDescent="0.35">
      <c r="A1748" t="s">
        <v>3085</v>
      </c>
      <c r="B1748" s="2">
        <v>46071</v>
      </c>
      <c r="C1748" t="s">
        <v>2964</v>
      </c>
      <c r="D1748" s="3" t="s">
        <v>116</v>
      </c>
      <c r="E1748" t="s">
        <v>34</v>
      </c>
      <c r="F1748" t="s">
        <v>42</v>
      </c>
      <c r="G1748" t="s">
        <v>43</v>
      </c>
      <c r="H1748" s="8">
        <v>1</v>
      </c>
      <c r="I1748" s="10">
        <v>24</v>
      </c>
      <c r="J1748" s="14">
        <f>P1748*I1748</f>
        <v>24</v>
      </c>
      <c r="K1748" s="16">
        <v>190</v>
      </c>
      <c r="L1748" s="1" t="s">
        <v>30</v>
      </c>
      <c r="M1748" t="s">
        <v>22</v>
      </c>
      <c r="N1748" t="str">
        <f t="shared" si="39"/>
        <v>Germany</v>
      </c>
      <c r="O1748" s="8">
        <f>IF(K1748&gt;=1,K1748,K1748*1000)</f>
        <v>190</v>
      </c>
      <c r="P1748">
        <f>ABS(H1748)</f>
        <v>1</v>
      </c>
      <c r="R1748"/>
    </row>
    <row r="1749" spans="1:18" x14ac:dyDescent="0.35">
      <c r="A1749" t="s">
        <v>3086</v>
      </c>
      <c r="B1749" s="2">
        <v>46141</v>
      </c>
      <c r="C1749" t="s">
        <v>2100</v>
      </c>
      <c r="D1749" s="3" t="s">
        <v>61</v>
      </c>
      <c r="E1749" t="s">
        <v>34</v>
      </c>
      <c r="F1749" t="s">
        <v>35</v>
      </c>
      <c r="G1749" t="s">
        <v>36</v>
      </c>
      <c r="H1749" s="8">
        <v>1</v>
      </c>
      <c r="I1749" s="10">
        <v>149</v>
      </c>
      <c r="J1749" s="14">
        <f>P1749*I1749</f>
        <v>149</v>
      </c>
      <c r="K1749" s="16">
        <v>8.5000000000000006E-2</v>
      </c>
      <c r="L1749" s="1" t="s">
        <v>30</v>
      </c>
      <c r="M1749" t="s">
        <v>22</v>
      </c>
      <c r="N1749" t="str">
        <f t="shared" si="39"/>
        <v>Ireland</v>
      </c>
      <c r="O1749" s="8">
        <f>IF(K1749&gt;=1,K1749,K1749*1000)</f>
        <v>85</v>
      </c>
      <c r="P1749">
        <f>ABS(H1749)</f>
        <v>1</v>
      </c>
      <c r="R1749"/>
    </row>
    <row r="1750" spans="1:18" x14ac:dyDescent="0.35">
      <c r="A1750" t="s">
        <v>3087</v>
      </c>
      <c r="B1750" s="2">
        <v>46183</v>
      </c>
      <c r="C1750" t="s">
        <v>498</v>
      </c>
      <c r="D1750" s="3" t="s">
        <v>46</v>
      </c>
      <c r="E1750" t="s">
        <v>41</v>
      </c>
      <c r="F1750" t="s">
        <v>47</v>
      </c>
      <c r="G1750" t="s">
        <v>48</v>
      </c>
      <c r="H1750" s="8">
        <v>1</v>
      </c>
      <c r="I1750" s="10">
        <v>80.099999999999994</v>
      </c>
      <c r="J1750" s="14">
        <f>P1750*I1750</f>
        <v>80.099999999999994</v>
      </c>
      <c r="K1750" s="16">
        <v>0.38</v>
      </c>
      <c r="L1750" s="1" t="s">
        <v>30</v>
      </c>
      <c r="M1750" t="s">
        <v>22</v>
      </c>
      <c r="N1750" t="str">
        <f t="shared" si="39"/>
        <v>Ireland</v>
      </c>
      <c r="O1750" s="8">
        <f>IF(K1750&gt;=1,K1750,K1750*1000)</f>
        <v>380</v>
      </c>
      <c r="P1750">
        <f>ABS(H1750)</f>
        <v>1</v>
      </c>
      <c r="R1750"/>
    </row>
    <row r="1751" spans="1:18" x14ac:dyDescent="0.35">
      <c r="A1751" t="s">
        <v>3088</v>
      </c>
      <c r="B1751" s="2" t="s">
        <v>259</v>
      </c>
      <c r="C1751" t="s">
        <v>199</v>
      </c>
      <c r="D1751" s="3" t="s">
        <v>99</v>
      </c>
      <c r="E1751" t="s">
        <v>67</v>
      </c>
      <c r="F1751" t="s">
        <v>35</v>
      </c>
      <c r="G1751" t="s">
        <v>36</v>
      </c>
      <c r="H1751" s="8">
        <v>1</v>
      </c>
      <c r="I1751" s="10">
        <v>21.6</v>
      </c>
      <c r="J1751" s="14">
        <f>P1751*I1751</f>
        <v>21.6</v>
      </c>
      <c r="K1751" s="16">
        <v>8.5000000000000006E-2</v>
      </c>
      <c r="L1751" s="1" t="s">
        <v>30</v>
      </c>
      <c r="M1751" t="s">
        <v>22</v>
      </c>
      <c r="N1751" t="str">
        <f t="shared" si="39"/>
        <v>United Kingdom</v>
      </c>
      <c r="O1751" s="8">
        <f>IF(K1751&gt;=1,K1751,K1751*1000)</f>
        <v>85</v>
      </c>
      <c r="P1751">
        <f>ABS(H1751)</f>
        <v>1</v>
      </c>
      <c r="R1751"/>
    </row>
    <row r="1752" spans="1:18" x14ac:dyDescent="0.35">
      <c r="A1752" t="s">
        <v>3089</v>
      </c>
      <c r="B1752" s="2">
        <v>46201</v>
      </c>
      <c r="C1752" t="s">
        <v>2203</v>
      </c>
      <c r="D1752" s="3" t="s">
        <v>46</v>
      </c>
      <c r="E1752" t="s">
        <v>34</v>
      </c>
      <c r="F1752" t="s">
        <v>89</v>
      </c>
      <c r="G1752" t="s">
        <v>90</v>
      </c>
      <c r="H1752" s="8">
        <v>1</v>
      </c>
      <c r="I1752" s="10">
        <v>12.5</v>
      </c>
      <c r="J1752" s="14">
        <f>P1752*I1752</f>
        <v>12.5</v>
      </c>
      <c r="K1752" s="16">
        <v>0.64</v>
      </c>
      <c r="L1752" s="1" t="s">
        <v>30</v>
      </c>
      <c r="M1752" t="s">
        <v>58</v>
      </c>
      <c r="N1752" t="str">
        <f t="shared" si="39"/>
        <v>Ireland</v>
      </c>
      <c r="O1752" s="8">
        <f>IF(K1752&gt;=1,K1752,K1752*1000)</f>
        <v>640</v>
      </c>
      <c r="P1752">
        <f>ABS(H1752)</f>
        <v>1</v>
      </c>
      <c r="R1752"/>
    </row>
    <row r="1753" spans="1:18" x14ac:dyDescent="0.35">
      <c r="A1753" t="s">
        <v>3090</v>
      </c>
      <c r="B1753" s="2">
        <v>46206</v>
      </c>
      <c r="C1753" t="s">
        <v>2191</v>
      </c>
      <c r="D1753" s="3" t="s">
        <v>99</v>
      </c>
      <c r="E1753" t="s">
        <v>67</v>
      </c>
      <c r="F1753" t="s">
        <v>35</v>
      </c>
      <c r="G1753" t="s">
        <v>36</v>
      </c>
      <c r="H1753" s="8">
        <v>2</v>
      </c>
      <c r="I1753" s="10">
        <v>21.6</v>
      </c>
      <c r="J1753" s="14">
        <f>P1753*I1753</f>
        <v>43.2</v>
      </c>
      <c r="K1753" s="16">
        <v>8.5000000000000006E-2</v>
      </c>
      <c r="L1753" s="1" t="s">
        <v>30</v>
      </c>
      <c r="M1753" t="s">
        <v>22</v>
      </c>
      <c r="N1753" t="str">
        <f t="shared" si="39"/>
        <v>United Kingdom</v>
      </c>
      <c r="O1753" s="8">
        <f>IF(K1753&gt;=1,K1753,K1753*1000)</f>
        <v>85</v>
      </c>
      <c r="P1753">
        <f>ABS(H1753)</f>
        <v>2</v>
      </c>
      <c r="R1753"/>
    </row>
    <row r="1754" spans="1:18" x14ac:dyDescent="0.35">
      <c r="A1754" t="s">
        <v>3091</v>
      </c>
      <c r="B1754" s="2">
        <v>46045</v>
      </c>
      <c r="C1754" t="s">
        <v>3092</v>
      </c>
      <c r="D1754" s="3" t="s">
        <v>4612</v>
      </c>
      <c r="E1754" t="s">
        <v>25</v>
      </c>
      <c r="F1754" t="s">
        <v>42</v>
      </c>
      <c r="G1754" t="s">
        <v>43</v>
      </c>
      <c r="H1754" s="8">
        <v>3</v>
      </c>
      <c r="I1754" s="10">
        <v>24</v>
      </c>
      <c r="J1754" s="14">
        <f>P1754*I1754</f>
        <v>72</v>
      </c>
      <c r="K1754" s="16">
        <v>190</v>
      </c>
      <c r="L1754" s="1" t="s">
        <v>21</v>
      </c>
      <c r="M1754" t="s">
        <v>22</v>
      </c>
      <c r="N1754" t="str">
        <f t="shared" si="39"/>
        <v>United Kingdom</v>
      </c>
      <c r="O1754" s="8">
        <f>IF(K1754&gt;=1,K1754,K1754*1000)</f>
        <v>190</v>
      </c>
      <c r="P1754">
        <f>ABS(H1754)</f>
        <v>3</v>
      </c>
      <c r="R1754"/>
    </row>
    <row r="1755" spans="1:18" x14ac:dyDescent="0.35">
      <c r="A1755" t="s">
        <v>3094</v>
      </c>
      <c r="B1755" s="2">
        <v>46130</v>
      </c>
      <c r="C1755" t="s">
        <v>1798</v>
      </c>
      <c r="D1755" s="3" t="s">
        <v>61</v>
      </c>
      <c r="E1755" t="s">
        <v>25</v>
      </c>
      <c r="F1755" t="s">
        <v>83</v>
      </c>
      <c r="G1755" t="s">
        <v>84</v>
      </c>
      <c r="H1755" s="8">
        <v>2</v>
      </c>
      <c r="I1755" s="10">
        <v>40.5</v>
      </c>
      <c r="J1755" s="14">
        <f>P1755*I1755</f>
        <v>81</v>
      </c>
      <c r="K1755" s="16">
        <v>340</v>
      </c>
      <c r="L1755" s="1" t="s">
        <v>30</v>
      </c>
      <c r="M1755" t="s">
        <v>58</v>
      </c>
      <c r="N1755" t="str">
        <f t="shared" si="39"/>
        <v>Ireland</v>
      </c>
      <c r="O1755" s="8">
        <f>IF(K1755&gt;=1,K1755,K1755*1000)</f>
        <v>340</v>
      </c>
      <c r="P1755">
        <f>ABS(H1755)</f>
        <v>2</v>
      </c>
      <c r="R1755"/>
    </row>
    <row r="1756" spans="1:18" x14ac:dyDescent="0.35">
      <c r="A1756" t="s">
        <v>3095</v>
      </c>
      <c r="B1756" s="2">
        <v>46061</v>
      </c>
      <c r="C1756" t="s">
        <v>1659</v>
      </c>
      <c r="D1756" s="3" t="s">
        <v>99</v>
      </c>
      <c r="E1756" t="s">
        <v>34</v>
      </c>
      <c r="F1756" t="s">
        <v>89</v>
      </c>
      <c r="G1756" t="s">
        <v>90</v>
      </c>
      <c r="H1756" s="8">
        <v>3</v>
      </c>
      <c r="I1756" s="10">
        <v>12.5</v>
      </c>
      <c r="J1756" s="14">
        <f>P1756*I1756</f>
        <v>37.5</v>
      </c>
      <c r="K1756" s="16">
        <v>640</v>
      </c>
      <c r="L1756" s="1" t="s">
        <v>21</v>
      </c>
      <c r="M1756" t="s">
        <v>22</v>
      </c>
      <c r="N1756" t="str">
        <f t="shared" si="39"/>
        <v>United Kingdom</v>
      </c>
      <c r="O1756" s="8">
        <f>IF(K1756&gt;=1,K1756,K1756*1000)</f>
        <v>640</v>
      </c>
      <c r="P1756">
        <f>ABS(H1756)</f>
        <v>3</v>
      </c>
      <c r="R1756"/>
    </row>
    <row r="1757" spans="1:18" x14ac:dyDescent="0.35">
      <c r="A1757" t="s">
        <v>3096</v>
      </c>
      <c r="B1757" s="2">
        <v>46193</v>
      </c>
      <c r="C1757" t="s">
        <v>585</v>
      </c>
      <c r="D1757" s="3" t="s">
        <v>4613</v>
      </c>
      <c r="E1757" t="s">
        <v>16</v>
      </c>
      <c r="F1757" t="s">
        <v>89</v>
      </c>
      <c r="G1757" t="s">
        <v>90</v>
      </c>
      <c r="H1757" s="8">
        <v>1</v>
      </c>
      <c r="I1757" s="10">
        <v>134.1</v>
      </c>
      <c r="J1757" s="14">
        <f>P1757*I1757</f>
        <v>134.1</v>
      </c>
      <c r="K1757" s="16">
        <v>0.64</v>
      </c>
      <c r="L1757" s="1" t="s">
        <v>30</v>
      </c>
      <c r="M1757" t="s">
        <v>22</v>
      </c>
      <c r="N1757" t="str">
        <f t="shared" si="39"/>
        <v>United Kingdom</v>
      </c>
      <c r="O1757" s="8">
        <f>IF(K1757&gt;=1,K1757,K1757*1000)</f>
        <v>640</v>
      </c>
      <c r="P1757">
        <f>ABS(H1757)</f>
        <v>1</v>
      </c>
      <c r="R1757"/>
    </row>
    <row r="1758" spans="1:18" x14ac:dyDescent="0.35">
      <c r="A1758" t="s">
        <v>3097</v>
      </c>
      <c r="B1758" s="2">
        <v>46085</v>
      </c>
      <c r="C1758" t="s">
        <v>2333</v>
      </c>
      <c r="D1758" s="3" t="s">
        <v>4613</v>
      </c>
      <c r="E1758" t="s">
        <v>16</v>
      </c>
      <c r="F1758" t="s">
        <v>47</v>
      </c>
      <c r="G1758" t="s">
        <v>48</v>
      </c>
      <c r="H1758" s="8">
        <v>3</v>
      </c>
      <c r="I1758" s="10">
        <v>129</v>
      </c>
      <c r="J1758" s="14">
        <f>P1758*I1758</f>
        <v>387</v>
      </c>
      <c r="K1758" s="16">
        <v>380</v>
      </c>
      <c r="L1758" s="1" t="s">
        <v>30</v>
      </c>
      <c r="M1758" t="s">
        <v>22</v>
      </c>
      <c r="N1758" t="str">
        <f t="shared" si="39"/>
        <v>United Kingdom</v>
      </c>
      <c r="O1758" s="8">
        <f>IF(K1758&gt;=1,K1758,K1758*1000)</f>
        <v>380</v>
      </c>
      <c r="P1758">
        <f>ABS(H1758)</f>
        <v>3</v>
      </c>
      <c r="R1758"/>
    </row>
    <row r="1759" spans="1:18" x14ac:dyDescent="0.35">
      <c r="A1759" t="s">
        <v>3098</v>
      </c>
      <c r="B1759" s="2">
        <v>46155</v>
      </c>
      <c r="C1759" t="s">
        <v>3099</v>
      </c>
      <c r="D1759" s="3" t="s">
        <v>4613</v>
      </c>
      <c r="E1759" t="s">
        <v>34</v>
      </c>
      <c r="F1759" t="s">
        <v>26</v>
      </c>
      <c r="G1759" t="s">
        <v>27</v>
      </c>
      <c r="H1759" s="8">
        <v>1</v>
      </c>
      <c r="I1759" s="10">
        <v>12.5</v>
      </c>
      <c r="J1759" s="14">
        <f>P1759*I1759</f>
        <v>12.5</v>
      </c>
      <c r="K1759" s="16">
        <v>0.52</v>
      </c>
      <c r="L1759" s="1" t="s">
        <v>30</v>
      </c>
      <c r="M1759" t="s">
        <v>22</v>
      </c>
      <c r="N1759" t="str">
        <f t="shared" si="39"/>
        <v>United Kingdom</v>
      </c>
      <c r="O1759" s="8">
        <f>IF(K1759&gt;=1,K1759,K1759*1000)</f>
        <v>520</v>
      </c>
      <c r="P1759">
        <f>ABS(H1759)</f>
        <v>1</v>
      </c>
      <c r="R1759"/>
    </row>
    <row r="1760" spans="1:18" x14ac:dyDescent="0.35">
      <c r="A1760" t="s">
        <v>3100</v>
      </c>
      <c r="B1760" s="2">
        <v>46196</v>
      </c>
      <c r="C1760" t="s">
        <v>1912</v>
      </c>
      <c r="D1760" s="3" t="s">
        <v>61</v>
      </c>
      <c r="E1760" t="s">
        <v>67</v>
      </c>
      <c r="F1760" t="s">
        <v>17</v>
      </c>
      <c r="G1760" t="s">
        <v>18</v>
      </c>
      <c r="H1760" s="8">
        <v>2</v>
      </c>
      <c r="I1760" s="10">
        <v>116.1</v>
      </c>
      <c r="J1760" s="14">
        <f>P1760*I1760</f>
        <v>232.2</v>
      </c>
      <c r="K1760" s="16">
        <v>0.52</v>
      </c>
      <c r="L1760" s="1" t="s">
        <v>21</v>
      </c>
      <c r="M1760" t="s">
        <v>58</v>
      </c>
      <c r="N1760" t="str">
        <f t="shared" si="39"/>
        <v>Ireland</v>
      </c>
      <c r="O1760" s="8">
        <f>IF(K1760&gt;=1,K1760,K1760*1000)</f>
        <v>520</v>
      </c>
      <c r="P1760">
        <f>ABS(H1760)</f>
        <v>2</v>
      </c>
      <c r="R1760"/>
    </row>
    <row r="1761" spans="1:18" x14ac:dyDescent="0.35">
      <c r="A1761" t="s">
        <v>3101</v>
      </c>
      <c r="B1761" s="2">
        <v>46180</v>
      </c>
      <c r="C1761" t="s">
        <v>3102</v>
      </c>
      <c r="D1761" s="3" t="s">
        <v>4612</v>
      </c>
      <c r="E1761" t="s">
        <v>41</v>
      </c>
      <c r="F1761" t="s">
        <v>89</v>
      </c>
      <c r="G1761" t="s">
        <v>90</v>
      </c>
      <c r="H1761" s="8">
        <v>2</v>
      </c>
      <c r="I1761" s="10">
        <v>45</v>
      </c>
      <c r="J1761" s="14">
        <f>P1761*I1761</f>
        <v>90</v>
      </c>
      <c r="K1761" s="16">
        <v>0.64</v>
      </c>
      <c r="L1761" s="1" t="s">
        <v>30</v>
      </c>
      <c r="M1761" t="s">
        <v>22</v>
      </c>
      <c r="N1761" t="str">
        <f t="shared" si="39"/>
        <v>United Kingdom</v>
      </c>
      <c r="O1761" s="8">
        <f>IF(K1761&gt;=1,K1761,K1761*1000)</f>
        <v>640</v>
      </c>
      <c r="P1761">
        <f>ABS(H1761)</f>
        <v>2</v>
      </c>
      <c r="R1761"/>
    </row>
    <row r="1762" spans="1:18" x14ac:dyDescent="0.35">
      <c r="A1762" t="s">
        <v>3103</v>
      </c>
      <c r="B1762" s="2">
        <v>46098</v>
      </c>
      <c r="C1762" t="s">
        <v>3104</v>
      </c>
      <c r="D1762" s="3" t="s">
        <v>4612</v>
      </c>
      <c r="E1762" t="s">
        <v>67</v>
      </c>
      <c r="F1762" t="s">
        <v>17</v>
      </c>
      <c r="G1762" t="s">
        <v>18</v>
      </c>
      <c r="H1762" s="8">
        <v>1</v>
      </c>
      <c r="I1762" s="10">
        <v>149</v>
      </c>
      <c r="J1762" s="14">
        <f>P1762*I1762</f>
        <v>149</v>
      </c>
      <c r="K1762" s="16">
        <v>520</v>
      </c>
      <c r="L1762" s="1" t="s">
        <v>30</v>
      </c>
      <c r="M1762" t="s">
        <v>22</v>
      </c>
      <c r="N1762" t="str">
        <f t="shared" si="39"/>
        <v>United Kingdom</v>
      </c>
      <c r="O1762" s="8">
        <f>IF(K1762&gt;=1,K1762,K1762*1000)</f>
        <v>520</v>
      </c>
      <c r="P1762">
        <f>ABS(H1762)</f>
        <v>1</v>
      </c>
      <c r="R1762"/>
    </row>
    <row r="1763" spans="1:18" x14ac:dyDescent="0.35">
      <c r="A1763" t="s">
        <v>3105</v>
      </c>
      <c r="B1763" s="2">
        <v>46087</v>
      </c>
      <c r="C1763" t="s">
        <v>1715</v>
      </c>
      <c r="D1763" s="3" t="s">
        <v>4612</v>
      </c>
      <c r="E1763" t="s">
        <v>16</v>
      </c>
      <c r="F1763" t="s">
        <v>26</v>
      </c>
      <c r="G1763" t="s">
        <v>27</v>
      </c>
      <c r="H1763" s="8">
        <v>2</v>
      </c>
      <c r="I1763" s="10">
        <v>24</v>
      </c>
      <c r="J1763" s="14">
        <f>P1763*I1763</f>
        <v>48</v>
      </c>
      <c r="K1763" s="16">
        <v>0.52</v>
      </c>
      <c r="L1763" s="1" t="s">
        <v>30</v>
      </c>
      <c r="M1763" t="s">
        <v>58</v>
      </c>
      <c r="N1763" t="str">
        <f t="shared" si="39"/>
        <v>United Kingdom</v>
      </c>
      <c r="O1763" s="8">
        <f>IF(K1763&gt;=1,K1763,K1763*1000)</f>
        <v>520</v>
      </c>
      <c r="P1763">
        <f>ABS(H1763)</f>
        <v>2</v>
      </c>
      <c r="R1763"/>
    </row>
    <row r="1764" spans="1:18" x14ac:dyDescent="0.35">
      <c r="A1764" t="s">
        <v>3106</v>
      </c>
      <c r="B1764" s="2">
        <v>46098</v>
      </c>
      <c r="C1764" t="s">
        <v>2811</v>
      </c>
      <c r="D1764" s="3" t="s">
        <v>15</v>
      </c>
      <c r="E1764" t="s">
        <v>41</v>
      </c>
      <c r="F1764" t="s">
        <v>83</v>
      </c>
      <c r="G1764" t="s">
        <v>84</v>
      </c>
      <c r="H1764" s="8">
        <v>2</v>
      </c>
      <c r="I1764" s="10">
        <v>40.5</v>
      </c>
      <c r="J1764" s="14">
        <f>P1764*I1764</f>
        <v>81</v>
      </c>
      <c r="K1764" s="16">
        <v>340</v>
      </c>
      <c r="L1764" s="1" t="s">
        <v>30</v>
      </c>
      <c r="M1764" t="s">
        <v>22</v>
      </c>
      <c r="N1764" t="str">
        <f t="shared" si="39"/>
        <v>France</v>
      </c>
      <c r="O1764" s="8">
        <f>IF(K1764&gt;=1,K1764,K1764*1000)</f>
        <v>340</v>
      </c>
      <c r="P1764">
        <f>ABS(H1764)</f>
        <v>2</v>
      </c>
      <c r="R1764"/>
    </row>
    <row r="1765" spans="1:18" x14ac:dyDescent="0.35">
      <c r="A1765" t="s">
        <v>3107</v>
      </c>
      <c r="B1765" s="2" t="s">
        <v>914</v>
      </c>
      <c r="C1765" t="s">
        <v>3108</v>
      </c>
      <c r="D1765" s="3" t="s">
        <v>53</v>
      </c>
      <c r="E1765" t="s">
        <v>34</v>
      </c>
      <c r="F1765" t="s">
        <v>17</v>
      </c>
      <c r="G1765" t="s">
        <v>18</v>
      </c>
      <c r="H1765" s="8">
        <v>1</v>
      </c>
      <c r="I1765" s="10">
        <v>95</v>
      </c>
      <c r="J1765" s="14">
        <f>P1765*I1765</f>
        <v>95</v>
      </c>
      <c r="K1765" s="16">
        <v>0.52</v>
      </c>
      <c r="L1765" s="1" t="s">
        <v>30</v>
      </c>
      <c r="M1765" t="s">
        <v>22</v>
      </c>
      <c r="N1765" t="str">
        <f t="shared" si="39"/>
        <v>Gb</v>
      </c>
      <c r="O1765" s="8">
        <f>IF(K1765&gt;=1,K1765,K1765*1000)</f>
        <v>520</v>
      </c>
      <c r="P1765">
        <f>ABS(H1765)</f>
        <v>1</v>
      </c>
      <c r="R1765"/>
    </row>
    <row r="1766" spans="1:18" x14ac:dyDescent="0.35">
      <c r="A1766" t="s">
        <v>3109</v>
      </c>
      <c r="B1766" s="2">
        <v>46140</v>
      </c>
      <c r="C1766" t="s">
        <v>562</v>
      </c>
      <c r="D1766" s="3" t="s">
        <v>99</v>
      </c>
      <c r="E1766" t="s">
        <v>16</v>
      </c>
      <c r="F1766" t="s">
        <v>83</v>
      </c>
      <c r="G1766" t="s">
        <v>84</v>
      </c>
      <c r="H1766" s="8">
        <v>1</v>
      </c>
      <c r="I1766" s="10">
        <v>71.099999999999994</v>
      </c>
      <c r="J1766" s="14">
        <f>P1766*I1766</f>
        <v>71.099999999999994</v>
      </c>
      <c r="K1766" s="16">
        <v>0.34</v>
      </c>
      <c r="L1766" s="1" t="s">
        <v>30</v>
      </c>
      <c r="M1766" t="s">
        <v>22</v>
      </c>
      <c r="N1766" t="str">
        <f t="shared" si="39"/>
        <v>United Kingdom</v>
      </c>
      <c r="O1766" s="8">
        <f>IF(K1766&gt;=1,K1766,K1766*1000)</f>
        <v>340</v>
      </c>
      <c r="P1766">
        <f>ABS(H1766)</f>
        <v>1</v>
      </c>
      <c r="R1766"/>
    </row>
    <row r="1767" spans="1:18" x14ac:dyDescent="0.35">
      <c r="A1767" t="s">
        <v>3110</v>
      </c>
      <c r="B1767" s="2">
        <v>46125</v>
      </c>
      <c r="C1767" t="s">
        <v>2218</v>
      </c>
      <c r="D1767" s="3" t="s">
        <v>99</v>
      </c>
      <c r="E1767" t="s">
        <v>25</v>
      </c>
      <c r="F1767" t="s">
        <v>35</v>
      </c>
      <c r="G1767" t="s">
        <v>36</v>
      </c>
      <c r="H1767" s="8">
        <v>2</v>
      </c>
      <c r="I1767" s="10">
        <v>24</v>
      </c>
      <c r="J1767" s="14">
        <f>P1767*I1767</f>
        <v>48</v>
      </c>
      <c r="K1767" s="16">
        <v>85</v>
      </c>
      <c r="L1767" s="1" t="s">
        <v>30</v>
      </c>
      <c r="M1767" t="s">
        <v>22</v>
      </c>
      <c r="N1767" t="str">
        <f t="shared" si="39"/>
        <v>United Kingdom</v>
      </c>
      <c r="O1767" s="8">
        <f>IF(K1767&gt;=1,K1767,K1767*1000)</f>
        <v>85</v>
      </c>
      <c r="P1767">
        <f>ABS(H1767)</f>
        <v>2</v>
      </c>
      <c r="R1767"/>
    </row>
    <row r="1768" spans="1:18" x14ac:dyDescent="0.35">
      <c r="A1768" t="s">
        <v>3111</v>
      </c>
      <c r="B1768" s="2">
        <v>46093</v>
      </c>
      <c r="C1768" t="s">
        <v>3112</v>
      </c>
      <c r="D1768" s="3" t="s">
        <v>15</v>
      </c>
      <c r="E1768" t="s">
        <v>16</v>
      </c>
      <c r="F1768" t="s">
        <v>74</v>
      </c>
      <c r="G1768" t="s">
        <v>75</v>
      </c>
      <c r="H1768" s="8">
        <v>1</v>
      </c>
      <c r="I1768" s="10">
        <v>95</v>
      </c>
      <c r="J1768" s="14">
        <f>P1768*I1768</f>
        <v>95</v>
      </c>
      <c r="K1768" s="16">
        <v>410</v>
      </c>
      <c r="L1768" s="1" t="s">
        <v>30</v>
      </c>
      <c r="M1768" t="s">
        <v>58</v>
      </c>
      <c r="N1768" t="str">
        <f t="shared" si="39"/>
        <v>France</v>
      </c>
      <c r="O1768" s="8">
        <f>IF(K1768&gt;=1,K1768,K1768*1000)</f>
        <v>410</v>
      </c>
      <c r="P1768">
        <f>ABS(H1768)</f>
        <v>1</v>
      </c>
      <c r="R1768"/>
    </row>
    <row r="1769" spans="1:18" x14ac:dyDescent="0.35">
      <c r="A1769" t="s">
        <v>3113</v>
      </c>
      <c r="B1769" s="2">
        <v>46029</v>
      </c>
      <c r="C1769" t="s">
        <v>3114</v>
      </c>
      <c r="D1769" s="3" t="s">
        <v>46</v>
      </c>
      <c r="E1769" t="s">
        <v>67</v>
      </c>
      <c r="F1769" t="s">
        <v>74</v>
      </c>
      <c r="G1769" t="s">
        <v>75</v>
      </c>
      <c r="H1769" s="8">
        <v>2</v>
      </c>
      <c r="I1769" s="10">
        <v>12.5</v>
      </c>
      <c r="J1769" s="14">
        <f>P1769*I1769</f>
        <v>25</v>
      </c>
      <c r="K1769" s="16">
        <v>410</v>
      </c>
      <c r="L1769" s="1" t="s">
        <v>30</v>
      </c>
      <c r="M1769" t="s">
        <v>22</v>
      </c>
      <c r="N1769" t="str">
        <f t="shared" si="39"/>
        <v>Ireland</v>
      </c>
      <c r="O1769" s="8">
        <f>IF(K1769&gt;=1,K1769,K1769*1000)</f>
        <v>410</v>
      </c>
      <c r="P1769">
        <f>ABS(H1769)</f>
        <v>2</v>
      </c>
      <c r="R1769"/>
    </row>
    <row r="1770" spans="1:18" x14ac:dyDescent="0.35">
      <c r="A1770" t="s">
        <v>3115</v>
      </c>
      <c r="B1770" s="2">
        <v>46184</v>
      </c>
      <c r="C1770" t="s">
        <v>3116</v>
      </c>
      <c r="D1770" s="3" t="s">
        <v>99</v>
      </c>
      <c r="E1770" t="s">
        <v>67</v>
      </c>
      <c r="F1770" t="s">
        <v>47</v>
      </c>
      <c r="G1770" t="s">
        <v>48</v>
      </c>
      <c r="H1770" s="8">
        <v>2</v>
      </c>
      <c r="I1770" s="10">
        <v>129</v>
      </c>
      <c r="J1770" s="14">
        <f>P1770*I1770</f>
        <v>258</v>
      </c>
      <c r="K1770" s="16">
        <v>0.38</v>
      </c>
      <c r="L1770" s="1" t="s">
        <v>30</v>
      </c>
      <c r="M1770" t="s">
        <v>58</v>
      </c>
      <c r="N1770" t="str">
        <f t="shared" si="39"/>
        <v>United Kingdom</v>
      </c>
      <c r="O1770" s="8">
        <f>IF(K1770&gt;=1,K1770,K1770*1000)</f>
        <v>380</v>
      </c>
      <c r="P1770">
        <f>ABS(H1770)</f>
        <v>2</v>
      </c>
      <c r="R1770"/>
    </row>
    <row r="1771" spans="1:18" x14ac:dyDescent="0.35">
      <c r="A1771" t="s">
        <v>3117</v>
      </c>
      <c r="B1771" s="2">
        <v>46187</v>
      </c>
      <c r="C1771" t="s">
        <v>2804</v>
      </c>
      <c r="D1771" s="3" t="s">
        <v>53</v>
      </c>
      <c r="E1771" t="s">
        <v>41</v>
      </c>
      <c r="F1771" t="s">
        <v>26</v>
      </c>
      <c r="G1771" t="s">
        <v>27</v>
      </c>
      <c r="H1771" s="8">
        <v>2</v>
      </c>
      <c r="I1771" s="10">
        <v>40.5</v>
      </c>
      <c r="J1771" s="14">
        <f>P1771*I1771</f>
        <v>81</v>
      </c>
      <c r="K1771" s="16">
        <v>0.52</v>
      </c>
      <c r="L1771" s="1" t="s">
        <v>30</v>
      </c>
      <c r="M1771" t="s">
        <v>22</v>
      </c>
      <c r="N1771" t="str">
        <f t="shared" si="39"/>
        <v>Gb</v>
      </c>
      <c r="O1771" s="8">
        <f>IF(K1771&gt;=1,K1771,K1771*1000)</f>
        <v>520</v>
      </c>
      <c r="P1771">
        <f>ABS(H1771)</f>
        <v>2</v>
      </c>
      <c r="R1771"/>
    </row>
    <row r="1772" spans="1:18" x14ac:dyDescent="0.35">
      <c r="A1772" t="s">
        <v>3118</v>
      </c>
      <c r="B1772" s="2">
        <v>46167</v>
      </c>
      <c r="C1772" t="s">
        <v>862</v>
      </c>
      <c r="D1772" s="3" t="s">
        <v>116</v>
      </c>
      <c r="E1772" t="s">
        <v>25</v>
      </c>
      <c r="F1772" t="s">
        <v>89</v>
      </c>
      <c r="G1772" t="s">
        <v>90</v>
      </c>
      <c r="H1772" s="8">
        <v>3</v>
      </c>
      <c r="I1772" s="10">
        <v>45</v>
      </c>
      <c r="J1772" s="14">
        <f>P1772*I1772</f>
        <v>135</v>
      </c>
      <c r="K1772" s="16">
        <v>0.64</v>
      </c>
      <c r="L1772" s="1" t="s">
        <v>30</v>
      </c>
      <c r="M1772" t="s">
        <v>22</v>
      </c>
      <c r="N1772" t="str">
        <f t="shared" si="39"/>
        <v>Germany</v>
      </c>
      <c r="O1772" s="8">
        <f>IF(K1772&gt;=1,K1772,K1772*1000)</f>
        <v>640</v>
      </c>
      <c r="P1772">
        <f>ABS(H1772)</f>
        <v>3</v>
      </c>
      <c r="R1772"/>
    </row>
    <row r="1773" spans="1:18" x14ac:dyDescent="0.35">
      <c r="A1773" t="s">
        <v>3119</v>
      </c>
      <c r="B1773" s="2">
        <v>46056</v>
      </c>
      <c r="C1773" t="s">
        <v>159</v>
      </c>
      <c r="D1773" s="3" t="s">
        <v>99</v>
      </c>
      <c r="E1773" t="s">
        <v>34</v>
      </c>
      <c r="F1773" t="s">
        <v>35</v>
      </c>
      <c r="G1773" t="s">
        <v>36</v>
      </c>
      <c r="H1773" s="8">
        <v>1</v>
      </c>
      <c r="I1773" s="10">
        <v>79</v>
      </c>
      <c r="J1773" s="14">
        <f>P1773*I1773</f>
        <v>79</v>
      </c>
      <c r="K1773" s="16">
        <v>85</v>
      </c>
      <c r="L1773" s="1" t="s">
        <v>30</v>
      </c>
      <c r="M1773" t="s">
        <v>22</v>
      </c>
      <c r="N1773" t="str">
        <f t="shared" si="39"/>
        <v>United Kingdom</v>
      </c>
      <c r="O1773" s="8">
        <f>IF(K1773&gt;=1,K1773,K1773*1000)</f>
        <v>85</v>
      </c>
      <c r="P1773">
        <f>ABS(H1773)</f>
        <v>1</v>
      </c>
      <c r="R1773"/>
    </row>
    <row r="1774" spans="1:18" x14ac:dyDescent="0.35">
      <c r="A1774" t="s">
        <v>3120</v>
      </c>
      <c r="B1774" s="2">
        <v>46129</v>
      </c>
      <c r="C1774" t="s">
        <v>334</v>
      </c>
      <c r="D1774" s="3" t="s">
        <v>4613</v>
      </c>
      <c r="E1774" t="s">
        <v>16</v>
      </c>
      <c r="F1774" t="s">
        <v>83</v>
      </c>
      <c r="G1774" t="s">
        <v>84</v>
      </c>
      <c r="H1774" s="8">
        <v>1</v>
      </c>
      <c r="I1774" s="10">
        <v>11.25</v>
      </c>
      <c r="J1774" s="14">
        <f>P1774*I1774</f>
        <v>11.25</v>
      </c>
      <c r="K1774" s="16">
        <v>340</v>
      </c>
      <c r="L1774" s="1" t="s">
        <v>30</v>
      </c>
      <c r="M1774" t="s">
        <v>22</v>
      </c>
      <c r="N1774" t="str">
        <f t="shared" si="39"/>
        <v>United Kingdom</v>
      </c>
      <c r="O1774" s="8">
        <f>IF(K1774&gt;=1,K1774,K1774*1000)</f>
        <v>340</v>
      </c>
      <c r="P1774">
        <f>ABS(H1774)</f>
        <v>1</v>
      </c>
      <c r="R1774"/>
    </row>
    <row r="1775" spans="1:18" x14ac:dyDescent="0.35">
      <c r="A1775" t="s">
        <v>3121</v>
      </c>
      <c r="B1775" s="2">
        <v>46167</v>
      </c>
      <c r="C1775" t="s">
        <v>1912</v>
      </c>
      <c r="D1775" s="3" t="s">
        <v>61</v>
      </c>
      <c r="E1775" t="s">
        <v>41</v>
      </c>
      <c r="F1775" t="s">
        <v>74</v>
      </c>
      <c r="G1775" t="s">
        <v>75</v>
      </c>
      <c r="H1775" s="8">
        <v>2</v>
      </c>
      <c r="I1775" s="10">
        <v>40.5</v>
      </c>
      <c r="J1775" s="14">
        <f>P1775*I1775</f>
        <v>81</v>
      </c>
      <c r="K1775" s="16">
        <v>0.41</v>
      </c>
      <c r="L1775" s="1" t="s">
        <v>30</v>
      </c>
      <c r="M1775" t="s">
        <v>22</v>
      </c>
      <c r="N1775" t="str">
        <f t="shared" si="39"/>
        <v>Ireland</v>
      </c>
      <c r="O1775" s="8">
        <f>IF(K1775&gt;=1,K1775,K1775*1000)</f>
        <v>410</v>
      </c>
      <c r="P1775">
        <f>ABS(H1775)</f>
        <v>2</v>
      </c>
      <c r="R1775"/>
    </row>
    <row r="1776" spans="1:18" x14ac:dyDescent="0.35">
      <c r="A1776" t="s">
        <v>3122</v>
      </c>
      <c r="B1776" s="2">
        <v>46164</v>
      </c>
      <c r="C1776" t="s">
        <v>3123</v>
      </c>
      <c r="D1776" s="3" t="s">
        <v>4612</v>
      </c>
      <c r="E1776" t="s">
        <v>67</v>
      </c>
      <c r="F1776" t="s">
        <v>35</v>
      </c>
      <c r="G1776" t="s">
        <v>36</v>
      </c>
      <c r="H1776" s="8">
        <v>1</v>
      </c>
      <c r="I1776" s="10">
        <v>79</v>
      </c>
      <c r="J1776" s="14">
        <f>P1776*I1776</f>
        <v>79</v>
      </c>
      <c r="K1776" s="16">
        <v>8.5000000000000006E-2</v>
      </c>
      <c r="L1776" s="1" t="s">
        <v>30</v>
      </c>
      <c r="M1776" t="s">
        <v>22</v>
      </c>
      <c r="N1776" t="str">
        <f t="shared" si="39"/>
        <v>United Kingdom</v>
      </c>
      <c r="O1776" s="8">
        <f>IF(K1776&gt;=1,K1776,K1776*1000)</f>
        <v>85</v>
      </c>
      <c r="P1776">
        <f>ABS(H1776)</f>
        <v>1</v>
      </c>
      <c r="R1776"/>
    </row>
    <row r="1777" spans="1:18" x14ac:dyDescent="0.35">
      <c r="A1777" t="s">
        <v>3124</v>
      </c>
      <c r="B1777" s="2">
        <v>46148</v>
      </c>
      <c r="C1777" t="s">
        <v>447</v>
      </c>
      <c r="D1777" s="3" t="s">
        <v>66</v>
      </c>
      <c r="E1777" t="s">
        <v>41</v>
      </c>
      <c r="F1777" t="s">
        <v>17</v>
      </c>
      <c r="G1777" t="s">
        <v>18</v>
      </c>
      <c r="H1777" s="8">
        <v>3</v>
      </c>
      <c r="I1777" s="10">
        <v>24</v>
      </c>
      <c r="J1777" s="14">
        <f>P1777*I1777</f>
        <v>72</v>
      </c>
      <c r="K1777" s="16">
        <v>0.52</v>
      </c>
      <c r="L1777" s="1" t="s">
        <v>30</v>
      </c>
      <c r="M1777" t="s">
        <v>22</v>
      </c>
      <c r="N1777" t="str">
        <f t="shared" si="39"/>
        <v>Gb</v>
      </c>
      <c r="O1777" s="8">
        <f>IF(K1777&gt;=1,K1777,K1777*1000)</f>
        <v>520</v>
      </c>
      <c r="P1777">
        <f>ABS(H1777)</f>
        <v>3</v>
      </c>
      <c r="R1777"/>
    </row>
    <row r="1778" spans="1:18" x14ac:dyDescent="0.35">
      <c r="A1778" t="s">
        <v>3125</v>
      </c>
      <c r="B1778" s="2">
        <v>46154</v>
      </c>
      <c r="C1778" t="s">
        <v>1784</v>
      </c>
      <c r="D1778" s="3" t="s">
        <v>66</v>
      </c>
      <c r="E1778" t="s">
        <v>67</v>
      </c>
      <c r="F1778" t="s">
        <v>17</v>
      </c>
      <c r="G1778" t="s">
        <v>18</v>
      </c>
      <c r="H1778" s="8">
        <v>3</v>
      </c>
      <c r="I1778" s="10">
        <v>149</v>
      </c>
      <c r="J1778" s="14">
        <f>P1778*I1778</f>
        <v>447</v>
      </c>
      <c r="K1778" s="16">
        <v>0.52</v>
      </c>
      <c r="L1778" s="1" t="s">
        <v>30</v>
      </c>
      <c r="M1778" t="s">
        <v>22</v>
      </c>
      <c r="N1778" t="str">
        <f t="shared" si="39"/>
        <v>Gb</v>
      </c>
      <c r="O1778" s="8">
        <f>IF(K1778&gt;=1,K1778,K1778*1000)</f>
        <v>520</v>
      </c>
      <c r="P1778">
        <f>ABS(H1778)</f>
        <v>3</v>
      </c>
      <c r="R1778"/>
    </row>
    <row r="1779" spans="1:18" x14ac:dyDescent="0.35">
      <c r="A1779" t="s">
        <v>3126</v>
      </c>
      <c r="B1779" s="2">
        <v>46046</v>
      </c>
      <c r="C1779" t="s">
        <v>2074</v>
      </c>
      <c r="D1779" s="3" t="s">
        <v>4612</v>
      </c>
      <c r="E1779" t="s">
        <v>41</v>
      </c>
      <c r="F1779" t="s">
        <v>74</v>
      </c>
      <c r="G1779" t="s">
        <v>75</v>
      </c>
      <c r="H1779" s="8">
        <v>3</v>
      </c>
      <c r="I1779" s="10">
        <v>129</v>
      </c>
      <c r="J1779" s="14">
        <f>P1779*I1779</f>
        <v>387</v>
      </c>
      <c r="K1779" s="16">
        <v>410</v>
      </c>
      <c r="L1779" s="1" t="s">
        <v>21</v>
      </c>
      <c r="M1779" t="s">
        <v>22</v>
      </c>
      <c r="N1779" t="str">
        <f t="shared" si="39"/>
        <v>United Kingdom</v>
      </c>
      <c r="O1779" s="8">
        <f>IF(K1779&gt;=1,K1779,K1779*1000)</f>
        <v>410</v>
      </c>
      <c r="P1779">
        <f>ABS(H1779)</f>
        <v>3</v>
      </c>
      <c r="R1779"/>
    </row>
    <row r="1780" spans="1:18" x14ac:dyDescent="0.35">
      <c r="A1780" t="s">
        <v>3127</v>
      </c>
      <c r="B1780" s="2" t="s">
        <v>3128</v>
      </c>
      <c r="C1780" t="s">
        <v>3129</v>
      </c>
      <c r="D1780" s="3" t="s">
        <v>46</v>
      </c>
      <c r="E1780" t="s">
        <v>41</v>
      </c>
      <c r="F1780" t="s">
        <v>47</v>
      </c>
      <c r="G1780" t="s">
        <v>48</v>
      </c>
      <c r="H1780" s="8">
        <v>2</v>
      </c>
      <c r="I1780" s="10">
        <v>85.5</v>
      </c>
      <c r="J1780" s="14">
        <f>P1780*I1780</f>
        <v>171</v>
      </c>
      <c r="K1780" s="16">
        <v>380</v>
      </c>
      <c r="L1780" s="1" t="s">
        <v>30</v>
      </c>
      <c r="M1780" t="s">
        <v>22</v>
      </c>
      <c r="N1780" t="str">
        <f t="shared" si="39"/>
        <v>Ireland</v>
      </c>
      <c r="O1780" s="8">
        <f>IF(K1780&gt;=1,K1780,K1780*1000)</f>
        <v>380</v>
      </c>
      <c r="P1780">
        <f>ABS(H1780)</f>
        <v>2</v>
      </c>
      <c r="R1780"/>
    </row>
    <row r="1781" spans="1:18" x14ac:dyDescent="0.35">
      <c r="A1781" t="s">
        <v>3130</v>
      </c>
      <c r="B1781" s="2">
        <v>46057</v>
      </c>
      <c r="C1781" t="s">
        <v>2964</v>
      </c>
      <c r="D1781" s="3" t="s">
        <v>4613</v>
      </c>
      <c r="E1781" t="s">
        <v>67</v>
      </c>
      <c r="F1781" t="s">
        <v>74</v>
      </c>
      <c r="G1781" t="s">
        <v>75</v>
      </c>
      <c r="H1781" s="8">
        <v>-1</v>
      </c>
      <c r="I1781" s="10">
        <v>89</v>
      </c>
      <c r="J1781" s="14">
        <f>P1781*I1781</f>
        <v>89</v>
      </c>
      <c r="K1781" s="16">
        <v>410</v>
      </c>
      <c r="L1781" s="1" t="s">
        <v>30</v>
      </c>
      <c r="M1781" t="s">
        <v>22</v>
      </c>
      <c r="N1781" t="str">
        <f t="shared" si="39"/>
        <v>United Kingdom</v>
      </c>
      <c r="O1781" s="8">
        <f>IF(K1781&gt;=1,K1781,K1781*1000)</f>
        <v>410</v>
      </c>
      <c r="P1781">
        <f>ABS(H1781)</f>
        <v>1</v>
      </c>
      <c r="R1781"/>
    </row>
    <row r="1782" spans="1:18" x14ac:dyDescent="0.35">
      <c r="A1782" t="s">
        <v>3131</v>
      </c>
      <c r="B1782" s="2">
        <v>46053</v>
      </c>
      <c r="C1782" t="s">
        <v>1385</v>
      </c>
      <c r="D1782" s="3" t="s">
        <v>61</v>
      </c>
      <c r="E1782" t="s">
        <v>16</v>
      </c>
      <c r="F1782" t="s">
        <v>26</v>
      </c>
      <c r="G1782" t="s">
        <v>27</v>
      </c>
      <c r="H1782" s="8">
        <v>2</v>
      </c>
      <c r="I1782" s="12" t="s">
        <v>4645</v>
      </c>
      <c r="J1782" s="14">
        <f>P1782*R1782</f>
        <v>81</v>
      </c>
      <c r="K1782" s="16">
        <v>520</v>
      </c>
      <c r="L1782" s="1" t="s">
        <v>30</v>
      </c>
      <c r="M1782" t="s">
        <v>22</v>
      </c>
      <c r="N1782" t="str">
        <f t="shared" si="39"/>
        <v>Ireland</v>
      </c>
      <c r="O1782" s="8">
        <f>IF(K1782&gt;=1,K1782,K1782*1000)</f>
        <v>520</v>
      </c>
      <c r="P1782">
        <f>ABS(H1782)</f>
        <v>2</v>
      </c>
      <c r="Q1782" t="str">
        <f>LEFT(I1782,3)</f>
        <v>GBP</v>
      </c>
      <c r="R1782" s="10" t="str">
        <f>RIGHT(I1782,5)</f>
        <v>40,50</v>
      </c>
    </row>
    <row r="1783" spans="1:18" x14ac:dyDescent="0.35">
      <c r="A1783" t="s">
        <v>3132</v>
      </c>
      <c r="B1783" s="2">
        <v>46073</v>
      </c>
      <c r="C1783" t="s">
        <v>3133</v>
      </c>
      <c r="D1783" s="3" t="s">
        <v>66</v>
      </c>
      <c r="E1783" t="s">
        <v>25</v>
      </c>
      <c r="F1783" t="s">
        <v>17</v>
      </c>
      <c r="G1783" t="s">
        <v>18</v>
      </c>
      <c r="H1783" s="8">
        <v>3</v>
      </c>
      <c r="I1783" s="10">
        <v>95</v>
      </c>
      <c r="J1783" s="14">
        <f>P1783*I1783</f>
        <v>285</v>
      </c>
      <c r="K1783" s="16">
        <v>520</v>
      </c>
      <c r="L1783" s="1" t="s">
        <v>30</v>
      </c>
      <c r="M1783" t="s">
        <v>22</v>
      </c>
      <c r="N1783" t="str">
        <f t="shared" si="39"/>
        <v>Gb</v>
      </c>
      <c r="O1783" s="8">
        <f>IF(K1783&gt;=1,K1783,K1783*1000)</f>
        <v>520</v>
      </c>
      <c r="P1783">
        <f>ABS(H1783)</f>
        <v>3</v>
      </c>
      <c r="R1783"/>
    </row>
    <row r="1784" spans="1:18" x14ac:dyDescent="0.35">
      <c r="A1784" t="s">
        <v>3134</v>
      </c>
      <c r="B1784" s="2">
        <v>46142</v>
      </c>
      <c r="C1784" t="s">
        <v>1960</v>
      </c>
      <c r="D1784" s="3" t="s">
        <v>66</v>
      </c>
      <c r="E1784" t="s">
        <v>67</v>
      </c>
      <c r="F1784" t="s">
        <v>26</v>
      </c>
      <c r="G1784" t="s">
        <v>27</v>
      </c>
      <c r="H1784" s="8">
        <v>3</v>
      </c>
      <c r="I1784" s="10">
        <v>116.1</v>
      </c>
      <c r="J1784" s="14">
        <f>P1784*I1784</f>
        <v>348.29999999999995</v>
      </c>
      <c r="K1784" s="16">
        <v>0.52</v>
      </c>
      <c r="L1784" s="1" t="s">
        <v>30</v>
      </c>
      <c r="M1784" t="s">
        <v>22</v>
      </c>
      <c r="N1784" t="str">
        <f t="shared" si="39"/>
        <v>Gb</v>
      </c>
      <c r="O1784" s="8">
        <f>IF(K1784&gt;=1,K1784,K1784*1000)</f>
        <v>520</v>
      </c>
      <c r="P1784">
        <f>ABS(H1784)</f>
        <v>3</v>
      </c>
      <c r="R1784"/>
    </row>
    <row r="1785" spans="1:18" x14ac:dyDescent="0.35">
      <c r="A1785" t="s">
        <v>3135</v>
      </c>
      <c r="B1785" s="2">
        <v>46196</v>
      </c>
      <c r="C1785" t="s">
        <v>1496</v>
      </c>
      <c r="D1785" s="3" t="s">
        <v>66</v>
      </c>
      <c r="E1785" t="s">
        <v>34</v>
      </c>
      <c r="F1785" t="s">
        <v>35</v>
      </c>
      <c r="G1785" t="s">
        <v>36</v>
      </c>
      <c r="H1785" s="8">
        <v>2</v>
      </c>
      <c r="I1785" s="10">
        <v>12.5</v>
      </c>
      <c r="J1785" s="14">
        <f>P1785*I1785</f>
        <v>25</v>
      </c>
      <c r="K1785" s="16">
        <v>8.5000000000000006E-2</v>
      </c>
      <c r="L1785" s="1" t="s">
        <v>30</v>
      </c>
      <c r="M1785" t="s">
        <v>22</v>
      </c>
      <c r="N1785" t="str">
        <f t="shared" si="39"/>
        <v>Gb</v>
      </c>
      <c r="O1785" s="8">
        <f>IF(K1785&gt;=1,K1785,K1785*1000)</f>
        <v>85</v>
      </c>
      <c r="P1785">
        <f>ABS(H1785)</f>
        <v>2</v>
      </c>
      <c r="R1785"/>
    </row>
    <row r="1786" spans="1:18" x14ac:dyDescent="0.35">
      <c r="A1786" t="s">
        <v>3136</v>
      </c>
      <c r="B1786" s="2">
        <v>46140</v>
      </c>
      <c r="C1786" t="s">
        <v>2020</v>
      </c>
      <c r="D1786" s="3" t="s">
        <v>53</v>
      </c>
      <c r="E1786" t="s">
        <v>16</v>
      </c>
      <c r="F1786" t="s">
        <v>35</v>
      </c>
      <c r="G1786" t="s">
        <v>36</v>
      </c>
      <c r="H1786" s="8">
        <v>2</v>
      </c>
      <c r="I1786" s="10">
        <v>80.099999999999994</v>
      </c>
      <c r="J1786" s="14">
        <f>P1786*I1786</f>
        <v>160.19999999999999</v>
      </c>
      <c r="K1786" s="16">
        <v>8.5000000000000006E-2</v>
      </c>
      <c r="L1786" s="1" t="s">
        <v>30</v>
      </c>
      <c r="M1786" t="s">
        <v>22</v>
      </c>
      <c r="N1786" t="str">
        <f t="shared" si="39"/>
        <v>Gb</v>
      </c>
      <c r="O1786" s="8">
        <f>IF(K1786&gt;=1,K1786,K1786*1000)</f>
        <v>85</v>
      </c>
      <c r="P1786">
        <f>ABS(H1786)</f>
        <v>2</v>
      </c>
      <c r="R1786"/>
    </row>
    <row r="1787" spans="1:18" x14ac:dyDescent="0.35">
      <c r="A1787" t="s">
        <v>3137</v>
      </c>
      <c r="B1787" s="2">
        <v>46129</v>
      </c>
      <c r="C1787" t="s">
        <v>3138</v>
      </c>
      <c r="D1787" s="3" t="s">
        <v>116</v>
      </c>
      <c r="E1787" t="s">
        <v>25</v>
      </c>
      <c r="F1787" t="s">
        <v>74</v>
      </c>
      <c r="G1787" t="s">
        <v>75</v>
      </c>
      <c r="H1787" s="8">
        <v>1</v>
      </c>
      <c r="I1787" s="10">
        <v>134.1</v>
      </c>
      <c r="J1787" s="14">
        <f>P1787*I1787</f>
        <v>134.1</v>
      </c>
      <c r="K1787" s="16">
        <v>410</v>
      </c>
      <c r="L1787" s="1" t="s">
        <v>30</v>
      </c>
      <c r="M1787" t="s">
        <v>22</v>
      </c>
      <c r="N1787" t="str">
        <f t="shared" si="39"/>
        <v>Germany</v>
      </c>
      <c r="O1787" s="8">
        <f>IF(K1787&gt;=1,K1787,K1787*1000)</f>
        <v>410</v>
      </c>
      <c r="P1787">
        <f>ABS(H1787)</f>
        <v>1</v>
      </c>
      <c r="R1787"/>
    </row>
    <row r="1788" spans="1:18" x14ac:dyDescent="0.35">
      <c r="A1788" t="s">
        <v>3139</v>
      </c>
      <c r="B1788" s="2">
        <v>46109</v>
      </c>
      <c r="C1788" t="s">
        <v>2908</v>
      </c>
      <c r="D1788" s="3" t="s">
        <v>53</v>
      </c>
      <c r="E1788" t="s">
        <v>67</v>
      </c>
      <c r="F1788" t="s">
        <v>83</v>
      </c>
      <c r="G1788" t="s">
        <v>84</v>
      </c>
      <c r="H1788" s="8">
        <v>1</v>
      </c>
      <c r="I1788" s="10">
        <v>89</v>
      </c>
      <c r="J1788" s="14">
        <f>P1788*I1788</f>
        <v>89</v>
      </c>
      <c r="K1788" s="16">
        <v>340</v>
      </c>
      <c r="L1788" s="1" t="s">
        <v>21</v>
      </c>
      <c r="M1788" t="s">
        <v>22</v>
      </c>
      <c r="N1788" t="str">
        <f t="shared" si="39"/>
        <v>Gb</v>
      </c>
      <c r="O1788" s="8">
        <f>IF(K1788&gt;=1,K1788,K1788*1000)</f>
        <v>340</v>
      </c>
      <c r="P1788">
        <f>ABS(H1788)</f>
        <v>1</v>
      </c>
      <c r="R1788"/>
    </row>
    <row r="1789" spans="1:18" x14ac:dyDescent="0.35">
      <c r="A1789" t="s">
        <v>3140</v>
      </c>
      <c r="B1789" s="2">
        <v>46117</v>
      </c>
      <c r="C1789" t="s">
        <v>1392</v>
      </c>
      <c r="D1789" s="3" t="s">
        <v>99</v>
      </c>
      <c r="E1789" t="s">
        <v>25</v>
      </c>
      <c r="F1789" t="s">
        <v>26</v>
      </c>
      <c r="G1789" t="s">
        <v>27</v>
      </c>
      <c r="H1789" s="8">
        <v>1</v>
      </c>
      <c r="I1789" s="10">
        <v>79</v>
      </c>
      <c r="J1789" s="14">
        <f>P1789*I1789</f>
        <v>79</v>
      </c>
      <c r="K1789" s="16">
        <v>0.52</v>
      </c>
      <c r="L1789" s="1" t="s">
        <v>30</v>
      </c>
      <c r="M1789" t="s">
        <v>22</v>
      </c>
      <c r="N1789" t="str">
        <f t="shared" si="39"/>
        <v>United Kingdom</v>
      </c>
      <c r="O1789" s="8">
        <f>IF(K1789&gt;=1,K1789,K1789*1000)</f>
        <v>520</v>
      </c>
      <c r="P1789">
        <f>ABS(H1789)</f>
        <v>1</v>
      </c>
      <c r="R1789"/>
    </row>
    <row r="1790" spans="1:18" x14ac:dyDescent="0.35">
      <c r="A1790" t="s">
        <v>3141</v>
      </c>
      <c r="B1790" s="2">
        <v>46083</v>
      </c>
      <c r="C1790" t="s">
        <v>1107</v>
      </c>
      <c r="D1790" s="3" t="s">
        <v>4613</v>
      </c>
      <c r="E1790" t="s">
        <v>67</v>
      </c>
      <c r="F1790" t="s">
        <v>89</v>
      </c>
      <c r="G1790" t="s">
        <v>90</v>
      </c>
      <c r="H1790" s="8">
        <v>1</v>
      </c>
      <c r="I1790" s="10">
        <v>116.1</v>
      </c>
      <c r="J1790" s="14">
        <f>P1790*I1790</f>
        <v>116.1</v>
      </c>
      <c r="K1790" s="16">
        <v>640</v>
      </c>
      <c r="L1790" s="1" t="s">
        <v>30</v>
      </c>
      <c r="M1790" t="s">
        <v>22</v>
      </c>
      <c r="N1790" t="str">
        <f t="shared" si="39"/>
        <v>United Kingdom</v>
      </c>
      <c r="O1790" s="8">
        <f>IF(K1790&gt;=1,K1790,K1790*1000)</f>
        <v>640</v>
      </c>
      <c r="P1790">
        <f>ABS(H1790)</f>
        <v>1</v>
      </c>
      <c r="R1790"/>
    </row>
    <row r="1791" spans="1:18" x14ac:dyDescent="0.35">
      <c r="A1791" t="s">
        <v>3142</v>
      </c>
      <c r="B1791" s="2">
        <v>46182</v>
      </c>
      <c r="C1791" t="s">
        <v>2611</v>
      </c>
      <c r="D1791" s="3" t="s">
        <v>15</v>
      </c>
      <c r="E1791" t="s">
        <v>34</v>
      </c>
      <c r="F1791" t="s">
        <v>47</v>
      </c>
      <c r="G1791" t="s">
        <v>48</v>
      </c>
      <c r="H1791" s="8">
        <v>3</v>
      </c>
      <c r="I1791" s="10">
        <v>129</v>
      </c>
      <c r="J1791" s="14">
        <f>P1791*I1791</f>
        <v>387</v>
      </c>
      <c r="K1791" s="16">
        <v>0.38</v>
      </c>
      <c r="L1791" s="1" t="s">
        <v>30</v>
      </c>
      <c r="M1791" t="s">
        <v>58</v>
      </c>
      <c r="N1791" t="str">
        <f t="shared" si="39"/>
        <v>France</v>
      </c>
      <c r="O1791" s="8">
        <f>IF(K1791&gt;=1,K1791,K1791*1000)</f>
        <v>380</v>
      </c>
      <c r="P1791">
        <f>ABS(H1791)</f>
        <v>3</v>
      </c>
      <c r="R1791"/>
    </row>
    <row r="1792" spans="1:18" x14ac:dyDescent="0.35">
      <c r="A1792" t="s">
        <v>3143</v>
      </c>
      <c r="B1792" s="2">
        <v>46180</v>
      </c>
      <c r="C1792" t="s">
        <v>2056</v>
      </c>
      <c r="D1792" s="3" t="s">
        <v>99</v>
      </c>
      <c r="E1792" t="s">
        <v>34</v>
      </c>
      <c r="F1792" t="s">
        <v>42</v>
      </c>
      <c r="G1792" t="s">
        <v>43</v>
      </c>
      <c r="H1792" s="8">
        <v>3</v>
      </c>
      <c r="I1792" s="10">
        <v>12.5</v>
      </c>
      <c r="J1792" s="14">
        <f>P1792*I1792</f>
        <v>37.5</v>
      </c>
      <c r="K1792" s="16">
        <v>0.19</v>
      </c>
      <c r="L1792" s="1" t="s">
        <v>30</v>
      </c>
      <c r="M1792" t="s">
        <v>22</v>
      </c>
      <c r="N1792" t="str">
        <f t="shared" si="39"/>
        <v>United Kingdom</v>
      </c>
      <c r="O1792" s="8">
        <f>IF(K1792&gt;=1,K1792,K1792*1000)</f>
        <v>190</v>
      </c>
      <c r="P1792">
        <f>ABS(H1792)</f>
        <v>3</v>
      </c>
      <c r="R1792"/>
    </row>
    <row r="1793" spans="1:18" x14ac:dyDescent="0.35">
      <c r="A1793" t="s">
        <v>3144</v>
      </c>
      <c r="B1793" s="2">
        <v>46048</v>
      </c>
      <c r="C1793" t="s">
        <v>129</v>
      </c>
      <c r="D1793" s="3" t="s">
        <v>66</v>
      </c>
      <c r="E1793" t="s">
        <v>67</v>
      </c>
      <c r="F1793" t="s">
        <v>26</v>
      </c>
      <c r="G1793" t="s">
        <v>27</v>
      </c>
      <c r="H1793" s="8">
        <v>2</v>
      </c>
      <c r="I1793" s="10">
        <v>11.25</v>
      </c>
      <c r="J1793" s="14">
        <f>P1793*I1793</f>
        <v>22.5</v>
      </c>
      <c r="K1793" s="16">
        <v>520</v>
      </c>
      <c r="L1793" s="1" t="s">
        <v>21</v>
      </c>
      <c r="M1793" t="s">
        <v>22</v>
      </c>
      <c r="N1793" t="str">
        <f t="shared" si="39"/>
        <v>Gb</v>
      </c>
      <c r="O1793" s="8">
        <f>IF(K1793&gt;=1,K1793,K1793*1000)</f>
        <v>520</v>
      </c>
      <c r="P1793">
        <f>ABS(H1793)</f>
        <v>2</v>
      </c>
      <c r="R1793"/>
    </row>
    <row r="1794" spans="1:18" x14ac:dyDescent="0.35">
      <c r="A1794" t="s">
        <v>3145</v>
      </c>
      <c r="B1794" s="2">
        <v>46067</v>
      </c>
      <c r="C1794" t="s">
        <v>690</v>
      </c>
      <c r="D1794" s="3" t="s">
        <v>99</v>
      </c>
      <c r="E1794" t="s">
        <v>16</v>
      </c>
      <c r="F1794" t="s">
        <v>89</v>
      </c>
      <c r="G1794" t="s">
        <v>90</v>
      </c>
      <c r="H1794" s="8">
        <v>2</v>
      </c>
      <c r="I1794" s="10">
        <v>79</v>
      </c>
      <c r="J1794" s="14">
        <f>P1794*I1794</f>
        <v>158</v>
      </c>
      <c r="K1794" s="16">
        <v>640</v>
      </c>
      <c r="L1794" s="1" t="s">
        <v>30</v>
      </c>
      <c r="M1794" t="s">
        <v>22</v>
      </c>
      <c r="N1794" t="str">
        <f t="shared" si="39"/>
        <v>United Kingdom</v>
      </c>
      <c r="O1794" s="8">
        <f>IF(K1794&gt;=1,K1794,K1794*1000)</f>
        <v>640</v>
      </c>
      <c r="P1794">
        <f>ABS(H1794)</f>
        <v>2</v>
      </c>
      <c r="R1794"/>
    </row>
    <row r="1795" spans="1:18" x14ac:dyDescent="0.35">
      <c r="A1795" t="s">
        <v>3146</v>
      </c>
      <c r="B1795" s="2">
        <v>46126</v>
      </c>
      <c r="C1795" t="s">
        <v>39</v>
      </c>
      <c r="D1795" s="3" t="s">
        <v>99</v>
      </c>
      <c r="E1795" t="s">
        <v>16</v>
      </c>
      <c r="F1795" t="s">
        <v>83</v>
      </c>
      <c r="G1795" t="s">
        <v>84</v>
      </c>
      <c r="H1795" s="8">
        <v>3</v>
      </c>
      <c r="I1795" s="10">
        <v>12.5</v>
      </c>
      <c r="J1795" s="14">
        <f>P1795*I1795</f>
        <v>37.5</v>
      </c>
      <c r="K1795" s="16">
        <v>340</v>
      </c>
      <c r="L1795" s="1" t="s">
        <v>30</v>
      </c>
      <c r="M1795" t="s">
        <v>22</v>
      </c>
      <c r="N1795" t="str">
        <f t="shared" ref="N1795:N1858" si="40">PROPER(TRIM(D1795))</f>
        <v>United Kingdom</v>
      </c>
      <c r="O1795" s="8">
        <f>IF(K1795&gt;=1,K1795,K1795*1000)</f>
        <v>340</v>
      </c>
      <c r="P1795">
        <f>ABS(H1795)</f>
        <v>3</v>
      </c>
      <c r="R1795"/>
    </row>
    <row r="1796" spans="1:18" x14ac:dyDescent="0.35">
      <c r="A1796" t="s">
        <v>3147</v>
      </c>
      <c r="B1796" s="2">
        <v>46084</v>
      </c>
      <c r="C1796" t="s">
        <v>1004</v>
      </c>
      <c r="D1796" s="3" t="s">
        <v>15</v>
      </c>
      <c r="E1796" t="s">
        <v>16</v>
      </c>
      <c r="F1796" t="s">
        <v>83</v>
      </c>
      <c r="G1796" t="s">
        <v>84</v>
      </c>
      <c r="H1796" s="8">
        <v>1</v>
      </c>
      <c r="I1796" s="10">
        <v>85.5</v>
      </c>
      <c r="J1796" s="14">
        <f>P1796*I1796</f>
        <v>85.5</v>
      </c>
      <c r="K1796" s="16">
        <v>340</v>
      </c>
      <c r="L1796" s="1" t="s">
        <v>30</v>
      </c>
      <c r="M1796" t="s">
        <v>22</v>
      </c>
      <c r="N1796" t="str">
        <f t="shared" si="40"/>
        <v>France</v>
      </c>
      <c r="O1796" s="8">
        <f>IF(K1796&gt;=1,K1796,K1796*1000)</f>
        <v>340</v>
      </c>
      <c r="P1796">
        <f>ABS(H1796)</f>
        <v>1</v>
      </c>
      <c r="R1796"/>
    </row>
    <row r="1797" spans="1:18" x14ac:dyDescent="0.35">
      <c r="A1797" t="s">
        <v>3148</v>
      </c>
      <c r="B1797" s="2">
        <v>46058</v>
      </c>
      <c r="C1797" t="s">
        <v>3149</v>
      </c>
      <c r="D1797" s="3" t="s">
        <v>4612</v>
      </c>
      <c r="E1797" t="s">
        <v>34</v>
      </c>
      <c r="F1797" t="s">
        <v>42</v>
      </c>
      <c r="G1797" t="s">
        <v>43</v>
      </c>
      <c r="H1797" s="8">
        <v>3</v>
      </c>
      <c r="I1797" s="10">
        <v>40.5</v>
      </c>
      <c r="J1797" s="14">
        <f>P1797*I1797</f>
        <v>121.5</v>
      </c>
      <c r="K1797" s="16">
        <v>190</v>
      </c>
      <c r="L1797" s="1" t="s">
        <v>30</v>
      </c>
      <c r="M1797" t="s">
        <v>22</v>
      </c>
      <c r="N1797" t="str">
        <f t="shared" si="40"/>
        <v>United Kingdom</v>
      </c>
      <c r="O1797" s="8">
        <f>IF(K1797&gt;=1,K1797,K1797*1000)</f>
        <v>190</v>
      </c>
      <c r="P1797">
        <f>ABS(H1797)</f>
        <v>3</v>
      </c>
      <c r="R1797"/>
    </row>
    <row r="1798" spans="1:18" x14ac:dyDescent="0.35">
      <c r="A1798" t="s">
        <v>3151</v>
      </c>
      <c r="B1798" s="2">
        <v>46089</v>
      </c>
      <c r="C1798" t="s">
        <v>3152</v>
      </c>
      <c r="D1798" s="3" t="s">
        <v>4613</v>
      </c>
      <c r="E1798" t="s">
        <v>67</v>
      </c>
      <c r="F1798" t="s">
        <v>83</v>
      </c>
      <c r="G1798" t="s">
        <v>84</v>
      </c>
      <c r="H1798" s="8">
        <v>1</v>
      </c>
      <c r="I1798" s="10">
        <v>149</v>
      </c>
      <c r="J1798" s="14">
        <f>P1798*I1798</f>
        <v>149</v>
      </c>
      <c r="K1798" s="16">
        <v>340</v>
      </c>
      <c r="L1798" s="1" t="s">
        <v>21</v>
      </c>
      <c r="M1798" t="s">
        <v>22</v>
      </c>
      <c r="N1798" t="str">
        <f t="shared" si="40"/>
        <v>United Kingdom</v>
      </c>
      <c r="O1798" s="8">
        <f>IF(K1798&gt;=1,K1798,K1798*1000)</f>
        <v>340</v>
      </c>
      <c r="P1798">
        <f>ABS(H1798)</f>
        <v>1</v>
      </c>
      <c r="R1798"/>
    </row>
    <row r="1799" spans="1:18" x14ac:dyDescent="0.35">
      <c r="A1799" t="s">
        <v>3153</v>
      </c>
      <c r="B1799" s="2">
        <v>46194</v>
      </c>
      <c r="C1799" t="s">
        <v>3154</v>
      </c>
      <c r="D1799" s="3" t="s">
        <v>15</v>
      </c>
      <c r="E1799" t="s">
        <v>34</v>
      </c>
      <c r="F1799" t="s">
        <v>74</v>
      </c>
      <c r="G1799" t="s">
        <v>75</v>
      </c>
      <c r="H1799" s="8">
        <v>1</v>
      </c>
      <c r="I1799" s="10">
        <v>129</v>
      </c>
      <c r="J1799" s="14">
        <f>P1799*I1799</f>
        <v>129</v>
      </c>
      <c r="K1799" s="16">
        <v>0.41</v>
      </c>
      <c r="L1799" s="1" t="s">
        <v>21</v>
      </c>
      <c r="M1799" t="s">
        <v>22</v>
      </c>
      <c r="N1799" t="str">
        <f t="shared" si="40"/>
        <v>France</v>
      </c>
      <c r="O1799" s="8">
        <f>IF(K1799&gt;=1,K1799,K1799*1000)</f>
        <v>410</v>
      </c>
      <c r="P1799">
        <f>ABS(H1799)</f>
        <v>1</v>
      </c>
      <c r="R1799"/>
    </row>
    <row r="1800" spans="1:18" x14ac:dyDescent="0.35">
      <c r="A1800" t="s">
        <v>3155</v>
      </c>
      <c r="B1800" s="2">
        <v>46033</v>
      </c>
      <c r="C1800" t="s">
        <v>1667</v>
      </c>
      <c r="D1800" s="3" t="s">
        <v>4613</v>
      </c>
      <c r="E1800" t="s">
        <v>25</v>
      </c>
      <c r="F1800" t="s">
        <v>35</v>
      </c>
      <c r="G1800" t="s">
        <v>36</v>
      </c>
      <c r="H1800" s="8">
        <v>1</v>
      </c>
      <c r="I1800" s="10">
        <v>45</v>
      </c>
      <c r="J1800" s="14">
        <f>P1800*I1800</f>
        <v>45</v>
      </c>
      <c r="K1800" s="16">
        <v>85</v>
      </c>
      <c r="L1800" s="1" t="s">
        <v>30</v>
      </c>
      <c r="M1800" t="s">
        <v>22</v>
      </c>
      <c r="N1800" t="str">
        <f t="shared" si="40"/>
        <v>United Kingdom</v>
      </c>
      <c r="O1800" s="8">
        <f>IF(K1800&gt;=1,K1800,K1800*1000)</f>
        <v>85</v>
      </c>
      <c r="P1800">
        <f>ABS(H1800)</f>
        <v>1</v>
      </c>
      <c r="R1800"/>
    </row>
    <row r="1801" spans="1:18" x14ac:dyDescent="0.35">
      <c r="A1801" t="s">
        <v>3156</v>
      </c>
      <c r="B1801" s="2">
        <v>46109</v>
      </c>
      <c r="C1801" t="s">
        <v>471</v>
      </c>
      <c r="D1801" s="3" t="s">
        <v>4612</v>
      </c>
      <c r="E1801" t="s">
        <v>25</v>
      </c>
      <c r="F1801" t="s">
        <v>74</v>
      </c>
      <c r="G1801" t="s">
        <v>75</v>
      </c>
      <c r="H1801" s="8">
        <v>3</v>
      </c>
      <c r="I1801" s="10">
        <v>95</v>
      </c>
      <c r="J1801" s="14">
        <f>P1801*I1801</f>
        <v>285</v>
      </c>
      <c r="K1801" s="16">
        <v>410</v>
      </c>
      <c r="L1801" s="1" t="s">
        <v>30</v>
      </c>
      <c r="M1801" t="s">
        <v>58</v>
      </c>
      <c r="N1801" t="str">
        <f t="shared" si="40"/>
        <v>United Kingdom</v>
      </c>
      <c r="O1801" s="8">
        <f>IF(K1801&gt;=1,K1801,K1801*1000)</f>
        <v>410</v>
      </c>
      <c r="P1801">
        <f>ABS(H1801)</f>
        <v>3</v>
      </c>
      <c r="R1801"/>
    </row>
    <row r="1802" spans="1:18" x14ac:dyDescent="0.35">
      <c r="A1802" t="s">
        <v>3157</v>
      </c>
      <c r="B1802" s="2">
        <v>46151</v>
      </c>
      <c r="C1802" t="s">
        <v>3158</v>
      </c>
      <c r="D1802" s="3" t="s">
        <v>4612</v>
      </c>
      <c r="E1802" t="s">
        <v>41</v>
      </c>
      <c r="F1802" t="s">
        <v>89</v>
      </c>
      <c r="G1802" t="s">
        <v>90</v>
      </c>
      <c r="H1802" s="8">
        <v>1</v>
      </c>
      <c r="I1802" s="10">
        <v>79</v>
      </c>
      <c r="J1802" s="14">
        <f>P1802*I1802</f>
        <v>79</v>
      </c>
      <c r="K1802" s="16">
        <v>0.64</v>
      </c>
      <c r="L1802" s="1" t="s">
        <v>30</v>
      </c>
      <c r="M1802" t="s">
        <v>22</v>
      </c>
      <c r="N1802" t="str">
        <f t="shared" si="40"/>
        <v>United Kingdom</v>
      </c>
      <c r="O1802" s="8">
        <f>IF(K1802&gt;=1,K1802,K1802*1000)</f>
        <v>640</v>
      </c>
      <c r="P1802">
        <f>ABS(H1802)</f>
        <v>1</v>
      </c>
      <c r="R1802"/>
    </row>
    <row r="1803" spans="1:18" x14ac:dyDescent="0.35">
      <c r="A1803" t="s">
        <v>3160</v>
      </c>
      <c r="B1803" s="2">
        <v>46357</v>
      </c>
      <c r="C1803" t="s">
        <v>2657</v>
      </c>
      <c r="D1803" s="3" t="s">
        <v>99</v>
      </c>
      <c r="E1803" t="s">
        <v>25</v>
      </c>
      <c r="F1803" t="s">
        <v>26</v>
      </c>
      <c r="G1803" t="s">
        <v>27</v>
      </c>
      <c r="H1803" s="8">
        <v>1</v>
      </c>
      <c r="I1803" s="10">
        <v>95</v>
      </c>
      <c r="J1803" s="14">
        <f>P1803*I1803</f>
        <v>95</v>
      </c>
      <c r="K1803" s="16">
        <v>520</v>
      </c>
      <c r="L1803" s="1" t="s">
        <v>30</v>
      </c>
      <c r="M1803" t="s">
        <v>22</v>
      </c>
      <c r="N1803" t="str">
        <f t="shared" si="40"/>
        <v>United Kingdom</v>
      </c>
      <c r="O1803" s="8">
        <f>IF(K1803&gt;=1,K1803,K1803*1000)</f>
        <v>520</v>
      </c>
      <c r="P1803">
        <f>ABS(H1803)</f>
        <v>1</v>
      </c>
      <c r="R1803"/>
    </row>
    <row r="1804" spans="1:18" x14ac:dyDescent="0.35">
      <c r="A1804" t="s">
        <v>3161</v>
      </c>
      <c r="B1804" s="2">
        <v>46057</v>
      </c>
      <c r="C1804" t="s">
        <v>635</v>
      </c>
      <c r="D1804" s="3" t="s">
        <v>116</v>
      </c>
      <c r="E1804" t="s">
        <v>67</v>
      </c>
      <c r="F1804" t="s">
        <v>17</v>
      </c>
      <c r="G1804" t="s">
        <v>18</v>
      </c>
      <c r="H1804" s="8">
        <v>1</v>
      </c>
      <c r="I1804" s="10">
        <v>89</v>
      </c>
      <c r="J1804" s="14">
        <f>P1804*I1804</f>
        <v>89</v>
      </c>
      <c r="K1804" s="16">
        <v>520</v>
      </c>
      <c r="L1804" s="1" t="s">
        <v>30</v>
      </c>
      <c r="M1804" t="s">
        <v>22</v>
      </c>
      <c r="N1804" t="str">
        <f t="shared" si="40"/>
        <v>Germany</v>
      </c>
      <c r="O1804" s="8">
        <f>IF(K1804&gt;=1,K1804,K1804*1000)</f>
        <v>520</v>
      </c>
      <c r="P1804">
        <f>ABS(H1804)</f>
        <v>1</v>
      </c>
      <c r="R1804"/>
    </row>
    <row r="1805" spans="1:18" x14ac:dyDescent="0.35">
      <c r="A1805" t="s">
        <v>3162</v>
      </c>
      <c r="B1805" s="2">
        <v>46202</v>
      </c>
      <c r="C1805" t="s">
        <v>576</v>
      </c>
      <c r="D1805" s="3" t="s">
        <v>53</v>
      </c>
      <c r="E1805" t="s">
        <v>41</v>
      </c>
      <c r="F1805" t="s">
        <v>26</v>
      </c>
      <c r="G1805" t="s">
        <v>27</v>
      </c>
      <c r="H1805" s="8">
        <v>1</v>
      </c>
      <c r="I1805" s="10">
        <v>45</v>
      </c>
      <c r="J1805" s="14">
        <f>P1805*I1805</f>
        <v>45</v>
      </c>
      <c r="K1805" s="16">
        <v>0.52</v>
      </c>
      <c r="L1805" s="1" t="s">
        <v>30</v>
      </c>
      <c r="M1805" t="s">
        <v>58</v>
      </c>
      <c r="N1805" t="str">
        <f t="shared" si="40"/>
        <v>Gb</v>
      </c>
      <c r="O1805" s="8">
        <f>IF(K1805&gt;=1,K1805,K1805*1000)</f>
        <v>520</v>
      </c>
      <c r="P1805">
        <f>ABS(H1805)</f>
        <v>1</v>
      </c>
      <c r="R1805"/>
    </row>
    <row r="1806" spans="1:18" x14ac:dyDescent="0.35">
      <c r="A1806" t="s">
        <v>3163</v>
      </c>
      <c r="B1806" s="2">
        <v>46128</v>
      </c>
      <c r="C1806" t="s">
        <v>3164</v>
      </c>
      <c r="D1806" s="3" t="s">
        <v>53</v>
      </c>
      <c r="E1806" t="s">
        <v>34</v>
      </c>
      <c r="F1806" t="s">
        <v>74</v>
      </c>
      <c r="G1806" t="s">
        <v>75</v>
      </c>
      <c r="H1806" s="8">
        <v>1</v>
      </c>
      <c r="I1806" s="12" t="s">
        <v>4637</v>
      </c>
      <c r="J1806" s="14">
        <f>P1806*R1806</f>
        <v>49</v>
      </c>
      <c r="K1806" s="16">
        <v>410</v>
      </c>
      <c r="L1806" s="1" t="s">
        <v>21</v>
      </c>
      <c r="M1806" t="s">
        <v>22</v>
      </c>
      <c r="N1806" t="str">
        <f t="shared" si="40"/>
        <v>Gb</v>
      </c>
      <c r="O1806" s="8">
        <f>IF(K1806&gt;=1,K1806,K1806*1000)</f>
        <v>410</v>
      </c>
      <c r="P1806">
        <f>ABS(H1806)</f>
        <v>1</v>
      </c>
      <c r="Q1806" t="str">
        <f>LEFT(I1806,2)</f>
        <v>Â£</v>
      </c>
      <c r="R1806" t="str">
        <f>RIGHT(I1806,5)</f>
        <v>49,00</v>
      </c>
    </row>
    <row r="1807" spans="1:18" x14ac:dyDescent="0.35">
      <c r="A1807" t="s">
        <v>3165</v>
      </c>
      <c r="B1807" s="2">
        <v>46125</v>
      </c>
      <c r="C1807" t="s">
        <v>3166</v>
      </c>
      <c r="D1807" s="3" t="s">
        <v>4612</v>
      </c>
      <c r="E1807" t="s">
        <v>16</v>
      </c>
      <c r="F1807" t="s">
        <v>83</v>
      </c>
      <c r="G1807" t="s">
        <v>84</v>
      </c>
      <c r="H1807" s="8">
        <v>2</v>
      </c>
      <c r="I1807" s="12" t="s">
        <v>4644</v>
      </c>
      <c r="J1807" s="14">
        <f>P1807*R1807</f>
        <v>158</v>
      </c>
      <c r="K1807" s="16">
        <v>340</v>
      </c>
      <c r="L1807" s="1" t="s">
        <v>30</v>
      </c>
      <c r="M1807" t="s">
        <v>22</v>
      </c>
      <c r="N1807" t="str">
        <f t="shared" si="40"/>
        <v>United Kingdom</v>
      </c>
      <c r="O1807" s="8">
        <f>IF(K1807&gt;=1,K1807,K1807*1000)</f>
        <v>340</v>
      </c>
      <c r="P1807">
        <f>ABS(H1807)</f>
        <v>2</v>
      </c>
      <c r="Q1807" t="str">
        <f>LEFT(I1807,3)</f>
        <v>GBP</v>
      </c>
      <c r="R1807" s="10" t="str">
        <f>RIGHT(I1807,5)</f>
        <v>79,00</v>
      </c>
    </row>
    <row r="1808" spans="1:18" x14ac:dyDescent="0.35">
      <c r="A1808" t="s">
        <v>3167</v>
      </c>
      <c r="B1808" s="2">
        <v>46332</v>
      </c>
      <c r="C1808" t="s">
        <v>3168</v>
      </c>
      <c r="D1808" s="3" t="s">
        <v>4612</v>
      </c>
      <c r="E1808" t="s">
        <v>67</v>
      </c>
      <c r="F1808" t="s">
        <v>83</v>
      </c>
      <c r="G1808" t="s">
        <v>84</v>
      </c>
      <c r="H1808" s="8">
        <v>1</v>
      </c>
      <c r="I1808" s="10">
        <v>89</v>
      </c>
      <c r="J1808" s="14">
        <f>P1808*I1808</f>
        <v>89</v>
      </c>
      <c r="K1808" s="16">
        <v>0.34</v>
      </c>
      <c r="L1808" s="1" t="s">
        <v>21</v>
      </c>
      <c r="M1808" t="s">
        <v>22</v>
      </c>
      <c r="N1808" t="str">
        <f t="shared" si="40"/>
        <v>United Kingdom</v>
      </c>
      <c r="O1808" s="8">
        <f>IF(K1808&gt;=1,K1808,K1808*1000)</f>
        <v>340</v>
      </c>
      <c r="P1808">
        <f>ABS(H1808)</f>
        <v>1</v>
      </c>
      <c r="R1808"/>
    </row>
    <row r="1809" spans="1:18" x14ac:dyDescent="0.35">
      <c r="A1809" t="s">
        <v>3169</v>
      </c>
      <c r="B1809" s="2">
        <v>46041</v>
      </c>
      <c r="C1809" t="s">
        <v>3170</v>
      </c>
      <c r="D1809" s="3" t="s">
        <v>46</v>
      </c>
      <c r="E1809" t="s">
        <v>34</v>
      </c>
      <c r="F1809" t="s">
        <v>26</v>
      </c>
      <c r="G1809" t="s">
        <v>27</v>
      </c>
      <c r="H1809" s="8">
        <v>1</v>
      </c>
      <c r="I1809" s="12" t="s">
        <v>4634</v>
      </c>
      <c r="J1809" s="14">
        <f>P1809*R1809</f>
        <v>71.099999999999994</v>
      </c>
      <c r="K1809" s="16">
        <v>520</v>
      </c>
      <c r="L1809" s="1" t="s">
        <v>30</v>
      </c>
      <c r="M1809" t="s">
        <v>22</v>
      </c>
      <c r="N1809" t="str">
        <f t="shared" si="40"/>
        <v>Ireland</v>
      </c>
      <c r="O1809" s="8">
        <f>IF(K1809&gt;=1,K1809,K1809*1000)</f>
        <v>520</v>
      </c>
      <c r="P1809">
        <f>ABS(H1809)</f>
        <v>1</v>
      </c>
      <c r="Q1809" t="str">
        <f>LEFT(I1809,3)</f>
        <v>GBP</v>
      </c>
      <c r="R1809" s="10" t="str">
        <f>RIGHT(I1809,5)</f>
        <v>71,10</v>
      </c>
    </row>
    <row r="1810" spans="1:18" x14ac:dyDescent="0.35">
      <c r="A1810" t="s">
        <v>3171</v>
      </c>
      <c r="B1810" s="2">
        <v>46087</v>
      </c>
      <c r="C1810" t="s">
        <v>3172</v>
      </c>
      <c r="D1810" s="3" t="s">
        <v>4612</v>
      </c>
      <c r="E1810" t="s">
        <v>16</v>
      </c>
      <c r="F1810" t="s">
        <v>47</v>
      </c>
      <c r="G1810" t="s">
        <v>48</v>
      </c>
      <c r="H1810" s="8">
        <v>-1</v>
      </c>
      <c r="I1810" s="12" t="s">
        <v>4624</v>
      </c>
      <c r="J1810" s="14">
        <f>P1810*R1810</f>
        <v>24</v>
      </c>
      <c r="K1810" s="16">
        <v>380</v>
      </c>
      <c r="L1810" s="1" t="s">
        <v>30</v>
      </c>
      <c r="M1810" t="s">
        <v>22</v>
      </c>
      <c r="N1810" t="str">
        <f t="shared" si="40"/>
        <v>United Kingdom</v>
      </c>
      <c r="O1810" s="8">
        <f>IF(K1810&gt;=1,K1810,K1810*1000)</f>
        <v>380</v>
      </c>
      <c r="P1810">
        <f>ABS(H1810)</f>
        <v>1</v>
      </c>
      <c r="Q1810" t="str">
        <f>LEFT(I1810,2)</f>
        <v>Â£</v>
      </c>
      <c r="R1810" t="str">
        <f>RIGHT(I1810,5)</f>
        <v>24,00</v>
      </c>
    </row>
    <row r="1811" spans="1:18" x14ac:dyDescent="0.35">
      <c r="A1811" t="s">
        <v>3173</v>
      </c>
      <c r="B1811" s="2">
        <v>46112</v>
      </c>
      <c r="C1811" t="s">
        <v>1183</v>
      </c>
      <c r="D1811" s="3" t="s">
        <v>99</v>
      </c>
      <c r="E1811" t="s">
        <v>16</v>
      </c>
      <c r="F1811" t="s">
        <v>26</v>
      </c>
      <c r="G1811" t="s">
        <v>27</v>
      </c>
      <c r="H1811" s="8">
        <v>2</v>
      </c>
      <c r="I1811" s="10">
        <v>89</v>
      </c>
      <c r="J1811" s="14">
        <f>P1811*I1811</f>
        <v>178</v>
      </c>
      <c r="K1811" s="16">
        <v>520</v>
      </c>
      <c r="L1811" s="1" t="s">
        <v>21</v>
      </c>
      <c r="M1811" t="s">
        <v>22</v>
      </c>
      <c r="N1811" t="str">
        <f t="shared" si="40"/>
        <v>United Kingdom</v>
      </c>
      <c r="O1811" s="8">
        <f>IF(K1811&gt;=1,K1811,K1811*1000)</f>
        <v>520</v>
      </c>
      <c r="P1811">
        <f>ABS(H1811)</f>
        <v>2</v>
      </c>
      <c r="R1811"/>
    </row>
    <row r="1812" spans="1:18" x14ac:dyDescent="0.35">
      <c r="A1812" t="s">
        <v>3174</v>
      </c>
      <c r="B1812" s="2" t="s">
        <v>2266</v>
      </c>
      <c r="C1812" t="s">
        <v>815</v>
      </c>
      <c r="D1812" s="3" t="s">
        <v>15</v>
      </c>
      <c r="E1812" t="s">
        <v>25</v>
      </c>
      <c r="F1812" t="s">
        <v>26</v>
      </c>
      <c r="G1812" t="s">
        <v>27</v>
      </c>
      <c r="H1812" s="8">
        <v>-2</v>
      </c>
      <c r="I1812" s="10">
        <v>45</v>
      </c>
      <c r="J1812" s="14">
        <f>P1812*I1812</f>
        <v>90</v>
      </c>
      <c r="K1812" s="16">
        <v>0.52</v>
      </c>
      <c r="L1812" s="1" t="s">
        <v>21</v>
      </c>
      <c r="M1812" t="s">
        <v>22</v>
      </c>
      <c r="N1812" t="str">
        <f t="shared" si="40"/>
        <v>France</v>
      </c>
      <c r="O1812" s="8">
        <f>IF(K1812&gt;=1,K1812,K1812*1000)</f>
        <v>520</v>
      </c>
      <c r="P1812">
        <f>ABS(H1812)</f>
        <v>2</v>
      </c>
      <c r="R1812"/>
    </row>
    <row r="1813" spans="1:18" x14ac:dyDescent="0.35">
      <c r="A1813" t="s">
        <v>3175</v>
      </c>
      <c r="B1813" s="2">
        <v>46161</v>
      </c>
      <c r="C1813" t="s">
        <v>3176</v>
      </c>
      <c r="D1813" s="3" t="s">
        <v>99</v>
      </c>
      <c r="E1813" t="s">
        <v>16</v>
      </c>
      <c r="F1813" t="s">
        <v>35</v>
      </c>
      <c r="G1813" t="s">
        <v>36</v>
      </c>
      <c r="H1813" s="8">
        <v>2</v>
      </c>
      <c r="I1813" s="10">
        <v>40.5</v>
      </c>
      <c r="J1813" s="14">
        <f>P1813*I1813</f>
        <v>81</v>
      </c>
      <c r="K1813" s="16">
        <v>8.5000000000000006E-2</v>
      </c>
      <c r="L1813" s="1" t="s">
        <v>21</v>
      </c>
      <c r="M1813" t="s">
        <v>22</v>
      </c>
      <c r="N1813" t="str">
        <f t="shared" si="40"/>
        <v>United Kingdom</v>
      </c>
      <c r="O1813" s="8">
        <f>IF(K1813&gt;=1,K1813,K1813*1000)</f>
        <v>85</v>
      </c>
      <c r="P1813">
        <f>ABS(H1813)</f>
        <v>2</v>
      </c>
      <c r="R1813"/>
    </row>
    <row r="1814" spans="1:18" x14ac:dyDescent="0.35">
      <c r="A1814" t="s">
        <v>3177</v>
      </c>
      <c r="B1814" s="2">
        <v>46124</v>
      </c>
      <c r="C1814" t="s">
        <v>3178</v>
      </c>
      <c r="D1814" s="3" t="s">
        <v>99</v>
      </c>
      <c r="E1814" t="s">
        <v>41</v>
      </c>
      <c r="F1814" t="s">
        <v>74</v>
      </c>
      <c r="G1814" t="s">
        <v>75</v>
      </c>
      <c r="H1814" s="8">
        <v>1</v>
      </c>
      <c r="I1814" s="10">
        <v>149</v>
      </c>
      <c r="J1814" s="14">
        <f>P1814*I1814</f>
        <v>149</v>
      </c>
      <c r="K1814" s="16">
        <v>410</v>
      </c>
      <c r="L1814" s="1" t="s">
        <v>30</v>
      </c>
      <c r="M1814" t="s">
        <v>58</v>
      </c>
      <c r="N1814" t="str">
        <f t="shared" si="40"/>
        <v>United Kingdom</v>
      </c>
      <c r="O1814" s="8">
        <f>IF(K1814&gt;=1,K1814,K1814*1000)</f>
        <v>410</v>
      </c>
      <c r="P1814">
        <f>ABS(H1814)</f>
        <v>1</v>
      </c>
      <c r="R1814"/>
    </row>
    <row r="1815" spans="1:18" x14ac:dyDescent="0.35">
      <c r="A1815" t="s">
        <v>3179</v>
      </c>
      <c r="B1815" s="2">
        <v>46092</v>
      </c>
      <c r="C1815" t="s">
        <v>2706</v>
      </c>
      <c r="D1815" s="3" t="s">
        <v>46</v>
      </c>
      <c r="E1815" t="s">
        <v>34</v>
      </c>
      <c r="F1815" t="s">
        <v>89</v>
      </c>
      <c r="G1815" t="s">
        <v>90</v>
      </c>
      <c r="H1815" s="8">
        <v>1</v>
      </c>
      <c r="I1815" s="10">
        <v>85.5</v>
      </c>
      <c r="J1815" s="14">
        <f>P1815*I1815</f>
        <v>85.5</v>
      </c>
      <c r="K1815" s="16">
        <v>640</v>
      </c>
      <c r="L1815" s="1" t="s">
        <v>30</v>
      </c>
      <c r="M1815" t="s">
        <v>22</v>
      </c>
      <c r="N1815" t="str">
        <f t="shared" si="40"/>
        <v>Ireland</v>
      </c>
      <c r="O1815" s="8">
        <f>IF(K1815&gt;=1,K1815,K1815*1000)</f>
        <v>640</v>
      </c>
      <c r="P1815">
        <f>ABS(H1815)</f>
        <v>1</v>
      </c>
      <c r="R1815"/>
    </row>
    <row r="1816" spans="1:18" x14ac:dyDescent="0.35">
      <c r="A1816" t="s">
        <v>3180</v>
      </c>
      <c r="B1816" s="2">
        <v>46112</v>
      </c>
      <c r="C1816" t="s">
        <v>1119</v>
      </c>
      <c r="D1816" s="3" t="s">
        <v>99</v>
      </c>
      <c r="E1816" t="s">
        <v>67</v>
      </c>
      <c r="F1816" t="s">
        <v>42</v>
      </c>
      <c r="G1816" t="s">
        <v>43</v>
      </c>
      <c r="H1816" s="8">
        <v>1</v>
      </c>
      <c r="I1816" s="10">
        <v>89</v>
      </c>
      <c r="J1816" s="14">
        <f>P1816*I1816</f>
        <v>89</v>
      </c>
      <c r="K1816" s="16">
        <v>190</v>
      </c>
      <c r="L1816" s="1" t="s">
        <v>30</v>
      </c>
      <c r="M1816" t="s">
        <v>22</v>
      </c>
      <c r="N1816" t="str">
        <f t="shared" si="40"/>
        <v>United Kingdom</v>
      </c>
      <c r="O1816" s="8">
        <f>IF(K1816&gt;=1,K1816,K1816*1000)</f>
        <v>190</v>
      </c>
      <c r="P1816">
        <f>ABS(H1816)</f>
        <v>1</v>
      </c>
      <c r="R1816"/>
    </row>
    <row r="1817" spans="1:18" x14ac:dyDescent="0.35">
      <c r="A1817" t="s">
        <v>3181</v>
      </c>
      <c r="B1817" s="2">
        <v>46068</v>
      </c>
      <c r="C1817" t="s">
        <v>2269</v>
      </c>
      <c r="D1817" s="3" t="s">
        <v>4612</v>
      </c>
      <c r="E1817" t="s">
        <v>41</v>
      </c>
      <c r="F1817" t="s">
        <v>89</v>
      </c>
      <c r="G1817" t="s">
        <v>90</v>
      </c>
      <c r="H1817" s="8">
        <v>2</v>
      </c>
      <c r="I1817" s="10">
        <v>40.5</v>
      </c>
      <c r="J1817" s="14">
        <f>P1817*I1817</f>
        <v>81</v>
      </c>
      <c r="K1817" s="16">
        <v>640</v>
      </c>
      <c r="L1817" s="1" t="s">
        <v>30</v>
      </c>
      <c r="M1817" t="s">
        <v>22</v>
      </c>
      <c r="N1817" t="str">
        <f t="shared" si="40"/>
        <v>United Kingdom</v>
      </c>
      <c r="O1817" s="8">
        <f>IF(K1817&gt;=1,K1817,K1817*1000)</f>
        <v>640</v>
      </c>
      <c r="P1817">
        <f>ABS(H1817)</f>
        <v>2</v>
      </c>
      <c r="R1817"/>
    </row>
    <row r="1818" spans="1:18" x14ac:dyDescent="0.35">
      <c r="A1818" t="s">
        <v>3182</v>
      </c>
      <c r="B1818" s="2">
        <v>46091</v>
      </c>
      <c r="C1818" t="s">
        <v>397</v>
      </c>
      <c r="D1818" s="3" t="s">
        <v>116</v>
      </c>
      <c r="E1818" t="s">
        <v>34</v>
      </c>
      <c r="F1818" t="s">
        <v>26</v>
      </c>
      <c r="G1818" t="s">
        <v>27</v>
      </c>
      <c r="H1818" s="8">
        <v>1</v>
      </c>
      <c r="I1818" s="10">
        <v>95</v>
      </c>
      <c r="J1818" s="14">
        <f>P1818*I1818</f>
        <v>95</v>
      </c>
      <c r="K1818" s="16">
        <v>520</v>
      </c>
      <c r="L1818" s="1" t="s">
        <v>30</v>
      </c>
      <c r="M1818" t="s">
        <v>58</v>
      </c>
      <c r="N1818" t="str">
        <f t="shared" si="40"/>
        <v>Germany</v>
      </c>
      <c r="O1818" s="8">
        <f>IF(K1818&gt;=1,K1818,K1818*1000)</f>
        <v>520</v>
      </c>
      <c r="P1818">
        <f>ABS(H1818)</f>
        <v>1</v>
      </c>
      <c r="R1818"/>
    </row>
    <row r="1819" spans="1:18" x14ac:dyDescent="0.35">
      <c r="A1819" t="s">
        <v>3183</v>
      </c>
      <c r="B1819" s="2">
        <v>46270</v>
      </c>
      <c r="C1819" t="s">
        <v>1583</v>
      </c>
      <c r="D1819" s="3" t="s">
        <v>4612</v>
      </c>
      <c r="E1819" t="s">
        <v>16</v>
      </c>
      <c r="F1819" t="s">
        <v>26</v>
      </c>
      <c r="G1819" t="s">
        <v>27</v>
      </c>
      <c r="H1819" s="8">
        <v>1</v>
      </c>
      <c r="I1819" s="10">
        <v>95</v>
      </c>
      <c r="J1819" s="14">
        <f>P1819*I1819</f>
        <v>95</v>
      </c>
      <c r="K1819" s="16">
        <v>0.52</v>
      </c>
      <c r="L1819" s="1" t="s">
        <v>30</v>
      </c>
      <c r="M1819" t="s">
        <v>22</v>
      </c>
      <c r="N1819" t="str">
        <f t="shared" si="40"/>
        <v>United Kingdom</v>
      </c>
      <c r="O1819" s="8">
        <f>IF(K1819&gt;=1,K1819,K1819*1000)</f>
        <v>520</v>
      </c>
      <c r="P1819">
        <f>ABS(H1819)</f>
        <v>1</v>
      </c>
      <c r="R1819"/>
    </row>
    <row r="1820" spans="1:18" x14ac:dyDescent="0.35">
      <c r="A1820" t="s">
        <v>3184</v>
      </c>
      <c r="B1820" s="2">
        <v>46037</v>
      </c>
      <c r="C1820" t="s">
        <v>599</v>
      </c>
      <c r="D1820" s="3" t="s">
        <v>61</v>
      </c>
      <c r="E1820" t="s">
        <v>34</v>
      </c>
      <c r="F1820" t="s">
        <v>83</v>
      </c>
      <c r="G1820" t="s">
        <v>84</v>
      </c>
      <c r="H1820" s="8">
        <v>1</v>
      </c>
      <c r="I1820" s="10">
        <v>89</v>
      </c>
      <c r="J1820" s="14">
        <f>P1820*I1820</f>
        <v>89</v>
      </c>
      <c r="K1820" s="16">
        <v>340</v>
      </c>
      <c r="L1820" s="1" t="s">
        <v>30</v>
      </c>
      <c r="M1820" t="s">
        <v>22</v>
      </c>
      <c r="N1820" t="str">
        <f t="shared" si="40"/>
        <v>Ireland</v>
      </c>
      <c r="O1820" s="8">
        <f>IF(K1820&gt;=1,K1820,K1820*1000)</f>
        <v>340</v>
      </c>
      <c r="P1820">
        <f>ABS(H1820)</f>
        <v>1</v>
      </c>
      <c r="R1820"/>
    </row>
    <row r="1821" spans="1:18" x14ac:dyDescent="0.35">
      <c r="A1821" t="s">
        <v>3185</v>
      </c>
      <c r="B1821" s="2">
        <v>46028</v>
      </c>
      <c r="C1821" t="s">
        <v>3186</v>
      </c>
      <c r="D1821" s="3" t="s">
        <v>4612</v>
      </c>
      <c r="E1821" t="s">
        <v>41</v>
      </c>
      <c r="F1821" t="s">
        <v>83</v>
      </c>
      <c r="G1821" t="s">
        <v>84</v>
      </c>
      <c r="H1821" s="8">
        <v>3</v>
      </c>
      <c r="I1821" s="10">
        <v>71.099999999999994</v>
      </c>
      <c r="J1821" s="14">
        <f>P1821*I1821</f>
        <v>213.29999999999998</v>
      </c>
      <c r="K1821" s="16">
        <v>340</v>
      </c>
      <c r="L1821" s="1" t="s">
        <v>30</v>
      </c>
      <c r="M1821" t="s">
        <v>58</v>
      </c>
      <c r="N1821" t="str">
        <f t="shared" si="40"/>
        <v>United Kingdom</v>
      </c>
      <c r="O1821" s="8">
        <f>IF(K1821&gt;=1,K1821,K1821*1000)</f>
        <v>340</v>
      </c>
      <c r="P1821">
        <f>ABS(H1821)</f>
        <v>3</v>
      </c>
      <c r="R1821"/>
    </row>
    <row r="1822" spans="1:18" x14ac:dyDescent="0.35">
      <c r="A1822" t="s">
        <v>3187</v>
      </c>
      <c r="B1822" s="2">
        <v>46205</v>
      </c>
      <c r="C1822" t="s">
        <v>1152</v>
      </c>
      <c r="D1822" s="3" t="s">
        <v>116</v>
      </c>
      <c r="E1822" t="s">
        <v>25</v>
      </c>
      <c r="F1822" t="s">
        <v>83</v>
      </c>
      <c r="G1822" t="s">
        <v>84</v>
      </c>
      <c r="H1822" s="8">
        <v>2</v>
      </c>
      <c r="I1822" s="10">
        <v>71.099999999999994</v>
      </c>
      <c r="J1822" s="14">
        <f>P1822*I1822</f>
        <v>142.19999999999999</v>
      </c>
      <c r="K1822" s="16">
        <v>0.34</v>
      </c>
      <c r="L1822" s="1" t="s">
        <v>30</v>
      </c>
      <c r="M1822" t="s">
        <v>22</v>
      </c>
      <c r="N1822" t="str">
        <f t="shared" si="40"/>
        <v>Germany</v>
      </c>
      <c r="O1822" s="8">
        <f>IF(K1822&gt;=1,K1822,K1822*1000)</f>
        <v>340</v>
      </c>
      <c r="P1822">
        <f>ABS(H1822)</f>
        <v>2</v>
      </c>
      <c r="R1822"/>
    </row>
    <row r="1823" spans="1:18" x14ac:dyDescent="0.35">
      <c r="A1823" t="s">
        <v>3189</v>
      </c>
      <c r="B1823" s="2">
        <v>46166</v>
      </c>
      <c r="C1823" t="s">
        <v>703</v>
      </c>
      <c r="D1823" s="3" t="s">
        <v>4613</v>
      </c>
      <c r="E1823" t="s">
        <v>41</v>
      </c>
      <c r="F1823" t="s">
        <v>83</v>
      </c>
      <c r="G1823" t="s">
        <v>84</v>
      </c>
      <c r="H1823" s="8">
        <v>1</v>
      </c>
      <c r="I1823" s="10">
        <v>24</v>
      </c>
      <c r="J1823" s="14">
        <f>P1823*I1823</f>
        <v>24</v>
      </c>
      <c r="K1823" s="16">
        <v>0.34</v>
      </c>
      <c r="L1823" s="1" t="s">
        <v>30</v>
      </c>
      <c r="M1823" t="s">
        <v>22</v>
      </c>
      <c r="N1823" t="str">
        <f t="shared" si="40"/>
        <v>United Kingdom</v>
      </c>
      <c r="O1823" s="8">
        <f>IF(K1823&gt;=1,K1823,K1823*1000)</f>
        <v>340</v>
      </c>
      <c r="P1823">
        <f>ABS(H1823)</f>
        <v>1</v>
      </c>
      <c r="R1823"/>
    </row>
    <row r="1824" spans="1:18" x14ac:dyDescent="0.35">
      <c r="A1824" t="s">
        <v>3190</v>
      </c>
      <c r="B1824" s="2">
        <v>46058</v>
      </c>
      <c r="C1824" t="s">
        <v>2322</v>
      </c>
      <c r="D1824" s="3" t="s">
        <v>99</v>
      </c>
      <c r="E1824" t="s">
        <v>16</v>
      </c>
      <c r="F1824" t="s">
        <v>42</v>
      </c>
      <c r="G1824" t="s">
        <v>43</v>
      </c>
      <c r="H1824" s="8">
        <v>1</v>
      </c>
      <c r="I1824" s="10">
        <v>79</v>
      </c>
      <c r="J1824" s="14">
        <f>P1824*I1824</f>
        <v>79</v>
      </c>
      <c r="K1824" s="16">
        <v>190</v>
      </c>
      <c r="L1824" s="1" t="s">
        <v>30</v>
      </c>
      <c r="M1824" t="s">
        <v>58</v>
      </c>
      <c r="N1824" t="str">
        <f t="shared" si="40"/>
        <v>United Kingdom</v>
      </c>
      <c r="O1824" s="8">
        <f>IF(K1824&gt;=1,K1824,K1824*1000)</f>
        <v>190</v>
      </c>
      <c r="P1824">
        <f>ABS(H1824)</f>
        <v>1</v>
      </c>
      <c r="R1824"/>
    </row>
    <row r="1825" spans="1:18" x14ac:dyDescent="0.35">
      <c r="A1825" t="s">
        <v>3191</v>
      </c>
      <c r="B1825" s="2">
        <v>46134</v>
      </c>
      <c r="C1825" t="s">
        <v>2126</v>
      </c>
      <c r="D1825" s="3" t="s">
        <v>4613</v>
      </c>
      <c r="E1825" t="s">
        <v>34</v>
      </c>
      <c r="F1825" t="s">
        <v>83</v>
      </c>
      <c r="G1825" t="s">
        <v>84</v>
      </c>
      <c r="H1825" s="8">
        <v>1</v>
      </c>
      <c r="I1825" s="10">
        <v>21.6</v>
      </c>
      <c r="J1825" s="14">
        <f>P1825*I1825</f>
        <v>21.6</v>
      </c>
      <c r="K1825" s="16">
        <v>0.34</v>
      </c>
      <c r="L1825" s="1" t="s">
        <v>30</v>
      </c>
      <c r="M1825" t="s">
        <v>22</v>
      </c>
      <c r="N1825" t="str">
        <f t="shared" si="40"/>
        <v>United Kingdom</v>
      </c>
      <c r="O1825" s="8">
        <f>IF(K1825&gt;=1,K1825,K1825*1000)</f>
        <v>340</v>
      </c>
      <c r="P1825">
        <f>ABS(H1825)</f>
        <v>1</v>
      </c>
      <c r="R1825"/>
    </row>
    <row r="1826" spans="1:18" x14ac:dyDescent="0.35">
      <c r="A1826" t="s">
        <v>3192</v>
      </c>
      <c r="B1826" s="2">
        <v>46045</v>
      </c>
      <c r="C1826" t="s">
        <v>1731</v>
      </c>
      <c r="D1826" s="3" t="s">
        <v>4613</v>
      </c>
      <c r="E1826" t="s">
        <v>16</v>
      </c>
      <c r="F1826" t="s">
        <v>17</v>
      </c>
      <c r="G1826" t="s">
        <v>18</v>
      </c>
      <c r="H1826" s="8">
        <v>1</v>
      </c>
      <c r="I1826" s="10">
        <v>40.5</v>
      </c>
      <c r="J1826" s="14">
        <f>P1826*I1826</f>
        <v>40.5</v>
      </c>
      <c r="K1826" s="16">
        <v>520</v>
      </c>
      <c r="L1826" s="1" t="s">
        <v>30</v>
      </c>
      <c r="M1826" t="s">
        <v>22</v>
      </c>
      <c r="N1826" t="str">
        <f t="shared" si="40"/>
        <v>United Kingdom</v>
      </c>
      <c r="O1826" s="8">
        <f>IF(K1826&gt;=1,K1826,K1826*1000)</f>
        <v>520</v>
      </c>
      <c r="P1826">
        <f>ABS(H1826)</f>
        <v>1</v>
      </c>
      <c r="R1826"/>
    </row>
    <row r="1827" spans="1:18" x14ac:dyDescent="0.35">
      <c r="A1827" t="s">
        <v>3193</v>
      </c>
      <c r="B1827" s="2">
        <v>46167</v>
      </c>
      <c r="C1827" t="s">
        <v>1640</v>
      </c>
      <c r="D1827" s="3" t="s">
        <v>4612</v>
      </c>
      <c r="E1827" t="s">
        <v>67</v>
      </c>
      <c r="F1827" t="s">
        <v>26</v>
      </c>
      <c r="G1827" t="s">
        <v>27</v>
      </c>
      <c r="H1827" s="8">
        <v>1</v>
      </c>
      <c r="I1827" s="10">
        <v>24</v>
      </c>
      <c r="J1827" s="14">
        <f>P1827*I1827</f>
        <v>24</v>
      </c>
      <c r="K1827" s="16">
        <v>0.52</v>
      </c>
      <c r="L1827" s="1" t="s">
        <v>30</v>
      </c>
      <c r="M1827" t="s">
        <v>22</v>
      </c>
      <c r="N1827" t="str">
        <f t="shared" si="40"/>
        <v>United Kingdom</v>
      </c>
      <c r="O1827" s="8">
        <f>IF(K1827&gt;=1,K1827,K1827*1000)</f>
        <v>520</v>
      </c>
      <c r="P1827">
        <f>ABS(H1827)</f>
        <v>1</v>
      </c>
      <c r="R1827"/>
    </row>
    <row r="1828" spans="1:18" x14ac:dyDescent="0.35">
      <c r="A1828" t="s">
        <v>3194</v>
      </c>
      <c r="B1828" s="2">
        <v>46153</v>
      </c>
      <c r="C1828" t="s">
        <v>858</v>
      </c>
      <c r="D1828" s="3" t="s">
        <v>53</v>
      </c>
      <c r="E1828" t="s">
        <v>41</v>
      </c>
      <c r="F1828" t="s">
        <v>74</v>
      </c>
      <c r="G1828" t="s">
        <v>75</v>
      </c>
      <c r="H1828" s="8">
        <v>2</v>
      </c>
      <c r="I1828" s="10">
        <v>40.5</v>
      </c>
      <c r="J1828" s="14">
        <f>P1828*I1828</f>
        <v>81</v>
      </c>
      <c r="K1828" s="16">
        <v>0.41</v>
      </c>
      <c r="L1828" s="1" t="s">
        <v>30</v>
      </c>
      <c r="M1828" t="s">
        <v>22</v>
      </c>
      <c r="N1828" t="str">
        <f t="shared" si="40"/>
        <v>Gb</v>
      </c>
      <c r="O1828" s="8">
        <f>IF(K1828&gt;=1,K1828,K1828*1000)</f>
        <v>410</v>
      </c>
      <c r="P1828">
        <f>ABS(H1828)</f>
        <v>2</v>
      </c>
      <c r="R1828"/>
    </row>
    <row r="1829" spans="1:18" x14ac:dyDescent="0.35">
      <c r="A1829" t="s">
        <v>3195</v>
      </c>
      <c r="B1829" s="2">
        <v>46076</v>
      </c>
      <c r="C1829" t="s">
        <v>1358</v>
      </c>
      <c r="D1829" s="3" t="s">
        <v>4613</v>
      </c>
      <c r="E1829" t="s">
        <v>25</v>
      </c>
      <c r="F1829" t="s">
        <v>83</v>
      </c>
      <c r="G1829" t="s">
        <v>84</v>
      </c>
      <c r="H1829" s="8">
        <v>2</v>
      </c>
      <c r="I1829" s="10">
        <v>95</v>
      </c>
      <c r="J1829" s="14">
        <f>P1829*I1829</f>
        <v>190</v>
      </c>
      <c r="K1829" s="16">
        <v>340</v>
      </c>
      <c r="L1829" s="1" t="s">
        <v>30</v>
      </c>
      <c r="M1829" t="s">
        <v>58</v>
      </c>
      <c r="N1829" t="str">
        <f t="shared" si="40"/>
        <v>United Kingdom</v>
      </c>
      <c r="O1829" s="8">
        <f>IF(K1829&gt;=1,K1829,K1829*1000)</f>
        <v>340</v>
      </c>
      <c r="P1829">
        <f>ABS(H1829)</f>
        <v>2</v>
      </c>
      <c r="R1829"/>
    </row>
    <row r="1830" spans="1:18" x14ac:dyDescent="0.35">
      <c r="A1830" t="s">
        <v>3196</v>
      </c>
      <c r="B1830" s="2">
        <v>46165</v>
      </c>
      <c r="C1830" t="s">
        <v>3197</v>
      </c>
      <c r="D1830" s="3" t="s">
        <v>99</v>
      </c>
      <c r="E1830" t="s">
        <v>41</v>
      </c>
      <c r="F1830" t="s">
        <v>35</v>
      </c>
      <c r="G1830" t="s">
        <v>36</v>
      </c>
      <c r="H1830" s="8">
        <v>1</v>
      </c>
      <c r="I1830" s="10">
        <v>129</v>
      </c>
      <c r="J1830" s="14">
        <f>P1830*I1830</f>
        <v>129</v>
      </c>
      <c r="K1830" s="16">
        <v>8.5000000000000006E-2</v>
      </c>
      <c r="L1830" s="1" t="s">
        <v>30</v>
      </c>
      <c r="M1830" t="s">
        <v>22</v>
      </c>
      <c r="N1830" t="str">
        <f t="shared" si="40"/>
        <v>United Kingdom</v>
      </c>
      <c r="O1830" s="8">
        <f>IF(K1830&gt;=1,K1830,K1830*1000)</f>
        <v>85</v>
      </c>
      <c r="P1830">
        <f>ABS(H1830)</f>
        <v>1</v>
      </c>
      <c r="R1830"/>
    </row>
    <row r="1831" spans="1:18" x14ac:dyDescent="0.35">
      <c r="A1831" t="s">
        <v>3198</v>
      </c>
      <c r="B1831" s="2">
        <v>46079</v>
      </c>
      <c r="C1831" t="s">
        <v>2791</v>
      </c>
      <c r="D1831" s="3" t="s">
        <v>15</v>
      </c>
      <c r="E1831" t="s">
        <v>34</v>
      </c>
      <c r="F1831" t="s">
        <v>42</v>
      </c>
      <c r="G1831" t="s">
        <v>43</v>
      </c>
      <c r="H1831" s="8">
        <v>3</v>
      </c>
      <c r="I1831" s="10">
        <v>149</v>
      </c>
      <c r="J1831" s="14">
        <f>P1831*I1831</f>
        <v>447</v>
      </c>
      <c r="K1831" s="16">
        <v>190</v>
      </c>
      <c r="L1831" s="1" t="s">
        <v>30</v>
      </c>
      <c r="M1831" t="s">
        <v>22</v>
      </c>
      <c r="N1831" t="str">
        <f t="shared" si="40"/>
        <v>France</v>
      </c>
      <c r="O1831" s="8">
        <f>IF(K1831&gt;=1,K1831,K1831*1000)</f>
        <v>190</v>
      </c>
      <c r="P1831">
        <f>ABS(H1831)</f>
        <v>3</v>
      </c>
      <c r="R1831"/>
    </row>
    <row r="1832" spans="1:18" x14ac:dyDescent="0.35">
      <c r="A1832" t="s">
        <v>3199</v>
      </c>
      <c r="B1832" s="2">
        <v>46174</v>
      </c>
      <c r="C1832" t="s">
        <v>3200</v>
      </c>
      <c r="D1832" s="3" t="s">
        <v>61</v>
      </c>
      <c r="E1832" t="s">
        <v>41</v>
      </c>
      <c r="F1832" t="s">
        <v>47</v>
      </c>
      <c r="G1832" t="s">
        <v>48</v>
      </c>
      <c r="H1832" s="8">
        <v>2</v>
      </c>
      <c r="I1832" s="10">
        <v>89</v>
      </c>
      <c r="J1832" s="14">
        <f>P1832*I1832</f>
        <v>178</v>
      </c>
      <c r="K1832" s="16">
        <v>0.38</v>
      </c>
      <c r="L1832" s="1" t="s">
        <v>30</v>
      </c>
      <c r="M1832" t="s">
        <v>22</v>
      </c>
      <c r="N1832" t="str">
        <f t="shared" si="40"/>
        <v>Ireland</v>
      </c>
      <c r="O1832" s="8">
        <f>IF(K1832&gt;=1,K1832,K1832*1000)</f>
        <v>380</v>
      </c>
      <c r="P1832">
        <f>ABS(H1832)</f>
        <v>2</v>
      </c>
      <c r="R1832"/>
    </row>
    <row r="1833" spans="1:18" x14ac:dyDescent="0.35">
      <c r="A1833" t="s">
        <v>3201</v>
      </c>
      <c r="B1833" s="2">
        <v>46133</v>
      </c>
      <c r="C1833" t="s">
        <v>1758</v>
      </c>
      <c r="D1833" s="3" t="s">
        <v>66</v>
      </c>
      <c r="E1833" t="s">
        <v>34</v>
      </c>
      <c r="F1833" t="s">
        <v>89</v>
      </c>
      <c r="G1833" t="s">
        <v>90</v>
      </c>
      <c r="H1833" s="8">
        <v>2</v>
      </c>
      <c r="I1833" s="10">
        <v>71.099999999999994</v>
      </c>
      <c r="J1833" s="14">
        <f>P1833*I1833</f>
        <v>142.19999999999999</v>
      </c>
      <c r="K1833" s="16">
        <v>0.64</v>
      </c>
      <c r="L1833" s="1" t="s">
        <v>21</v>
      </c>
      <c r="M1833" t="s">
        <v>22</v>
      </c>
      <c r="N1833" t="str">
        <f t="shared" si="40"/>
        <v>Gb</v>
      </c>
      <c r="O1833" s="8">
        <f>IF(K1833&gt;=1,K1833,K1833*1000)</f>
        <v>640</v>
      </c>
      <c r="P1833">
        <f>ABS(H1833)</f>
        <v>2</v>
      </c>
      <c r="R1833"/>
    </row>
    <row r="1834" spans="1:18" x14ac:dyDescent="0.35">
      <c r="A1834" t="s">
        <v>3202</v>
      </c>
      <c r="B1834" s="2">
        <v>46053</v>
      </c>
      <c r="C1834" t="s">
        <v>1546</v>
      </c>
      <c r="D1834" s="3" t="s">
        <v>116</v>
      </c>
      <c r="E1834" t="s">
        <v>34</v>
      </c>
      <c r="F1834" t="s">
        <v>47</v>
      </c>
      <c r="G1834" t="s">
        <v>48</v>
      </c>
      <c r="H1834" s="8">
        <v>1</v>
      </c>
      <c r="I1834" s="10">
        <v>79</v>
      </c>
      <c r="J1834" s="14">
        <f>P1834*I1834</f>
        <v>79</v>
      </c>
      <c r="K1834" s="16">
        <v>380</v>
      </c>
      <c r="L1834" s="1" t="s">
        <v>30</v>
      </c>
      <c r="M1834" t="s">
        <v>22</v>
      </c>
      <c r="N1834" t="str">
        <f t="shared" si="40"/>
        <v>Germany</v>
      </c>
      <c r="O1834" s="8">
        <f>IF(K1834&gt;=1,K1834,K1834*1000)</f>
        <v>380</v>
      </c>
      <c r="P1834">
        <f>ABS(H1834)</f>
        <v>1</v>
      </c>
      <c r="R1834"/>
    </row>
    <row r="1835" spans="1:18" x14ac:dyDescent="0.35">
      <c r="A1835" t="s">
        <v>3203</v>
      </c>
      <c r="B1835" s="2">
        <v>46042</v>
      </c>
      <c r="C1835" t="s">
        <v>3204</v>
      </c>
      <c r="D1835" s="3" t="s">
        <v>61</v>
      </c>
      <c r="E1835" t="s">
        <v>34</v>
      </c>
      <c r="F1835" t="s">
        <v>74</v>
      </c>
      <c r="G1835" t="s">
        <v>75</v>
      </c>
      <c r="H1835" s="8">
        <v>2</v>
      </c>
      <c r="I1835" s="10">
        <v>129</v>
      </c>
      <c r="J1835" s="14">
        <f>P1835*I1835</f>
        <v>258</v>
      </c>
      <c r="K1835" s="16">
        <v>410</v>
      </c>
      <c r="L1835" s="1" t="s">
        <v>21</v>
      </c>
      <c r="M1835" t="s">
        <v>22</v>
      </c>
      <c r="N1835" t="str">
        <f t="shared" si="40"/>
        <v>Ireland</v>
      </c>
      <c r="O1835" s="8">
        <f>IF(K1835&gt;=1,K1835,K1835*1000)</f>
        <v>410</v>
      </c>
      <c r="P1835">
        <f>ABS(H1835)</f>
        <v>2</v>
      </c>
      <c r="R1835"/>
    </row>
    <row r="1836" spans="1:18" x14ac:dyDescent="0.35">
      <c r="A1836" t="s">
        <v>3205</v>
      </c>
      <c r="B1836" s="2">
        <v>46197</v>
      </c>
      <c r="C1836" t="s">
        <v>2912</v>
      </c>
      <c r="D1836" s="3" t="s">
        <v>99</v>
      </c>
      <c r="E1836" t="s">
        <v>34</v>
      </c>
      <c r="F1836" t="s">
        <v>83</v>
      </c>
      <c r="G1836" t="s">
        <v>84</v>
      </c>
      <c r="H1836" s="8">
        <v>2</v>
      </c>
      <c r="I1836" s="10">
        <v>11.25</v>
      </c>
      <c r="J1836" s="14">
        <f>P1836*I1836</f>
        <v>22.5</v>
      </c>
      <c r="K1836" s="16">
        <v>0.34</v>
      </c>
      <c r="L1836" s="1" t="s">
        <v>30</v>
      </c>
      <c r="M1836" t="s">
        <v>22</v>
      </c>
      <c r="N1836" t="str">
        <f t="shared" si="40"/>
        <v>United Kingdom</v>
      </c>
      <c r="O1836" s="8">
        <f>IF(K1836&gt;=1,K1836,K1836*1000)</f>
        <v>340</v>
      </c>
      <c r="P1836">
        <f>ABS(H1836)</f>
        <v>2</v>
      </c>
      <c r="R1836"/>
    </row>
    <row r="1837" spans="1:18" x14ac:dyDescent="0.35">
      <c r="A1837" t="s">
        <v>3206</v>
      </c>
      <c r="B1837" s="2">
        <v>46208</v>
      </c>
      <c r="C1837" t="s">
        <v>3207</v>
      </c>
      <c r="D1837" s="3" t="s">
        <v>66</v>
      </c>
      <c r="E1837" t="s">
        <v>67</v>
      </c>
      <c r="F1837" t="s">
        <v>26</v>
      </c>
      <c r="G1837" t="s">
        <v>27</v>
      </c>
      <c r="H1837" s="8">
        <v>1</v>
      </c>
      <c r="I1837" s="10">
        <v>95</v>
      </c>
      <c r="J1837" s="14">
        <f>P1837*I1837</f>
        <v>95</v>
      </c>
      <c r="K1837" s="16">
        <v>0.52</v>
      </c>
      <c r="L1837" s="1" t="s">
        <v>30</v>
      </c>
      <c r="M1837" t="s">
        <v>22</v>
      </c>
      <c r="N1837" t="str">
        <f t="shared" si="40"/>
        <v>Gb</v>
      </c>
      <c r="O1837" s="8">
        <f>IF(K1837&gt;=1,K1837,K1837*1000)</f>
        <v>520</v>
      </c>
      <c r="P1837">
        <f>ABS(H1837)</f>
        <v>1</v>
      </c>
      <c r="R1837"/>
    </row>
    <row r="1838" spans="1:18" x14ac:dyDescent="0.35">
      <c r="A1838" t="s">
        <v>3208</v>
      </c>
      <c r="B1838" s="2">
        <v>46073</v>
      </c>
      <c r="C1838" t="s">
        <v>574</v>
      </c>
      <c r="D1838" s="3" t="s">
        <v>53</v>
      </c>
      <c r="E1838" t="s">
        <v>41</v>
      </c>
      <c r="F1838" t="s">
        <v>89</v>
      </c>
      <c r="G1838" t="s">
        <v>90</v>
      </c>
      <c r="H1838" s="8">
        <v>2</v>
      </c>
      <c r="I1838" s="10">
        <v>12.5</v>
      </c>
      <c r="J1838" s="14">
        <f>P1838*I1838</f>
        <v>25</v>
      </c>
      <c r="K1838" s="16">
        <v>640</v>
      </c>
      <c r="L1838" s="1" t="s">
        <v>30</v>
      </c>
      <c r="M1838" t="s">
        <v>22</v>
      </c>
      <c r="N1838" t="str">
        <f t="shared" si="40"/>
        <v>Gb</v>
      </c>
      <c r="O1838" s="8">
        <f>IF(K1838&gt;=1,K1838,K1838*1000)</f>
        <v>640</v>
      </c>
      <c r="P1838">
        <f>ABS(H1838)</f>
        <v>2</v>
      </c>
      <c r="R1838"/>
    </row>
    <row r="1839" spans="1:18" x14ac:dyDescent="0.35">
      <c r="A1839" t="s">
        <v>3209</v>
      </c>
      <c r="B1839" s="2">
        <v>46196</v>
      </c>
      <c r="C1839" t="s">
        <v>870</v>
      </c>
      <c r="D1839" s="3" t="s">
        <v>53</v>
      </c>
      <c r="E1839" t="s">
        <v>41</v>
      </c>
      <c r="F1839" t="s">
        <v>83</v>
      </c>
      <c r="G1839" t="s">
        <v>84</v>
      </c>
      <c r="H1839" s="8">
        <v>1</v>
      </c>
      <c r="I1839" s="10">
        <v>149</v>
      </c>
      <c r="J1839" s="14">
        <f>P1839*I1839</f>
        <v>149</v>
      </c>
      <c r="K1839" s="16">
        <v>0.34</v>
      </c>
      <c r="L1839" s="1" t="s">
        <v>30</v>
      </c>
      <c r="M1839" t="s">
        <v>22</v>
      </c>
      <c r="N1839" t="str">
        <f t="shared" si="40"/>
        <v>Gb</v>
      </c>
      <c r="O1839" s="8">
        <f>IF(K1839&gt;=1,K1839,K1839*1000)</f>
        <v>340</v>
      </c>
      <c r="P1839">
        <f>ABS(H1839)</f>
        <v>1</v>
      </c>
      <c r="R1839"/>
    </row>
    <row r="1840" spans="1:18" x14ac:dyDescent="0.35">
      <c r="A1840" t="s">
        <v>3210</v>
      </c>
      <c r="B1840" s="2">
        <v>46044</v>
      </c>
      <c r="C1840" t="s">
        <v>2464</v>
      </c>
      <c r="D1840" s="3" t="s">
        <v>99</v>
      </c>
      <c r="E1840" t="s">
        <v>41</v>
      </c>
      <c r="F1840" t="s">
        <v>26</v>
      </c>
      <c r="G1840" t="s">
        <v>27</v>
      </c>
      <c r="H1840" s="8">
        <v>1</v>
      </c>
      <c r="I1840" s="10">
        <v>134.1</v>
      </c>
      <c r="J1840" s="14">
        <f>P1840*I1840</f>
        <v>134.1</v>
      </c>
      <c r="K1840" s="16">
        <v>520</v>
      </c>
      <c r="L1840" s="1" t="s">
        <v>21</v>
      </c>
      <c r="M1840" t="s">
        <v>58</v>
      </c>
      <c r="N1840" t="str">
        <f t="shared" si="40"/>
        <v>United Kingdom</v>
      </c>
      <c r="O1840" s="8">
        <f>IF(K1840&gt;=1,K1840,K1840*1000)</f>
        <v>520</v>
      </c>
      <c r="P1840">
        <f>ABS(H1840)</f>
        <v>1</v>
      </c>
      <c r="R1840"/>
    </row>
    <row r="1841" spans="1:18" x14ac:dyDescent="0.35">
      <c r="A1841" t="s">
        <v>3211</v>
      </c>
      <c r="B1841" s="2">
        <v>46045</v>
      </c>
      <c r="C1841" t="s">
        <v>3212</v>
      </c>
      <c r="D1841" s="3" t="s">
        <v>4613</v>
      </c>
      <c r="E1841" t="s">
        <v>34</v>
      </c>
      <c r="F1841" t="s">
        <v>17</v>
      </c>
      <c r="G1841" t="s">
        <v>18</v>
      </c>
      <c r="H1841" s="8">
        <v>2</v>
      </c>
      <c r="I1841" s="10">
        <v>89</v>
      </c>
      <c r="J1841" s="14">
        <f>P1841*I1841</f>
        <v>178</v>
      </c>
      <c r="K1841" s="16">
        <v>520</v>
      </c>
      <c r="L1841" s="1" t="s">
        <v>30</v>
      </c>
      <c r="M1841" t="s">
        <v>22</v>
      </c>
      <c r="N1841" t="str">
        <f t="shared" si="40"/>
        <v>United Kingdom</v>
      </c>
      <c r="O1841" s="8">
        <f>IF(K1841&gt;=1,K1841,K1841*1000)</f>
        <v>520</v>
      </c>
      <c r="P1841">
        <f>ABS(H1841)</f>
        <v>2</v>
      </c>
      <c r="R1841"/>
    </row>
    <row r="1842" spans="1:18" x14ac:dyDescent="0.35">
      <c r="A1842" t="s">
        <v>3213</v>
      </c>
      <c r="B1842" s="2">
        <v>46120</v>
      </c>
      <c r="C1842" t="s">
        <v>1362</v>
      </c>
      <c r="D1842" s="3" t="s">
        <v>116</v>
      </c>
      <c r="E1842" t="s">
        <v>41</v>
      </c>
      <c r="F1842" t="s">
        <v>83</v>
      </c>
      <c r="G1842" t="s">
        <v>84</v>
      </c>
      <c r="H1842" s="8">
        <v>2</v>
      </c>
      <c r="I1842" s="10">
        <v>45</v>
      </c>
      <c r="J1842" s="14">
        <f>P1842*I1842</f>
        <v>90</v>
      </c>
      <c r="K1842" s="16">
        <v>340</v>
      </c>
      <c r="L1842" s="1" t="s">
        <v>30</v>
      </c>
      <c r="M1842" t="s">
        <v>22</v>
      </c>
      <c r="N1842" t="str">
        <f t="shared" si="40"/>
        <v>Germany</v>
      </c>
      <c r="O1842" s="8">
        <f>IF(K1842&gt;=1,K1842,K1842*1000)</f>
        <v>340</v>
      </c>
      <c r="P1842">
        <f>ABS(H1842)</f>
        <v>2</v>
      </c>
      <c r="R1842"/>
    </row>
    <row r="1843" spans="1:18" x14ac:dyDescent="0.35">
      <c r="A1843" t="s">
        <v>3214</v>
      </c>
      <c r="B1843" s="2">
        <v>46267</v>
      </c>
      <c r="C1843" t="s">
        <v>142</v>
      </c>
      <c r="D1843" s="3" t="s">
        <v>99</v>
      </c>
      <c r="E1843" t="s">
        <v>25</v>
      </c>
      <c r="F1843" t="s">
        <v>17</v>
      </c>
      <c r="G1843" t="s">
        <v>18</v>
      </c>
      <c r="H1843" s="8">
        <v>2</v>
      </c>
      <c r="I1843" s="10">
        <v>45</v>
      </c>
      <c r="J1843" s="14">
        <f>P1843*I1843</f>
        <v>90</v>
      </c>
      <c r="K1843" s="16">
        <v>520</v>
      </c>
      <c r="L1843" s="1" t="s">
        <v>30</v>
      </c>
      <c r="M1843" t="s">
        <v>22</v>
      </c>
      <c r="N1843" t="str">
        <f t="shared" si="40"/>
        <v>United Kingdom</v>
      </c>
      <c r="O1843" s="8">
        <f>IF(K1843&gt;=1,K1843,K1843*1000)</f>
        <v>520</v>
      </c>
      <c r="P1843">
        <f>ABS(H1843)</f>
        <v>2</v>
      </c>
      <c r="R1843"/>
    </row>
    <row r="1844" spans="1:18" x14ac:dyDescent="0.35">
      <c r="A1844" t="s">
        <v>3215</v>
      </c>
      <c r="B1844" s="2">
        <v>46078</v>
      </c>
      <c r="C1844" t="s">
        <v>2995</v>
      </c>
      <c r="D1844" s="3" t="s">
        <v>4613</v>
      </c>
      <c r="E1844" t="s">
        <v>25</v>
      </c>
      <c r="F1844" t="s">
        <v>42</v>
      </c>
      <c r="G1844" t="s">
        <v>43</v>
      </c>
      <c r="H1844" s="8">
        <v>2</v>
      </c>
      <c r="I1844" s="10">
        <v>85.5</v>
      </c>
      <c r="J1844" s="14">
        <f>P1844*I1844</f>
        <v>171</v>
      </c>
      <c r="K1844" s="16">
        <v>190</v>
      </c>
      <c r="L1844" s="1" t="s">
        <v>30</v>
      </c>
      <c r="M1844" t="s">
        <v>22</v>
      </c>
      <c r="N1844" t="str">
        <f t="shared" si="40"/>
        <v>United Kingdom</v>
      </c>
      <c r="O1844" s="8">
        <f>IF(K1844&gt;=1,K1844,K1844*1000)</f>
        <v>190</v>
      </c>
      <c r="P1844">
        <f>ABS(H1844)</f>
        <v>2</v>
      </c>
      <c r="R1844"/>
    </row>
    <row r="1845" spans="1:18" x14ac:dyDescent="0.35">
      <c r="A1845" t="s">
        <v>3216</v>
      </c>
      <c r="B1845" s="2">
        <v>46150</v>
      </c>
      <c r="C1845" t="s">
        <v>1093</v>
      </c>
      <c r="D1845" s="3" t="s">
        <v>66</v>
      </c>
      <c r="E1845" t="s">
        <v>34</v>
      </c>
      <c r="F1845" t="s">
        <v>42</v>
      </c>
      <c r="G1845" t="s">
        <v>43</v>
      </c>
      <c r="H1845" s="8">
        <v>-1</v>
      </c>
      <c r="I1845" s="10">
        <v>24</v>
      </c>
      <c r="J1845" s="14">
        <f>P1845*I1845</f>
        <v>24</v>
      </c>
      <c r="K1845" s="16">
        <v>0.19</v>
      </c>
      <c r="L1845" s="1" t="s">
        <v>30</v>
      </c>
      <c r="M1845" t="s">
        <v>22</v>
      </c>
      <c r="N1845" t="str">
        <f t="shared" si="40"/>
        <v>Gb</v>
      </c>
      <c r="O1845" s="8">
        <f>IF(K1845&gt;=1,K1845,K1845*1000)</f>
        <v>190</v>
      </c>
      <c r="P1845">
        <f>ABS(H1845)</f>
        <v>1</v>
      </c>
      <c r="R1845"/>
    </row>
    <row r="1846" spans="1:18" x14ac:dyDescent="0.35">
      <c r="A1846" t="s">
        <v>3217</v>
      </c>
      <c r="B1846" s="2">
        <v>46044</v>
      </c>
      <c r="C1846" t="s">
        <v>712</v>
      </c>
      <c r="D1846" s="3" t="s">
        <v>99</v>
      </c>
      <c r="E1846" t="s">
        <v>41</v>
      </c>
      <c r="F1846" t="s">
        <v>42</v>
      </c>
      <c r="G1846" t="s">
        <v>43</v>
      </c>
      <c r="H1846" s="8">
        <v>1</v>
      </c>
      <c r="I1846" s="10">
        <v>45</v>
      </c>
      <c r="J1846" s="14">
        <f>P1846*I1846</f>
        <v>45</v>
      </c>
      <c r="K1846" s="16">
        <v>190</v>
      </c>
      <c r="L1846" s="1" t="s">
        <v>30</v>
      </c>
      <c r="M1846" t="s">
        <v>22</v>
      </c>
      <c r="N1846" t="str">
        <f t="shared" si="40"/>
        <v>United Kingdom</v>
      </c>
      <c r="O1846" s="8">
        <f>IF(K1846&gt;=1,K1846,K1846*1000)</f>
        <v>190</v>
      </c>
      <c r="P1846">
        <f>ABS(H1846)</f>
        <v>1</v>
      </c>
      <c r="R1846"/>
    </row>
    <row r="1847" spans="1:18" x14ac:dyDescent="0.35">
      <c r="A1847" t="s">
        <v>3218</v>
      </c>
      <c r="B1847" s="2">
        <v>46083</v>
      </c>
      <c r="C1847" t="s">
        <v>615</v>
      </c>
      <c r="D1847" s="3" t="s">
        <v>99</v>
      </c>
      <c r="E1847" t="s">
        <v>67</v>
      </c>
      <c r="F1847" t="s">
        <v>26</v>
      </c>
      <c r="G1847" t="s">
        <v>27</v>
      </c>
      <c r="H1847" s="8">
        <v>1</v>
      </c>
      <c r="I1847" s="10">
        <v>12.5</v>
      </c>
      <c r="J1847" s="14">
        <f>P1847*I1847</f>
        <v>12.5</v>
      </c>
      <c r="K1847" s="16">
        <v>520</v>
      </c>
      <c r="L1847" s="1" t="s">
        <v>30</v>
      </c>
      <c r="M1847" t="s">
        <v>22</v>
      </c>
      <c r="N1847" t="str">
        <f t="shared" si="40"/>
        <v>United Kingdom</v>
      </c>
      <c r="O1847" s="8">
        <f>IF(K1847&gt;=1,K1847,K1847*1000)</f>
        <v>520</v>
      </c>
      <c r="P1847">
        <f>ABS(H1847)</f>
        <v>1</v>
      </c>
      <c r="R1847"/>
    </row>
    <row r="1848" spans="1:18" x14ac:dyDescent="0.35">
      <c r="A1848" t="s">
        <v>3219</v>
      </c>
      <c r="B1848" s="2">
        <v>46040</v>
      </c>
      <c r="C1848" t="s">
        <v>2126</v>
      </c>
      <c r="D1848" s="3" t="s">
        <v>66</v>
      </c>
      <c r="E1848" t="s">
        <v>67</v>
      </c>
      <c r="F1848" t="s">
        <v>42</v>
      </c>
      <c r="G1848" t="s">
        <v>43</v>
      </c>
      <c r="H1848" s="8">
        <v>2</v>
      </c>
      <c r="I1848" s="10">
        <v>85.5</v>
      </c>
      <c r="J1848" s="14">
        <f>P1848*I1848</f>
        <v>171</v>
      </c>
      <c r="K1848" s="16">
        <v>190</v>
      </c>
      <c r="L1848" s="1" t="s">
        <v>30</v>
      </c>
      <c r="M1848" t="s">
        <v>58</v>
      </c>
      <c r="N1848" t="str">
        <f t="shared" si="40"/>
        <v>Gb</v>
      </c>
      <c r="O1848" s="8">
        <f>IF(K1848&gt;=1,K1848,K1848*1000)</f>
        <v>190</v>
      </c>
      <c r="P1848">
        <f>ABS(H1848)</f>
        <v>2</v>
      </c>
      <c r="R1848"/>
    </row>
    <row r="1849" spans="1:18" x14ac:dyDescent="0.35">
      <c r="A1849" t="s">
        <v>3220</v>
      </c>
      <c r="B1849" s="2">
        <v>46083</v>
      </c>
      <c r="C1849" t="s">
        <v>3221</v>
      </c>
      <c r="D1849" s="3" t="s">
        <v>99</v>
      </c>
      <c r="E1849" t="s">
        <v>25</v>
      </c>
      <c r="F1849" t="s">
        <v>83</v>
      </c>
      <c r="G1849" t="s">
        <v>84</v>
      </c>
      <c r="H1849" s="8">
        <v>2</v>
      </c>
      <c r="I1849" s="10">
        <v>24</v>
      </c>
      <c r="J1849" s="14">
        <f>P1849*I1849</f>
        <v>48</v>
      </c>
      <c r="K1849" s="16">
        <v>340</v>
      </c>
      <c r="L1849" s="1" t="s">
        <v>30</v>
      </c>
      <c r="M1849" t="s">
        <v>22</v>
      </c>
      <c r="N1849" t="str">
        <f t="shared" si="40"/>
        <v>United Kingdom</v>
      </c>
      <c r="O1849" s="8">
        <f>IF(K1849&gt;=1,K1849,K1849*1000)</f>
        <v>340</v>
      </c>
      <c r="P1849">
        <f>ABS(H1849)</f>
        <v>2</v>
      </c>
      <c r="R1849"/>
    </row>
    <row r="1850" spans="1:18" x14ac:dyDescent="0.35">
      <c r="A1850" t="s">
        <v>3222</v>
      </c>
      <c r="B1850" s="2">
        <v>46079</v>
      </c>
      <c r="C1850" t="s">
        <v>3223</v>
      </c>
      <c r="D1850" s="3" t="s">
        <v>99</v>
      </c>
      <c r="E1850" t="s">
        <v>34</v>
      </c>
      <c r="F1850" t="s">
        <v>35</v>
      </c>
      <c r="G1850" t="s">
        <v>36</v>
      </c>
      <c r="H1850" s="8">
        <v>1</v>
      </c>
      <c r="I1850" s="10">
        <v>134.1</v>
      </c>
      <c r="J1850" s="14">
        <f>P1850*I1850</f>
        <v>134.1</v>
      </c>
      <c r="K1850" s="16">
        <v>85</v>
      </c>
      <c r="L1850" s="1" t="s">
        <v>30</v>
      </c>
      <c r="M1850" t="s">
        <v>22</v>
      </c>
      <c r="N1850" t="str">
        <f t="shared" si="40"/>
        <v>United Kingdom</v>
      </c>
      <c r="O1850" s="8">
        <f>IF(K1850&gt;=1,K1850,K1850*1000)</f>
        <v>85</v>
      </c>
      <c r="P1850">
        <f>ABS(H1850)</f>
        <v>1</v>
      </c>
      <c r="R1850"/>
    </row>
    <row r="1851" spans="1:18" x14ac:dyDescent="0.35">
      <c r="A1851" t="s">
        <v>3224</v>
      </c>
      <c r="B1851" s="2">
        <v>46071</v>
      </c>
      <c r="C1851" t="s">
        <v>2456</v>
      </c>
      <c r="D1851" s="3" t="s">
        <v>99</v>
      </c>
      <c r="E1851" t="s">
        <v>25</v>
      </c>
      <c r="F1851" t="s">
        <v>26</v>
      </c>
      <c r="G1851" t="s">
        <v>27</v>
      </c>
      <c r="H1851" s="8">
        <v>2</v>
      </c>
      <c r="I1851" s="10">
        <v>45</v>
      </c>
      <c r="J1851" s="14">
        <f>P1851*I1851</f>
        <v>90</v>
      </c>
      <c r="K1851" s="16">
        <v>520</v>
      </c>
      <c r="L1851" s="1" t="s">
        <v>21</v>
      </c>
      <c r="M1851" t="s">
        <v>22</v>
      </c>
      <c r="N1851" t="str">
        <f t="shared" si="40"/>
        <v>United Kingdom</v>
      </c>
      <c r="O1851" s="8">
        <f>IF(K1851&gt;=1,K1851,K1851*1000)</f>
        <v>520</v>
      </c>
      <c r="P1851">
        <f>ABS(H1851)</f>
        <v>2</v>
      </c>
      <c r="R1851"/>
    </row>
    <row r="1852" spans="1:18" x14ac:dyDescent="0.35">
      <c r="A1852" t="s">
        <v>3225</v>
      </c>
      <c r="B1852" s="2" t="s">
        <v>168</v>
      </c>
      <c r="C1852" t="s">
        <v>2341</v>
      </c>
      <c r="D1852" s="3" t="s">
        <v>66</v>
      </c>
      <c r="E1852" t="s">
        <v>34</v>
      </c>
      <c r="F1852" t="s">
        <v>83</v>
      </c>
      <c r="G1852" t="s">
        <v>84</v>
      </c>
      <c r="H1852" s="8">
        <v>2</v>
      </c>
      <c r="I1852" s="10">
        <v>89</v>
      </c>
      <c r="J1852" s="14">
        <f>P1852*I1852</f>
        <v>178</v>
      </c>
      <c r="K1852" s="16">
        <v>340</v>
      </c>
      <c r="L1852" s="1" t="s">
        <v>30</v>
      </c>
      <c r="M1852" t="s">
        <v>22</v>
      </c>
      <c r="N1852" t="str">
        <f t="shared" si="40"/>
        <v>Gb</v>
      </c>
      <c r="O1852" s="8">
        <f>IF(K1852&gt;=1,K1852,K1852*1000)</f>
        <v>340</v>
      </c>
      <c r="P1852">
        <f>ABS(H1852)</f>
        <v>2</v>
      </c>
      <c r="R1852"/>
    </row>
    <row r="1853" spans="1:18" x14ac:dyDescent="0.35">
      <c r="A1853" t="s">
        <v>3226</v>
      </c>
      <c r="B1853" s="2">
        <v>46070</v>
      </c>
      <c r="C1853" t="s">
        <v>334</v>
      </c>
      <c r="D1853" s="3" t="s">
        <v>99</v>
      </c>
      <c r="E1853" t="s">
        <v>16</v>
      </c>
      <c r="F1853" t="s">
        <v>35</v>
      </c>
      <c r="G1853" t="s">
        <v>36</v>
      </c>
      <c r="H1853" s="8">
        <v>1</v>
      </c>
      <c r="I1853" s="12" t="s">
        <v>4624</v>
      </c>
      <c r="J1853" s="14">
        <f>P1853*R1853</f>
        <v>24</v>
      </c>
      <c r="K1853" s="16">
        <v>85</v>
      </c>
      <c r="L1853" s="1" t="s">
        <v>21</v>
      </c>
      <c r="M1853" t="s">
        <v>58</v>
      </c>
      <c r="N1853" t="str">
        <f t="shared" si="40"/>
        <v>United Kingdom</v>
      </c>
      <c r="O1853" s="8">
        <f>IF(K1853&gt;=1,K1853,K1853*1000)</f>
        <v>85</v>
      </c>
      <c r="P1853">
        <f>ABS(H1853)</f>
        <v>1</v>
      </c>
      <c r="Q1853" t="str">
        <f>LEFT(I1853,2)</f>
        <v>Â£</v>
      </c>
      <c r="R1853" t="str">
        <f>RIGHT(I1853,5)</f>
        <v>24,00</v>
      </c>
    </row>
    <row r="1854" spans="1:18" x14ac:dyDescent="0.35">
      <c r="A1854" t="s">
        <v>3227</v>
      </c>
      <c r="B1854" s="2">
        <v>46148</v>
      </c>
      <c r="C1854" t="s">
        <v>139</v>
      </c>
      <c r="D1854" s="3" t="s">
        <v>4612</v>
      </c>
      <c r="E1854" t="s">
        <v>34</v>
      </c>
      <c r="F1854" t="s">
        <v>42</v>
      </c>
      <c r="G1854" t="s">
        <v>43</v>
      </c>
      <c r="H1854" s="8">
        <v>1</v>
      </c>
      <c r="I1854" s="10">
        <v>79</v>
      </c>
      <c r="J1854" s="14">
        <f>P1854*I1854</f>
        <v>79</v>
      </c>
      <c r="K1854" s="16">
        <v>0.19</v>
      </c>
      <c r="L1854" s="1" t="s">
        <v>30</v>
      </c>
      <c r="M1854" t="s">
        <v>58</v>
      </c>
      <c r="N1854" t="str">
        <f t="shared" si="40"/>
        <v>United Kingdom</v>
      </c>
      <c r="O1854" s="8">
        <f>IF(K1854&gt;=1,K1854,K1854*1000)</f>
        <v>190</v>
      </c>
      <c r="P1854">
        <f>ABS(H1854)</f>
        <v>1</v>
      </c>
      <c r="R1854"/>
    </row>
    <row r="1855" spans="1:18" x14ac:dyDescent="0.35">
      <c r="A1855" t="s">
        <v>3228</v>
      </c>
      <c r="B1855" s="2">
        <v>46111</v>
      </c>
      <c r="C1855" t="s">
        <v>3229</v>
      </c>
      <c r="D1855" s="3" t="s">
        <v>4612</v>
      </c>
      <c r="E1855" t="s">
        <v>25</v>
      </c>
      <c r="F1855" t="s">
        <v>89</v>
      </c>
      <c r="G1855" t="s">
        <v>90</v>
      </c>
      <c r="H1855" s="8">
        <v>2</v>
      </c>
      <c r="I1855" s="10">
        <v>89</v>
      </c>
      <c r="J1855" s="14">
        <f>P1855*I1855</f>
        <v>178</v>
      </c>
      <c r="K1855" s="16">
        <v>640</v>
      </c>
      <c r="L1855" s="1" t="s">
        <v>21</v>
      </c>
      <c r="M1855" t="s">
        <v>22</v>
      </c>
      <c r="N1855" t="str">
        <f t="shared" si="40"/>
        <v>United Kingdom</v>
      </c>
      <c r="O1855" s="8">
        <f>IF(K1855&gt;=1,K1855,K1855*1000)</f>
        <v>640</v>
      </c>
      <c r="P1855">
        <f>ABS(H1855)</f>
        <v>2</v>
      </c>
      <c r="R1855"/>
    </row>
    <row r="1856" spans="1:18" x14ac:dyDescent="0.35">
      <c r="A1856" t="s">
        <v>3230</v>
      </c>
      <c r="B1856" s="2" t="s">
        <v>1268</v>
      </c>
      <c r="C1856" t="s">
        <v>455</v>
      </c>
      <c r="D1856" s="3" t="s">
        <v>66</v>
      </c>
      <c r="E1856" t="s">
        <v>16</v>
      </c>
      <c r="F1856" t="s">
        <v>83</v>
      </c>
      <c r="G1856" t="s">
        <v>84</v>
      </c>
      <c r="H1856" s="8">
        <v>2</v>
      </c>
      <c r="I1856" s="10">
        <v>149</v>
      </c>
      <c r="J1856" s="14">
        <f>P1856*I1856</f>
        <v>298</v>
      </c>
      <c r="K1856" s="16">
        <v>340</v>
      </c>
      <c r="L1856" s="1" t="s">
        <v>30</v>
      </c>
      <c r="M1856" t="s">
        <v>22</v>
      </c>
      <c r="N1856" t="str">
        <f t="shared" si="40"/>
        <v>Gb</v>
      </c>
      <c r="O1856" s="8">
        <f>IF(K1856&gt;=1,K1856,K1856*1000)</f>
        <v>340</v>
      </c>
      <c r="P1856">
        <f>ABS(H1856)</f>
        <v>2</v>
      </c>
      <c r="R1856"/>
    </row>
    <row r="1857" spans="1:18" x14ac:dyDescent="0.35">
      <c r="A1857" t="s">
        <v>3231</v>
      </c>
      <c r="B1857" s="2">
        <v>46190</v>
      </c>
      <c r="C1857" t="s">
        <v>1702</v>
      </c>
      <c r="D1857" s="3" t="s">
        <v>99</v>
      </c>
      <c r="E1857" t="s">
        <v>25</v>
      </c>
      <c r="F1857" t="s">
        <v>17</v>
      </c>
      <c r="G1857" t="s">
        <v>18</v>
      </c>
      <c r="H1857" s="8">
        <v>2</v>
      </c>
      <c r="I1857" s="10">
        <v>85.5</v>
      </c>
      <c r="J1857" s="14">
        <f>P1857*I1857</f>
        <v>171</v>
      </c>
      <c r="K1857" s="16">
        <v>0.52</v>
      </c>
      <c r="L1857" s="1" t="s">
        <v>30</v>
      </c>
      <c r="M1857" t="s">
        <v>22</v>
      </c>
      <c r="N1857" t="str">
        <f t="shared" si="40"/>
        <v>United Kingdom</v>
      </c>
      <c r="O1857" s="8">
        <f>IF(K1857&gt;=1,K1857,K1857*1000)</f>
        <v>520</v>
      </c>
      <c r="P1857">
        <f>ABS(H1857)</f>
        <v>2</v>
      </c>
      <c r="R1857"/>
    </row>
    <row r="1858" spans="1:18" x14ac:dyDescent="0.35">
      <c r="A1858" t="s">
        <v>3232</v>
      </c>
      <c r="B1858" s="2">
        <v>46117</v>
      </c>
      <c r="C1858" t="s">
        <v>3233</v>
      </c>
      <c r="D1858" s="3" t="s">
        <v>53</v>
      </c>
      <c r="E1858" t="s">
        <v>41</v>
      </c>
      <c r="F1858" t="s">
        <v>17</v>
      </c>
      <c r="G1858" t="s">
        <v>18</v>
      </c>
      <c r="H1858" s="8">
        <v>1</v>
      </c>
      <c r="I1858" s="10">
        <v>80.099999999999994</v>
      </c>
      <c r="J1858" s="14">
        <f>P1858*I1858</f>
        <v>80.099999999999994</v>
      </c>
      <c r="K1858" s="16">
        <v>520</v>
      </c>
      <c r="L1858" s="1" t="s">
        <v>30</v>
      </c>
      <c r="M1858" t="s">
        <v>22</v>
      </c>
      <c r="N1858" t="str">
        <f t="shared" si="40"/>
        <v>Gb</v>
      </c>
      <c r="O1858" s="8">
        <f>IF(K1858&gt;=1,K1858,K1858*1000)</f>
        <v>520</v>
      </c>
      <c r="P1858">
        <f>ABS(H1858)</f>
        <v>1</v>
      </c>
      <c r="R1858"/>
    </row>
    <row r="1859" spans="1:18" x14ac:dyDescent="0.35">
      <c r="A1859" t="s">
        <v>3234</v>
      </c>
      <c r="B1859" s="2">
        <v>46072</v>
      </c>
      <c r="C1859" t="s">
        <v>1021</v>
      </c>
      <c r="D1859" s="3" t="s">
        <v>4612</v>
      </c>
      <c r="E1859" t="s">
        <v>41</v>
      </c>
      <c r="F1859" t="s">
        <v>83</v>
      </c>
      <c r="G1859" t="s">
        <v>84</v>
      </c>
      <c r="H1859" s="8">
        <v>1</v>
      </c>
      <c r="I1859" s="10">
        <v>80.099999999999994</v>
      </c>
      <c r="J1859" s="14">
        <f>P1859*I1859</f>
        <v>80.099999999999994</v>
      </c>
      <c r="K1859" s="16">
        <v>340</v>
      </c>
      <c r="L1859" s="1" t="s">
        <v>30</v>
      </c>
      <c r="M1859" t="s">
        <v>22</v>
      </c>
      <c r="N1859" t="str">
        <f t="shared" ref="N1859:N1922" si="41">PROPER(TRIM(D1859))</f>
        <v>United Kingdom</v>
      </c>
      <c r="O1859" s="8">
        <f>IF(K1859&gt;=1,K1859,K1859*1000)</f>
        <v>340</v>
      </c>
      <c r="P1859">
        <f>ABS(H1859)</f>
        <v>1</v>
      </c>
      <c r="R1859"/>
    </row>
    <row r="1860" spans="1:18" x14ac:dyDescent="0.35">
      <c r="A1860" t="s">
        <v>3235</v>
      </c>
      <c r="B1860" s="2">
        <v>46041</v>
      </c>
      <c r="C1860" t="s">
        <v>2556</v>
      </c>
      <c r="D1860" s="3" t="s">
        <v>4613</v>
      </c>
      <c r="E1860" t="s">
        <v>41</v>
      </c>
      <c r="F1860" t="s">
        <v>47</v>
      </c>
      <c r="G1860" t="s">
        <v>48</v>
      </c>
      <c r="H1860" s="8">
        <v>3</v>
      </c>
      <c r="I1860" s="10">
        <v>149</v>
      </c>
      <c r="J1860" s="14">
        <f>P1860*I1860</f>
        <v>447</v>
      </c>
      <c r="K1860" s="16">
        <v>380</v>
      </c>
      <c r="L1860" s="1" t="s">
        <v>30</v>
      </c>
      <c r="M1860" t="s">
        <v>22</v>
      </c>
      <c r="N1860" t="str">
        <f t="shared" si="41"/>
        <v>United Kingdom</v>
      </c>
      <c r="O1860" s="8">
        <f>IF(K1860&gt;=1,K1860,K1860*1000)</f>
        <v>380</v>
      </c>
      <c r="P1860">
        <f>ABS(H1860)</f>
        <v>3</v>
      </c>
      <c r="R1860"/>
    </row>
    <row r="1861" spans="1:18" x14ac:dyDescent="0.35">
      <c r="A1861" t="s">
        <v>3236</v>
      </c>
      <c r="B1861" s="2">
        <v>46115</v>
      </c>
      <c r="C1861" t="s">
        <v>2715</v>
      </c>
      <c r="D1861" s="3" t="s">
        <v>116</v>
      </c>
      <c r="E1861" t="s">
        <v>25</v>
      </c>
      <c r="F1861" t="s">
        <v>83</v>
      </c>
      <c r="G1861" t="s">
        <v>84</v>
      </c>
      <c r="H1861" s="8">
        <v>1</v>
      </c>
      <c r="I1861" s="10">
        <v>45</v>
      </c>
      <c r="J1861" s="14">
        <f>P1861*I1861</f>
        <v>45</v>
      </c>
      <c r="K1861" s="16">
        <v>340</v>
      </c>
      <c r="L1861" s="1" t="s">
        <v>30</v>
      </c>
      <c r="M1861" t="s">
        <v>22</v>
      </c>
      <c r="N1861" t="str">
        <f t="shared" si="41"/>
        <v>Germany</v>
      </c>
      <c r="O1861" s="8">
        <f>IF(K1861&gt;=1,K1861,K1861*1000)</f>
        <v>340</v>
      </c>
      <c r="P1861">
        <f>ABS(H1861)</f>
        <v>1</v>
      </c>
      <c r="R1861"/>
    </row>
    <row r="1862" spans="1:18" x14ac:dyDescent="0.35">
      <c r="A1862" t="s">
        <v>3237</v>
      </c>
      <c r="B1862" s="2">
        <v>46327</v>
      </c>
      <c r="C1862" t="s">
        <v>2160</v>
      </c>
      <c r="D1862" s="3" t="s">
        <v>4612</v>
      </c>
      <c r="E1862" t="s">
        <v>67</v>
      </c>
      <c r="F1862" t="s">
        <v>17</v>
      </c>
      <c r="G1862" t="s">
        <v>18</v>
      </c>
      <c r="H1862" s="8">
        <v>1</v>
      </c>
      <c r="I1862" s="10">
        <v>24</v>
      </c>
      <c r="J1862" s="14">
        <f>P1862*I1862</f>
        <v>24</v>
      </c>
      <c r="K1862" s="16">
        <v>520</v>
      </c>
      <c r="L1862" s="1" t="s">
        <v>30</v>
      </c>
      <c r="M1862" t="s">
        <v>58</v>
      </c>
      <c r="N1862" t="str">
        <f t="shared" si="41"/>
        <v>United Kingdom</v>
      </c>
      <c r="O1862" s="8">
        <f>IF(K1862&gt;=1,K1862,K1862*1000)</f>
        <v>520</v>
      </c>
      <c r="P1862">
        <f>ABS(H1862)</f>
        <v>1</v>
      </c>
      <c r="R1862"/>
    </row>
    <row r="1863" spans="1:18" x14ac:dyDescent="0.35">
      <c r="A1863" t="s">
        <v>3238</v>
      </c>
      <c r="B1863" s="2">
        <v>46104</v>
      </c>
      <c r="C1863" t="s">
        <v>877</v>
      </c>
      <c r="D1863" s="3" t="s">
        <v>66</v>
      </c>
      <c r="E1863" t="s">
        <v>16</v>
      </c>
      <c r="F1863" t="s">
        <v>35</v>
      </c>
      <c r="G1863" t="s">
        <v>36</v>
      </c>
      <c r="H1863" s="8">
        <v>3</v>
      </c>
      <c r="I1863" s="10">
        <v>89</v>
      </c>
      <c r="J1863" s="14">
        <f>P1863*I1863</f>
        <v>267</v>
      </c>
      <c r="K1863" s="16">
        <v>85</v>
      </c>
      <c r="L1863" s="1" t="s">
        <v>21</v>
      </c>
      <c r="M1863" t="s">
        <v>58</v>
      </c>
      <c r="N1863" t="str">
        <f t="shared" si="41"/>
        <v>Gb</v>
      </c>
      <c r="O1863" s="8">
        <f>IF(K1863&gt;=1,K1863,K1863*1000)</f>
        <v>85</v>
      </c>
      <c r="P1863">
        <f>ABS(H1863)</f>
        <v>3</v>
      </c>
      <c r="R1863"/>
    </row>
    <row r="1864" spans="1:18" x14ac:dyDescent="0.35">
      <c r="A1864" t="s">
        <v>3239</v>
      </c>
      <c r="B1864" s="2" t="s">
        <v>236</v>
      </c>
      <c r="C1864" t="s">
        <v>3018</v>
      </c>
      <c r="D1864" s="3" t="s">
        <v>66</v>
      </c>
      <c r="E1864" t="s">
        <v>16</v>
      </c>
      <c r="F1864" t="s">
        <v>83</v>
      </c>
      <c r="G1864" t="s">
        <v>84</v>
      </c>
      <c r="H1864" s="8">
        <v>1</v>
      </c>
      <c r="I1864" s="10">
        <v>45</v>
      </c>
      <c r="J1864" s="14">
        <f>P1864*I1864</f>
        <v>45</v>
      </c>
      <c r="K1864" s="16">
        <v>340</v>
      </c>
      <c r="L1864" s="1" t="s">
        <v>30</v>
      </c>
      <c r="M1864" t="s">
        <v>58</v>
      </c>
      <c r="N1864" t="str">
        <f t="shared" si="41"/>
        <v>Gb</v>
      </c>
      <c r="O1864" s="8">
        <f>IF(K1864&gt;=1,K1864,K1864*1000)</f>
        <v>340</v>
      </c>
      <c r="P1864">
        <f>ABS(H1864)</f>
        <v>1</v>
      </c>
      <c r="R1864"/>
    </row>
    <row r="1865" spans="1:18" x14ac:dyDescent="0.35">
      <c r="A1865" t="s">
        <v>3240</v>
      </c>
      <c r="B1865" s="2">
        <v>46113</v>
      </c>
      <c r="C1865" t="s">
        <v>2730</v>
      </c>
      <c r="D1865" s="3" t="s">
        <v>116</v>
      </c>
      <c r="E1865" t="s">
        <v>41</v>
      </c>
      <c r="F1865" t="s">
        <v>47</v>
      </c>
      <c r="G1865" t="s">
        <v>48</v>
      </c>
      <c r="H1865" s="8">
        <v>-1</v>
      </c>
      <c r="I1865" s="12" t="s">
        <v>4629</v>
      </c>
      <c r="J1865" s="14">
        <f>P1865*R1865</f>
        <v>34.1</v>
      </c>
      <c r="K1865" s="16">
        <v>380</v>
      </c>
      <c r="L1865" s="1" t="s">
        <v>30</v>
      </c>
      <c r="M1865" t="s">
        <v>22</v>
      </c>
      <c r="N1865" t="str">
        <f t="shared" si="41"/>
        <v>Germany</v>
      </c>
      <c r="O1865" s="8">
        <f>IF(K1865&gt;=1,K1865,K1865*1000)</f>
        <v>380</v>
      </c>
      <c r="P1865">
        <f>ABS(H1865)</f>
        <v>1</v>
      </c>
      <c r="Q1865" t="str">
        <f>LEFT(I1865,3)</f>
        <v>GBP</v>
      </c>
      <c r="R1865" s="10" t="str">
        <f>RIGHT(I1865,5)</f>
        <v>34,10</v>
      </c>
    </row>
    <row r="1866" spans="1:18" x14ac:dyDescent="0.35">
      <c r="A1866" t="s">
        <v>3242</v>
      </c>
      <c r="B1866" s="2">
        <v>46172</v>
      </c>
      <c r="C1866" t="s">
        <v>2983</v>
      </c>
      <c r="D1866" s="3" t="s">
        <v>99</v>
      </c>
      <c r="E1866" t="s">
        <v>67</v>
      </c>
      <c r="F1866" t="s">
        <v>89</v>
      </c>
      <c r="G1866" t="s">
        <v>90</v>
      </c>
      <c r="H1866" s="8">
        <v>1</v>
      </c>
      <c r="I1866" s="10">
        <v>71.099999999999994</v>
      </c>
      <c r="J1866" s="14">
        <f>P1866*I1866</f>
        <v>71.099999999999994</v>
      </c>
      <c r="K1866" s="16">
        <v>0.64</v>
      </c>
      <c r="L1866" s="1" t="s">
        <v>30</v>
      </c>
      <c r="M1866" t="s">
        <v>58</v>
      </c>
      <c r="N1866" t="str">
        <f t="shared" si="41"/>
        <v>United Kingdom</v>
      </c>
      <c r="O1866" s="8">
        <f>IF(K1866&gt;=1,K1866,K1866*1000)</f>
        <v>640</v>
      </c>
      <c r="P1866">
        <f>ABS(H1866)</f>
        <v>1</v>
      </c>
      <c r="R1866"/>
    </row>
    <row r="1867" spans="1:18" x14ac:dyDescent="0.35">
      <c r="A1867" t="s">
        <v>3243</v>
      </c>
      <c r="B1867" s="2">
        <v>46182</v>
      </c>
      <c r="C1867" t="s">
        <v>3244</v>
      </c>
      <c r="D1867" s="3" t="s">
        <v>46</v>
      </c>
      <c r="E1867" t="s">
        <v>25</v>
      </c>
      <c r="F1867" t="s">
        <v>89</v>
      </c>
      <c r="G1867" t="s">
        <v>90</v>
      </c>
      <c r="H1867" s="8">
        <v>1</v>
      </c>
      <c r="I1867" s="10">
        <v>129</v>
      </c>
      <c r="J1867" s="14">
        <f>P1867*I1867</f>
        <v>129</v>
      </c>
      <c r="K1867" s="16">
        <v>0.64</v>
      </c>
      <c r="L1867" s="1" t="s">
        <v>30</v>
      </c>
      <c r="M1867" t="s">
        <v>22</v>
      </c>
      <c r="N1867" t="str">
        <f t="shared" si="41"/>
        <v>Ireland</v>
      </c>
      <c r="O1867" s="8">
        <f>IF(K1867&gt;=1,K1867,K1867*1000)</f>
        <v>640</v>
      </c>
      <c r="P1867">
        <f>ABS(H1867)</f>
        <v>1</v>
      </c>
      <c r="R1867"/>
    </row>
    <row r="1868" spans="1:18" x14ac:dyDescent="0.35">
      <c r="A1868" t="s">
        <v>3245</v>
      </c>
      <c r="B1868" s="2">
        <v>46081</v>
      </c>
      <c r="C1868" t="s">
        <v>291</v>
      </c>
      <c r="D1868" s="3" t="s">
        <v>4613</v>
      </c>
      <c r="E1868" t="s">
        <v>41</v>
      </c>
      <c r="F1868" t="s">
        <v>47</v>
      </c>
      <c r="G1868" t="s">
        <v>48</v>
      </c>
      <c r="H1868" s="8">
        <v>1</v>
      </c>
      <c r="I1868" s="10">
        <v>79</v>
      </c>
      <c r="J1868" s="14">
        <f>P1868*I1868</f>
        <v>79</v>
      </c>
      <c r="K1868" s="16">
        <v>380</v>
      </c>
      <c r="L1868" s="1" t="s">
        <v>30</v>
      </c>
      <c r="M1868" t="s">
        <v>22</v>
      </c>
      <c r="N1868" t="str">
        <f t="shared" si="41"/>
        <v>United Kingdom</v>
      </c>
      <c r="O1868" s="8">
        <f>IF(K1868&gt;=1,K1868,K1868*1000)</f>
        <v>380</v>
      </c>
      <c r="P1868">
        <f>ABS(H1868)</f>
        <v>1</v>
      </c>
      <c r="R1868"/>
    </row>
    <row r="1869" spans="1:18" x14ac:dyDescent="0.35">
      <c r="A1869" t="s">
        <v>3246</v>
      </c>
      <c r="B1869" s="2" t="s">
        <v>2018</v>
      </c>
      <c r="C1869" t="s">
        <v>3247</v>
      </c>
      <c r="D1869" s="3" t="s">
        <v>61</v>
      </c>
      <c r="E1869" t="s">
        <v>41</v>
      </c>
      <c r="F1869" t="s">
        <v>42</v>
      </c>
      <c r="G1869" t="s">
        <v>43</v>
      </c>
      <c r="H1869" s="8">
        <v>1</v>
      </c>
      <c r="I1869" s="10">
        <v>116.1</v>
      </c>
      <c r="J1869" s="14">
        <f>P1869*I1869</f>
        <v>116.1</v>
      </c>
      <c r="K1869" s="16">
        <v>190</v>
      </c>
      <c r="L1869" s="1" t="s">
        <v>21</v>
      </c>
      <c r="M1869" t="s">
        <v>22</v>
      </c>
      <c r="N1869" t="str">
        <f t="shared" si="41"/>
        <v>Ireland</v>
      </c>
      <c r="O1869" s="8">
        <f>IF(K1869&gt;=1,K1869,K1869*1000)</f>
        <v>190</v>
      </c>
      <c r="P1869">
        <f>ABS(H1869)</f>
        <v>1</v>
      </c>
      <c r="R1869"/>
    </row>
    <row r="1870" spans="1:18" x14ac:dyDescent="0.35">
      <c r="A1870" t="s">
        <v>3248</v>
      </c>
      <c r="B1870" s="2">
        <v>46093</v>
      </c>
      <c r="C1870" t="s">
        <v>3249</v>
      </c>
      <c r="D1870" s="3" t="s">
        <v>4613</v>
      </c>
      <c r="E1870" t="s">
        <v>16</v>
      </c>
      <c r="F1870" t="s">
        <v>89</v>
      </c>
      <c r="G1870" t="s">
        <v>90</v>
      </c>
      <c r="H1870" s="8">
        <v>1</v>
      </c>
      <c r="I1870" s="12" t="s">
        <v>4639</v>
      </c>
      <c r="J1870" s="14">
        <f>P1870*R1870</f>
        <v>12.5</v>
      </c>
      <c r="K1870" s="16">
        <v>640</v>
      </c>
      <c r="L1870" s="1" t="s">
        <v>30</v>
      </c>
      <c r="M1870" t="s">
        <v>22</v>
      </c>
      <c r="N1870" t="str">
        <f t="shared" si="41"/>
        <v>United Kingdom</v>
      </c>
      <c r="O1870" s="8">
        <f>IF(K1870&gt;=1,K1870,K1870*1000)</f>
        <v>640</v>
      </c>
      <c r="P1870">
        <f>ABS(H1870)</f>
        <v>1</v>
      </c>
      <c r="Q1870" t="str">
        <f>LEFT(I1870,2)</f>
        <v>Â£</v>
      </c>
      <c r="R1870" t="str">
        <f>RIGHT(I1870,5)</f>
        <v>12,50</v>
      </c>
    </row>
    <row r="1871" spans="1:18" x14ac:dyDescent="0.35">
      <c r="A1871" t="s">
        <v>3250</v>
      </c>
      <c r="B1871" s="2">
        <v>46188</v>
      </c>
      <c r="C1871" t="s">
        <v>3251</v>
      </c>
      <c r="D1871" s="3" t="s">
        <v>99</v>
      </c>
      <c r="E1871" t="s">
        <v>67</v>
      </c>
      <c r="F1871" t="s">
        <v>89</v>
      </c>
      <c r="G1871" t="s">
        <v>90</v>
      </c>
      <c r="H1871" s="8">
        <v>1</v>
      </c>
      <c r="I1871" s="10">
        <v>12.5</v>
      </c>
      <c r="J1871" s="14">
        <f>P1871*I1871</f>
        <v>12.5</v>
      </c>
      <c r="K1871" s="16">
        <v>0.64</v>
      </c>
      <c r="L1871" s="1" t="s">
        <v>30</v>
      </c>
      <c r="M1871" t="s">
        <v>22</v>
      </c>
      <c r="N1871" t="str">
        <f t="shared" si="41"/>
        <v>United Kingdom</v>
      </c>
      <c r="O1871" s="8">
        <f>IF(K1871&gt;=1,K1871,K1871*1000)</f>
        <v>640</v>
      </c>
      <c r="P1871">
        <f>ABS(H1871)</f>
        <v>1</v>
      </c>
      <c r="R1871"/>
    </row>
    <row r="1872" spans="1:18" x14ac:dyDescent="0.35">
      <c r="A1872" t="s">
        <v>3252</v>
      </c>
      <c r="B1872" s="2">
        <v>46172</v>
      </c>
      <c r="C1872" t="s">
        <v>1351</v>
      </c>
      <c r="D1872" s="3" t="s">
        <v>116</v>
      </c>
      <c r="E1872" t="s">
        <v>41</v>
      </c>
      <c r="F1872" t="s">
        <v>17</v>
      </c>
      <c r="G1872" t="s">
        <v>18</v>
      </c>
      <c r="H1872" s="8">
        <v>2</v>
      </c>
      <c r="I1872" s="10">
        <v>85.5</v>
      </c>
      <c r="J1872" s="14">
        <f>P1872*I1872</f>
        <v>171</v>
      </c>
      <c r="K1872" s="16">
        <v>0.52</v>
      </c>
      <c r="L1872" s="1" t="s">
        <v>21</v>
      </c>
      <c r="M1872" t="s">
        <v>22</v>
      </c>
      <c r="N1872" t="str">
        <f t="shared" si="41"/>
        <v>Germany</v>
      </c>
      <c r="O1872" s="8">
        <f>IF(K1872&gt;=1,K1872,K1872*1000)</f>
        <v>520</v>
      </c>
      <c r="P1872">
        <f>ABS(H1872)</f>
        <v>2</v>
      </c>
      <c r="R1872"/>
    </row>
    <row r="1873" spans="1:18" x14ac:dyDescent="0.35">
      <c r="A1873" t="s">
        <v>3253</v>
      </c>
      <c r="B1873" s="2">
        <v>46122</v>
      </c>
      <c r="C1873" t="s">
        <v>2160</v>
      </c>
      <c r="D1873" s="3" t="s">
        <v>53</v>
      </c>
      <c r="E1873" t="s">
        <v>34</v>
      </c>
      <c r="F1873" t="s">
        <v>26</v>
      </c>
      <c r="G1873" t="s">
        <v>27</v>
      </c>
      <c r="H1873" s="8">
        <v>1</v>
      </c>
      <c r="I1873" s="10">
        <v>79</v>
      </c>
      <c r="J1873" s="14">
        <f>P1873*I1873</f>
        <v>79</v>
      </c>
      <c r="K1873" s="16">
        <v>520</v>
      </c>
      <c r="L1873" s="1" t="s">
        <v>30</v>
      </c>
      <c r="M1873" t="s">
        <v>22</v>
      </c>
      <c r="N1873" t="str">
        <f t="shared" si="41"/>
        <v>Gb</v>
      </c>
      <c r="O1873" s="8">
        <f>IF(K1873&gt;=1,K1873,K1873*1000)</f>
        <v>520</v>
      </c>
      <c r="P1873">
        <f>ABS(H1873)</f>
        <v>1</v>
      </c>
      <c r="R1873"/>
    </row>
    <row r="1874" spans="1:18" x14ac:dyDescent="0.35">
      <c r="A1874" t="s">
        <v>3254</v>
      </c>
      <c r="B1874" s="2">
        <v>46138</v>
      </c>
      <c r="C1874" t="s">
        <v>2660</v>
      </c>
      <c r="D1874" s="3" t="s">
        <v>116</v>
      </c>
      <c r="E1874" t="s">
        <v>41</v>
      </c>
      <c r="F1874" t="s">
        <v>42</v>
      </c>
      <c r="G1874" t="s">
        <v>43</v>
      </c>
      <c r="H1874" s="8">
        <v>2</v>
      </c>
      <c r="I1874" s="12" t="s">
        <v>4647</v>
      </c>
      <c r="J1874" s="14">
        <f>P1874*R1874</f>
        <v>171</v>
      </c>
      <c r="K1874" s="16">
        <v>0.19</v>
      </c>
      <c r="L1874" s="1" t="s">
        <v>30</v>
      </c>
      <c r="M1874" t="s">
        <v>22</v>
      </c>
      <c r="N1874" t="str">
        <f t="shared" si="41"/>
        <v>Germany</v>
      </c>
      <c r="O1874" s="8">
        <f>IF(K1874&gt;=1,K1874,K1874*1000)</f>
        <v>190</v>
      </c>
      <c r="P1874">
        <f>ABS(H1874)</f>
        <v>2</v>
      </c>
      <c r="Q1874" t="str">
        <f>LEFT(I1874,3)</f>
        <v>GBP</v>
      </c>
      <c r="R1874" s="10" t="str">
        <f>RIGHT(I1874,5)</f>
        <v>85,50</v>
      </c>
    </row>
    <row r="1875" spans="1:18" x14ac:dyDescent="0.35">
      <c r="A1875" t="s">
        <v>3255</v>
      </c>
      <c r="B1875" s="2">
        <v>46149</v>
      </c>
      <c r="C1875" t="s">
        <v>1528</v>
      </c>
      <c r="D1875" s="3" t="s">
        <v>4613</v>
      </c>
      <c r="E1875" t="s">
        <v>34</v>
      </c>
      <c r="F1875" t="s">
        <v>47</v>
      </c>
      <c r="G1875" t="s">
        <v>48</v>
      </c>
      <c r="H1875" s="8">
        <v>3</v>
      </c>
      <c r="I1875" s="10">
        <v>40.5</v>
      </c>
      <c r="J1875" s="14">
        <f>P1875*I1875</f>
        <v>121.5</v>
      </c>
      <c r="K1875" s="16">
        <v>0.38</v>
      </c>
      <c r="L1875" s="1" t="s">
        <v>30</v>
      </c>
      <c r="M1875" t="s">
        <v>22</v>
      </c>
      <c r="N1875" t="str">
        <f t="shared" si="41"/>
        <v>United Kingdom</v>
      </c>
      <c r="O1875" s="8">
        <f>IF(K1875&gt;=1,K1875,K1875*1000)</f>
        <v>380</v>
      </c>
      <c r="P1875">
        <f>ABS(H1875)</f>
        <v>3</v>
      </c>
      <c r="R1875"/>
    </row>
    <row r="1876" spans="1:18" x14ac:dyDescent="0.35">
      <c r="A1876" t="s">
        <v>3256</v>
      </c>
      <c r="B1876" s="2">
        <v>46199</v>
      </c>
      <c r="C1876" t="s">
        <v>3257</v>
      </c>
      <c r="D1876" s="3" t="s">
        <v>15</v>
      </c>
      <c r="E1876" t="s">
        <v>67</v>
      </c>
      <c r="F1876" t="s">
        <v>74</v>
      </c>
      <c r="G1876" t="s">
        <v>75</v>
      </c>
      <c r="H1876" s="8">
        <v>1</v>
      </c>
      <c r="I1876" s="10">
        <v>24</v>
      </c>
      <c r="J1876" s="14">
        <f>P1876*I1876</f>
        <v>24</v>
      </c>
      <c r="K1876" s="16">
        <v>0.41</v>
      </c>
      <c r="L1876" s="1" t="s">
        <v>30</v>
      </c>
      <c r="M1876" t="s">
        <v>58</v>
      </c>
      <c r="N1876" t="str">
        <f t="shared" si="41"/>
        <v>France</v>
      </c>
      <c r="O1876" s="8">
        <f>IF(K1876&gt;=1,K1876,K1876*1000)</f>
        <v>410</v>
      </c>
      <c r="P1876">
        <f>ABS(H1876)</f>
        <v>1</v>
      </c>
      <c r="R1876"/>
    </row>
    <row r="1877" spans="1:18" x14ac:dyDescent="0.35">
      <c r="A1877" t="s">
        <v>3258</v>
      </c>
      <c r="B1877" s="2">
        <v>46144</v>
      </c>
      <c r="C1877" t="s">
        <v>1204</v>
      </c>
      <c r="D1877" s="3" t="s">
        <v>61</v>
      </c>
      <c r="E1877" t="s">
        <v>34</v>
      </c>
      <c r="F1877" t="s">
        <v>47</v>
      </c>
      <c r="G1877" t="s">
        <v>48</v>
      </c>
      <c r="H1877" s="8">
        <v>1</v>
      </c>
      <c r="I1877" s="10">
        <v>89</v>
      </c>
      <c r="J1877" s="14">
        <f>P1877*I1877</f>
        <v>89</v>
      </c>
      <c r="K1877" s="16">
        <v>0.38</v>
      </c>
      <c r="L1877" s="1" t="s">
        <v>21</v>
      </c>
      <c r="M1877" t="s">
        <v>22</v>
      </c>
      <c r="N1877" t="str">
        <f t="shared" si="41"/>
        <v>Ireland</v>
      </c>
      <c r="O1877" s="8">
        <f>IF(K1877&gt;=1,K1877,K1877*1000)</f>
        <v>380</v>
      </c>
      <c r="P1877">
        <f>ABS(H1877)</f>
        <v>1</v>
      </c>
      <c r="R1877"/>
    </row>
    <row r="1878" spans="1:18" x14ac:dyDescent="0.35">
      <c r="A1878" t="s">
        <v>3259</v>
      </c>
      <c r="B1878" s="2">
        <v>46056</v>
      </c>
      <c r="C1878" t="s">
        <v>1379</v>
      </c>
      <c r="D1878" s="3" t="s">
        <v>15</v>
      </c>
      <c r="E1878" t="s">
        <v>25</v>
      </c>
      <c r="F1878" t="s">
        <v>74</v>
      </c>
      <c r="G1878" t="s">
        <v>75</v>
      </c>
      <c r="H1878" s="8">
        <v>1</v>
      </c>
      <c r="I1878" s="10">
        <v>24</v>
      </c>
      <c r="J1878" s="14">
        <f>P1878*I1878</f>
        <v>24</v>
      </c>
      <c r="K1878" s="16">
        <v>410</v>
      </c>
      <c r="L1878" s="1" t="s">
        <v>30</v>
      </c>
      <c r="M1878" t="s">
        <v>22</v>
      </c>
      <c r="N1878" t="str">
        <f t="shared" si="41"/>
        <v>France</v>
      </c>
      <c r="O1878" s="8">
        <f>IF(K1878&gt;=1,K1878,K1878*1000)</f>
        <v>410</v>
      </c>
      <c r="P1878">
        <f>ABS(H1878)</f>
        <v>1</v>
      </c>
      <c r="R1878"/>
    </row>
    <row r="1879" spans="1:18" x14ac:dyDescent="0.35">
      <c r="A1879" t="s">
        <v>3260</v>
      </c>
      <c r="B1879" s="2">
        <v>46041</v>
      </c>
      <c r="C1879" t="s">
        <v>2850</v>
      </c>
      <c r="D1879" s="3" t="s">
        <v>66</v>
      </c>
      <c r="E1879" t="s">
        <v>34</v>
      </c>
      <c r="F1879" t="s">
        <v>35</v>
      </c>
      <c r="G1879" t="s">
        <v>36</v>
      </c>
      <c r="H1879" s="8">
        <v>1</v>
      </c>
      <c r="I1879" s="10">
        <v>85.5</v>
      </c>
      <c r="J1879" s="14">
        <f>P1879*I1879</f>
        <v>85.5</v>
      </c>
      <c r="K1879" s="16">
        <v>85</v>
      </c>
      <c r="L1879" s="1" t="s">
        <v>30</v>
      </c>
      <c r="M1879" t="s">
        <v>22</v>
      </c>
      <c r="N1879" t="str">
        <f t="shared" si="41"/>
        <v>Gb</v>
      </c>
      <c r="O1879" s="8">
        <f>IF(K1879&gt;=1,K1879,K1879*1000)</f>
        <v>85</v>
      </c>
      <c r="P1879">
        <f>ABS(H1879)</f>
        <v>1</v>
      </c>
      <c r="R1879"/>
    </row>
    <row r="1880" spans="1:18" x14ac:dyDescent="0.35">
      <c r="A1880" t="s">
        <v>3261</v>
      </c>
      <c r="B1880" s="2">
        <v>46065</v>
      </c>
      <c r="C1880" t="s">
        <v>2110</v>
      </c>
      <c r="D1880" s="3" t="s">
        <v>4613</v>
      </c>
      <c r="E1880" t="s">
        <v>41</v>
      </c>
      <c r="F1880" t="s">
        <v>74</v>
      </c>
      <c r="G1880" t="s">
        <v>75</v>
      </c>
      <c r="H1880" s="8">
        <v>1</v>
      </c>
      <c r="I1880" s="10">
        <v>85.5</v>
      </c>
      <c r="J1880" s="14">
        <f>P1880*I1880</f>
        <v>85.5</v>
      </c>
      <c r="K1880" s="16">
        <v>410</v>
      </c>
      <c r="L1880" s="1" t="s">
        <v>21</v>
      </c>
      <c r="M1880" t="s">
        <v>22</v>
      </c>
      <c r="N1880" t="str">
        <f t="shared" si="41"/>
        <v>United Kingdom</v>
      </c>
      <c r="O1880" s="8">
        <f>IF(K1880&gt;=1,K1880,K1880*1000)</f>
        <v>410</v>
      </c>
      <c r="P1880">
        <f>ABS(H1880)</f>
        <v>1</v>
      </c>
      <c r="R1880"/>
    </row>
    <row r="1881" spans="1:18" x14ac:dyDescent="0.35">
      <c r="A1881" t="s">
        <v>3262</v>
      </c>
      <c r="B1881" s="2">
        <v>46059</v>
      </c>
      <c r="C1881" t="s">
        <v>3024</v>
      </c>
      <c r="D1881" s="3" t="s">
        <v>116</v>
      </c>
      <c r="E1881" t="s">
        <v>16</v>
      </c>
      <c r="F1881" t="s">
        <v>26</v>
      </c>
      <c r="G1881" t="s">
        <v>27</v>
      </c>
      <c r="H1881" s="8">
        <v>1</v>
      </c>
      <c r="I1881" s="10">
        <v>40.5</v>
      </c>
      <c r="J1881" s="14">
        <f>P1881*I1881</f>
        <v>40.5</v>
      </c>
      <c r="K1881" s="16">
        <v>520</v>
      </c>
      <c r="L1881" s="1" t="s">
        <v>30</v>
      </c>
      <c r="M1881" t="s">
        <v>22</v>
      </c>
      <c r="N1881" t="str">
        <f t="shared" si="41"/>
        <v>Germany</v>
      </c>
      <c r="O1881" s="8">
        <f>IF(K1881&gt;=1,K1881,K1881*1000)</f>
        <v>520</v>
      </c>
      <c r="P1881">
        <f>ABS(H1881)</f>
        <v>1</v>
      </c>
      <c r="R1881"/>
    </row>
    <row r="1882" spans="1:18" x14ac:dyDescent="0.35">
      <c r="A1882" t="s">
        <v>3263</v>
      </c>
      <c r="B1882" s="2">
        <v>46047</v>
      </c>
      <c r="C1882" t="s">
        <v>1914</v>
      </c>
      <c r="D1882" s="3" t="s">
        <v>4613</v>
      </c>
      <c r="E1882" t="s">
        <v>34</v>
      </c>
      <c r="F1882" t="s">
        <v>47</v>
      </c>
      <c r="G1882" t="s">
        <v>48</v>
      </c>
      <c r="H1882" s="8">
        <v>1</v>
      </c>
      <c r="I1882" s="10">
        <v>40.5</v>
      </c>
      <c r="J1882" s="14">
        <f>P1882*I1882</f>
        <v>40.5</v>
      </c>
      <c r="K1882" s="16">
        <v>380</v>
      </c>
      <c r="L1882" s="1" t="s">
        <v>30</v>
      </c>
      <c r="M1882" t="s">
        <v>22</v>
      </c>
      <c r="N1882" t="str">
        <f t="shared" si="41"/>
        <v>United Kingdom</v>
      </c>
      <c r="O1882" s="8">
        <f>IF(K1882&gt;=1,K1882,K1882*1000)</f>
        <v>380</v>
      </c>
      <c r="P1882">
        <f>ABS(H1882)</f>
        <v>1</v>
      </c>
      <c r="R1882"/>
    </row>
    <row r="1883" spans="1:18" x14ac:dyDescent="0.35">
      <c r="A1883" t="s">
        <v>3264</v>
      </c>
      <c r="B1883" s="2">
        <v>46207</v>
      </c>
      <c r="C1883" t="s">
        <v>3149</v>
      </c>
      <c r="D1883" s="3" t="s">
        <v>61</v>
      </c>
      <c r="E1883" t="s">
        <v>34</v>
      </c>
      <c r="F1883" t="s">
        <v>89</v>
      </c>
      <c r="G1883" t="s">
        <v>90</v>
      </c>
      <c r="H1883" s="8">
        <v>-2</v>
      </c>
      <c r="I1883" s="10">
        <v>95</v>
      </c>
      <c r="J1883" s="14">
        <f>P1883*I1883</f>
        <v>190</v>
      </c>
      <c r="K1883" s="16">
        <v>640</v>
      </c>
      <c r="L1883" s="1" t="s">
        <v>30</v>
      </c>
      <c r="M1883" t="s">
        <v>22</v>
      </c>
      <c r="N1883" t="str">
        <f t="shared" si="41"/>
        <v>Ireland</v>
      </c>
      <c r="O1883" s="8">
        <f>IF(K1883&gt;=1,K1883,K1883*1000)</f>
        <v>640</v>
      </c>
      <c r="P1883">
        <f>ABS(H1883)</f>
        <v>2</v>
      </c>
      <c r="R1883"/>
    </row>
    <row r="1884" spans="1:18" x14ac:dyDescent="0.35">
      <c r="A1884" t="s">
        <v>3265</v>
      </c>
      <c r="B1884" s="2">
        <v>46127</v>
      </c>
      <c r="C1884" t="s">
        <v>1128</v>
      </c>
      <c r="D1884" s="3" t="s">
        <v>61</v>
      </c>
      <c r="E1884" t="s">
        <v>16</v>
      </c>
      <c r="F1884" t="s">
        <v>47</v>
      </c>
      <c r="G1884" t="s">
        <v>48</v>
      </c>
      <c r="H1884" s="8">
        <v>2</v>
      </c>
      <c r="I1884" s="10">
        <v>12.5</v>
      </c>
      <c r="J1884" s="14">
        <f>P1884*I1884</f>
        <v>25</v>
      </c>
      <c r="K1884" s="16">
        <v>380</v>
      </c>
      <c r="L1884" s="1" t="s">
        <v>30</v>
      </c>
      <c r="M1884" t="s">
        <v>22</v>
      </c>
      <c r="N1884" t="str">
        <f t="shared" si="41"/>
        <v>Ireland</v>
      </c>
      <c r="O1884" s="8">
        <f>IF(K1884&gt;=1,K1884,K1884*1000)</f>
        <v>380</v>
      </c>
      <c r="P1884">
        <f>ABS(H1884)</f>
        <v>2</v>
      </c>
      <c r="R1884"/>
    </row>
    <row r="1885" spans="1:18" x14ac:dyDescent="0.35">
      <c r="A1885" t="s">
        <v>3266</v>
      </c>
      <c r="B1885" s="2">
        <v>46078</v>
      </c>
      <c r="C1885" t="s">
        <v>2054</v>
      </c>
      <c r="D1885" s="3" t="s">
        <v>116</v>
      </c>
      <c r="E1885" t="s">
        <v>25</v>
      </c>
      <c r="F1885" t="s">
        <v>89</v>
      </c>
      <c r="G1885" t="s">
        <v>90</v>
      </c>
      <c r="H1885" s="8">
        <v>1</v>
      </c>
      <c r="I1885" s="10">
        <v>129</v>
      </c>
      <c r="J1885" s="14">
        <f>P1885*I1885</f>
        <v>129</v>
      </c>
      <c r="K1885" s="16">
        <v>640</v>
      </c>
      <c r="L1885" s="1" t="s">
        <v>30</v>
      </c>
      <c r="M1885" t="s">
        <v>22</v>
      </c>
      <c r="N1885" t="str">
        <f t="shared" si="41"/>
        <v>Germany</v>
      </c>
      <c r="O1885" s="8">
        <f>IF(K1885&gt;=1,K1885,K1885*1000)</f>
        <v>640</v>
      </c>
      <c r="P1885">
        <f>ABS(H1885)</f>
        <v>1</v>
      </c>
      <c r="R1885"/>
    </row>
    <row r="1886" spans="1:18" x14ac:dyDescent="0.35">
      <c r="A1886" t="s">
        <v>3267</v>
      </c>
      <c r="B1886" s="2">
        <v>46083</v>
      </c>
      <c r="C1886" t="s">
        <v>2269</v>
      </c>
      <c r="D1886" s="3" t="s">
        <v>15</v>
      </c>
      <c r="E1886" t="s">
        <v>67</v>
      </c>
      <c r="F1886" t="s">
        <v>74</v>
      </c>
      <c r="G1886" t="s">
        <v>75</v>
      </c>
      <c r="H1886" s="8">
        <v>1</v>
      </c>
      <c r="I1886" s="10">
        <v>149</v>
      </c>
      <c r="J1886" s="14">
        <f>P1886*I1886</f>
        <v>149</v>
      </c>
      <c r="K1886" s="16">
        <v>410</v>
      </c>
      <c r="L1886" s="1" t="s">
        <v>30</v>
      </c>
      <c r="M1886" t="s">
        <v>58</v>
      </c>
      <c r="N1886" t="str">
        <f t="shared" si="41"/>
        <v>France</v>
      </c>
      <c r="O1886" s="8">
        <f>IF(K1886&gt;=1,K1886,K1886*1000)</f>
        <v>410</v>
      </c>
      <c r="P1886">
        <f>ABS(H1886)</f>
        <v>1</v>
      </c>
      <c r="R1886"/>
    </row>
    <row r="1887" spans="1:18" x14ac:dyDescent="0.35">
      <c r="A1887" t="s">
        <v>3268</v>
      </c>
      <c r="B1887" s="2">
        <v>46053</v>
      </c>
      <c r="C1887" t="s">
        <v>1764</v>
      </c>
      <c r="D1887" s="3" t="s">
        <v>99</v>
      </c>
      <c r="E1887" t="s">
        <v>34</v>
      </c>
      <c r="F1887" t="s">
        <v>74</v>
      </c>
      <c r="G1887" t="s">
        <v>75</v>
      </c>
      <c r="H1887" s="8">
        <v>1</v>
      </c>
      <c r="I1887" s="10">
        <v>11.25</v>
      </c>
      <c r="J1887" s="14">
        <f>P1887*I1887</f>
        <v>11.25</v>
      </c>
      <c r="K1887" s="16">
        <v>410</v>
      </c>
      <c r="L1887" s="1" t="s">
        <v>30</v>
      </c>
      <c r="M1887" t="s">
        <v>22</v>
      </c>
      <c r="N1887" t="str">
        <f t="shared" si="41"/>
        <v>United Kingdom</v>
      </c>
      <c r="O1887" s="8">
        <f>IF(K1887&gt;=1,K1887,K1887*1000)</f>
        <v>410</v>
      </c>
      <c r="P1887">
        <f>ABS(H1887)</f>
        <v>1</v>
      </c>
      <c r="R1887"/>
    </row>
    <row r="1888" spans="1:18" x14ac:dyDescent="0.35">
      <c r="A1888" t="s">
        <v>3269</v>
      </c>
      <c r="B1888" s="2">
        <v>46206</v>
      </c>
      <c r="C1888" t="s">
        <v>3270</v>
      </c>
      <c r="D1888" s="3" t="s">
        <v>4613</v>
      </c>
      <c r="E1888" t="s">
        <v>25</v>
      </c>
      <c r="F1888" t="s">
        <v>35</v>
      </c>
      <c r="G1888" t="s">
        <v>36</v>
      </c>
      <c r="H1888" s="8">
        <v>1</v>
      </c>
      <c r="I1888" s="10">
        <v>134.1</v>
      </c>
      <c r="J1888" s="14">
        <f>P1888*I1888</f>
        <v>134.1</v>
      </c>
      <c r="K1888" s="16">
        <v>8.5000000000000006E-2</v>
      </c>
      <c r="L1888" s="1" t="s">
        <v>30</v>
      </c>
      <c r="M1888" t="s">
        <v>58</v>
      </c>
      <c r="N1888" t="str">
        <f t="shared" si="41"/>
        <v>United Kingdom</v>
      </c>
      <c r="O1888" s="8">
        <f>IF(K1888&gt;=1,K1888,K1888*1000)</f>
        <v>85</v>
      </c>
      <c r="P1888">
        <f>ABS(H1888)</f>
        <v>1</v>
      </c>
      <c r="R1888"/>
    </row>
    <row r="1889" spans="1:18" x14ac:dyDescent="0.35">
      <c r="A1889" t="s">
        <v>3271</v>
      </c>
      <c r="B1889" s="2">
        <v>46157</v>
      </c>
      <c r="C1889" t="s">
        <v>3186</v>
      </c>
      <c r="D1889" s="3" t="s">
        <v>99</v>
      </c>
      <c r="E1889" t="s">
        <v>16</v>
      </c>
      <c r="F1889" t="s">
        <v>89</v>
      </c>
      <c r="G1889" t="s">
        <v>90</v>
      </c>
      <c r="H1889" s="8">
        <v>2</v>
      </c>
      <c r="I1889" s="10">
        <v>89</v>
      </c>
      <c r="J1889" s="14">
        <f>P1889*I1889</f>
        <v>178</v>
      </c>
      <c r="K1889" s="16">
        <v>0.64</v>
      </c>
      <c r="L1889" s="1" t="s">
        <v>30</v>
      </c>
      <c r="M1889" t="s">
        <v>22</v>
      </c>
      <c r="N1889" t="str">
        <f t="shared" si="41"/>
        <v>United Kingdom</v>
      </c>
      <c r="O1889" s="8">
        <f>IF(K1889&gt;=1,K1889,K1889*1000)</f>
        <v>640</v>
      </c>
      <c r="P1889">
        <f>ABS(H1889)</f>
        <v>2</v>
      </c>
      <c r="R1889"/>
    </row>
    <row r="1890" spans="1:18" x14ac:dyDescent="0.35">
      <c r="A1890" t="s">
        <v>3272</v>
      </c>
      <c r="B1890" s="2">
        <v>46145</v>
      </c>
      <c r="C1890" t="s">
        <v>3082</v>
      </c>
      <c r="D1890" s="3" t="s">
        <v>4612</v>
      </c>
      <c r="E1890" t="s">
        <v>16</v>
      </c>
      <c r="F1890" t="s">
        <v>42</v>
      </c>
      <c r="G1890" t="s">
        <v>43</v>
      </c>
      <c r="H1890" s="8">
        <v>3</v>
      </c>
      <c r="I1890" s="10">
        <v>89</v>
      </c>
      <c r="J1890" s="14">
        <f>P1890*I1890</f>
        <v>267</v>
      </c>
      <c r="K1890" s="16">
        <v>0.19</v>
      </c>
      <c r="L1890" s="1" t="s">
        <v>30</v>
      </c>
      <c r="M1890" t="s">
        <v>22</v>
      </c>
      <c r="N1890" t="str">
        <f t="shared" si="41"/>
        <v>United Kingdom</v>
      </c>
      <c r="O1890" s="8">
        <f>IF(K1890&gt;=1,K1890,K1890*1000)</f>
        <v>190</v>
      </c>
      <c r="P1890">
        <f>ABS(H1890)</f>
        <v>3</v>
      </c>
      <c r="R1890"/>
    </row>
    <row r="1891" spans="1:18" x14ac:dyDescent="0.35">
      <c r="A1891" t="s">
        <v>3273</v>
      </c>
      <c r="B1891" s="2">
        <v>46157</v>
      </c>
      <c r="C1891" t="s">
        <v>1784</v>
      </c>
      <c r="D1891" s="3" t="s">
        <v>15</v>
      </c>
      <c r="E1891" t="s">
        <v>67</v>
      </c>
      <c r="F1891" t="s">
        <v>89</v>
      </c>
      <c r="G1891" t="s">
        <v>90</v>
      </c>
      <c r="H1891" s="8">
        <v>1</v>
      </c>
      <c r="I1891" s="10">
        <v>79</v>
      </c>
      <c r="J1891" s="14">
        <f>P1891*I1891</f>
        <v>79</v>
      </c>
      <c r="K1891" s="16">
        <v>0.64</v>
      </c>
      <c r="L1891" s="1" t="s">
        <v>30</v>
      </c>
      <c r="M1891" t="s">
        <v>22</v>
      </c>
      <c r="N1891" t="str">
        <f t="shared" si="41"/>
        <v>France</v>
      </c>
      <c r="O1891" s="8">
        <f>IF(K1891&gt;=1,K1891,K1891*1000)</f>
        <v>640</v>
      </c>
      <c r="P1891">
        <f>ABS(H1891)</f>
        <v>1</v>
      </c>
      <c r="R1891"/>
    </row>
    <row r="1892" spans="1:18" x14ac:dyDescent="0.35">
      <c r="A1892" t="s">
        <v>3274</v>
      </c>
      <c r="B1892" s="2">
        <v>46054</v>
      </c>
      <c r="C1892" t="s">
        <v>2269</v>
      </c>
      <c r="D1892" s="3" t="s">
        <v>61</v>
      </c>
      <c r="E1892" t="s">
        <v>41</v>
      </c>
      <c r="F1892" t="s">
        <v>74</v>
      </c>
      <c r="G1892" t="s">
        <v>75</v>
      </c>
      <c r="H1892" s="8">
        <v>3</v>
      </c>
      <c r="I1892" s="10">
        <v>11.25</v>
      </c>
      <c r="J1892" s="14">
        <f>P1892*I1892</f>
        <v>33.75</v>
      </c>
      <c r="K1892" s="16">
        <v>410</v>
      </c>
      <c r="L1892" s="1" t="s">
        <v>30</v>
      </c>
      <c r="M1892" t="s">
        <v>58</v>
      </c>
      <c r="N1892" t="str">
        <f t="shared" si="41"/>
        <v>Ireland</v>
      </c>
      <c r="O1892" s="8">
        <f>IF(K1892&gt;=1,K1892,K1892*1000)</f>
        <v>410</v>
      </c>
      <c r="P1892">
        <f>ABS(H1892)</f>
        <v>3</v>
      </c>
      <c r="R1892"/>
    </row>
    <row r="1893" spans="1:18" x14ac:dyDescent="0.35">
      <c r="A1893" t="s">
        <v>3275</v>
      </c>
      <c r="B1893" s="2">
        <v>46166</v>
      </c>
      <c r="C1893" t="s">
        <v>142</v>
      </c>
      <c r="D1893" s="3" t="s">
        <v>99</v>
      </c>
      <c r="E1893" t="s">
        <v>67</v>
      </c>
      <c r="F1893" t="s">
        <v>42</v>
      </c>
      <c r="G1893" t="s">
        <v>43</v>
      </c>
      <c r="H1893" s="8">
        <v>3</v>
      </c>
      <c r="I1893" s="10">
        <v>12.5</v>
      </c>
      <c r="J1893" s="14">
        <f>P1893*I1893</f>
        <v>37.5</v>
      </c>
      <c r="K1893" s="16">
        <v>0.19</v>
      </c>
      <c r="L1893" s="1" t="s">
        <v>21</v>
      </c>
      <c r="M1893" t="s">
        <v>22</v>
      </c>
      <c r="N1893" t="str">
        <f t="shared" si="41"/>
        <v>United Kingdom</v>
      </c>
      <c r="O1893" s="8">
        <f>IF(K1893&gt;=1,K1893,K1893*1000)</f>
        <v>190</v>
      </c>
      <c r="P1893">
        <f>ABS(H1893)</f>
        <v>3</v>
      </c>
      <c r="R1893"/>
    </row>
    <row r="1894" spans="1:18" x14ac:dyDescent="0.35">
      <c r="A1894" t="s">
        <v>3276</v>
      </c>
      <c r="B1894" s="2">
        <v>46107</v>
      </c>
      <c r="C1894" t="s">
        <v>3277</v>
      </c>
      <c r="D1894" s="3" t="s">
        <v>116</v>
      </c>
      <c r="E1894" t="s">
        <v>67</v>
      </c>
      <c r="F1894" t="s">
        <v>89</v>
      </c>
      <c r="G1894" t="s">
        <v>90</v>
      </c>
      <c r="H1894" s="8">
        <v>1</v>
      </c>
      <c r="I1894" s="10">
        <v>85.5</v>
      </c>
      <c r="J1894" s="14">
        <f>P1894*I1894</f>
        <v>85.5</v>
      </c>
      <c r="K1894" s="16">
        <v>640</v>
      </c>
      <c r="L1894" s="1" t="s">
        <v>30</v>
      </c>
      <c r="M1894" t="s">
        <v>22</v>
      </c>
      <c r="N1894" t="str">
        <f t="shared" si="41"/>
        <v>Germany</v>
      </c>
      <c r="O1894" s="8">
        <f>IF(K1894&gt;=1,K1894,K1894*1000)</f>
        <v>640</v>
      </c>
      <c r="P1894">
        <f>ABS(H1894)</f>
        <v>1</v>
      </c>
      <c r="R1894"/>
    </row>
    <row r="1895" spans="1:18" x14ac:dyDescent="0.35">
      <c r="A1895" t="s">
        <v>3278</v>
      </c>
      <c r="B1895" s="2" t="s">
        <v>914</v>
      </c>
      <c r="C1895" t="s">
        <v>401</v>
      </c>
      <c r="D1895" s="3" t="s">
        <v>4612</v>
      </c>
      <c r="E1895" t="s">
        <v>16</v>
      </c>
      <c r="F1895" t="s">
        <v>47</v>
      </c>
      <c r="G1895" t="s">
        <v>48</v>
      </c>
      <c r="H1895" s="8">
        <v>2</v>
      </c>
      <c r="I1895" s="10">
        <v>80.099999999999994</v>
      </c>
      <c r="J1895" s="14">
        <f>P1895*I1895</f>
        <v>160.19999999999999</v>
      </c>
      <c r="K1895" s="16">
        <v>0.38</v>
      </c>
      <c r="L1895" s="1" t="s">
        <v>30</v>
      </c>
      <c r="M1895" t="s">
        <v>58</v>
      </c>
      <c r="N1895" t="str">
        <f t="shared" si="41"/>
        <v>United Kingdom</v>
      </c>
      <c r="O1895" s="8">
        <f>IF(K1895&gt;=1,K1895,K1895*1000)</f>
        <v>380</v>
      </c>
      <c r="P1895">
        <f>ABS(H1895)</f>
        <v>2</v>
      </c>
      <c r="R1895"/>
    </row>
    <row r="1896" spans="1:18" x14ac:dyDescent="0.35">
      <c r="A1896" t="s">
        <v>3279</v>
      </c>
      <c r="B1896" s="2">
        <v>46126</v>
      </c>
      <c r="C1896" t="s">
        <v>3170</v>
      </c>
      <c r="D1896" s="3" t="s">
        <v>15</v>
      </c>
      <c r="E1896" t="s">
        <v>34</v>
      </c>
      <c r="F1896" t="s">
        <v>17</v>
      </c>
      <c r="G1896" t="s">
        <v>18</v>
      </c>
      <c r="H1896" s="8">
        <v>2</v>
      </c>
      <c r="I1896" s="10">
        <v>12.5</v>
      </c>
      <c r="J1896" s="14">
        <f>P1896*I1896</f>
        <v>25</v>
      </c>
      <c r="K1896" s="16">
        <v>520</v>
      </c>
      <c r="L1896" s="1" t="s">
        <v>30</v>
      </c>
      <c r="M1896" t="s">
        <v>22</v>
      </c>
      <c r="N1896" t="str">
        <f t="shared" si="41"/>
        <v>France</v>
      </c>
      <c r="O1896" s="8">
        <f>IF(K1896&gt;=1,K1896,K1896*1000)</f>
        <v>520</v>
      </c>
      <c r="P1896">
        <f>ABS(H1896)</f>
        <v>2</v>
      </c>
      <c r="R1896"/>
    </row>
    <row r="1897" spans="1:18" x14ac:dyDescent="0.35">
      <c r="A1897" t="s">
        <v>3280</v>
      </c>
      <c r="B1897" s="2">
        <v>46134</v>
      </c>
      <c r="C1897" t="s">
        <v>2115</v>
      </c>
      <c r="D1897" s="3" t="s">
        <v>66</v>
      </c>
      <c r="E1897" t="s">
        <v>25</v>
      </c>
      <c r="F1897" t="s">
        <v>89</v>
      </c>
      <c r="G1897" t="s">
        <v>90</v>
      </c>
      <c r="H1897" s="8">
        <v>1</v>
      </c>
      <c r="I1897" s="10">
        <v>21.6</v>
      </c>
      <c r="J1897" s="14">
        <f>P1897*I1897</f>
        <v>21.6</v>
      </c>
      <c r="K1897" s="16">
        <v>0.64</v>
      </c>
      <c r="L1897" s="1" t="s">
        <v>30</v>
      </c>
      <c r="M1897" t="s">
        <v>22</v>
      </c>
      <c r="N1897" t="str">
        <f t="shared" si="41"/>
        <v>Gb</v>
      </c>
      <c r="O1897" s="8">
        <f>IF(K1897&gt;=1,K1897,K1897*1000)</f>
        <v>640</v>
      </c>
      <c r="P1897">
        <f>ABS(H1897)</f>
        <v>1</v>
      </c>
      <c r="R1897"/>
    </row>
    <row r="1898" spans="1:18" x14ac:dyDescent="0.35">
      <c r="A1898" t="s">
        <v>3281</v>
      </c>
      <c r="B1898" s="2">
        <v>46056</v>
      </c>
      <c r="C1898" t="s">
        <v>3282</v>
      </c>
      <c r="D1898" s="3" t="s">
        <v>53</v>
      </c>
      <c r="E1898" t="s">
        <v>25</v>
      </c>
      <c r="F1898" t="s">
        <v>26</v>
      </c>
      <c r="G1898" t="s">
        <v>27</v>
      </c>
      <c r="H1898" s="8">
        <v>-3</v>
      </c>
      <c r="I1898" s="10">
        <v>40.5</v>
      </c>
      <c r="J1898" s="14">
        <f>P1898*I1898</f>
        <v>121.5</v>
      </c>
      <c r="K1898" s="16">
        <v>520</v>
      </c>
      <c r="L1898" s="1" t="s">
        <v>30</v>
      </c>
      <c r="M1898" t="s">
        <v>22</v>
      </c>
      <c r="N1898" t="str">
        <f t="shared" si="41"/>
        <v>Gb</v>
      </c>
      <c r="O1898" s="8">
        <f>IF(K1898&gt;=1,K1898,K1898*1000)</f>
        <v>520</v>
      </c>
      <c r="P1898">
        <f>ABS(H1898)</f>
        <v>3</v>
      </c>
      <c r="R1898"/>
    </row>
    <row r="1899" spans="1:18" x14ac:dyDescent="0.35">
      <c r="A1899" t="s">
        <v>3284</v>
      </c>
      <c r="B1899" s="2">
        <v>46053</v>
      </c>
      <c r="C1899" t="s">
        <v>750</v>
      </c>
      <c r="D1899" s="3" t="s">
        <v>4612</v>
      </c>
      <c r="E1899" t="s">
        <v>25</v>
      </c>
      <c r="F1899" t="s">
        <v>89</v>
      </c>
      <c r="G1899" t="s">
        <v>90</v>
      </c>
      <c r="H1899" s="8">
        <v>3</v>
      </c>
      <c r="I1899" s="10">
        <v>79</v>
      </c>
      <c r="J1899" s="14">
        <f>P1899*I1899</f>
        <v>237</v>
      </c>
      <c r="K1899" s="16">
        <v>640</v>
      </c>
      <c r="L1899" s="1" t="s">
        <v>30</v>
      </c>
      <c r="M1899" t="s">
        <v>58</v>
      </c>
      <c r="N1899" t="str">
        <f t="shared" si="41"/>
        <v>United Kingdom</v>
      </c>
      <c r="O1899" s="8">
        <f>IF(K1899&gt;=1,K1899,K1899*1000)</f>
        <v>640</v>
      </c>
      <c r="P1899">
        <f>ABS(H1899)</f>
        <v>3</v>
      </c>
      <c r="R1899"/>
    </row>
    <row r="1900" spans="1:18" x14ac:dyDescent="0.35">
      <c r="A1900" t="s">
        <v>3285</v>
      </c>
      <c r="B1900" s="2">
        <v>46091</v>
      </c>
      <c r="C1900" t="s">
        <v>862</v>
      </c>
      <c r="D1900" s="3" t="s">
        <v>4613</v>
      </c>
      <c r="E1900" t="s">
        <v>34</v>
      </c>
      <c r="F1900" t="s">
        <v>42</v>
      </c>
      <c r="G1900" t="s">
        <v>43</v>
      </c>
      <c r="H1900" s="8">
        <v>1</v>
      </c>
      <c r="I1900" s="10">
        <v>79</v>
      </c>
      <c r="J1900" s="14">
        <f>P1900*I1900</f>
        <v>79</v>
      </c>
      <c r="K1900" s="16">
        <v>190</v>
      </c>
      <c r="L1900" s="1" t="s">
        <v>30</v>
      </c>
      <c r="M1900" t="s">
        <v>22</v>
      </c>
      <c r="N1900" t="str">
        <f t="shared" si="41"/>
        <v>United Kingdom</v>
      </c>
      <c r="O1900" s="8">
        <f>IF(K1900&gt;=1,K1900,K1900*1000)</f>
        <v>190</v>
      </c>
      <c r="P1900">
        <f>ABS(H1900)</f>
        <v>1</v>
      </c>
      <c r="R1900"/>
    </row>
    <row r="1901" spans="1:18" x14ac:dyDescent="0.35">
      <c r="A1901" t="s">
        <v>3286</v>
      </c>
      <c r="B1901" s="2">
        <v>46050</v>
      </c>
      <c r="C1901" t="s">
        <v>2523</v>
      </c>
      <c r="D1901" s="3" t="s">
        <v>4613</v>
      </c>
      <c r="E1901" t="s">
        <v>41</v>
      </c>
      <c r="F1901" t="s">
        <v>42</v>
      </c>
      <c r="G1901" t="s">
        <v>43</v>
      </c>
      <c r="H1901" s="8">
        <v>1</v>
      </c>
      <c r="I1901" s="10">
        <v>89</v>
      </c>
      <c r="J1901" s="14">
        <f>P1901*I1901</f>
        <v>89</v>
      </c>
      <c r="K1901" s="16">
        <v>190</v>
      </c>
      <c r="L1901" s="1" t="s">
        <v>30</v>
      </c>
      <c r="M1901" t="s">
        <v>22</v>
      </c>
      <c r="N1901" t="str">
        <f t="shared" si="41"/>
        <v>United Kingdom</v>
      </c>
      <c r="O1901" s="8">
        <f>IF(K1901&gt;=1,K1901,K1901*1000)</f>
        <v>190</v>
      </c>
      <c r="P1901">
        <f>ABS(H1901)</f>
        <v>1</v>
      </c>
      <c r="R1901"/>
    </row>
    <row r="1902" spans="1:18" x14ac:dyDescent="0.35">
      <c r="A1902" t="s">
        <v>3287</v>
      </c>
      <c r="B1902" s="2">
        <v>46051</v>
      </c>
      <c r="C1902" t="s">
        <v>3288</v>
      </c>
      <c r="D1902" s="3" t="s">
        <v>66</v>
      </c>
      <c r="E1902" t="s">
        <v>67</v>
      </c>
      <c r="F1902" t="s">
        <v>17</v>
      </c>
      <c r="G1902" t="s">
        <v>18</v>
      </c>
      <c r="H1902" s="8">
        <v>1</v>
      </c>
      <c r="I1902" s="10">
        <v>89</v>
      </c>
      <c r="J1902" s="14">
        <f>P1902*I1902</f>
        <v>89</v>
      </c>
      <c r="K1902" s="16">
        <v>520</v>
      </c>
      <c r="L1902" s="1" t="s">
        <v>30</v>
      </c>
      <c r="M1902" t="s">
        <v>22</v>
      </c>
      <c r="N1902" t="str">
        <f t="shared" si="41"/>
        <v>Gb</v>
      </c>
      <c r="O1902" s="8">
        <f>IF(K1902&gt;=1,K1902,K1902*1000)</f>
        <v>520</v>
      </c>
      <c r="P1902">
        <f>ABS(H1902)</f>
        <v>1</v>
      </c>
      <c r="R1902"/>
    </row>
    <row r="1903" spans="1:18" x14ac:dyDescent="0.35">
      <c r="A1903" t="s">
        <v>3289</v>
      </c>
      <c r="B1903" s="2">
        <v>46175</v>
      </c>
      <c r="C1903" t="s">
        <v>2236</v>
      </c>
      <c r="D1903" s="3" t="s">
        <v>116</v>
      </c>
      <c r="E1903" t="s">
        <v>25</v>
      </c>
      <c r="F1903" t="s">
        <v>26</v>
      </c>
      <c r="G1903" t="s">
        <v>27</v>
      </c>
      <c r="H1903" s="8">
        <v>1</v>
      </c>
      <c r="I1903" s="10">
        <v>149</v>
      </c>
      <c r="J1903" s="14">
        <f>P1903*I1903</f>
        <v>149</v>
      </c>
      <c r="K1903" s="16">
        <v>0.52</v>
      </c>
      <c r="L1903" s="1" t="s">
        <v>30</v>
      </c>
      <c r="M1903" t="s">
        <v>22</v>
      </c>
      <c r="N1903" t="str">
        <f t="shared" si="41"/>
        <v>Germany</v>
      </c>
      <c r="O1903" s="8">
        <f>IF(K1903&gt;=1,K1903,K1903*1000)</f>
        <v>520</v>
      </c>
      <c r="P1903">
        <f>ABS(H1903)</f>
        <v>1</v>
      </c>
      <c r="R1903"/>
    </row>
    <row r="1904" spans="1:18" x14ac:dyDescent="0.35">
      <c r="A1904" t="s">
        <v>3290</v>
      </c>
      <c r="B1904" s="2" t="s">
        <v>3291</v>
      </c>
      <c r="C1904" t="s">
        <v>927</v>
      </c>
      <c r="D1904" s="3" t="s">
        <v>46</v>
      </c>
      <c r="E1904" t="s">
        <v>25</v>
      </c>
      <c r="F1904" t="s">
        <v>83</v>
      </c>
      <c r="G1904" t="s">
        <v>84</v>
      </c>
      <c r="H1904" s="8">
        <v>1</v>
      </c>
      <c r="I1904" s="10">
        <v>134.1</v>
      </c>
      <c r="J1904" s="14">
        <f>P1904*I1904</f>
        <v>134.1</v>
      </c>
      <c r="K1904" s="16">
        <v>0.34</v>
      </c>
      <c r="L1904" s="1" t="s">
        <v>30</v>
      </c>
      <c r="M1904" t="s">
        <v>22</v>
      </c>
      <c r="N1904" t="str">
        <f t="shared" si="41"/>
        <v>Ireland</v>
      </c>
      <c r="O1904" s="8">
        <f>IF(K1904&gt;=1,K1904,K1904*1000)</f>
        <v>340</v>
      </c>
      <c r="P1904">
        <f>ABS(H1904)</f>
        <v>1</v>
      </c>
      <c r="R1904"/>
    </row>
    <row r="1905" spans="1:18" x14ac:dyDescent="0.35">
      <c r="A1905" t="s">
        <v>3292</v>
      </c>
      <c r="B1905" s="2">
        <v>46059</v>
      </c>
      <c r="C1905" t="s">
        <v>3293</v>
      </c>
      <c r="D1905" s="3" t="s">
        <v>46</v>
      </c>
      <c r="E1905" t="s">
        <v>41</v>
      </c>
      <c r="F1905" t="s">
        <v>17</v>
      </c>
      <c r="G1905" t="s">
        <v>18</v>
      </c>
      <c r="H1905" s="8">
        <v>1</v>
      </c>
      <c r="I1905" s="10">
        <v>129</v>
      </c>
      <c r="J1905" s="14">
        <f>P1905*I1905</f>
        <v>129</v>
      </c>
      <c r="K1905" s="16">
        <v>520</v>
      </c>
      <c r="L1905" s="1" t="s">
        <v>21</v>
      </c>
      <c r="M1905" t="s">
        <v>22</v>
      </c>
      <c r="N1905" t="str">
        <f t="shared" si="41"/>
        <v>Ireland</v>
      </c>
      <c r="O1905" s="8">
        <f>IF(K1905&gt;=1,K1905,K1905*1000)</f>
        <v>520</v>
      </c>
      <c r="P1905">
        <f>ABS(H1905)</f>
        <v>1</v>
      </c>
      <c r="R1905"/>
    </row>
    <row r="1906" spans="1:18" x14ac:dyDescent="0.35">
      <c r="A1906" t="s">
        <v>3294</v>
      </c>
      <c r="B1906" s="2">
        <v>46118</v>
      </c>
      <c r="C1906" t="s">
        <v>180</v>
      </c>
      <c r="D1906" s="3" t="s">
        <v>15</v>
      </c>
      <c r="E1906" t="s">
        <v>16</v>
      </c>
      <c r="F1906" t="s">
        <v>26</v>
      </c>
      <c r="G1906" t="s">
        <v>27</v>
      </c>
      <c r="H1906" s="8">
        <v>2</v>
      </c>
      <c r="I1906" s="10">
        <v>79</v>
      </c>
      <c r="J1906" s="14">
        <f>P1906*I1906</f>
        <v>158</v>
      </c>
      <c r="K1906" s="16">
        <v>520</v>
      </c>
      <c r="L1906" s="1" t="s">
        <v>21</v>
      </c>
      <c r="M1906" t="s">
        <v>22</v>
      </c>
      <c r="N1906" t="str">
        <f t="shared" si="41"/>
        <v>France</v>
      </c>
      <c r="O1906" s="8">
        <f>IF(K1906&gt;=1,K1906,K1906*1000)</f>
        <v>520</v>
      </c>
      <c r="P1906">
        <f>ABS(H1906)</f>
        <v>2</v>
      </c>
      <c r="R1906"/>
    </row>
    <row r="1907" spans="1:18" x14ac:dyDescent="0.35">
      <c r="A1907" t="s">
        <v>3295</v>
      </c>
      <c r="B1907" s="2">
        <v>46125</v>
      </c>
      <c r="C1907" t="s">
        <v>175</v>
      </c>
      <c r="D1907" s="3" t="s">
        <v>99</v>
      </c>
      <c r="E1907" t="s">
        <v>34</v>
      </c>
      <c r="F1907" t="s">
        <v>83</v>
      </c>
      <c r="G1907" t="s">
        <v>84</v>
      </c>
      <c r="H1907" s="8">
        <v>1</v>
      </c>
      <c r="I1907" s="10">
        <v>12.5</v>
      </c>
      <c r="J1907" s="14">
        <f>P1907*I1907</f>
        <v>12.5</v>
      </c>
      <c r="K1907" s="16">
        <v>340</v>
      </c>
      <c r="L1907" s="1" t="s">
        <v>30</v>
      </c>
      <c r="M1907" t="s">
        <v>22</v>
      </c>
      <c r="N1907" t="str">
        <f t="shared" si="41"/>
        <v>United Kingdom</v>
      </c>
      <c r="O1907" s="8">
        <f>IF(K1907&gt;=1,K1907,K1907*1000)</f>
        <v>340</v>
      </c>
      <c r="P1907">
        <f>ABS(H1907)</f>
        <v>1</v>
      </c>
      <c r="R1907"/>
    </row>
    <row r="1908" spans="1:18" x14ac:dyDescent="0.35">
      <c r="A1908" t="s">
        <v>3296</v>
      </c>
      <c r="B1908" s="2">
        <v>46194</v>
      </c>
      <c r="C1908" t="s">
        <v>685</v>
      </c>
      <c r="D1908" s="3" t="s">
        <v>4613</v>
      </c>
      <c r="E1908" t="s">
        <v>16</v>
      </c>
      <c r="F1908" t="s">
        <v>74</v>
      </c>
      <c r="G1908" t="s">
        <v>75</v>
      </c>
      <c r="H1908" s="8">
        <v>1</v>
      </c>
      <c r="I1908" s="10">
        <v>21.6</v>
      </c>
      <c r="J1908" s="14">
        <f>P1908*I1908</f>
        <v>21.6</v>
      </c>
      <c r="K1908" s="16">
        <v>0.41</v>
      </c>
      <c r="L1908" s="1" t="s">
        <v>30</v>
      </c>
      <c r="M1908" t="s">
        <v>22</v>
      </c>
      <c r="N1908" t="str">
        <f t="shared" si="41"/>
        <v>United Kingdom</v>
      </c>
      <c r="O1908" s="8">
        <f>IF(K1908&gt;=1,K1908,K1908*1000)</f>
        <v>410</v>
      </c>
      <c r="P1908">
        <f>ABS(H1908)</f>
        <v>1</v>
      </c>
      <c r="R1908"/>
    </row>
    <row r="1909" spans="1:18" x14ac:dyDescent="0.35">
      <c r="A1909" t="s">
        <v>3297</v>
      </c>
      <c r="B1909" s="2">
        <v>46174</v>
      </c>
      <c r="C1909" t="s">
        <v>2005</v>
      </c>
      <c r="D1909" s="3" t="s">
        <v>99</v>
      </c>
      <c r="E1909" t="s">
        <v>67</v>
      </c>
      <c r="F1909" t="s">
        <v>26</v>
      </c>
      <c r="G1909" t="s">
        <v>27</v>
      </c>
      <c r="H1909" s="8">
        <v>1</v>
      </c>
      <c r="I1909" s="10">
        <v>24</v>
      </c>
      <c r="J1909" s="14">
        <f>P1909*I1909</f>
        <v>24</v>
      </c>
      <c r="K1909" s="16">
        <v>0.52</v>
      </c>
      <c r="L1909" s="1" t="s">
        <v>21</v>
      </c>
      <c r="M1909" t="s">
        <v>22</v>
      </c>
      <c r="N1909" t="str">
        <f t="shared" si="41"/>
        <v>United Kingdom</v>
      </c>
      <c r="O1909" s="8">
        <f>IF(K1909&gt;=1,K1909,K1909*1000)</f>
        <v>520</v>
      </c>
      <c r="P1909">
        <f>ABS(H1909)</f>
        <v>1</v>
      </c>
      <c r="R1909"/>
    </row>
    <row r="1910" spans="1:18" x14ac:dyDescent="0.35">
      <c r="A1910" t="s">
        <v>3298</v>
      </c>
      <c r="B1910" s="2" t="s">
        <v>470</v>
      </c>
      <c r="C1910" t="s">
        <v>724</v>
      </c>
      <c r="D1910" s="3" t="s">
        <v>61</v>
      </c>
      <c r="E1910" t="s">
        <v>16</v>
      </c>
      <c r="F1910" t="s">
        <v>42</v>
      </c>
      <c r="G1910" t="s">
        <v>43</v>
      </c>
      <c r="H1910" s="8">
        <v>2</v>
      </c>
      <c r="I1910" s="10">
        <v>79</v>
      </c>
      <c r="J1910" s="14">
        <f>P1910*I1910</f>
        <v>158</v>
      </c>
      <c r="K1910" s="16">
        <v>190</v>
      </c>
      <c r="L1910" s="1" t="s">
        <v>30</v>
      </c>
      <c r="M1910" t="s">
        <v>58</v>
      </c>
      <c r="N1910" t="str">
        <f t="shared" si="41"/>
        <v>Ireland</v>
      </c>
      <c r="O1910" s="8">
        <f>IF(K1910&gt;=1,K1910,K1910*1000)</f>
        <v>190</v>
      </c>
      <c r="P1910">
        <f>ABS(H1910)</f>
        <v>2</v>
      </c>
      <c r="R1910"/>
    </row>
    <row r="1911" spans="1:18" x14ac:dyDescent="0.35">
      <c r="A1911" t="s">
        <v>3299</v>
      </c>
      <c r="B1911" s="2">
        <v>46043</v>
      </c>
      <c r="C1911" t="s">
        <v>1878</v>
      </c>
      <c r="D1911" s="3" t="s">
        <v>99</v>
      </c>
      <c r="E1911" t="s">
        <v>67</v>
      </c>
      <c r="F1911" t="s">
        <v>17</v>
      </c>
      <c r="G1911" t="s">
        <v>18</v>
      </c>
      <c r="H1911" s="8">
        <v>1</v>
      </c>
      <c r="I1911" s="10">
        <v>134.1</v>
      </c>
      <c r="J1911" s="14">
        <f>P1911*I1911</f>
        <v>134.1</v>
      </c>
      <c r="K1911" s="16">
        <v>520</v>
      </c>
      <c r="L1911" s="1" t="s">
        <v>30</v>
      </c>
      <c r="M1911" t="s">
        <v>22</v>
      </c>
      <c r="N1911" t="str">
        <f t="shared" si="41"/>
        <v>United Kingdom</v>
      </c>
      <c r="O1911" s="8">
        <f>IF(K1911&gt;=1,K1911,K1911*1000)</f>
        <v>520</v>
      </c>
      <c r="P1911">
        <f>ABS(H1911)</f>
        <v>1</v>
      </c>
      <c r="R1911"/>
    </row>
    <row r="1912" spans="1:18" x14ac:dyDescent="0.35">
      <c r="A1912" t="s">
        <v>3300</v>
      </c>
      <c r="B1912" s="2">
        <v>46150</v>
      </c>
      <c r="C1912" t="s">
        <v>3301</v>
      </c>
      <c r="D1912" s="3" t="s">
        <v>116</v>
      </c>
      <c r="E1912" t="s">
        <v>67</v>
      </c>
      <c r="F1912" t="s">
        <v>35</v>
      </c>
      <c r="G1912" t="s">
        <v>36</v>
      </c>
      <c r="H1912" s="8">
        <v>1</v>
      </c>
      <c r="I1912" s="10">
        <v>24</v>
      </c>
      <c r="J1912" s="14">
        <f>P1912*I1912</f>
        <v>24</v>
      </c>
      <c r="K1912" s="16">
        <v>8.5000000000000006E-2</v>
      </c>
      <c r="L1912" s="1" t="s">
        <v>30</v>
      </c>
      <c r="M1912" t="s">
        <v>58</v>
      </c>
      <c r="N1912" t="str">
        <f t="shared" si="41"/>
        <v>Germany</v>
      </c>
      <c r="O1912" s="8">
        <f>IF(K1912&gt;=1,K1912,K1912*1000)</f>
        <v>85</v>
      </c>
      <c r="P1912">
        <f>ABS(H1912)</f>
        <v>1</v>
      </c>
      <c r="R1912"/>
    </row>
    <row r="1913" spans="1:18" x14ac:dyDescent="0.35">
      <c r="A1913" t="s">
        <v>3302</v>
      </c>
      <c r="B1913" s="2">
        <v>46119</v>
      </c>
      <c r="C1913" t="s">
        <v>3303</v>
      </c>
      <c r="D1913" s="3" t="s">
        <v>99</v>
      </c>
      <c r="E1913" t="s">
        <v>67</v>
      </c>
      <c r="F1913" t="s">
        <v>89</v>
      </c>
      <c r="G1913" t="s">
        <v>90</v>
      </c>
      <c r="H1913" s="8">
        <v>1</v>
      </c>
      <c r="I1913" s="10">
        <v>85.5</v>
      </c>
      <c r="J1913" s="14">
        <f>P1913*I1913</f>
        <v>85.5</v>
      </c>
      <c r="K1913" s="16">
        <v>640</v>
      </c>
      <c r="L1913" s="1" t="s">
        <v>30</v>
      </c>
      <c r="M1913" t="s">
        <v>58</v>
      </c>
      <c r="N1913" t="str">
        <f t="shared" si="41"/>
        <v>United Kingdom</v>
      </c>
      <c r="O1913" s="8">
        <f>IF(K1913&gt;=1,K1913,K1913*1000)</f>
        <v>640</v>
      </c>
      <c r="P1913">
        <f>ABS(H1913)</f>
        <v>1</v>
      </c>
      <c r="R1913"/>
    </row>
    <row r="1914" spans="1:18" x14ac:dyDescent="0.35">
      <c r="A1914" t="s">
        <v>3304</v>
      </c>
      <c r="B1914" s="2">
        <v>46102</v>
      </c>
      <c r="C1914" t="s">
        <v>3305</v>
      </c>
      <c r="D1914" s="3" t="s">
        <v>99</v>
      </c>
      <c r="E1914" t="s">
        <v>41</v>
      </c>
      <c r="F1914" t="s">
        <v>17</v>
      </c>
      <c r="G1914" t="s">
        <v>18</v>
      </c>
      <c r="H1914" s="8">
        <v>3</v>
      </c>
      <c r="I1914" s="10">
        <v>149</v>
      </c>
      <c r="J1914" s="14">
        <f>P1914*I1914</f>
        <v>447</v>
      </c>
      <c r="K1914" s="16">
        <v>520</v>
      </c>
      <c r="L1914" s="1" t="s">
        <v>30</v>
      </c>
      <c r="M1914" t="s">
        <v>22</v>
      </c>
      <c r="N1914" t="str">
        <f t="shared" si="41"/>
        <v>United Kingdom</v>
      </c>
      <c r="O1914" s="8">
        <f>IF(K1914&gt;=1,K1914,K1914*1000)</f>
        <v>520</v>
      </c>
      <c r="P1914">
        <f>ABS(H1914)</f>
        <v>3</v>
      </c>
      <c r="R1914"/>
    </row>
    <row r="1915" spans="1:18" x14ac:dyDescent="0.35">
      <c r="A1915" t="s">
        <v>3306</v>
      </c>
      <c r="B1915" s="2">
        <v>46080</v>
      </c>
      <c r="C1915" t="s">
        <v>562</v>
      </c>
      <c r="D1915" s="3" t="s">
        <v>99</v>
      </c>
      <c r="E1915" t="s">
        <v>41</v>
      </c>
      <c r="F1915" t="s">
        <v>74</v>
      </c>
      <c r="G1915" t="s">
        <v>75</v>
      </c>
      <c r="H1915" s="8">
        <v>3</v>
      </c>
      <c r="I1915" s="10">
        <v>24</v>
      </c>
      <c r="J1915" s="14">
        <f>P1915*I1915</f>
        <v>72</v>
      </c>
      <c r="K1915" s="16">
        <v>410</v>
      </c>
      <c r="L1915" s="1" t="s">
        <v>30</v>
      </c>
      <c r="M1915" t="s">
        <v>22</v>
      </c>
      <c r="N1915" t="str">
        <f t="shared" si="41"/>
        <v>United Kingdom</v>
      </c>
      <c r="O1915" s="8">
        <f>IF(K1915&gt;=1,K1915,K1915*1000)</f>
        <v>410</v>
      </c>
      <c r="P1915">
        <f>ABS(H1915)</f>
        <v>3</v>
      </c>
      <c r="R1915"/>
    </row>
    <row r="1916" spans="1:18" x14ac:dyDescent="0.35">
      <c r="A1916" t="s">
        <v>3307</v>
      </c>
      <c r="B1916" s="2">
        <v>46064</v>
      </c>
      <c r="C1916" t="s">
        <v>208</v>
      </c>
      <c r="D1916" s="3" t="s">
        <v>4613</v>
      </c>
      <c r="E1916" t="s">
        <v>41</v>
      </c>
      <c r="F1916" t="s">
        <v>83</v>
      </c>
      <c r="G1916" t="s">
        <v>84</v>
      </c>
      <c r="H1916" s="8">
        <v>1</v>
      </c>
      <c r="I1916" s="10">
        <v>95</v>
      </c>
      <c r="J1916" s="14">
        <f>P1916*I1916</f>
        <v>95</v>
      </c>
      <c r="K1916" s="16">
        <v>340</v>
      </c>
      <c r="L1916" s="1" t="s">
        <v>30</v>
      </c>
      <c r="M1916" t="s">
        <v>22</v>
      </c>
      <c r="N1916" t="str">
        <f t="shared" si="41"/>
        <v>United Kingdom</v>
      </c>
      <c r="O1916" s="8">
        <f>IF(K1916&gt;=1,K1916,K1916*1000)</f>
        <v>340</v>
      </c>
      <c r="P1916">
        <f>ABS(H1916)</f>
        <v>1</v>
      </c>
      <c r="R1916"/>
    </row>
    <row r="1917" spans="1:18" x14ac:dyDescent="0.35">
      <c r="A1917" t="s">
        <v>3308</v>
      </c>
      <c r="B1917" s="2">
        <v>46054</v>
      </c>
      <c r="C1917" t="s">
        <v>1543</v>
      </c>
      <c r="D1917" s="3" t="s">
        <v>116</v>
      </c>
      <c r="E1917" t="s">
        <v>16</v>
      </c>
      <c r="F1917" t="s">
        <v>17</v>
      </c>
      <c r="G1917" t="s">
        <v>18</v>
      </c>
      <c r="H1917" s="8">
        <v>3</v>
      </c>
      <c r="I1917" s="10">
        <v>71.099999999999994</v>
      </c>
      <c r="J1917" s="14">
        <f>P1917*I1917</f>
        <v>213.29999999999998</v>
      </c>
      <c r="K1917" s="16">
        <v>520</v>
      </c>
      <c r="L1917" s="1" t="s">
        <v>30</v>
      </c>
      <c r="M1917" t="s">
        <v>58</v>
      </c>
      <c r="N1917" t="str">
        <f t="shared" si="41"/>
        <v>Germany</v>
      </c>
      <c r="O1917" s="8">
        <f>IF(K1917&gt;=1,K1917,K1917*1000)</f>
        <v>520</v>
      </c>
      <c r="P1917">
        <f>ABS(H1917)</f>
        <v>3</v>
      </c>
      <c r="R1917"/>
    </row>
    <row r="1918" spans="1:18" x14ac:dyDescent="0.35">
      <c r="A1918" t="s">
        <v>3309</v>
      </c>
      <c r="B1918" s="2">
        <v>46077</v>
      </c>
      <c r="C1918" t="s">
        <v>1655</v>
      </c>
      <c r="D1918" s="3" t="s">
        <v>99</v>
      </c>
      <c r="E1918" t="s">
        <v>41</v>
      </c>
      <c r="F1918" t="s">
        <v>89</v>
      </c>
      <c r="G1918" t="s">
        <v>90</v>
      </c>
      <c r="H1918" s="8">
        <v>3</v>
      </c>
      <c r="I1918" s="10">
        <v>129</v>
      </c>
      <c r="J1918" s="14">
        <f>P1918*I1918</f>
        <v>387</v>
      </c>
      <c r="K1918" s="16">
        <v>640</v>
      </c>
      <c r="L1918" s="1" t="s">
        <v>30</v>
      </c>
      <c r="M1918" t="s">
        <v>22</v>
      </c>
      <c r="N1918" t="str">
        <f t="shared" si="41"/>
        <v>United Kingdom</v>
      </c>
      <c r="O1918" s="8">
        <f>IF(K1918&gt;=1,K1918,K1918*1000)</f>
        <v>640</v>
      </c>
      <c r="P1918">
        <f>ABS(H1918)</f>
        <v>3</v>
      </c>
      <c r="R1918"/>
    </row>
    <row r="1919" spans="1:18" x14ac:dyDescent="0.35">
      <c r="A1919" t="s">
        <v>3310</v>
      </c>
      <c r="B1919" s="2">
        <v>46187</v>
      </c>
      <c r="C1919" t="s">
        <v>2060</v>
      </c>
      <c r="D1919" s="3" t="s">
        <v>66</v>
      </c>
      <c r="E1919" t="s">
        <v>16</v>
      </c>
      <c r="F1919" t="s">
        <v>42</v>
      </c>
      <c r="G1919" t="s">
        <v>43</v>
      </c>
      <c r="H1919" s="8">
        <v>3</v>
      </c>
      <c r="I1919" s="10">
        <v>40.5</v>
      </c>
      <c r="J1919" s="14">
        <f>P1919*I1919</f>
        <v>121.5</v>
      </c>
      <c r="K1919" s="16">
        <v>0.19</v>
      </c>
      <c r="L1919" s="1" t="s">
        <v>30</v>
      </c>
      <c r="M1919" t="s">
        <v>22</v>
      </c>
      <c r="N1919" t="str">
        <f t="shared" si="41"/>
        <v>Gb</v>
      </c>
      <c r="O1919" s="8">
        <f>IF(K1919&gt;=1,K1919,K1919*1000)</f>
        <v>190</v>
      </c>
      <c r="P1919">
        <f>ABS(H1919)</f>
        <v>3</v>
      </c>
      <c r="R1919"/>
    </row>
    <row r="1920" spans="1:18" x14ac:dyDescent="0.35">
      <c r="A1920" t="s">
        <v>3311</v>
      </c>
      <c r="B1920" s="2">
        <v>46146</v>
      </c>
      <c r="C1920" t="s">
        <v>173</v>
      </c>
      <c r="D1920" s="3" t="s">
        <v>99</v>
      </c>
      <c r="E1920" t="s">
        <v>41</v>
      </c>
      <c r="F1920" t="s">
        <v>42</v>
      </c>
      <c r="G1920" t="s">
        <v>43</v>
      </c>
      <c r="H1920" s="8">
        <v>2</v>
      </c>
      <c r="I1920" s="10">
        <v>40.5</v>
      </c>
      <c r="J1920" s="14">
        <f>P1920*I1920</f>
        <v>81</v>
      </c>
      <c r="K1920" s="16">
        <v>190</v>
      </c>
      <c r="L1920" s="1" t="s">
        <v>21</v>
      </c>
      <c r="M1920" t="s">
        <v>22</v>
      </c>
      <c r="N1920" t="str">
        <f t="shared" si="41"/>
        <v>United Kingdom</v>
      </c>
      <c r="O1920" s="8">
        <f>IF(K1920&gt;=1,K1920,K1920*1000)</f>
        <v>190</v>
      </c>
      <c r="P1920">
        <f>ABS(H1920)</f>
        <v>2</v>
      </c>
      <c r="R1920"/>
    </row>
    <row r="1921" spans="1:18" x14ac:dyDescent="0.35">
      <c r="A1921" t="s">
        <v>3312</v>
      </c>
      <c r="B1921" s="2">
        <v>46178</v>
      </c>
      <c r="C1921" t="s">
        <v>464</v>
      </c>
      <c r="D1921" s="3" t="s">
        <v>99</v>
      </c>
      <c r="E1921" t="s">
        <v>25</v>
      </c>
      <c r="F1921" t="s">
        <v>42</v>
      </c>
      <c r="G1921" t="s">
        <v>43</v>
      </c>
      <c r="H1921" s="8">
        <v>1</v>
      </c>
      <c r="I1921" s="12" t="s">
        <v>4628</v>
      </c>
      <c r="J1921" s="14">
        <f>P1921*R1921</f>
        <v>40.5</v>
      </c>
      <c r="K1921" s="16">
        <v>0.19</v>
      </c>
      <c r="L1921" s="1" t="s">
        <v>30</v>
      </c>
      <c r="M1921" t="s">
        <v>58</v>
      </c>
      <c r="N1921" t="str">
        <f t="shared" si="41"/>
        <v>United Kingdom</v>
      </c>
      <c r="O1921" s="8">
        <f>IF(K1921&gt;=1,K1921,K1921*1000)</f>
        <v>190</v>
      </c>
      <c r="P1921">
        <f>ABS(H1921)</f>
        <v>1</v>
      </c>
      <c r="Q1921" t="str">
        <f>LEFT(I1921,2)</f>
        <v>Â£</v>
      </c>
      <c r="R1921" t="str">
        <f>RIGHT(I1921,5)</f>
        <v>40,50</v>
      </c>
    </row>
    <row r="1922" spans="1:18" x14ac:dyDescent="0.35">
      <c r="A1922" t="s">
        <v>3313</v>
      </c>
      <c r="B1922" s="2">
        <v>46038</v>
      </c>
      <c r="C1922" t="s">
        <v>135</v>
      </c>
      <c r="D1922" s="3" t="s">
        <v>53</v>
      </c>
      <c r="E1922" t="s">
        <v>25</v>
      </c>
      <c r="F1922" t="s">
        <v>89</v>
      </c>
      <c r="G1922" t="s">
        <v>90</v>
      </c>
      <c r="H1922" s="8">
        <v>2</v>
      </c>
      <c r="I1922" s="10">
        <v>71.099999999999994</v>
      </c>
      <c r="J1922" s="14">
        <f>P1922*I1922</f>
        <v>142.19999999999999</v>
      </c>
      <c r="K1922" s="16">
        <v>640</v>
      </c>
      <c r="L1922" s="1" t="s">
        <v>30</v>
      </c>
      <c r="M1922" t="s">
        <v>22</v>
      </c>
      <c r="N1922" t="str">
        <f t="shared" si="41"/>
        <v>Gb</v>
      </c>
      <c r="O1922" s="8">
        <f>IF(K1922&gt;=1,K1922,K1922*1000)</f>
        <v>640</v>
      </c>
      <c r="P1922">
        <f>ABS(H1922)</f>
        <v>2</v>
      </c>
      <c r="R1922"/>
    </row>
    <row r="1923" spans="1:18" x14ac:dyDescent="0.35">
      <c r="A1923" t="s">
        <v>3314</v>
      </c>
      <c r="B1923" s="2">
        <v>46093</v>
      </c>
      <c r="C1923" t="s">
        <v>892</v>
      </c>
      <c r="D1923" s="3" t="s">
        <v>15</v>
      </c>
      <c r="E1923" t="s">
        <v>16</v>
      </c>
      <c r="F1923" t="s">
        <v>35</v>
      </c>
      <c r="G1923" t="s">
        <v>36</v>
      </c>
      <c r="H1923" s="8">
        <v>1</v>
      </c>
      <c r="I1923" s="10">
        <v>95</v>
      </c>
      <c r="J1923" s="14">
        <f>P1923*I1923</f>
        <v>95</v>
      </c>
      <c r="K1923" s="16">
        <v>85</v>
      </c>
      <c r="L1923" s="1" t="s">
        <v>30</v>
      </c>
      <c r="M1923" t="s">
        <v>22</v>
      </c>
      <c r="N1923" t="str">
        <f t="shared" ref="N1923:N1986" si="42">PROPER(TRIM(D1923))</f>
        <v>France</v>
      </c>
      <c r="O1923" s="8">
        <f>IF(K1923&gt;=1,K1923,K1923*1000)</f>
        <v>85</v>
      </c>
      <c r="P1923">
        <f>ABS(H1923)</f>
        <v>1</v>
      </c>
      <c r="R1923"/>
    </row>
    <row r="1924" spans="1:18" x14ac:dyDescent="0.35">
      <c r="A1924" t="s">
        <v>3315</v>
      </c>
      <c r="B1924" s="2">
        <v>46165</v>
      </c>
      <c r="C1924" t="s">
        <v>637</v>
      </c>
      <c r="D1924" s="3" t="s">
        <v>116</v>
      </c>
      <c r="E1924" t="s">
        <v>67</v>
      </c>
      <c r="F1924" t="s">
        <v>26</v>
      </c>
      <c r="G1924" t="s">
        <v>27</v>
      </c>
      <c r="H1924" s="8">
        <v>1</v>
      </c>
      <c r="I1924" s="10">
        <v>79</v>
      </c>
      <c r="J1924" s="14">
        <f>P1924*I1924</f>
        <v>79</v>
      </c>
      <c r="K1924" s="16">
        <v>0.52</v>
      </c>
      <c r="L1924" s="1" t="s">
        <v>21</v>
      </c>
      <c r="M1924" t="s">
        <v>58</v>
      </c>
      <c r="N1924" t="str">
        <f t="shared" si="42"/>
        <v>Germany</v>
      </c>
      <c r="O1924" s="8">
        <f>IF(K1924&gt;=1,K1924,K1924*1000)</f>
        <v>520</v>
      </c>
      <c r="P1924">
        <f>ABS(H1924)</f>
        <v>1</v>
      </c>
      <c r="R1924"/>
    </row>
    <row r="1925" spans="1:18" x14ac:dyDescent="0.35">
      <c r="A1925" t="s">
        <v>3316</v>
      </c>
      <c r="B1925" s="2">
        <v>46110</v>
      </c>
      <c r="C1925" t="s">
        <v>443</v>
      </c>
      <c r="D1925" s="3" t="s">
        <v>116</v>
      </c>
      <c r="E1925" t="s">
        <v>34</v>
      </c>
      <c r="F1925" t="s">
        <v>74</v>
      </c>
      <c r="G1925" t="s">
        <v>75</v>
      </c>
      <c r="H1925" s="8">
        <v>1</v>
      </c>
      <c r="I1925" s="10">
        <v>129</v>
      </c>
      <c r="J1925" s="14">
        <f>P1925*I1925</f>
        <v>129</v>
      </c>
      <c r="K1925" s="16">
        <v>410</v>
      </c>
      <c r="L1925" s="1" t="s">
        <v>30</v>
      </c>
      <c r="M1925" t="s">
        <v>22</v>
      </c>
      <c r="N1925" t="str">
        <f t="shared" si="42"/>
        <v>Germany</v>
      </c>
      <c r="O1925" s="8">
        <f>IF(K1925&gt;=1,K1925,K1925*1000)</f>
        <v>410</v>
      </c>
      <c r="P1925">
        <f>ABS(H1925)</f>
        <v>1</v>
      </c>
      <c r="R1925"/>
    </row>
    <row r="1926" spans="1:18" x14ac:dyDescent="0.35">
      <c r="A1926" t="s">
        <v>3317</v>
      </c>
      <c r="B1926" s="2">
        <v>46147</v>
      </c>
      <c r="C1926" t="s">
        <v>1848</v>
      </c>
      <c r="D1926" s="3" t="s">
        <v>4612</v>
      </c>
      <c r="E1926" t="s">
        <v>25</v>
      </c>
      <c r="F1926" t="s">
        <v>74</v>
      </c>
      <c r="G1926" t="s">
        <v>75</v>
      </c>
      <c r="H1926" s="8">
        <v>1</v>
      </c>
      <c r="I1926" s="10">
        <v>24</v>
      </c>
      <c r="J1926" s="14">
        <f>P1926*I1926</f>
        <v>24</v>
      </c>
      <c r="K1926" s="16">
        <v>0.41</v>
      </c>
      <c r="L1926" s="1" t="s">
        <v>30</v>
      </c>
      <c r="M1926" t="s">
        <v>22</v>
      </c>
      <c r="N1926" t="str">
        <f t="shared" si="42"/>
        <v>United Kingdom</v>
      </c>
      <c r="O1926" s="8">
        <f>IF(K1926&gt;=1,K1926,K1926*1000)</f>
        <v>410</v>
      </c>
      <c r="P1926">
        <f>ABS(H1926)</f>
        <v>1</v>
      </c>
      <c r="R1926"/>
    </row>
    <row r="1927" spans="1:18" x14ac:dyDescent="0.35">
      <c r="A1927" t="s">
        <v>3318</v>
      </c>
      <c r="B1927" s="2">
        <v>46171</v>
      </c>
      <c r="C1927" t="s">
        <v>3319</v>
      </c>
      <c r="D1927" s="3" t="s">
        <v>4612</v>
      </c>
      <c r="E1927" t="s">
        <v>25</v>
      </c>
      <c r="F1927" t="s">
        <v>35</v>
      </c>
      <c r="G1927" t="s">
        <v>36</v>
      </c>
      <c r="H1927" s="8">
        <v>1</v>
      </c>
      <c r="I1927" s="10">
        <v>11.25</v>
      </c>
      <c r="J1927" s="14">
        <f>P1927*I1927</f>
        <v>11.25</v>
      </c>
      <c r="K1927" s="16">
        <v>8.5000000000000006E-2</v>
      </c>
      <c r="L1927" s="1" t="s">
        <v>21</v>
      </c>
      <c r="M1927" t="s">
        <v>22</v>
      </c>
      <c r="N1927" t="str">
        <f t="shared" si="42"/>
        <v>United Kingdom</v>
      </c>
      <c r="O1927" s="8">
        <f>IF(K1927&gt;=1,K1927,K1927*1000)</f>
        <v>85</v>
      </c>
      <c r="P1927">
        <f>ABS(H1927)</f>
        <v>1</v>
      </c>
      <c r="R1927"/>
    </row>
    <row r="1928" spans="1:18" x14ac:dyDescent="0.35">
      <c r="A1928" t="s">
        <v>3320</v>
      </c>
      <c r="B1928" s="2">
        <v>46045</v>
      </c>
      <c r="C1928" t="s">
        <v>3321</v>
      </c>
      <c r="D1928" s="3" t="s">
        <v>15</v>
      </c>
      <c r="E1928" t="s">
        <v>16</v>
      </c>
      <c r="F1928" t="s">
        <v>26</v>
      </c>
      <c r="G1928" t="s">
        <v>27</v>
      </c>
      <c r="H1928" s="8">
        <v>3</v>
      </c>
      <c r="I1928" s="10">
        <v>45</v>
      </c>
      <c r="J1928" s="14">
        <f>P1928*I1928</f>
        <v>135</v>
      </c>
      <c r="K1928" s="16">
        <v>520</v>
      </c>
      <c r="L1928" s="1" t="s">
        <v>30</v>
      </c>
      <c r="M1928" t="s">
        <v>22</v>
      </c>
      <c r="N1928" t="str">
        <f t="shared" si="42"/>
        <v>France</v>
      </c>
      <c r="O1928" s="8">
        <f>IF(K1928&gt;=1,K1928,K1928*1000)</f>
        <v>520</v>
      </c>
      <c r="P1928">
        <f>ABS(H1928)</f>
        <v>3</v>
      </c>
      <c r="R1928"/>
    </row>
    <row r="1929" spans="1:18" x14ac:dyDescent="0.35">
      <c r="A1929" t="s">
        <v>3322</v>
      </c>
      <c r="B1929" s="2">
        <v>46195</v>
      </c>
      <c r="C1929" t="s">
        <v>3323</v>
      </c>
      <c r="D1929" s="3" t="s">
        <v>4612</v>
      </c>
      <c r="E1929" t="s">
        <v>67</v>
      </c>
      <c r="F1929" t="s">
        <v>17</v>
      </c>
      <c r="G1929" t="s">
        <v>18</v>
      </c>
      <c r="H1929" s="8">
        <v>1</v>
      </c>
      <c r="I1929" s="10">
        <v>21.6</v>
      </c>
      <c r="J1929" s="14">
        <f>P1929*I1929</f>
        <v>21.6</v>
      </c>
      <c r="K1929" s="16">
        <v>0.52</v>
      </c>
      <c r="L1929" s="1" t="s">
        <v>21</v>
      </c>
      <c r="M1929" t="s">
        <v>22</v>
      </c>
      <c r="N1929" t="str">
        <f t="shared" si="42"/>
        <v>United Kingdom</v>
      </c>
      <c r="O1929" s="8">
        <f>IF(K1929&gt;=1,K1929,K1929*1000)</f>
        <v>520</v>
      </c>
      <c r="P1929">
        <f>ABS(H1929)</f>
        <v>1</v>
      </c>
      <c r="R1929"/>
    </row>
    <row r="1930" spans="1:18" x14ac:dyDescent="0.35">
      <c r="A1930" t="s">
        <v>3324</v>
      </c>
      <c r="B1930" s="2">
        <v>46086</v>
      </c>
      <c r="C1930" t="s">
        <v>3288</v>
      </c>
      <c r="D1930" s="3" t="s">
        <v>61</v>
      </c>
      <c r="E1930" t="s">
        <v>16</v>
      </c>
      <c r="F1930" t="s">
        <v>26</v>
      </c>
      <c r="G1930" t="s">
        <v>27</v>
      </c>
      <c r="H1930" s="8">
        <v>3</v>
      </c>
      <c r="I1930" s="10">
        <v>85.5</v>
      </c>
      <c r="J1930" s="14">
        <f>P1930*I1930</f>
        <v>256.5</v>
      </c>
      <c r="K1930" s="16">
        <v>520</v>
      </c>
      <c r="L1930" s="1" t="s">
        <v>30</v>
      </c>
      <c r="M1930" t="s">
        <v>58</v>
      </c>
      <c r="N1930" t="str">
        <f t="shared" si="42"/>
        <v>Ireland</v>
      </c>
      <c r="O1930" s="8">
        <f>IF(K1930&gt;=1,K1930,K1930*1000)</f>
        <v>520</v>
      </c>
      <c r="P1930">
        <f>ABS(H1930)</f>
        <v>3</v>
      </c>
      <c r="R1930"/>
    </row>
    <row r="1931" spans="1:18" x14ac:dyDescent="0.35">
      <c r="A1931" t="s">
        <v>3325</v>
      </c>
      <c r="B1931" s="2">
        <v>46043</v>
      </c>
      <c r="C1931" t="s">
        <v>2277</v>
      </c>
      <c r="D1931" s="3" t="s">
        <v>4612</v>
      </c>
      <c r="E1931" t="s">
        <v>25</v>
      </c>
      <c r="F1931" t="s">
        <v>89</v>
      </c>
      <c r="G1931" t="s">
        <v>90</v>
      </c>
      <c r="H1931" s="8">
        <v>1</v>
      </c>
      <c r="I1931" s="10">
        <v>134.1</v>
      </c>
      <c r="J1931" s="14">
        <f>P1931*I1931</f>
        <v>134.1</v>
      </c>
      <c r="K1931" s="16">
        <v>640</v>
      </c>
      <c r="L1931" s="1" t="s">
        <v>30</v>
      </c>
      <c r="M1931" t="s">
        <v>58</v>
      </c>
      <c r="N1931" t="str">
        <f t="shared" si="42"/>
        <v>United Kingdom</v>
      </c>
      <c r="O1931" s="8">
        <f>IF(K1931&gt;=1,K1931,K1931*1000)</f>
        <v>640</v>
      </c>
      <c r="P1931">
        <f>ABS(H1931)</f>
        <v>1</v>
      </c>
      <c r="R1931"/>
    </row>
    <row r="1932" spans="1:18" x14ac:dyDescent="0.35">
      <c r="A1932" t="s">
        <v>3326</v>
      </c>
      <c r="B1932" s="2">
        <v>46192</v>
      </c>
      <c r="C1932" t="s">
        <v>2044</v>
      </c>
      <c r="D1932" s="3" t="s">
        <v>99</v>
      </c>
      <c r="E1932" t="s">
        <v>41</v>
      </c>
      <c r="F1932" t="s">
        <v>89</v>
      </c>
      <c r="G1932" t="s">
        <v>90</v>
      </c>
      <c r="H1932" s="8">
        <v>2</v>
      </c>
      <c r="I1932" s="10">
        <v>24</v>
      </c>
      <c r="J1932" s="14">
        <f>P1932*I1932</f>
        <v>48</v>
      </c>
      <c r="K1932" s="16">
        <v>0.64</v>
      </c>
      <c r="L1932" s="1" t="s">
        <v>30</v>
      </c>
      <c r="M1932" t="s">
        <v>22</v>
      </c>
      <c r="N1932" t="str">
        <f t="shared" si="42"/>
        <v>United Kingdom</v>
      </c>
      <c r="O1932" s="8">
        <f>IF(K1932&gt;=1,K1932,K1932*1000)</f>
        <v>640</v>
      </c>
      <c r="P1932">
        <f>ABS(H1932)</f>
        <v>2</v>
      </c>
      <c r="R1932"/>
    </row>
    <row r="1933" spans="1:18" x14ac:dyDescent="0.35">
      <c r="A1933" t="s">
        <v>3327</v>
      </c>
      <c r="B1933" s="2">
        <v>46205</v>
      </c>
      <c r="C1933" t="s">
        <v>2011</v>
      </c>
      <c r="D1933" s="3" t="s">
        <v>99</v>
      </c>
      <c r="E1933" t="s">
        <v>67</v>
      </c>
      <c r="F1933" t="s">
        <v>47</v>
      </c>
      <c r="G1933" t="s">
        <v>48</v>
      </c>
      <c r="H1933" s="8">
        <v>3</v>
      </c>
      <c r="I1933" s="10">
        <v>149</v>
      </c>
      <c r="J1933" s="14">
        <f>P1933*I1933</f>
        <v>447</v>
      </c>
      <c r="K1933" s="16">
        <v>0.38</v>
      </c>
      <c r="L1933" s="1" t="s">
        <v>30</v>
      </c>
      <c r="M1933" t="s">
        <v>22</v>
      </c>
      <c r="N1933" t="str">
        <f t="shared" si="42"/>
        <v>United Kingdom</v>
      </c>
      <c r="O1933" s="8">
        <f>IF(K1933&gt;=1,K1933,K1933*1000)</f>
        <v>380</v>
      </c>
      <c r="P1933">
        <f>ABS(H1933)</f>
        <v>3</v>
      </c>
      <c r="R1933"/>
    </row>
    <row r="1934" spans="1:18" x14ac:dyDescent="0.35">
      <c r="A1934" t="s">
        <v>3328</v>
      </c>
      <c r="B1934" s="2" t="s">
        <v>1807</v>
      </c>
      <c r="C1934" t="s">
        <v>3329</v>
      </c>
      <c r="D1934" s="3" t="s">
        <v>46</v>
      </c>
      <c r="E1934" t="s">
        <v>16</v>
      </c>
      <c r="F1934" t="s">
        <v>74</v>
      </c>
      <c r="G1934" t="s">
        <v>75</v>
      </c>
      <c r="H1934" s="8">
        <v>2</v>
      </c>
      <c r="I1934" s="10">
        <v>80.099999999999994</v>
      </c>
      <c r="J1934" s="14">
        <f>P1934*I1934</f>
        <v>160.19999999999999</v>
      </c>
      <c r="K1934" s="16">
        <v>0.41</v>
      </c>
      <c r="L1934" s="1" t="s">
        <v>30</v>
      </c>
      <c r="M1934" t="s">
        <v>22</v>
      </c>
      <c r="N1934" t="str">
        <f t="shared" si="42"/>
        <v>Ireland</v>
      </c>
      <c r="O1934" s="8">
        <f>IF(K1934&gt;=1,K1934,K1934*1000)</f>
        <v>410</v>
      </c>
      <c r="P1934">
        <f>ABS(H1934)</f>
        <v>2</v>
      </c>
      <c r="R1934"/>
    </row>
    <row r="1935" spans="1:18" x14ac:dyDescent="0.35">
      <c r="A1935" t="s">
        <v>3330</v>
      </c>
      <c r="B1935" s="2">
        <v>46031</v>
      </c>
      <c r="C1935" t="s">
        <v>3331</v>
      </c>
      <c r="D1935" s="3" t="s">
        <v>4612</v>
      </c>
      <c r="E1935" t="s">
        <v>25</v>
      </c>
      <c r="F1935" t="s">
        <v>26</v>
      </c>
      <c r="G1935" t="s">
        <v>27</v>
      </c>
      <c r="H1935" s="8">
        <v>2</v>
      </c>
      <c r="I1935" s="10">
        <v>21.6</v>
      </c>
      <c r="J1935" s="14">
        <f>P1935*I1935</f>
        <v>43.2</v>
      </c>
      <c r="K1935" s="16">
        <v>520</v>
      </c>
      <c r="L1935" s="1" t="s">
        <v>21</v>
      </c>
      <c r="M1935" t="s">
        <v>22</v>
      </c>
      <c r="N1935" t="str">
        <f t="shared" si="42"/>
        <v>United Kingdom</v>
      </c>
      <c r="O1935" s="8">
        <f>IF(K1935&gt;=1,K1935,K1935*1000)</f>
        <v>520</v>
      </c>
      <c r="P1935">
        <f>ABS(H1935)</f>
        <v>2</v>
      </c>
      <c r="R1935"/>
    </row>
    <row r="1936" spans="1:18" x14ac:dyDescent="0.35">
      <c r="A1936" t="s">
        <v>3332</v>
      </c>
      <c r="B1936" s="2" t="s">
        <v>1907</v>
      </c>
      <c r="C1936" t="s">
        <v>3333</v>
      </c>
      <c r="D1936" s="3" t="s">
        <v>66</v>
      </c>
      <c r="E1936" t="s">
        <v>25</v>
      </c>
      <c r="F1936" t="s">
        <v>35</v>
      </c>
      <c r="G1936" t="s">
        <v>36</v>
      </c>
      <c r="H1936" s="8">
        <v>1</v>
      </c>
      <c r="I1936" s="10">
        <v>85.5</v>
      </c>
      <c r="J1936" s="14">
        <f>P1936*I1936</f>
        <v>85.5</v>
      </c>
      <c r="K1936" s="16">
        <v>85</v>
      </c>
      <c r="L1936" s="1" t="s">
        <v>30</v>
      </c>
      <c r="M1936" t="s">
        <v>22</v>
      </c>
      <c r="N1936" t="str">
        <f t="shared" si="42"/>
        <v>Gb</v>
      </c>
      <c r="O1936" s="8">
        <f>IF(K1936&gt;=1,K1936,K1936*1000)</f>
        <v>85</v>
      </c>
      <c r="P1936">
        <f>ABS(H1936)</f>
        <v>1</v>
      </c>
      <c r="R1936"/>
    </row>
    <row r="1937" spans="1:18" x14ac:dyDescent="0.35">
      <c r="A1937" t="s">
        <v>3334</v>
      </c>
      <c r="B1937" s="2">
        <v>46153</v>
      </c>
      <c r="C1937" t="s">
        <v>2868</v>
      </c>
      <c r="D1937" s="3" t="s">
        <v>46</v>
      </c>
      <c r="E1937" t="s">
        <v>16</v>
      </c>
      <c r="F1937" t="s">
        <v>47</v>
      </c>
      <c r="G1937" t="s">
        <v>48</v>
      </c>
      <c r="H1937" s="8">
        <v>1</v>
      </c>
      <c r="I1937" s="10">
        <v>95</v>
      </c>
      <c r="J1937" s="14">
        <f>P1937*I1937</f>
        <v>95</v>
      </c>
      <c r="K1937" s="16">
        <v>0.38</v>
      </c>
      <c r="L1937" s="1" t="s">
        <v>30</v>
      </c>
      <c r="M1937" t="s">
        <v>58</v>
      </c>
      <c r="N1937" t="str">
        <f t="shared" si="42"/>
        <v>Ireland</v>
      </c>
      <c r="O1937" s="8">
        <f>IF(K1937&gt;=1,K1937,K1937*1000)</f>
        <v>380</v>
      </c>
      <c r="P1937">
        <f>ABS(H1937)</f>
        <v>1</v>
      </c>
      <c r="R1937"/>
    </row>
    <row r="1938" spans="1:18" x14ac:dyDescent="0.35">
      <c r="A1938" t="s">
        <v>3335</v>
      </c>
      <c r="B1938" s="2">
        <v>46208</v>
      </c>
      <c r="C1938" t="s">
        <v>783</v>
      </c>
      <c r="D1938" s="3" t="s">
        <v>46</v>
      </c>
      <c r="E1938" t="s">
        <v>34</v>
      </c>
      <c r="F1938" t="s">
        <v>42</v>
      </c>
      <c r="G1938" t="s">
        <v>43</v>
      </c>
      <c r="H1938" s="8">
        <v>1</v>
      </c>
      <c r="I1938" s="10">
        <v>71.099999999999994</v>
      </c>
      <c r="J1938" s="14">
        <f>P1938*I1938</f>
        <v>71.099999999999994</v>
      </c>
      <c r="K1938" s="16">
        <v>0.19</v>
      </c>
      <c r="L1938" s="1" t="s">
        <v>21</v>
      </c>
      <c r="M1938" t="s">
        <v>58</v>
      </c>
      <c r="N1938" t="str">
        <f t="shared" si="42"/>
        <v>Ireland</v>
      </c>
      <c r="O1938" s="8">
        <f>IF(K1938&gt;=1,K1938,K1938*1000)</f>
        <v>190</v>
      </c>
      <c r="P1938">
        <f>ABS(H1938)</f>
        <v>1</v>
      </c>
      <c r="R1938"/>
    </row>
    <row r="1939" spans="1:18" x14ac:dyDescent="0.35">
      <c r="A1939" t="s">
        <v>3336</v>
      </c>
      <c r="B1939" s="2">
        <v>46050</v>
      </c>
      <c r="C1939" t="s">
        <v>990</v>
      </c>
      <c r="D1939" s="3" t="s">
        <v>99</v>
      </c>
      <c r="E1939" t="s">
        <v>41</v>
      </c>
      <c r="F1939" t="s">
        <v>47</v>
      </c>
      <c r="G1939" t="s">
        <v>48</v>
      </c>
      <c r="H1939" s="8">
        <v>1</v>
      </c>
      <c r="I1939" s="10">
        <v>21.6</v>
      </c>
      <c r="J1939" s="14">
        <f>P1939*I1939</f>
        <v>21.6</v>
      </c>
      <c r="K1939" s="16">
        <v>380</v>
      </c>
      <c r="L1939" s="1" t="s">
        <v>21</v>
      </c>
      <c r="M1939" t="s">
        <v>22</v>
      </c>
      <c r="N1939" t="str">
        <f t="shared" si="42"/>
        <v>United Kingdom</v>
      </c>
      <c r="O1939" s="8">
        <f>IF(K1939&gt;=1,K1939,K1939*1000)</f>
        <v>380</v>
      </c>
      <c r="P1939">
        <f>ABS(H1939)</f>
        <v>1</v>
      </c>
      <c r="R1939"/>
    </row>
    <row r="1940" spans="1:18" x14ac:dyDescent="0.35">
      <c r="A1940" t="s">
        <v>3337</v>
      </c>
      <c r="B1940" s="2">
        <v>46038</v>
      </c>
      <c r="C1940" t="s">
        <v>3338</v>
      </c>
      <c r="D1940" s="3" t="s">
        <v>116</v>
      </c>
      <c r="E1940" t="s">
        <v>34</v>
      </c>
      <c r="F1940" t="s">
        <v>26</v>
      </c>
      <c r="G1940" t="s">
        <v>27</v>
      </c>
      <c r="H1940" s="8">
        <v>3</v>
      </c>
      <c r="I1940" s="10">
        <v>71.099999999999994</v>
      </c>
      <c r="J1940" s="14">
        <f>P1940*I1940</f>
        <v>213.29999999999998</v>
      </c>
      <c r="K1940" s="16">
        <v>520</v>
      </c>
      <c r="L1940" s="1" t="s">
        <v>30</v>
      </c>
      <c r="M1940" t="s">
        <v>22</v>
      </c>
      <c r="N1940" t="str">
        <f t="shared" si="42"/>
        <v>Germany</v>
      </c>
      <c r="O1940" s="8">
        <f>IF(K1940&gt;=1,K1940,K1940*1000)</f>
        <v>520</v>
      </c>
      <c r="P1940">
        <f>ABS(H1940)</f>
        <v>3</v>
      </c>
      <c r="R1940"/>
    </row>
    <row r="1941" spans="1:18" x14ac:dyDescent="0.35">
      <c r="A1941" t="s">
        <v>3339</v>
      </c>
      <c r="B1941" s="2">
        <v>46165</v>
      </c>
      <c r="C1941" t="s">
        <v>240</v>
      </c>
      <c r="D1941" s="3" t="s">
        <v>116</v>
      </c>
      <c r="E1941" t="s">
        <v>41</v>
      </c>
      <c r="F1941" t="s">
        <v>83</v>
      </c>
      <c r="G1941" t="s">
        <v>84</v>
      </c>
      <c r="H1941" s="8">
        <v>2</v>
      </c>
      <c r="I1941" s="10">
        <v>12.5</v>
      </c>
      <c r="J1941" s="14">
        <f>P1941*I1941</f>
        <v>25</v>
      </c>
      <c r="K1941" s="16">
        <v>0.34</v>
      </c>
      <c r="L1941" s="1" t="s">
        <v>30</v>
      </c>
      <c r="M1941" t="s">
        <v>58</v>
      </c>
      <c r="N1941" t="str">
        <f t="shared" si="42"/>
        <v>Germany</v>
      </c>
      <c r="O1941" s="8">
        <f>IF(K1941&gt;=1,K1941,K1941*1000)</f>
        <v>340</v>
      </c>
      <c r="P1941">
        <f>ABS(H1941)</f>
        <v>2</v>
      </c>
      <c r="R1941"/>
    </row>
    <row r="1942" spans="1:18" x14ac:dyDescent="0.35">
      <c r="A1942" t="s">
        <v>3341</v>
      </c>
      <c r="B1942" s="2">
        <v>46164</v>
      </c>
      <c r="C1942" t="s">
        <v>836</v>
      </c>
      <c r="D1942" s="3" t="s">
        <v>46</v>
      </c>
      <c r="E1942" t="s">
        <v>34</v>
      </c>
      <c r="F1942" t="s">
        <v>74</v>
      </c>
      <c r="G1942" t="s">
        <v>75</v>
      </c>
      <c r="H1942" s="8">
        <v>1</v>
      </c>
      <c r="I1942" s="10">
        <v>80.099999999999994</v>
      </c>
      <c r="J1942" s="14">
        <f>P1942*I1942</f>
        <v>80.099999999999994</v>
      </c>
      <c r="K1942" s="16">
        <v>0.41</v>
      </c>
      <c r="L1942" s="1" t="s">
        <v>30</v>
      </c>
      <c r="M1942" t="s">
        <v>58</v>
      </c>
      <c r="N1942" t="str">
        <f t="shared" si="42"/>
        <v>Ireland</v>
      </c>
      <c r="O1942" s="8">
        <f>IF(K1942&gt;=1,K1942,K1942*1000)</f>
        <v>410</v>
      </c>
      <c r="P1942">
        <f>ABS(H1942)</f>
        <v>1</v>
      </c>
      <c r="R1942"/>
    </row>
    <row r="1943" spans="1:18" x14ac:dyDescent="0.35">
      <c r="A1943" t="s">
        <v>3342</v>
      </c>
      <c r="B1943" s="2">
        <v>46200</v>
      </c>
      <c r="C1943" t="s">
        <v>549</v>
      </c>
      <c r="D1943" s="3" t="s">
        <v>15</v>
      </c>
      <c r="E1943" t="s">
        <v>41</v>
      </c>
      <c r="F1943" t="s">
        <v>26</v>
      </c>
      <c r="G1943" t="s">
        <v>27</v>
      </c>
      <c r="H1943" s="8">
        <v>1</v>
      </c>
      <c r="I1943" s="10">
        <v>149</v>
      </c>
      <c r="J1943" s="14">
        <f>P1943*I1943</f>
        <v>149</v>
      </c>
      <c r="K1943" s="16">
        <v>0.52</v>
      </c>
      <c r="L1943" s="1" t="s">
        <v>30</v>
      </c>
      <c r="M1943" t="s">
        <v>58</v>
      </c>
      <c r="N1943" t="str">
        <f t="shared" si="42"/>
        <v>France</v>
      </c>
      <c r="O1943" s="8">
        <f>IF(K1943&gt;=1,K1943,K1943*1000)</f>
        <v>520</v>
      </c>
      <c r="P1943">
        <f>ABS(H1943)</f>
        <v>1</v>
      </c>
      <c r="R1943"/>
    </row>
    <row r="1944" spans="1:18" x14ac:dyDescent="0.35">
      <c r="A1944" t="s">
        <v>3343</v>
      </c>
      <c r="B1944" s="2">
        <v>46112</v>
      </c>
      <c r="C1944" t="s">
        <v>3344</v>
      </c>
      <c r="D1944" s="3" t="s">
        <v>116</v>
      </c>
      <c r="E1944" t="s">
        <v>67</v>
      </c>
      <c r="F1944" t="s">
        <v>26</v>
      </c>
      <c r="G1944" t="s">
        <v>27</v>
      </c>
      <c r="H1944" s="8">
        <v>1</v>
      </c>
      <c r="I1944" s="10">
        <v>24</v>
      </c>
      <c r="J1944" s="14">
        <f>P1944*I1944</f>
        <v>24</v>
      </c>
      <c r="K1944" s="16">
        <v>520</v>
      </c>
      <c r="L1944" s="1" t="s">
        <v>21</v>
      </c>
      <c r="M1944" t="s">
        <v>22</v>
      </c>
      <c r="N1944" t="str">
        <f t="shared" si="42"/>
        <v>Germany</v>
      </c>
      <c r="O1944" s="8">
        <f>IF(K1944&gt;=1,K1944,K1944*1000)</f>
        <v>520</v>
      </c>
      <c r="P1944">
        <f>ABS(H1944)</f>
        <v>1</v>
      </c>
      <c r="R1944"/>
    </row>
    <row r="1945" spans="1:18" x14ac:dyDescent="0.35">
      <c r="A1945" t="s">
        <v>3345</v>
      </c>
      <c r="B1945" s="2">
        <v>46146</v>
      </c>
      <c r="C1945" t="s">
        <v>2933</v>
      </c>
      <c r="D1945" s="3" t="s">
        <v>4613</v>
      </c>
      <c r="E1945" t="s">
        <v>25</v>
      </c>
      <c r="F1945" t="s">
        <v>74</v>
      </c>
      <c r="G1945" t="s">
        <v>75</v>
      </c>
      <c r="H1945" s="8">
        <v>1</v>
      </c>
      <c r="I1945" s="10">
        <v>95</v>
      </c>
      <c r="J1945" s="14">
        <f>P1945*I1945</f>
        <v>95</v>
      </c>
      <c r="K1945" s="16">
        <v>0.41</v>
      </c>
      <c r="L1945" s="1" t="s">
        <v>30</v>
      </c>
      <c r="M1945" t="s">
        <v>58</v>
      </c>
      <c r="N1945" t="str">
        <f t="shared" si="42"/>
        <v>United Kingdom</v>
      </c>
      <c r="O1945" s="8">
        <f>IF(K1945&gt;=1,K1945,K1945*1000)</f>
        <v>410</v>
      </c>
      <c r="P1945">
        <f>ABS(H1945)</f>
        <v>1</v>
      </c>
      <c r="R1945"/>
    </row>
    <row r="1946" spans="1:18" x14ac:dyDescent="0.35">
      <c r="A1946" t="s">
        <v>3346</v>
      </c>
      <c r="B1946" s="2">
        <v>46184</v>
      </c>
      <c r="C1946" t="s">
        <v>231</v>
      </c>
      <c r="D1946" s="3" t="s">
        <v>15</v>
      </c>
      <c r="E1946" t="s">
        <v>34</v>
      </c>
      <c r="F1946" t="s">
        <v>89</v>
      </c>
      <c r="G1946" t="s">
        <v>90</v>
      </c>
      <c r="H1946" s="8">
        <v>1</v>
      </c>
      <c r="I1946" s="10">
        <v>129</v>
      </c>
      <c r="J1946" s="14">
        <f>P1946*I1946</f>
        <v>129</v>
      </c>
      <c r="K1946" s="16">
        <v>0.64</v>
      </c>
      <c r="L1946" s="1" t="s">
        <v>30</v>
      </c>
      <c r="M1946" t="s">
        <v>22</v>
      </c>
      <c r="N1946" t="str">
        <f t="shared" si="42"/>
        <v>France</v>
      </c>
      <c r="O1946" s="8">
        <f>IF(K1946&gt;=1,K1946,K1946*1000)</f>
        <v>640</v>
      </c>
      <c r="P1946">
        <f>ABS(H1946)</f>
        <v>1</v>
      </c>
      <c r="R1946"/>
    </row>
    <row r="1947" spans="1:18" x14ac:dyDescent="0.35">
      <c r="A1947" t="s">
        <v>3347</v>
      </c>
      <c r="B1947" s="2">
        <v>46204</v>
      </c>
      <c r="C1947" t="s">
        <v>376</v>
      </c>
      <c r="D1947" s="3" t="s">
        <v>61</v>
      </c>
      <c r="E1947" t="s">
        <v>41</v>
      </c>
      <c r="F1947" t="s">
        <v>83</v>
      </c>
      <c r="G1947" t="s">
        <v>84</v>
      </c>
      <c r="H1947" s="8">
        <v>3</v>
      </c>
      <c r="I1947" s="10">
        <v>79</v>
      </c>
      <c r="J1947" s="14">
        <f>P1947*I1947</f>
        <v>237</v>
      </c>
      <c r="K1947" s="16">
        <v>0.34</v>
      </c>
      <c r="L1947" s="1" t="s">
        <v>30</v>
      </c>
      <c r="M1947" t="s">
        <v>58</v>
      </c>
      <c r="N1947" t="str">
        <f t="shared" si="42"/>
        <v>Ireland</v>
      </c>
      <c r="O1947" s="8">
        <f>IF(K1947&gt;=1,K1947,K1947*1000)</f>
        <v>340</v>
      </c>
      <c r="P1947">
        <f>ABS(H1947)</f>
        <v>3</v>
      </c>
      <c r="R1947"/>
    </row>
    <row r="1948" spans="1:18" x14ac:dyDescent="0.35">
      <c r="A1948" t="s">
        <v>3348</v>
      </c>
      <c r="B1948" s="2">
        <v>46071</v>
      </c>
      <c r="C1948" t="s">
        <v>247</v>
      </c>
      <c r="D1948" s="3" t="s">
        <v>4612</v>
      </c>
      <c r="E1948" t="s">
        <v>67</v>
      </c>
      <c r="F1948" t="s">
        <v>89</v>
      </c>
      <c r="G1948" t="s">
        <v>90</v>
      </c>
      <c r="H1948" s="8">
        <v>1</v>
      </c>
      <c r="I1948" s="10">
        <v>149</v>
      </c>
      <c r="J1948" s="14">
        <f>P1948*I1948</f>
        <v>149</v>
      </c>
      <c r="K1948" s="16">
        <v>640</v>
      </c>
      <c r="L1948" s="1" t="s">
        <v>30</v>
      </c>
      <c r="M1948" t="s">
        <v>22</v>
      </c>
      <c r="N1948" t="str">
        <f t="shared" si="42"/>
        <v>United Kingdom</v>
      </c>
      <c r="O1948" s="8">
        <f>IF(K1948&gt;=1,K1948,K1948*1000)</f>
        <v>640</v>
      </c>
      <c r="P1948">
        <f>ABS(H1948)</f>
        <v>1</v>
      </c>
      <c r="R1948"/>
    </row>
    <row r="1949" spans="1:18" x14ac:dyDescent="0.35">
      <c r="A1949" t="s">
        <v>3349</v>
      </c>
      <c r="B1949" s="2">
        <v>46202</v>
      </c>
      <c r="C1949" t="s">
        <v>766</v>
      </c>
      <c r="D1949" s="3" t="s">
        <v>61</v>
      </c>
      <c r="E1949" t="s">
        <v>16</v>
      </c>
      <c r="F1949" t="s">
        <v>89</v>
      </c>
      <c r="G1949" t="s">
        <v>90</v>
      </c>
      <c r="H1949" s="8">
        <v>2</v>
      </c>
      <c r="I1949" s="10">
        <v>79</v>
      </c>
      <c r="J1949" s="14">
        <f>P1949*I1949</f>
        <v>158</v>
      </c>
      <c r="K1949" s="16">
        <v>0.64</v>
      </c>
      <c r="L1949" s="1" t="s">
        <v>21</v>
      </c>
      <c r="M1949" t="s">
        <v>22</v>
      </c>
      <c r="N1949" t="str">
        <f t="shared" si="42"/>
        <v>Ireland</v>
      </c>
      <c r="O1949" s="8">
        <f>IF(K1949&gt;=1,K1949,K1949*1000)</f>
        <v>640</v>
      </c>
      <c r="P1949">
        <f>ABS(H1949)</f>
        <v>2</v>
      </c>
      <c r="R1949"/>
    </row>
    <row r="1950" spans="1:18" x14ac:dyDescent="0.35">
      <c r="A1950" t="s">
        <v>3350</v>
      </c>
      <c r="B1950" s="2">
        <v>46201</v>
      </c>
      <c r="C1950" t="s">
        <v>3099</v>
      </c>
      <c r="D1950" s="3" t="s">
        <v>66</v>
      </c>
      <c r="E1950" t="s">
        <v>41</v>
      </c>
      <c r="F1950" t="s">
        <v>89</v>
      </c>
      <c r="G1950" t="s">
        <v>90</v>
      </c>
      <c r="H1950" s="8">
        <v>1</v>
      </c>
      <c r="I1950" s="10">
        <v>95</v>
      </c>
      <c r="J1950" s="14">
        <f>P1950*I1950</f>
        <v>95</v>
      </c>
      <c r="K1950" s="16">
        <v>0.64</v>
      </c>
      <c r="L1950" s="1" t="s">
        <v>30</v>
      </c>
      <c r="M1950" t="s">
        <v>22</v>
      </c>
      <c r="N1950" t="str">
        <f t="shared" si="42"/>
        <v>Gb</v>
      </c>
      <c r="O1950" s="8">
        <f>IF(K1950&gt;=1,K1950,K1950*1000)</f>
        <v>640</v>
      </c>
      <c r="P1950">
        <f>ABS(H1950)</f>
        <v>1</v>
      </c>
      <c r="R1950"/>
    </row>
    <row r="1951" spans="1:18" x14ac:dyDescent="0.35">
      <c r="A1951" t="s">
        <v>3351</v>
      </c>
      <c r="B1951" s="2">
        <v>46085</v>
      </c>
      <c r="C1951" t="s">
        <v>804</v>
      </c>
      <c r="D1951" s="3" t="s">
        <v>53</v>
      </c>
      <c r="E1951" t="s">
        <v>67</v>
      </c>
      <c r="F1951" t="s">
        <v>26</v>
      </c>
      <c r="G1951" t="s">
        <v>27</v>
      </c>
      <c r="H1951" s="8">
        <v>1</v>
      </c>
      <c r="I1951" s="10">
        <v>21.6</v>
      </c>
      <c r="J1951" s="14">
        <f>P1951*I1951</f>
        <v>21.6</v>
      </c>
      <c r="K1951" s="16">
        <v>520</v>
      </c>
      <c r="L1951" s="1" t="s">
        <v>30</v>
      </c>
      <c r="M1951" t="s">
        <v>22</v>
      </c>
      <c r="N1951" t="str">
        <f t="shared" si="42"/>
        <v>Gb</v>
      </c>
      <c r="O1951" s="8">
        <f>IF(K1951&gt;=1,K1951,K1951*1000)</f>
        <v>520</v>
      </c>
      <c r="P1951">
        <f>ABS(H1951)</f>
        <v>1</v>
      </c>
      <c r="R1951"/>
    </row>
    <row r="1952" spans="1:18" x14ac:dyDescent="0.35">
      <c r="A1952" t="s">
        <v>3352</v>
      </c>
      <c r="B1952" s="2" t="s">
        <v>3353</v>
      </c>
      <c r="C1952" t="s">
        <v>445</v>
      </c>
      <c r="D1952" s="3" t="s">
        <v>4612</v>
      </c>
      <c r="E1952" t="s">
        <v>67</v>
      </c>
      <c r="F1952" t="s">
        <v>89</v>
      </c>
      <c r="G1952" t="s">
        <v>90</v>
      </c>
      <c r="H1952" s="8">
        <v>1</v>
      </c>
      <c r="I1952" s="10">
        <v>24</v>
      </c>
      <c r="J1952" s="14">
        <f>P1952*I1952</f>
        <v>24</v>
      </c>
      <c r="K1952" s="16">
        <v>640</v>
      </c>
      <c r="L1952" s="1" t="s">
        <v>30</v>
      </c>
      <c r="M1952" t="s">
        <v>22</v>
      </c>
      <c r="N1952" t="str">
        <f t="shared" si="42"/>
        <v>United Kingdom</v>
      </c>
      <c r="O1952" s="8">
        <f>IF(K1952&gt;=1,K1952,K1952*1000)</f>
        <v>640</v>
      </c>
      <c r="P1952">
        <f>ABS(H1952)</f>
        <v>1</v>
      </c>
      <c r="R1952"/>
    </row>
    <row r="1953" spans="1:18" x14ac:dyDescent="0.35">
      <c r="A1953" t="s">
        <v>3354</v>
      </c>
      <c r="B1953" s="2" t="s">
        <v>2018</v>
      </c>
      <c r="C1953" t="s">
        <v>368</v>
      </c>
      <c r="D1953" s="3" t="s">
        <v>99</v>
      </c>
      <c r="E1953" t="s">
        <v>67</v>
      </c>
      <c r="F1953" t="s">
        <v>17</v>
      </c>
      <c r="G1953" t="s">
        <v>18</v>
      </c>
      <c r="H1953" s="8">
        <v>3</v>
      </c>
      <c r="I1953" s="10">
        <v>116.1</v>
      </c>
      <c r="J1953" s="14">
        <f>P1953*I1953</f>
        <v>348.29999999999995</v>
      </c>
      <c r="K1953" s="16">
        <v>520</v>
      </c>
      <c r="L1953" s="1" t="s">
        <v>30</v>
      </c>
      <c r="M1953" t="s">
        <v>58</v>
      </c>
      <c r="N1953" t="str">
        <f t="shared" si="42"/>
        <v>United Kingdom</v>
      </c>
      <c r="O1953" s="8">
        <f>IF(K1953&gt;=1,K1953,K1953*1000)</f>
        <v>520</v>
      </c>
      <c r="P1953">
        <f>ABS(H1953)</f>
        <v>3</v>
      </c>
      <c r="R1953"/>
    </row>
    <row r="1954" spans="1:18" x14ac:dyDescent="0.35">
      <c r="A1954" t="s">
        <v>3355</v>
      </c>
      <c r="B1954" s="2">
        <v>46057</v>
      </c>
      <c r="C1954" t="s">
        <v>2657</v>
      </c>
      <c r="D1954" s="3" t="s">
        <v>116</v>
      </c>
      <c r="E1954" t="s">
        <v>41</v>
      </c>
      <c r="F1954" t="s">
        <v>47</v>
      </c>
      <c r="G1954" t="s">
        <v>48</v>
      </c>
      <c r="H1954" s="8">
        <v>1</v>
      </c>
      <c r="I1954" s="10">
        <v>11.25</v>
      </c>
      <c r="J1954" s="14">
        <f>P1954*I1954</f>
        <v>11.25</v>
      </c>
      <c r="K1954" s="16">
        <v>380</v>
      </c>
      <c r="L1954" s="1" t="s">
        <v>21</v>
      </c>
      <c r="M1954" t="s">
        <v>22</v>
      </c>
      <c r="N1954" t="str">
        <f t="shared" si="42"/>
        <v>Germany</v>
      </c>
      <c r="O1954" s="8">
        <f>IF(K1954&gt;=1,K1954,K1954*1000)</f>
        <v>380</v>
      </c>
      <c r="P1954">
        <f>ABS(H1954)</f>
        <v>1</v>
      </c>
      <c r="R1954"/>
    </row>
    <row r="1955" spans="1:18" x14ac:dyDescent="0.35">
      <c r="A1955" t="s">
        <v>3356</v>
      </c>
      <c r="B1955" s="2" t="s">
        <v>2301</v>
      </c>
      <c r="C1955" t="s">
        <v>225</v>
      </c>
      <c r="D1955" s="3" t="s">
        <v>99</v>
      </c>
      <c r="E1955" t="s">
        <v>67</v>
      </c>
      <c r="F1955" t="s">
        <v>26</v>
      </c>
      <c r="G1955" t="s">
        <v>27</v>
      </c>
      <c r="H1955" s="8">
        <v>2</v>
      </c>
      <c r="I1955" s="10">
        <v>45</v>
      </c>
      <c r="J1955" s="14">
        <f>P1955*I1955</f>
        <v>90</v>
      </c>
      <c r="K1955" s="16">
        <v>0.52</v>
      </c>
      <c r="L1955" s="1" t="s">
        <v>21</v>
      </c>
      <c r="M1955" t="s">
        <v>22</v>
      </c>
      <c r="N1955" t="str">
        <f t="shared" si="42"/>
        <v>United Kingdom</v>
      </c>
      <c r="O1955" s="8">
        <f>IF(K1955&gt;=1,K1955,K1955*1000)</f>
        <v>520</v>
      </c>
      <c r="P1955">
        <f>ABS(H1955)</f>
        <v>2</v>
      </c>
      <c r="R1955"/>
    </row>
    <row r="1956" spans="1:18" x14ac:dyDescent="0.35">
      <c r="A1956" t="s">
        <v>3357</v>
      </c>
      <c r="B1956" s="2">
        <v>46191</v>
      </c>
      <c r="C1956" t="s">
        <v>3358</v>
      </c>
      <c r="D1956" s="3" t="s">
        <v>4613</v>
      </c>
      <c r="E1956" t="s">
        <v>67</v>
      </c>
      <c r="F1956" t="s">
        <v>42</v>
      </c>
      <c r="G1956" t="s">
        <v>43</v>
      </c>
      <c r="H1956" s="8">
        <v>1</v>
      </c>
      <c r="I1956" s="10">
        <v>12.5</v>
      </c>
      <c r="J1956" s="14">
        <f>P1956*I1956</f>
        <v>12.5</v>
      </c>
      <c r="K1956" s="16">
        <v>0.19</v>
      </c>
      <c r="L1956" s="1" t="s">
        <v>30</v>
      </c>
      <c r="M1956" t="s">
        <v>22</v>
      </c>
      <c r="N1956" t="str">
        <f t="shared" si="42"/>
        <v>United Kingdom</v>
      </c>
      <c r="O1956" s="8">
        <f>IF(K1956&gt;=1,K1956,K1956*1000)</f>
        <v>190</v>
      </c>
      <c r="P1956">
        <f>ABS(H1956)</f>
        <v>1</v>
      </c>
      <c r="R1956"/>
    </row>
    <row r="1957" spans="1:18" x14ac:dyDescent="0.35">
      <c r="A1957" t="s">
        <v>3359</v>
      </c>
      <c r="B1957" s="2" t="s">
        <v>3360</v>
      </c>
      <c r="C1957" t="s">
        <v>504</v>
      </c>
      <c r="D1957" s="3" t="s">
        <v>4612</v>
      </c>
      <c r="E1957" t="s">
        <v>41</v>
      </c>
      <c r="F1957" t="s">
        <v>89</v>
      </c>
      <c r="G1957" t="s">
        <v>90</v>
      </c>
      <c r="H1957" s="8">
        <v>-1</v>
      </c>
      <c r="I1957" s="10">
        <v>95</v>
      </c>
      <c r="J1957" s="14">
        <f>P1957*I1957</f>
        <v>95</v>
      </c>
      <c r="K1957" s="16">
        <v>0.64</v>
      </c>
      <c r="L1957" s="1" t="s">
        <v>30</v>
      </c>
      <c r="M1957" t="s">
        <v>22</v>
      </c>
      <c r="N1957" t="str">
        <f t="shared" si="42"/>
        <v>United Kingdom</v>
      </c>
      <c r="O1957" s="8">
        <f>IF(K1957&gt;=1,K1957,K1957*1000)</f>
        <v>640</v>
      </c>
      <c r="P1957">
        <f>ABS(H1957)</f>
        <v>1</v>
      </c>
      <c r="R1957"/>
    </row>
    <row r="1958" spans="1:18" x14ac:dyDescent="0.35">
      <c r="A1958" t="s">
        <v>3361</v>
      </c>
      <c r="B1958" s="2">
        <v>46199</v>
      </c>
      <c r="C1958" t="s">
        <v>1372</v>
      </c>
      <c r="D1958" s="3" t="s">
        <v>53</v>
      </c>
      <c r="E1958" t="s">
        <v>16</v>
      </c>
      <c r="F1958" t="s">
        <v>74</v>
      </c>
      <c r="G1958" t="s">
        <v>75</v>
      </c>
      <c r="H1958" s="8">
        <v>2</v>
      </c>
      <c r="I1958" s="10">
        <v>71.099999999999994</v>
      </c>
      <c r="J1958" s="14">
        <f>P1958*I1958</f>
        <v>142.19999999999999</v>
      </c>
      <c r="K1958" s="16">
        <v>0.41</v>
      </c>
      <c r="L1958" s="1" t="s">
        <v>30</v>
      </c>
      <c r="M1958" t="s">
        <v>58</v>
      </c>
      <c r="N1958" t="str">
        <f t="shared" si="42"/>
        <v>Gb</v>
      </c>
      <c r="O1958" s="8">
        <f>IF(K1958&gt;=1,K1958,K1958*1000)</f>
        <v>410</v>
      </c>
      <c r="P1958">
        <f>ABS(H1958)</f>
        <v>2</v>
      </c>
      <c r="R1958"/>
    </row>
    <row r="1959" spans="1:18" x14ac:dyDescent="0.35">
      <c r="A1959" t="s">
        <v>3362</v>
      </c>
      <c r="B1959" s="2">
        <v>46132</v>
      </c>
      <c r="C1959" t="s">
        <v>2456</v>
      </c>
      <c r="D1959" s="3" t="s">
        <v>46</v>
      </c>
      <c r="E1959" t="s">
        <v>25</v>
      </c>
      <c r="F1959" t="s">
        <v>47</v>
      </c>
      <c r="G1959" t="s">
        <v>48</v>
      </c>
      <c r="H1959" s="8">
        <v>3</v>
      </c>
      <c r="I1959" s="10">
        <v>21.6</v>
      </c>
      <c r="J1959" s="14">
        <f>P1959*I1959</f>
        <v>64.800000000000011</v>
      </c>
      <c r="K1959" s="16">
        <v>0.38</v>
      </c>
      <c r="L1959" s="1" t="s">
        <v>30</v>
      </c>
      <c r="M1959" t="s">
        <v>58</v>
      </c>
      <c r="N1959" t="str">
        <f t="shared" si="42"/>
        <v>Ireland</v>
      </c>
      <c r="O1959" s="8">
        <f>IF(K1959&gt;=1,K1959,K1959*1000)</f>
        <v>380</v>
      </c>
      <c r="P1959">
        <f>ABS(H1959)</f>
        <v>3</v>
      </c>
      <c r="R1959"/>
    </row>
    <row r="1960" spans="1:18" x14ac:dyDescent="0.35">
      <c r="A1960" t="s">
        <v>3363</v>
      </c>
      <c r="B1960" s="2" t="s">
        <v>1080</v>
      </c>
      <c r="C1960" t="s">
        <v>2005</v>
      </c>
      <c r="D1960" s="3" t="s">
        <v>46</v>
      </c>
      <c r="E1960" t="s">
        <v>67</v>
      </c>
      <c r="F1960" t="s">
        <v>74</v>
      </c>
      <c r="G1960" t="s">
        <v>75</v>
      </c>
      <c r="H1960" s="8">
        <v>1</v>
      </c>
      <c r="I1960" s="10">
        <v>12.5</v>
      </c>
      <c r="J1960" s="14">
        <f>P1960*I1960</f>
        <v>12.5</v>
      </c>
      <c r="K1960" s="16">
        <v>0.41</v>
      </c>
      <c r="L1960" s="1" t="s">
        <v>30</v>
      </c>
      <c r="M1960" t="s">
        <v>22</v>
      </c>
      <c r="N1960" t="str">
        <f t="shared" si="42"/>
        <v>Ireland</v>
      </c>
      <c r="O1960" s="8">
        <f>IF(K1960&gt;=1,K1960,K1960*1000)</f>
        <v>410</v>
      </c>
      <c r="P1960">
        <f>ABS(H1960)</f>
        <v>1</v>
      </c>
      <c r="R1960"/>
    </row>
    <row r="1961" spans="1:18" x14ac:dyDescent="0.35">
      <c r="A1961" t="s">
        <v>3364</v>
      </c>
      <c r="B1961" s="2" t="s">
        <v>1063</v>
      </c>
      <c r="C1961" t="s">
        <v>1124</v>
      </c>
      <c r="D1961" s="3" t="s">
        <v>116</v>
      </c>
      <c r="E1961" t="s">
        <v>25</v>
      </c>
      <c r="F1961" t="s">
        <v>26</v>
      </c>
      <c r="G1961" t="s">
        <v>27</v>
      </c>
      <c r="H1961" s="8">
        <v>2</v>
      </c>
      <c r="I1961" s="10">
        <v>149</v>
      </c>
      <c r="J1961" s="14">
        <f>P1961*I1961</f>
        <v>298</v>
      </c>
      <c r="K1961" s="16">
        <v>520</v>
      </c>
      <c r="L1961" s="1" t="s">
        <v>30</v>
      </c>
      <c r="M1961" t="s">
        <v>58</v>
      </c>
      <c r="N1961" t="str">
        <f t="shared" si="42"/>
        <v>Germany</v>
      </c>
      <c r="O1961" s="8">
        <f>IF(K1961&gt;=1,K1961,K1961*1000)</f>
        <v>520</v>
      </c>
      <c r="P1961">
        <f>ABS(H1961)</f>
        <v>2</v>
      </c>
      <c r="R1961"/>
    </row>
    <row r="1962" spans="1:18" x14ac:dyDescent="0.35">
      <c r="A1962" t="s">
        <v>3365</v>
      </c>
      <c r="B1962" s="2">
        <v>46031</v>
      </c>
      <c r="C1962" t="s">
        <v>435</v>
      </c>
      <c r="D1962" s="3" t="s">
        <v>4612</v>
      </c>
      <c r="E1962" t="s">
        <v>16</v>
      </c>
      <c r="F1962" t="s">
        <v>74</v>
      </c>
      <c r="G1962" t="s">
        <v>75</v>
      </c>
      <c r="H1962" s="8">
        <v>1</v>
      </c>
      <c r="I1962" s="10">
        <v>149</v>
      </c>
      <c r="J1962" s="14">
        <f>P1962*I1962</f>
        <v>149</v>
      </c>
      <c r="K1962" s="16">
        <v>410</v>
      </c>
      <c r="L1962" s="1" t="s">
        <v>30</v>
      </c>
      <c r="M1962" t="s">
        <v>22</v>
      </c>
      <c r="N1962" t="str">
        <f t="shared" si="42"/>
        <v>United Kingdom</v>
      </c>
      <c r="O1962" s="8">
        <f>IF(K1962&gt;=1,K1962,K1962*1000)</f>
        <v>410</v>
      </c>
      <c r="P1962">
        <f>ABS(H1962)</f>
        <v>1</v>
      </c>
      <c r="R1962"/>
    </row>
    <row r="1963" spans="1:18" x14ac:dyDescent="0.35">
      <c r="A1963" t="s">
        <v>3366</v>
      </c>
      <c r="B1963" s="2">
        <v>46327</v>
      </c>
      <c r="C1963" t="s">
        <v>3367</v>
      </c>
      <c r="D1963" s="3" t="s">
        <v>53</v>
      </c>
      <c r="E1963" t="s">
        <v>34</v>
      </c>
      <c r="F1963" t="s">
        <v>47</v>
      </c>
      <c r="G1963" t="s">
        <v>48</v>
      </c>
      <c r="H1963" s="8">
        <v>2</v>
      </c>
      <c r="I1963" s="10">
        <v>149</v>
      </c>
      <c r="J1963" s="14">
        <f>P1963*I1963</f>
        <v>298</v>
      </c>
      <c r="K1963" s="16">
        <v>380</v>
      </c>
      <c r="L1963" s="1" t="s">
        <v>30</v>
      </c>
      <c r="M1963" t="s">
        <v>22</v>
      </c>
      <c r="N1963" t="str">
        <f t="shared" si="42"/>
        <v>Gb</v>
      </c>
      <c r="O1963" s="8">
        <f>IF(K1963&gt;=1,K1963,K1963*1000)</f>
        <v>380</v>
      </c>
      <c r="P1963">
        <f>ABS(H1963)</f>
        <v>2</v>
      </c>
      <c r="R1963"/>
    </row>
    <row r="1964" spans="1:18" x14ac:dyDescent="0.35">
      <c r="A1964" t="s">
        <v>3368</v>
      </c>
      <c r="B1964" s="2">
        <v>46128</v>
      </c>
      <c r="C1964" t="s">
        <v>3369</v>
      </c>
      <c r="D1964" s="3" t="s">
        <v>46</v>
      </c>
      <c r="E1964" t="s">
        <v>67</v>
      </c>
      <c r="F1964" t="s">
        <v>35</v>
      </c>
      <c r="G1964" t="s">
        <v>36</v>
      </c>
      <c r="H1964" s="8">
        <v>2</v>
      </c>
      <c r="I1964" s="10">
        <v>149</v>
      </c>
      <c r="J1964" s="14">
        <f>P1964*I1964</f>
        <v>298</v>
      </c>
      <c r="K1964" s="16">
        <v>85</v>
      </c>
      <c r="L1964" s="1" t="s">
        <v>30</v>
      </c>
      <c r="M1964" t="s">
        <v>22</v>
      </c>
      <c r="N1964" t="str">
        <f t="shared" si="42"/>
        <v>Ireland</v>
      </c>
      <c r="O1964" s="8">
        <f>IF(K1964&gt;=1,K1964,K1964*1000)</f>
        <v>85</v>
      </c>
      <c r="P1964">
        <f>ABS(H1964)</f>
        <v>2</v>
      </c>
      <c r="R1964"/>
    </row>
    <row r="1965" spans="1:18" x14ac:dyDescent="0.35">
      <c r="A1965" t="s">
        <v>3370</v>
      </c>
      <c r="B1965" s="2">
        <v>46075</v>
      </c>
      <c r="C1965" t="s">
        <v>3371</v>
      </c>
      <c r="D1965" s="3" t="s">
        <v>53</v>
      </c>
      <c r="E1965" t="s">
        <v>25</v>
      </c>
      <c r="F1965" t="s">
        <v>89</v>
      </c>
      <c r="G1965" t="s">
        <v>90</v>
      </c>
      <c r="H1965" s="8">
        <v>1</v>
      </c>
      <c r="I1965" s="10">
        <v>79</v>
      </c>
      <c r="J1965" s="14">
        <f>P1965*I1965</f>
        <v>79</v>
      </c>
      <c r="K1965" s="16">
        <v>640</v>
      </c>
      <c r="L1965" s="1" t="s">
        <v>21</v>
      </c>
      <c r="M1965" t="s">
        <v>22</v>
      </c>
      <c r="N1965" t="str">
        <f t="shared" si="42"/>
        <v>Gb</v>
      </c>
      <c r="O1965" s="8">
        <f>IF(K1965&gt;=1,K1965,K1965*1000)</f>
        <v>640</v>
      </c>
      <c r="P1965">
        <f>ABS(H1965)</f>
        <v>1</v>
      </c>
      <c r="R1965"/>
    </row>
    <row r="1966" spans="1:18" x14ac:dyDescent="0.35">
      <c r="A1966" t="s">
        <v>3372</v>
      </c>
      <c r="B1966" s="2">
        <v>46194</v>
      </c>
      <c r="C1966" t="s">
        <v>1484</v>
      </c>
      <c r="D1966" s="3" t="s">
        <v>46</v>
      </c>
      <c r="E1966" t="s">
        <v>16</v>
      </c>
      <c r="F1966" t="s">
        <v>35</v>
      </c>
      <c r="G1966" t="s">
        <v>36</v>
      </c>
      <c r="H1966" s="8">
        <v>2</v>
      </c>
      <c r="I1966" s="10">
        <v>80.099999999999994</v>
      </c>
      <c r="J1966" s="14">
        <f>P1966*I1966</f>
        <v>160.19999999999999</v>
      </c>
      <c r="K1966" s="16">
        <v>8.5000000000000006E-2</v>
      </c>
      <c r="L1966" s="1" t="s">
        <v>30</v>
      </c>
      <c r="M1966" t="s">
        <v>22</v>
      </c>
      <c r="N1966" t="str">
        <f t="shared" si="42"/>
        <v>Ireland</v>
      </c>
      <c r="O1966" s="8">
        <f>IF(K1966&gt;=1,K1966,K1966*1000)</f>
        <v>85</v>
      </c>
      <c r="P1966">
        <f>ABS(H1966)</f>
        <v>2</v>
      </c>
      <c r="R1966"/>
    </row>
    <row r="1967" spans="1:18" x14ac:dyDescent="0.35">
      <c r="A1967" t="s">
        <v>3373</v>
      </c>
      <c r="B1967" s="2" t="s">
        <v>186</v>
      </c>
      <c r="C1967" t="s">
        <v>1019</v>
      </c>
      <c r="D1967" s="3" t="s">
        <v>99</v>
      </c>
      <c r="E1967" t="s">
        <v>25</v>
      </c>
      <c r="F1967" t="s">
        <v>35</v>
      </c>
      <c r="G1967" t="s">
        <v>36</v>
      </c>
      <c r="H1967" s="8">
        <v>1</v>
      </c>
      <c r="I1967" s="12" t="s">
        <v>4644</v>
      </c>
      <c r="J1967" s="14">
        <f>P1967*R1967</f>
        <v>79</v>
      </c>
      <c r="K1967" s="16">
        <v>8.5000000000000006E-2</v>
      </c>
      <c r="L1967" s="1" t="s">
        <v>30</v>
      </c>
      <c r="M1967" t="s">
        <v>58</v>
      </c>
      <c r="N1967" t="str">
        <f t="shared" si="42"/>
        <v>United Kingdom</v>
      </c>
      <c r="O1967" s="8">
        <f>IF(K1967&gt;=1,K1967,K1967*1000)</f>
        <v>85</v>
      </c>
      <c r="P1967">
        <f>ABS(H1967)</f>
        <v>1</v>
      </c>
      <c r="Q1967" t="str">
        <f>LEFT(I1967,3)</f>
        <v>GBP</v>
      </c>
      <c r="R1967" s="10" t="str">
        <f>RIGHT(I1967,5)</f>
        <v>79,00</v>
      </c>
    </row>
    <row r="1968" spans="1:18" x14ac:dyDescent="0.35">
      <c r="A1968" t="s">
        <v>3374</v>
      </c>
      <c r="B1968" s="2">
        <v>46157</v>
      </c>
      <c r="C1968" t="s">
        <v>139</v>
      </c>
      <c r="D1968" s="3" t="s">
        <v>53</v>
      </c>
      <c r="E1968" t="s">
        <v>16</v>
      </c>
      <c r="F1968" t="s">
        <v>74</v>
      </c>
      <c r="G1968" t="s">
        <v>75</v>
      </c>
      <c r="H1968" s="8">
        <v>2</v>
      </c>
      <c r="I1968" s="12" t="s">
        <v>4638</v>
      </c>
      <c r="J1968" s="14">
        <f>P1968*R1968</f>
        <v>43.2</v>
      </c>
      <c r="K1968" s="16">
        <v>0.41</v>
      </c>
      <c r="L1968" s="1" t="s">
        <v>30</v>
      </c>
      <c r="M1968" t="s">
        <v>22</v>
      </c>
      <c r="N1968" t="str">
        <f t="shared" si="42"/>
        <v>Gb</v>
      </c>
      <c r="O1968" s="8">
        <f>IF(K1968&gt;=1,K1968,K1968*1000)</f>
        <v>410</v>
      </c>
      <c r="P1968">
        <f>ABS(H1968)</f>
        <v>2</v>
      </c>
      <c r="Q1968" t="str">
        <f>LEFT(I1968,2)</f>
        <v>Â£</v>
      </c>
      <c r="R1968" t="str">
        <f>RIGHT(I1968,5)</f>
        <v>21,60</v>
      </c>
    </row>
    <row r="1969" spans="1:18" x14ac:dyDescent="0.35">
      <c r="A1969" t="s">
        <v>3375</v>
      </c>
      <c r="B1969" s="2">
        <v>46197</v>
      </c>
      <c r="C1969" t="s">
        <v>1504</v>
      </c>
      <c r="D1969" s="3" t="s">
        <v>99</v>
      </c>
      <c r="E1969" t="s">
        <v>67</v>
      </c>
      <c r="F1969" t="s">
        <v>89</v>
      </c>
      <c r="G1969" t="s">
        <v>90</v>
      </c>
      <c r="H1969" s="8">
        <v>2</v>
      </c>
      <c r="I1969" s="10">
        <v>116.1</v>
      </c>
      <c r="J1969" s="14">
        <f>P1969*I1969</f>
        <v>232.2</v>
      </c>
      <c r="K1969" s="16">
        <v>0.64</v>
      </c>
      <c r="L1969" s="1" t="s">
        <v>30</v>
      </c>
      <c r="M1969" t="s">
        <v>22</v>
      </c>
      <c r="N1969" t="str">
        <f t="shared" si="42"/>
        <v>United Kingdom</v>
      </c>
      <c r="O1969" s="8">
        <f>IF(K1969&gt;=1,K1969,K1969*1000)</f>
        <v>640</v>
      </c>
      <c r="P1969">
        <f>ABS(H1969)</f>
        <v>2</v>
      </c>
      <c r="R1969"/>
    </row>
    <row r="1970" spans="1:18" x14ac:dyDescent="0.35">
      <c r="A1970" t="s">
        <v>3376</v>
      </c>
      <c r="B1970" s="2">
        <v>46116</v>
      </c>
      <c r="C1970" t="s">
        <v>3377</v>
      </c>
      <c r="D1970" s="3" t="s">
        <v>99</v>
      </c>
      <c r="E1970" t="s">
        <v>25</v>
      </c>
      <c r="F1970" t="s">
        <v>17</v>
      </c>
      <c r="G1970" t="s">
        <v>18</v>
      </c>
      <c r="H1970" s="8">
        <v>3</v>
      </c>
      <c r="I1970" s="10">
        <v>21.6</v>
      </c>
      <c r="J1970" s="14">
        <f>P1970*I1970</f>
        <v>64.800000000000011</v>
      </c>
      <c r="K1970" s="16">
        <v>520</v>
      </c>
      <c r="L1970" s="1" t="s">
        <v>21</v>
      </c>
      <c r="M1970" t="s">
        <v>22</v>
      </c>
      <c r="N1970" t="str">
        <f t="shared" si="42"/>
        <v>United Kingdom</v>
      </c>
      <c r="O1970" s="8">
        <f>IF(K1970&gt;=1,K1970,K1970*1000)</f>
        <v>520</v>
      </c>
      <c r="P1970">
        <f>ABS(H1970)</f>
        <v>3</v>
      </c>
      <c r="R1970"/>
    </row>
    <row r="1971" spans="1:18" x14ac:dyDescent="0.35">
      <c r="A1971" t="s">
        <v>3378</v>
      </c>
      <c r="B1971" s="2">
        <v>46142</v>
      </c>
      <c r="C1971" t="s">
        <v>2489</v>
      </c>
      <c r="D1971" s="3" t="s">
        <v>116</v>
      </c>
      <c r="E1971" t="s">
        <v>67</v>
      </c>
      <c r="F1971" t="s">
        <v>35</v>
      </c>
      <c r="G1971" t="s">
        <v>36</v>
      </c>
      <c r="H1971" s="8">
        <v>2</v>
      </c>
      <c r="I1971" s="10">
        <v>79</v>
      </c>
      <c r="J1971" s="14">
        <f>P1971*I1971</f>
        <v>158</v>
      </c>
      <c r="K1971" s="16">
        <v>8.5000000000000006E-2</v>
      </c>
      <c r="L1971" s="1" t="s">
        <v>21</v>
      </c>
      <c r="M1971" t="s">
        <v>58</v>
      </c>
      <c r="N1971" t="str">
        <f t="shared" si="42"/>
        <v>Germany</v>
      </c>
      <c r="O1971" s="8">
        <f>IF(K1971&gt;=1,K1971,K1971*1000)</f>
        <v>85</v>
      </c>
      <c r="P1971">
        <f>ABS(H1971)</f>
        <v>2</v>
      </c>
      <c r="R1971"/>
    </row>
    <row r="1972" spans="1:18" x14ac:dyDescent="0.35">
      <c r="A1972" t="s">
        <v>3379</v>
      </c>
      <c r="B1972" s="2">
        <v>46187</v>
      </c>
      <c r="C1972" t="s">
        <v>3380</v>
      </c>
      <c r="D1972" s="3" t="s">
        <v>116</v>
      </c>
      <c r="E1972" t="s">
        <v>25</v>
      </c>
      <c r="F1972" t="s">
        <v>26</v>
      </c>
      <c r="G1972" t="s">
        <v>27</v>
      </c>
      <c r="H1972" s="8">
        <v>2</v>
      </c>
      <c r="I1972" s="10">
        <v>89</v>
      </c>
      <c r="J1972" s="14">
        <f>P1972*I1972</f>
        <v>178</v>
      </c>
      <c r="K1972" s="16">
        <v>0.52</v>
      </c>
      <c r="L1972" s="1" t="s">
        <v>30</v>
      </c>
      <c r="M1972" t="s">
        <v>22</v>
      </c>
      <c r="N1972" t="str">
        <f t="shared" si="42"/>
        <v>Germany</v>
      </c>
      <c r="O1972" s="8">
        <f>IF(K1972&gt;=1,K1972,K1972*1000)</f>
        <v>520</v>
      </c>
      <c r="P1972">
        <f>ABS(H1972)</f>
        <v>2</v>
      </c>
      <c r="R1972"/>
    </row>
    <row r="1973" spans="1:18" x14ac:dyDescent="0.35">
      <c r="A1973" t="s">
        <v>3381</v>
      </c>
      <c r="B1973" s="2">
        <v>46055</v>
      </c>
      <c r="C1973" t="s">
        <v>2574</v>
      </c>
      <c r="D1973" s="3" t="s">
        <v>4613</v>
      </c>
      <c r="E1973" t="s">
        <v>25</v>
      </c>
      <c r="F1973" t="s">
        <v>47</v>
      </c>
      <c r="G1973" t="s">
        <v>48</v>
      </c>
      <c r="H1973" s="8">
        <v>2</v>
      </c>
      <c r="I1973" s="10">
        <v>80.099999999999994</v>
      </c>
      <c r="J1973" s="14">
        <f>P1973*I1973</f>
        <v>160.19999999999999</v>
      </c>
      <c r="K1973" s="16">
        <v>380</v>
      </c>
      <c r="L1973" s="1" t="s">
        <v>30</v>
      </c>
      <c r="M1973" t="s">
        <v>58</v>
      </c>
      <c r="N1973" t="str">
        <f t="shared" si="42"/>
        <v>United Kingdom</v>
      </c>
      <c r="O1973" s="8">
        <f>IF(K1973&gt;=1,K1973,K1973*1000)</f>
        <v>380</v>
      </c>
      <c r="P1973">
        <f>ABS(H1973)</f>
        <v>2</v>
      </c>
      <c r="R1973"/>
    </row>
    <row r="1974" spans="1:18" x14ac:dyDescent="0.35">
      <c r="A1974" t="s">
        <v>3382</v>
      </c>
      <c r="B1974" s="2">
        <v>46087</v>
      </c>
      <c r="C1974" t="s">
        <v>3383</v>
      </c>
      <c r="D1974" s="3" t="s">
        <v>99</v>
      </c>
      <c r="E1974" t="s">
        <v>16</v>
      </c>
      <c r="F1974" t="s">
        <v>47</v>
      </c>
      <c r="G1974" t="s">
        <v>48</v>
      </c>
      <c r="H1974" s="8">
        <v>1</v>
      </c>
      <c r="I1974" s="10">
        <v>134.1</v>
      </c>
      <c r="J1974" s="14">
        <f>P1974*I1974</f>
        <v>134.1</v>
      </c>
      <c r="K1974" s="16">
        <v>380</v>
      </c>
      <c r="L1974" s="1" t="s">
        <v>30</v>
      </c>
      <c r="M1974" t="s">
        <v>22</v>
      </c>
      <c r="N1974" t="str">
        <f t="shared" si="42"/>
        <v>United Kingdom</v>
      </c>
      <c r="O1974" s="8">
        <f>IF(K1974&gt;=1,K1974,K1974*1000)</f>
        <v>380</v>
      </c>
      <c r="P1974">
        <f>ABS(H1974)</f>
        <v>1</v>
      </c>
      <c r="R1974"/>
    </row>
    <row r="1975" spans="1:18" x14ac:dyDescent="0.35">
      <c r="A1975" t="s">
        <v>3384</v>
      </c>
      <c r="B1975" s="2">
        <v>46065</v>
      </c>
      <c r="C1975" t="s">
        <v>2459</v>
      </c>
      <c r="D1975" s="3" t="s">
        <v>4612</v>
      </c>
      <c r="E1975" t="s">
        <v>67</v>
      </c>
      <c r="F1975" t="s">
        <v>47</v>
      </c>
      <c r="G1975" t="s">
        <v>48</v>
      </c>
      <c r="H1975" s="8">
        <v>1</v>
      </c>
      <c r="I1975" s="10">
        <v>116.1</v>
      </c>
      <c r="J1975" s="14">
        <f>P1975*I1975</f>
        <v>116.1</v>
      </c>
      <c r="K1975" s="16">
        <v>380</v>
      </c>
      <c r="L1975" s="1" t="s">
        <v>30</v>
      </c>
      <c r="M1975" t="s">
        <v>22</v>
      </c>
      <c r="N1975" t="str">
        <f t="shared" si="42"/>
        <v>United Kingdom</v>
      </c>
      <c r="O1975" s="8">
        <f>IF(K1975&gt;=1,K1975,K1975*1000)</f>
        <v>380</v>
      </c>
      <c r="P1975">
        <f>ABS(H1975)</f>
        <v>1</v>
      </c>
      <c r="R1975"/>
    </row>
    <row r="1976" spans="1:18" x14ac:dyDescent="0.35">
      <c r="A1976" t="s">
        <v>3385</v>
      </c>
      <c r="B1976" s="2">
        <v>46061</v>
      </c>
      <c r="C1976" t="s">
        <v>2977</v>
      </c>
      <c r="D1976" s="3" t="s">
        <v>66</v>
      </c>
      <c r="E1976" t="s">
        <v>34</v>
      </c>
      <c r="F1976" t="s">
        <v>89</v>
      </c>
      <c r="G1976" t="s">
        <v>90</v>
      </c>
      <c r="H1976" s="8">
        <v>1</v>
      </c>
      <c r="I1976" s="10">
        <v>45</v>
      </c>
      <c r="J1976" s="14">
        <f>P1976*I1976</f>
        <v>45</v>
      </c>
      <c r="K1976" s="16">
        <v>640</v>
      </c>
      <c r="L1976" s="1" t="s">
        <v>30</v>
      </c>
      <c r="M1976" t="s">
        <v>58</v>
      </c>
      <c r="N1976" t="str">
        <f t="shared" si="42"/>
        <v>Gb</v>
      </c>
      <c r="O1976" s="8">
        <f>IF(K1976&gt;=1,K1976,K1976*1000)</f>
        <v>640</v>
      </c>
      <c r="P1976">
        <f>ABS(H1976)</f>
        <v>1</v>
      </c>
      <c r="R1976"/>
    </row>
    <row r="1977" spans="1:18" x14ac:dyDescent="0.35">
      <c r="A1977" t="s">
        <v>3386</v>
      </c>
      <c r="B1977" s="2">
        <v>46093</v>
      </c>
      <c r="C1977" t="s">
        <v>378</v>
      </c>
      <c r="D1977" s="3" t="s">
        <v>99</v>
      </c>
      <c r="E1977" t="s">
        <v>25</v>
      </c>
      <c r="F1977" t="s">
        <v>17</v>
      </c>
      <c r="G1977" t="s">
        <v>18</v>
      </c>
      <c r="H1977" s="8">
        <v>3</v>
      </c>
      <c r="I1977" s="10">
        <v>12.5</v>
      </c>
      <c r="J1977" s="14">
        <f>P1977*I1977</f>
        <v>37.5</v>
      </c>
      <c r="K1977" s="16">
        <v>520</v>
      </c>
      <c r="L1977" s="1" t="s">
        <v>30</v>
      </c>
      <c r="M1977" t="s">
        <v>22</v>
      </c>
      <c r="N1977" t="str">
        <f t="shared" si="42"/>
        <v>United Kingdom</v>
      </c>
      <c r="O1977" s="8">
        <f>IF(K1977&gt;=1,K1977,K1977*1000)</f>
        <v>520</v>
      </c>
      <c r="P1977">
        <f>ABS(H1977)</f>
        <v>3</v>
      </c>
      <c r="R1977"/>
    </row>
    <row r="1978" spans="1:18" x14ac:dyDescent="0.35">
      <c r="A1978" t="s">
        <v>3387</v>
      </c>
      <c r="B1978" s="2">
        <v>46144</v>
      </c>
      <c r="C1978" t="s">
        <v>1338</v>
      </c>
      <c r="D1978" s="3" t="s">
        <v>15</v>
      </c>
      <c r="E1978" t="s">
        <v>34</v>
      </c>
      <c r="F1978" t="s">
        <v>83</v>
      </c>
      <c r="G1978" t="s">
        <v>84</v>
      </c>
      <c r="H1978" s="8">
        <v>2</v>
      </c>
      <c r="I1978" s="10">
        <v>45</v>
      </c>
      <c r="J1978" s="14">
        <f>P1978*I1978</f>
        <v>90</v>
      </c>
      <c r="K1978" s="16">
        <v>0.34</v>
      </c>
      <c r="L1978" s="1" t="s">
        <v>21</v>
      </c>
      <c r="M1978" t="s">
        <v>22</v>
      </c>
      <c r="N1978" t="str">
        <f t="shared" si="42"/>
        <v>France</v>
      </c>
      <c r="O1978" s="8">
        <f>IF(K1978&gt;=1,K1978,K1978*1000)</f>
        <v>340</v>
      </c>
      <c r="P1978">
        <f>ABS(H1978)</f>
        <v>2</v>
      </c>
      <c r="R1978"/>
    </row>
    <row r="1979" spans="1:18" x14ac:dyDescent="0.35">
      <c r="A1979" t="s">
        <v>3388</v>
      </c>
      <c r="B1979" s="2">
        <v>46133</v>
      </c>
      <c r="C1979" t="s">
        <v>3389</v>
      </c>
      <c r="D1979" s="3" t="s">
        <v>61</v>
      </c>
      <c r="E1979" t="s">
        <v>41</v>
      </c>
      <c r="F1979" t="s">
        <v>89</v>
      </c>
      <c r="G1979" t="s">
        <v>90</v>
      </c>
      <c r="H1979" s="8">
        <v>2</v>
      </c>
      <c r="I1979" s="10">
        <v>79</v>
      </c>
      <c r="J1979" s="14">
        <f>P1979*I1979</f>
        <v>158</v>
      </c>
      <c r="K1979" s="16">
        <v>0.64</v>
      </c>
      <c r="L1979" s="1" t="s">
        <v>30</v>
      </c>
      <c r="M1979" t="s">
        <v>22</v>
      </c>
      <c r="N1979" t="str">
        <f t="shared" si="42"/>
        <v>Ireland</v>
      </c>
      <c r="O1979" s="8">
        <f>IF(K1979&gt;=1,K1979,K1979*1000)</f>
        <v>640</v>
      </c>
      <c r="P1979">
        <f>ABS(H1979)</f>
        <v>2</v>
      </c>
      <c r="R1979"/>
    </row>
    <row r="1980" spans="1:18" x14ac:dyDescent="0.35">
      <c r="A1980" t="s">
        <v>3391</v>
      </c>
      <c r="B1980" s="2">
        <v>46131</v>
      </c>
      <c r="C1980" t="s">
        <v>3392</v>
      </c>
      <c r="D1980" s="3" t="s">
        <v>99</v>
      </c>
      <c r="E1980" t="s">
        <v>16</v>
      </c>
      <c r="F1980" t="s">
        <v>47</v>
      </c>
      <c r="G1980" t="s">
        <v>48</v>
      </c>
      <c r="H1980" s="8">
        <v>1</v>
      </c>
      <c r="I1980" s="10">
        <v>129</v>
      </c>
      <c r="J1980" s="14">
        <f>P1980*I1980</f>
        <v>129</v>
      </c>
      <c r="K1980" s="16">
        <v>380</v>
      </c>
      <c r="L1980" s="1" t="s">
        <v>30</v>
      </c>
      <c r="M1980" t="s">
        <v>58</v>
      </c>
      <c r="N1980" t="str">
        <f t="shared" si="42"/>
        <v>United Kingdom</v>
      </c>
      <c r="O1980" s="8">
        <f>IF(K1980&gt;=1,K1980,K1980*1000)</f>
        <v>380</v>
      </c>
      <c r="P1980">
        <f>ABS(H1980)</f>
        <v>1</v>
      </c>
      <c r="R1980"/>
    </row>
    <row r="1981" spans="1:18" x14ac:dyDescent="0.35">
      <c r="A1981" t="s">
        <v>3393</v>
      </c>
      <c r="B1981" s="2">
        <v>46071</v>
      </c>
      <c r="C1981" t="s">
        <v>1782</v>
      </c>
      <c r="D1981" s="3" t="s">
        <v>53</v>
      </c>
      <c r="E1981" t="s">
        <v>25</v>
      </c>
      <c r="F1981" t="s">
        <v>42</v>
      </c>
      <c r="G1981" t="s">
        <v>43</v>
      </c>
      <c r="H1981" s="8">
        <v>1</v>
      </c>
      <c r="I1981" s="10">
        <v>116.1</v>
      </c>
      <c r="J1981" s="14">
        <f>P1981*I1981</f>
        <v>116.1</v>
      </c>
      <c r="K1981" s="16">
        <v>190</v>
      </c>
      <c r="L1981" s="1" t="s">
        <v>30</v>
      </c>
      <c r="M1981" t="s">
        <v>22</v>
      </c>
      <c r="N1981" t="str">
        <f t="shared" si="42"/>
        <v>Gb</v>
      </c>
      <c r="O1981" s="8">
        <f>IF(K1981&gt;=1,K1981,K1981*1000)</f>
        <v>190</v>
      </c>
      <c r="P1981">
        <f>ABS(H1981)</f>
        <v>1</v>
      </c>
      <c r="R1981"/>
    </row>
    <row r="1982" spans="1:18" x14ac:dyDescent="0.35">
      <c r="A1982" t="s">
        <v>3394</v>
      </c>
      <c r="B1982" s="2">
        <v>46080</v>
      </c>
      <c r="C1982" t="s">
        <v>2602</v>
      </c>
      <c r="D1982" s="3" t="s">
        <v>99</v>
      </c>
      <c r="E1982" t="s">
        <v>41</v>
      </c>
      <c r="F1982" t="s">
        <v>74</v>
      </c>
      <c r="G1982" t="s">
        <v>75</v>
      </c>
      <c r="H1982" s="8">
        <v>1</v>
      </c>
      <c r="I1982" s="10">
        <v>134.1</v>
      </c>
      <c r="J1982" s="14">
        <f>P1982*I1982</f>
        <v>134.1</v>
      </c>
      <c r="K1982" s="16">
        <v>410</v>
      </c>
      <c r="L1982" s="1" t="s">
        <v>30</v>
      </c>
      <c r="M1982" t="s">
        <v>58</v>
      </c>
      <c r="N1982" t="str">
        <f t="shared" si="42"/>
        <v>United Kingdom</v>
      </c>
      <c r="O1982" s="8">
        <f>IF(K1982&gt;=1,K1982,K1982*1000)</f>
        <v>410</v>
      </c>
      <c r="P1982">
        <f>ABS(H1982)</f>
        <v>1</v>
      </c>
      <c r="R1982"/>
    </row>
    <row r="1983" spans="1:18" x14ac:dyDescent="0.35">
      <c r="A1983" t="s">
        <v>3395</v>
      </c>
      <c r="B1983" s="2">
        <v>46066</v>
      </c>
      <c r="C1983" t="s">
        <v>3338</v>
      </c>
      <c r="D1983" s="3" t="s">
        <v>46</v>
      </c>
      <c r="E1983" t="s">
        <v>67</v>
      </c>
      <c r="F1983" t="s">
        <v>47</v>
      </c>
      <c r="G1983" t="s">
        <v>48</v>
      </c>
      <c r="H1983" s="8">
        <v>-1</v>
      </c>
      <c r="I1983" s="10">
        <v>116.1</v>
      </c>
      <c r="J1983" s="14">
        <f>P1983*I1983</f>
        <v>116.1</v>
      </c>
      <c r="K1983" s="16">
        <v>380</v>
      </c>
      <c r="L1983" s="1" t="s">
        <v>30</v>
      </c>
      <c r="M1983" t="s">
        <v>22</v>
      </c>
      <c r="N1983" t="str">
        <f t="shared" si="42"/>
        <v>Ireland</v>
      </c>
      <c r="O1983" s="8">
        <f>IF(K1983&gt;=1,K1983,K1983*1000)</f>
        <v>380</v>
      </c>
      <c r="P1983">
        <f>ABS(H1983)</f>
        <v>1</v>
      </c>
      <c r="R1983"/>
    </row>
    <row r="1984" spans="1:18" x14ac:dyDescent="0.35">
      <c r="A1984" t="s">
        <v>3397</v>
      </c>
      <c r="B1984" s="2">
        <v>46205</v>
      </c>
      <c r="C1984" t="s">
        <v>3398</v>
      </c>
      <c r="D1984" s="3" t="s">
        <v>66</v>
      </c>
      <c r="E1984" t="s">
        <v>41</v>
      </c>
      <c r="F1984" t="s">
        <v>83</v>
      </c>
      <c r="G1984" t="s">
        <v>84</v>
      </c>
      <c r="H1984" s="8">
        <v>3</v>
      </c>
      <c r="I1984" s="10">
        <v>129</v>
      </c>
      <c r="J1984" s="14">
        <f>P1984*I1984</f>
        <v>387</v>
      </c>
      <c r="K1984" s="16">
        <v>0.34</v>
      </c>
      <c r="L1984" s="1" t="s">
        <v>30</v>
      </c>
      <c r="M1984" t="s">
        <v>22</v>
      </c>
      <c r="N1984" t="str">
        <f t="shared" si="42"/>
        <v>Gb</v>
      </c>
      <c r="O1984" s="8">
        <f>IF(K1984&gt;=1,K1984,K1984*1000)</f>
        <v>340</v>
      </c>
      <c r="P1984">
        <f>ABS(H1984)</f>
        <v>3</v>
      </c>
      <c r="R1984"/>
    </row>
    <row r="1985" spans="1:18" x14ac:dyDescent="0.35">
      <c r="A1985" t="s">
        <v>3399</v>
      </c>
      <c r="B1985" s="2">
        <v>46150</v>
      </c>
      <c r="C1985" t="s">
        <v>1360</v>
      </c>
      <c r="D1985" s="3" t="s">
        <v>99</v>
      </c>
      <c r="E1985" t="s">
        <v>25</v>
      </c>
      <c r="F1985" t="s">
        <v>89</v>
      </c>
      <c r="G1985" t="s">
        <v>90</v>
      </c>
      <c r="H1985" s="8">
        <v>2</v>
      </c>
      <c r="I1985" s="10">
        <v>40.5</v>
      </c>
      <c r="J1985" s="14">
        <f>P1985*I1985</f>
        <v>81</v>
      </c>
      <c r="K1985" s="16">
        <v>0.64</v>
      </c>
      <c r="L1985" s="1" t="s">
        <v>30</v>
      </c>
      <c r="M1985" t="s">
        <v>22</v>
      </c>
      <c r="N1985" t="str">
        <f t="shared" si="42"/>
        <v>United Kingdom</v>
      </c>
      <c r="O1985" s="8">
        <f>IF(K1985&gt;=1,K1985,K1985*1000)</f>
        <v>640</v>
      </c>
      <c r="P1985">
        <f>ABS(H1985)</f>
        <v>2</v>
      </c>
      <c r="R1985"/>
    </row>
    <row r="1986" spans="1:18" x14ac:dyDescent="0.35">
      <c r="A1986" t="s">
        <v>3400</v>
      </c>
      <c r="B1986" s="2">
        <v>46194</v>
      </c>
      <c r="C1986" t="s">
        <v>1089</v>
      </c>
      <c r="D1986" s="3" t="s">
        <v>46</v>
      </c>
      <c r="E1986" t="s">
        <v>25</v>
      </c>
      <c r="F1986" t="s">
        <v>26</v>
      </c>
      <c r="G1986" t="s">
        <v>27</v>
      </c>
      <c r="H1986" s="8">
        <v>3</v>
      </c>
      <c r="I1986" s="10">
        <v>89</v>
      </c>
      <c r="J1986" s="14">
        <f>P1986*I1986</f>
        <v>267</v>
      </c>
      <c r="K1986" s="16">
        <v>0.52</v>
      </c>
      <c r="L1986" s="1" t="s">
        <v>30</v>
      </c>
      <c r="M1986" t="s">
        <v>22</v>
      </c>
      <c r="N1986" t="str">
        <f t="shared" si="42"/>
        <v>Ireland</v>
      </c>
      <c r="O1986" s="8">
        <f>IF(K1986&gt;=1,K1986,K1986*1000)</f>
        <v>520</v>
      </c>
      <c r="P1986">
        <f>ABS(H1986)</f>
        <v>3</v>
      </c>
      <c r="R1986"/>
    </row>
    <row r="1987" spans="1:18" x14ac:dyDescent="0.35">
      <c r="A1987" t="s">
        <v>3401</v>
      </c>
      <c r="B1987" s="2" t="s">
        <v>989</v>
      </c>
      <c r="C1987" t="s">
        <v>1254</v>
      </c>
      <c r="D1987" s="3" t="s">
        <v>99</v>
      </c>
      <c r="E1987" t="s">
        <v>34</v>
      </c>
      <c r="F1987" t="s">
        <v>42</v>
      </c>
      <c r="G1987" t="s">
        <v>43</v>
      </c>
      <c r="H1987" s="8">
        <v>2</v>
      </c>
      <c r="I1987" s="10">
        <v>24</v>
      </c>
      <c r="J1987" s="14">
        <f>P1987*I1987</f>
        <v>48</v>
      </c>
      <c r="K1987" s="16">
        <v>0.19</v>
      </c>
      <c r="L1987" s="1" t="s">
        <v>30</v>
      </c>
      <c r="M1987" t="s">
        <v>22</v>
      </c>
      <c r="N1987" t="str">
        <f t="shared" ref="N1987:N2050" si="43">PROPER(TRIM(D1987))</f>
        <v>United Kingdom</v>
      </c>
      <c r="O1987" s="8">
        <f>IF(K1987&gt;=1,K1987,K1987*1000)</f>
        <v>190</v>
      </c>
      <c r="P1987">
        <f>ABS(H1987)</f>
        <v>2</v>
      </c>
      <c r="R1987"/>
    </row>
    <row r="1988" spans="1:18" x14ac:dyDescent="0.35">
      <c r="A1988" t="s">
        <v>3402</v>
      </c>
      <c r="B1988" s="2">
        <v>46070</v>
      </c>
      <c r="C1988" t="s">
        <v>2650</v>
      </c>
      <c r="D1988" s="3" t="s">
        <v>99</v>
      </c>
      <c r="E1988" t="s">
        <v>16</v>
      </c>
      <c r="F1988" t="s">
        <v>47</v>
      </c>
      <c r="G1988" t="s">
        <v>48</v>
      </c>
      <c r="H1988" s="8">
        <v>1</v>
      </c>
      <c r="I1988" s="10">
        <v>24</v>
      </c>
      <c r="J1988" s="14">
        <f>P1988*I1988</f>
        <v>24</v>
      </c>
      <c r="K1988" s="16">
        <v>380</v>
      </c>
      <c r="L1988" s="1" t="s">
        <v>30</v>
      </c>
      <c r="M1988" t="s">
        <v>22</v>
      </c>
      <c r="N1988" t="str">
        <f t="shared" si="43"/>
        <v>United Kingdom</v>
      </c>
      <c r="O1988" s="8">
        <f>IF(K1988&gt;=1,K1988,K1988*1000)</f>
        <v>380</v>
      </c>
      <c r="P1988">
        <f>ABS(H1988)</f>
        <v>1</v>
      </c>
      <c r="R1988"/>
    </row>
    <row r="1989" spans="1:18" x14ac:dyDescent="0.35">
      <c r="A1989" t="s">
        <v>3404</v>
      </c>
      <c r="B1989" s="2">
        <v>46188</v>
      </c>
      <c r="C1989" t="s">
        <v>3405</v>
      </c>
      <c r="D1989" s="3" t="s">
        <v>116</v>
      </c>
      <c r="E1989" t="s">
        <v>25</v>
      </c>
      <c r="F1989" t="s">
        <v>89</v>
      </c>
      <c r="G1989" t="s">
        <v>90</v>
      </c>
      <c r="H1989" s="8">
        <v>2</v>
      </c>
      <c r="I1989" s="10">
        <v>24</v>
      </c>
      <c r="J1989" s="14">
        <f>P1989*I1989</f>
        <v>48</v>
      </c>
      <c r="K1989" s="16">
        <v>0.64</v>
      </c>
      <c r="L1989" s="1" t="s">
        <v>30</v>
      </c>
      <c r="M1989" t="s">
        <v>22</v>
      </c>
      <c r="N1989" t="str">
        <f t="shared" si="43"/>
        <v>Germany</v>
      </c>
      <c r="O1989" s="8">
        <f>IF(K1989&gt;=1,K1989,K1989*1000)</f>
        <v>640</v>
      </c>
      <c r="P1989">
        <f>ABS(H1989)</f>
        <v>2</v>
      </c>
      <c r="R1989"/>
    </row>
    <row r="1990" spans="1:18" x14ac:dyDescent="0.35">
      <c r="A1990" t="s">
        <v>3406</v>
      </c>
      <c r="B1990" s="2">
        <v>46128</v>
      </c>
      <c r="C1990" t="s">
        <v>3407</v>
      </c>
      <c r="D1990" s="3" t="s">
        <v>61</v>
      </c>
      <c r="E1990" t="s">
        <v>25</v>
      </c>
      <c r="F1990" t="s">
        <v>42</v>
      </c>
      <c r="G1990" t="s">
        <v>43</v>
      </c>
      <c r="H1990" s="8">
        <v>1</v>
      </c>
      <c r="I1990" s="10">
        <v>11.25</v>
      </c>
      <c r="J1990" s="14">
        <f>P1990*I1990</f>
        <v>11.25</v>
      </c>
      <c r="K1990" s="16">
        <v>190</v>
      </c>
      <c r="L1990" s="1" t="s">
        <v>21</v>
      </c>
      <c r="M1990" t="s">
        <v>58</v>
      </c>
      <c r="N1990" t="str">
        <f t="shared" si="43"/>
        <v>Ireland</v>
      </c>
      <c r="O1990" s="8">
        <f>IF(K1990&gt;=1,K1990,K1990*1000)</f>
        <v>190</v>
      </c>
      <c r="P1990">
        <f>ABS(H1990)</f>
        <v>1</v>
      </c>
      <c r="R1990"/>
    </row>
    <row r="1991" spans="1:18" x14ac:dyDescent="0.35">
      <c r="A1991" t="s">
        <v>3408</v>
      </c>
      <c r="B1991" s="2">
        <v>46207</v>
      </c>
      <c r="C1991" t="s">
        <v>2112</v>
      </c>
      <c r="D1991" s="3" t="s">
        <v>4613</v>
      </c>
      <c r="E1991" t="s">
        <v>16</v>
      </c>
      <c r="F1991" t="s">
        <v>42</v>
      </c>
      <c r="G1991" t="s">
        <v>43</v>
      </c>
      <c r="H1991" s="8">
        <v>3</v>
      </c>
      <c r="I1991" s="10">
        <v>45</v>
      </c>
      <c r="J1991" s="14">
        <f>P1991*I1991</f>
        <v>135</v>
      </c>
      <c r="K1991" s="16">
        <v>0.19</v>
      </c>
      <c r="L1991" s="1" t="s">
        <v>21</v>
      </c>
      <c r="M1991" t="s">
        <v>22</v>
      </c>
      <c r="N1991" t="str">
        <f t="shared" si="43"/>
        <v>United Kingdom</v>
      </c>
      <c r="O1991" s="8">
        <f>IF(K1991&gt;=1,K1991,K1991*1000)</f>
        <v>190</v>
      </c>
      <c r="P1991">
        <f>ABS(H1991)</f>
        <v>3</v>
      </c>
      <c r="R1991"/>
    </row>
    <row r="1992" spans="1:18" x14ac:dyDescent="0.35">
      <c r="A1992" t="s">
        <v>3409</v>
      </c>
      <c r="B1992" s="2">
        <v>46148</v>
      </c>
      <c r="C1992" t="s">
        <v>1375</v>
      </c>
      <c r="D1992" s="3" t="s">
        <v>15</v>
      </c>
      <c r="E1992" t="s">
        <v>41</v>
      </c>
      <c r="F1992" t="s">
        <v>83</v>
      </c>
      <c r="G1992" t="s">
        <v>84</v>
      </c>
      <c r="H1992" s="8">
        <v>2</v>
      </c>
      <c r="I1992" s="10">
        <v>134.1</v>
      </c>
      <c r="J1992" s="14">
        <f>P1992*I1992</f>
        <v>268.2</v>
      </c>
      <c r="K1992" s="16">
        <v>0.34</v>
      </c>
      <c r="L1992" s="1" t="s">
        <v>30</v>
      </c>
      <c r="M1992" t="s">
        <v>22</v>
      </c>
      <c r="N1992" t="str">
        <f t="shared" si="43"/>
        <v>France</v>
      </c>
      <c r="O1992" s="8">
        <f>IF(K1992&gt;=1,K1992,K1992*1000)</f>
        <v>340</v>
      </c>
      <c r="P1992">
        <f>ABS(H1992)</f>
        <v>2</v>
      </c>
      <c r="R1992"/>
    </row>
    <row r="1993" spans="1:18" x14ac:dyDescent="0.35">
      <c r="A1993" t="s">
        <v>3410</v>
      </c>
      <c r="B1993" s="2">
        <v>46088</v>
      </c>
      <c r="C1993" t="s">
        <v>2364</v>
      </c>
      <c r="D1993" s="3" t="s">
        <v>99</v>
      </c>
      <c r="E1993" t="s">
        <v>16</v>
      </c>
      <c r="F1993" t="s">
        <v>74</v>
      </c>
      <c r="G1993" t="s">
        <v>75</v>
      </c>
      <c r="H1993" s="8">
        <v>1</v>
      </c>
      <c r="I1993" s="10">
        <v>85.5</v>
      </c>
      <c r="J1993" s="14">
        <f>P1993*I1993</f>
        <v>85.5</v>
      </c>
      <c r="K1993" s="16">
        <v>410</v>
      </c>
      <c r="L1993" s="1" t="s">
        <v>30</v>
      </c>
      <c r="M1993" t="s">
        <v>22</v>
      </c>
      <c r="N1993" t="str">
        <f t="shared" si="43"/>
        <v>United Kingdom</v>
      </c>
      <c r="O1993" s="8">
        <f>IF(K1993&gt;=1,K1993,K1993*1000)</f>
        <v>410</v>
      </c>
      <c r="P1993">
        <f>ABS(H1993)</f>
        <v>1</v>
      </c>
      <c r="R1993"/>
    </row>
    <row r="1994" spans="1:18" x14ac:dyDescent="0.35">
      <c r="A1994" t="s">
        <v>3411</v>
      </c>
      <c r="B1994" s="2">
        <v>46176</v>
      </c>
      <c r="C1994" t="s">
        <v>191</v>
      </c>
      <c r="D1994" s="3" t="s">
        <v>99</v>
      </c>
      <c r="E1994" t="s">
        <v>67</v>
      </c>
      <c r="F1994" t="s">
        <v>17</v>
      </c>
      <c r="G1994" t="s">
        <v>18</v>
      </c>
      <c r="H1994" s="8">
        <v>2</v>
      </c>
      <c r="I1994" s="10">
        <v>24</v>
      </c>
      <c r="J1994" s="14">
        <f>P1994*I1994</f>
        <v>48</v>
      </c>
      <c r="K1994" s="16">
        <v>0.52</v>
      </c>
      <c r="L1994" s="1" t="s">
        <v>30</v>
      </c>
      <c r="M1994" t="s">
        <v>22</v>
      </c>
      <c r="N1994" t="str">
        <f t="shared" si="43"/>
        <v>United Kingdom</v>
      </c>
      <c r="O1994" s="8">
        <f>IF(K1994&gt;=1,K1994,K1994*1000)</f>
        <v>520</v>
      </c>
      <c r="P1994">
        <f>ABS(H1994)</f>
        <v>2</v>
      </c>
      <c r="R1994"/>
    </row>
    <row r="1995" spans="1:18" x14ac:dyDescent="0.35">
      <c r="A1995" t="s">
        <v>3412</v>
      </c>
      <c r="B1995" s="2">
        <v>46116</v>
      </c>
      <c r="C1995" t="s">
        <v>1375</v>
      </c>
      <c r="D1995" s="3" t="s">
        <v>46</v>
      </c>
      <c r="E1995" t="s">
        <v>41</v>
      </c>
      <c r="F1995" t="s">
        <v>83</v>
      </c>
      <c r="G1995" t="s">
        <v>84</v>
      </c>
      <c r="H1995" s="8">
        <v>3</v>
      </c>
      <c r="I1995" s="12" t="s">
        <v>4626</v>
      </c>
      <c r="J1995" s="14">
        <f>P1995*R1995</f>
        <v>87</v>
      </c>
      <c r="K1995" s="16">
        <v>340</v>
      </c>
      <c r="L1995" s="1" t="s">
        <v>21</v>
      </c>
      <c r="M1995" t="s">
        <v>22</v>
      </c>
      <c r="N1995" t="str">
        <f t="shared" si="43"/>
        <v>Ireland</v>
      </c>
      <c r="O1995" s="8">
        <f>IF(K1995&gt;=1,K1995,K1995*1000)</f>
        <v>340</v>
      </c>
      <c r="P1995">
        <f>ABS(H1995)</f>
        <v>3</v>
      </c>
      <c r="Q1995" t="str">
        <f>LEFT(I1995,3)</f>
        <v>GBP</v>
      </c>
      <c r="R1995" s="10" t="str">
        <f>RIGHT(I1995,5)</f>
        <v>29,00</v>
      </c>
    </row>
    <row r="1996" spans="1:18" x14ac:dyDescent="0.35">
      <c r="A1996" t="s">
        <v>3413</v>
      </c>
      <c r="B1996" s="2" t="s">
        <v>775</v>
      </c>
      <c r="C1996" t="s">
        <v>1960</v>
      </c>
      <c r="D1996" s="3" t="s">
        <v>61</v>
      </c>
      <c r="E1996" t="s">
        <v>34</v>
      </c>
      <c r="F1996" t="s">
        <v>17</v>
      </c>
      <c r="G1996" t="s">
        <v>18</v>
      </c>
      <c r="H1996" s="8">
        <v>1</v>
      </c>
      <c r="I1996" s="10">
        <v>40.5</v>
      </c>
      <c r="J1996" s="14">
        <f>P1996*I1996</f>
        <v>40.5</v>
      </c>
      <c r="K1996" s="16">
        <v>520</v>
      </c>
      <c r="L1996" s="1" t="s">
        <v>21</v>
      </c>
      <c r="M1996" t="s">
        <v>22</v>
      </c>
      <c r="N1996" t="str">
        <f t="shared" si="43"/>
        <v>Ireland</v>
      </c>
      <c r="O1996" s="8">
        <f>IF(K1996&gt;=1,K1996,K1996*1000)</f>
        <v>520</v>
      </c>
      <c r="P1996">
        <f>ABS(H1996)</f>
        <v>1</v>
      </c>
      <c r="R1996"/>
    </row>
    <row r="1997" spans="1:18" x14ac:dyDescent="0.35">
      <c r="A1997" t="s">
        <v>3414</v>
      </c>
      <c r="B1997" s="2">
        <v>46054</v>
      </c>
      <c r="C1997" t="s">
        <v>2908</v>
      </c>
      <c r="D1997" s="3" t="s">
        <v>4612</v>
      </c>
      <c r="E1997" t="s">
        <v>41</v>
      </c>
      <c r="F1997" t="s">
        <v>47</v>
      </c>
      <c r="G1997" t="s">
        <v>48</v>
      </c>
      <c r="H1997" s="8">
        <v>2</v>
      </c>
      <c r="I1997" s="10">
        <v>45</v>
      </c>
      <c r="J1997" s="14">
        <f>P1997*I1997</f>
        <v>90</v>
      </c>
      <c r="K1997" s="16">
        <v>380</v>
      </c>
      <c r="L1997" s="1" t="s">
        <v>30</v>
      </c>
      <c r="M1997" t="s">
        <v>22</v>
      </c>
      <c r="N1997" t="str">
        <f t="shared" si="43"/>
        <v>United Kingdom</v>
      </c>
      <c r="O1997" s="8">
        <f>IF(K1997&gt;=1,K1997,K1997*1000)</f>
        <v>380</v>
      </c>
      <c r="P1997">
        <f>ABS(H1997)</f>
        <v>2</v>
      </c>
      <c r="R1997"/>
    </row>
    <row r="1998" spans="1:18" x14ac:dyDescent="0.35">
      <c r="A1998" t="s">
        <v>3415</v>
      </c>
      <c r="B1998" s="2">
        <v>46081</v>
      </c>
      <c r="C1998" t="s">
        <v>1128</v>
      </c>
      <c r="D1998" s="3" t="s">
        <v>15</v>
      </c>
      <c r="E1998" t="s">
        <v>41</v>
      </c>
      <c r="F1998" t="s">
        <v>47</v>
      </c>
      <c r="G1998" t="s">
        <v>48</v>
      </c>
      <c r="H1998" s="8">
        <v>2</v>
      </c>
      <c r="I1998" s="10">
        <v>45</v>
      </c>
      <c r="J1998" s="14">
        <f>P1998*I1998</f>
        <v>90</v>
      </c>
      <c r="K1998" s="16">
        <v>380</v>
      </c>
      <c r="L1998" s="1" t="s">
        <v>30</v>
      </c>
      <c r="M1998" t="s">
        <v>58</v>
      </c>
      <c r="N1998" t="str">
        <f t="shared" si="43"/>
        <v>France</v>
      </c>
      <c r="O1998" s="8">
        <f>IF(K1998&gt;=1,K1998,K1998*1000)</f>
        <v>380</v>
      </c>
      <c r="P1998">
        <f>ABS(H1998)</f>
        <v>2</v>
      </c>
      <c r="R1998"/>
    </row>
    <row r="1999" spans="1:18" x14ac:dyDescent="0.35">
      <c r="A1999" t="s">
        <v>3416</v>
      </c>
      <c r="B1999" s="2">
        <v>46029</v>
      </c>
      <c r="C1999" t="s">
        <v>2827</v>
      </c>
      <c r="D1999" s="3" t="s">
        <v>4612</v>
      </c>
      <c r="E1999" t="s">
        <v>67</v>
      </c>
      <c r="F1999" t="s">
        <v>17</v>
      </c>
      <c r="G1999" t="s">
        <v>18</v>
      </c>
      <c r="H1999" s="8">
        <v>2</v>
      </c>
      <c r="I1999" s="10">
        <v>89</v>
      </c>
      <c r="J1999" s="14">
        <f>P1999*I1999</f>
        <v>178</v>
      </c>
      <c r="K1999" s="16">
        <v>520</v>
      </c>
      <c r="L1999" s="1" t="s">
        <v>30</v>
      </c>
      <c r="M1999" t="s">
        <v>22</v>
      </c>
      <c r="N1999" t="str">
        <f t="shared" si="43"/>
        <v>United Kingdom</v>
      </c>
      <c r="O1999" s="8">
        <f>IF(K1999&gt;=1,K1999,K1999*1000)</f>
        <v>520</v>
      </c>
      <c r="P1999">
        <f>ABS(H1999)</f>
        <v>2</v>
      </c>
      <c r="R1999"/>
    </row>
    <row r="2000" spans="1:18" x14ac:dyDescent="0.35">
      <c r="A2000" t="s">
        <v>3417</v>
      </c>
      <c r="B2000" s="2">
        <v>46167</v>
      </c>
      <c r="C2000" t="s">
        <v>2191</v>
      </c>
      <c r="D2000" s="3" t="s">
        <v>99</v>
      </c>
      <c r="E2000" t="s">
        <v>25</v>
      </c>
      <c r="F2000" t="s">
        <v>26</v>
      </c>
      <c r="G2000" t="s">
        <v>27</v>
      </c>
      <c r="H2000" s="8">
        <v>2</v>
      </c>
      <c r="I2000" s="12" t="s">
        <v>4635</v>
      </c>
      <c r="J2000" s="14">
        <f>P2000*R2000</f>
        <v>68.2</v>
      </c>
      <c r="K2000" s="16">
        <v>0.52</v>
      </c>
      <c r="L2000" s="1" t="s">
        <v>30</v>
      </c>
      <c r="M2000" t="s">
        <v>22</v>
      </c>
      <c r="N2000" t="str">
        <f t="shared" si="43"/>
        <v>United Kingdom</v>
      </c>
      <c r="O2000" s="8">
        <f>IF(K2000&gt;=1,K2000,K2000*1000)</f>
        <v>520</v>
      </c>
      <c r="P2000">
        <f>ABS(H2000)</f>
        <v>2</v>
      </c>
      <c r="Q2000" t="str">
        <f>LEFT(I2000,2)</f>
        <v>Â£</v>
      </c>
      <c r="R2000" t="str">
        <f>RIGHT(I2000,5)</f>
        <v>34,10</v>
      </c>
    </row>
    <row r="2001" spans="1:18" x14ac:dyDescent="0.35">
      <c r="A2001" t="s">
        <v>3419</v>
      </c>
      <c r="B2001" s="2">
        <v>46055</v>
      </c>
      <c r="C2001" t="s">
        <v>3420</v>
      </c>
      <c r="D2001" s="3" t="s">
        <v>99</v>
      </c>
      <c r="E2001" t="s">
        <v>34</v>
      </c>
      <c r="F2001" t="s">
        <v>47</v>
      </c>
      <c r="G2001" t="s">
        <v>48</v>
      </c>
      <c r="H2001" s="8">
        <v>1</v>
      </c>
      <c r="I2001" s="10">
        <v>89</v>
      </c>
      <c r="J2001" s="14">
        <f>P2001*I2001</f>
        <v>89</v>
      </c>
      <c r="K2001" s="16">
        <v>380</v>
      </c>
      <c r="L2001" s="1" t="s">
        <v>21</v>
      </c>
      <c r="M2001" t="s">
        <v>22</v>
      </c>
      <c r="N2001" t="str">
        <f t="shared" si="43"/>
        <v>United Kingdom</v>
      </c>
      <c r="O2001" s="8">
        <f>IF(K2001&gt;=1,K2001,K2001*1000)</f>
        <v>380</v>
      </c>
      <c r="P2001">
        <f>ABS(H2001)</f>
        <v>1</v>
      </c>
      <c r="R2001"/>
    </row>
    <row r="2002" spans="1:18" x14ac:dyDescent="0.35">
      <c r="A2002" t="s">
        <v>3421</v>
      </c>
      <c r="B2002" s="2">
        <v>46096</v>
      </c>
      <c r="C2002" t="s">
        <v>3422</v>
      </c>
      <c r="D2002" s="3" t="s">
        <v>46</v>
      </c>
      <c r="E2002" t="s">
        <v>25</v>
      </c>
      <c r="F2002" t="s">
        <v>89</v>
      </c>
      <c r="G2002" t="s">
        <v>90</v>
      </c>
      <c r="H2002" s="8">
        <v>3</v>
      </c>
      <c r="I2002" s="10">
        <v>129</v>
      </c>
      <c r="J2002" s="14">
        <f>P2002*I2002</f>
        <v>387</v>
      </c>
      <c r="K2002" s="16">
        <v>640</v>
      </c>
      <c r="L2002" s="1" t="s">
        <v>21</v>
      </c>
      <c r="M2002" t="s">
        <v>22</v>
      </c>
      <c r="N2002" t="str">
        <f t="shared" si="43"/>
        <v>Ireland</v>
      </c>
      <c r="O2002" s="8">
        <f>IF(K2002&gt;=1,K2002,K2002*1000)</f>
        <v>640</v>
      </c>
      <c r="P2002">
        <f>ABS(H2002)</f>
        <v>3</v>
      </c>
      <c r="R2002"/>
    </row>
    <row r="2003" spans="1:18" x14ac:dyDescent="0.35">
      <c r="A2003" t="s">
        <v>3423</v>
      </c>
      <c r="B2003" s="2">
        <v>46101</v>
      </c>
      <c r="C2003" t="s">
        <v>1802</v>
      </c>
      <c r="D2003" s="3" t="s">
        <v>61</v>
      </c>
      <c r="E2003" t="s">
        <v>34</v>
      </c>
      <c r="F2003" t="s">
        <v>74</v>
      </c>
      <c r="G2003" t="s">
        <v>75</v>
      </c>
      <c r="H2003" s="8">
        <v>3</v>
      </c>
      <c r="I2003" s="10">
        <v>24</v>
      </c>
      <c r="J2003" s="14">
        <f>P2003*I2003</f>
        <v>72</v>
      </c>
      <c r="K2003" s="16">
        <v>410</v>
      </c>
      <c r="L2003" s="1" t="s">
        <v>30</v>
      </c>
      <c r="M2003" t="s">
        <v>22</v>
      </c>
      <c r="N2003" t="str">
        <f t="shared" si="43"/>
        <v>Ireland</v>
      </c>
      <c r="O2003" s="8">
        <f>IF(K2003&gt;=1,K2003,K2003*1000)</f>
        <v>410</v>
      </c>
      <c r="P2003">
        <f>ABS(H2003)</f>
        <v>3</v>
      </c>
      <c r="R2003"/>
    </row>
    <row r="2004" spans="1:18" x14ac:dyDescent="0.35">
      <c r="A2004" t="s">
        <v>3424</v>
      </c>
      <c r="B2004" s="2">
        <v>46126</v>
      </c>
      <c r="C2004" t="s">
        <v>3425</v>
      </c>
      <c r="D2004" s="3" t="s">
        <v>99</v>
      </c>
      <c r="E2004" t="s">
        <v>16</v>
      </c>
      <c r="F2004" t="s">
        <v>74</v>
      </c>
      <c r="G2004" t="s">
        <v>75</v>
      </c>
      <c r="H2004" s="8">
        <v>1</v>
      </c>
      <c r="I2004" s="10">
        <v>71.099999999999994</v>
      </c>
      <c r="J2004" s="14">
        <f>P2004*I2004</f>
        <v>71.099999999999994</v>
      </c>
      <c r="K2004" s="16">
        <v>410</v>
      </c>
      <c r="L2004" s="1" t="s">
        <v>30</v>
      </c>
      <c r="M2004" t="s">
        <v>22</v>
      </c>
      <c r="N2004" t="str">
        <f t="shared" si="43"/>
        <v>United Kingdom</v>
      </c>
      <c r="O2004" s="8">
        <f>IF(K2004&gt;=1,K2004,K2004*1000)</f>
        <v>410</v>
      </c>
      <c r="P2004">
        <f>ABS(H2004)</f>
        <v>1</v>
      </c>
      <c r="R2004"/>
    </row>
    <row r="2005" spans="1:18" x14ac:dyDescent="0.35">
      <c r="A2005" t="s">
        <v>3426</v>
      </c>
      <c r="B2005" s="2">
        <v>46080</v>
      </c>
      <c r="C2005" t="s">
        <v>3427</v>
      </c>
      <c r="D2005" s="3" t="s">
        <v>116</v>
      </c>
      <c r="E2005" t="s">
        <v>41</v>
      </c>
      <c r="F2005" t="s">
        <v>89</v>
      </c>
      <c r="G2005" t="s">
        <v>90</v>
      </c>
      <c r="H2005" s="8">
        <v>2</v>
      </c>
      <c r="I2005" s="10">
        <v>95</v>
      </c>
      <c r="J2005" s="14">
        <f>P2005*I2005</f>
        <v>190</v>
      </c>
      <c r="K2005" s="16">
        <v>640</v>
      </c>
      <c r="L2005" s="1" t="s">
        <v>30</v>
      </c>
      <c r="M2005" t="s">
        <v>58</v>
      </c>
      <c r="N2005" t="str">
        <f t="shared" si="43"/>
        <v>Germany</v>
      </c>
      <c r="O2005" s="8">
        <f>IF(K2005&gt;=1,K2005,K2005*1000)</f>
        <v>640</v>
      </c>
      <c r="P2005">
        <f>ABS(H2005)</f>
        <v>2</v>
      </c>
      <c r="R2005"/>
    </row>
    <row r="2006" spans="1:18" x14ac:dyDescent="0.35">
      <c r="A2006" t="s">
        <v>3428</v>
      </c>
      <c r="B2006" s="2">
        <v>46032</v>
      </c>
      <c r="C2006" t="s">
        <v>3429</v>
      </c>
      <c r="D2006" s="3" t="s">
        <v>46</v>
      </c>
      <c r="E2006" t="s">
        <v>34</v>
      </c>
      <c r="F2006" t="s">
        <v>89</v>
      </c>
      <c r="G2006" t="s">
        <v>90</v>
      </c>
      <c r="H2006" s="8">
        <v>1</v>
      </c>
      <c r="I2006" s="10">
        <v>85.5</v>
      </c>
      <c r="J2006" s="14">
        <f>P2006*I2006</f>
        <v>85.5</v>
      </c>
      <c r="K2006" s="16">
        <v>640</v>
      </c>
      <c r="L2006" s="1" t="s">
        <v>30</v>
      </c>
      <c r="M2006" t="s">
        <v>58</v>
      </c>
      <c r="N2006" t="str">
        <f t="shared" si="43"/>
        <v>Ireland</v>
      </c>
      <c r="O2006" s="8">
        <f>IF(K2006&gt;=1,K2006,K2006*1000)</f>
        <v>640</v>
      </c>
      <c r="P2006">
        <f>ABS(H2006)</f>
        <v>1</v>
      </c>
      <c r="R2006"/>
    </row>
    <row r="2007" spans="1:18" x14ac:dyDescent="0.35">
      <c r="A2007" t="s">
        <v>3430</v>
      </c>
      <c r="B2007" s="2">
        <v>46044</v>
      </c>
      <c r="C2007" t="s">
        <v>389</v>
      </c>
      <c r="D2007" s="3" t="s">
        <v>15</v>
      </c>
      <c r="E2007" t="s">
        <v>16</v>
      </c>
      <c r="F2007" t="s">
        <v>17</v>
      </c>
      <c r="G2007" t="s">
        <v>18</v>
      </c>
      <c r="H2007" s="8">
        <v>1</v>
      </c>
      <c r="I2007" s="10">
        <v>116.1</v>
      </c>
      <c r="J2007" s="14">
        <f>P2007*I2007</f>
        <v>116.1</v>
      </c>
      <c r="K2007" s="16">
        <v>520</v>
      </c>
      <c r="L2007" s="1" t="s">
        <v>30</v>
      </c>
      <c r="M2007" t="s">
        <v>22</v>
      </c>
      <c r="N2007" t="str">
        <f t="shared" si="43"/>
        <v>France</v>
      </c>
      <c r="O2007" s="8">
        <f>IF(K2007&gt;=1,K2007,K2007*1000)</f>
        <v>520</v>
      </c>
      <c r="P2007">
        <f>ABS(H2007)</f>
        <v>1</v>
      </c>
      <c r="R2007"/>
    </row>
    <row r="2008" spans="1:18" x14ac:dyDescent="0.35">
      <c r="A2008" t="s">
        <v>3431</v>
      </c>
      <c r="B2008" s="2">
        <v>46202</v>
      </c>
      <c r="C2008" t="s">
        <v>2371</v>
      </c>
      <c r="D2008" s="3" t="s">
        <v>99</v>
      </c>
      <c r="E2008" t="s">
        <v>41</v>
      </c>
      <c r="F2008" t="s">
        <v>26</v>
      </c>
      <c r="G2008" t="s">
        <v>27</v>
      </c>
      <c r="H2008" s="8">
        <v>1</v>
      </c>
      <c r="I2008" s="10">
        <v>45</v>
      </c>
      <c r="J2008" s="14">
        <f>P2008*I2008</f>
        <v>45</v>
      </c>
      <c r="K2008" s="16">
        <v>0.52</v>
      </c>
      <c r="L2008" s="1" t="s">
        <v>30</v>
      </c>
      <c r="M2008" t="s">
        <v>22</v>
      </c>
      <c r="N2008" t="str">
        <f t="shared" si="43"/>
        <v>United Kingdom</v>
      </c>
      <c r="O2008" s="8">
        <f>IF(K2008&gt;=1,K2008,K2008*1000)</f>
        <v>520</v>
      </c>
      <c r="P2008">
        <f>ABS(H2008)</f>
        <v>1</v>
      </c>
      <c r="R2008"/>
    </row>
    <row r="2009" spans="1:18" x14ac:dyDescent="0.35">
      <c r="A2009" t="s">
        <v>3432</v>
      </c>
      <c r="B2009" s="2">
        <v>46085</v>
      </c>
      <c r="C2009" t="s">
        <v>2281</v>
      </c>
      <c r="D2009" s="3" t="s">
        <v>99</v>
      </c>
      <c r="E2009" t="s">
        <v>34</v>
      </c>
      <c r="F2009" t="s">
        <v>74</v>
      </c>
      <c r="G2009" t="s">
        <v>75</v>
      </c>
      <c r="H2009" s="8">
        <v>1</v>
      </c>
      <c r="I2009" s="10">
        <v>40.5</v>
      </c>
      <c r="J2009" s="14">
        <f>P2009*I2009</f>
        <v>40.5</v>
      </c>
      <c r="K2009" s="16">
        <v>410</v>
      </c>
      <c r="L2009" s="1" t="s">
        <v>30</v>
      </c>
      <c r="M2009" t="s">
        <v>22</v>
      </c>
      <c r="N2009" t="str">
        <f t="shared" si="43"/>
        <v>United Kingdom</v>
      </c>
      <c r="O2009" s="8">
        <f>IF(K2009&gt;=1,K2009,K2009*1000)</f>
        <v>410</v>
      </c>
      <c r="P2009">
        <f>ABS(H2009)</f>
        <v>1</v>
      </c>
      <c r="R2009"/>
    </row>
    <row r="2010" spans="1:18" x14ac:dyDescent="0.35">
      <c r="A2010" t="s">
        <v>3433</v>
      </c>
      <c r="B2010" s="2">
        <v>46100</v>
      </c>
      <c r="C2010" t="s">
        <v>3434</v>
      </c>
      <c r="D2010" s="3" t="s">
        <v>61</v>
      </c>
      <c r="E2010" t="s">
        <v>34</v>
      </c>
      <c r="F2010" t="s">
        <v>17</v>
      </c>
      <c r="G2010" t="s">
        <v>18</v>
      </c>
      <c r="H2010" s="8">
        <v>2</v>
      </c>
      <c r="I2010" s="10">
        <v>95</v>
      </c>
      <c r="J2010" s="14">
        <f>P2010*I2010</f>
        <v>190</v>
      </c>
      <c r="K2010" s="16">
        <v>520</v>
      </c>
      <c r="L2010" s="1" t="s">
        <v>30</v>
      </c>
      <c r="M2010" t="s">
        <v>58</v>
      </c>
      <c r="N2010" t="str">
        <f t="shared" si="43"/>
        <v>Ireland</v>
      </c>
      <c r="O2010" s="8">
        <f>IF(K2010&gt;=1,K2010,K2010*1000)</f>
        <v>520</v>
      </c>
      <c r="P2010">
        <f>ABS(H2010)</f>
        <v>2</v>
      </c>
      <c r="R2010"/>
    </row>
    <row r="2011" spans="1:18" x14ac:dyDescent="0.35">
      <c r="A2011" t="s">
        <v>3435</v>
      </c>
      <c r="B2011" s="2">
        <v>46030</v>
      </c>
      <c r="C2011" t="s">
        <v>724</v>
      </c>
      <c r="D2011" s="3" t="s">
        <v>53</v>
      </c>
      <c r="E2011" t="s">
        <v>67</v>
      </c>
      <c r="F2011" t="s">
        <v>17</v>
      </c>
      <c r="G2011" t="s">
        <v>18</v>
      </c>
      <c r="H2011" s="8">
        <v>1</v>
      </c>
      <c r="I2011" s="10">
        <v>89</v>
      </c>
      <c r="J2011" s="14">
        <f>P2011*I2011</f>
        <v>89</v>
      </c>
      <c r="K2011" s="16">
        <v>520</v>
      </c>
      <c r="L2011" s="1" t="s">
        <v>30</v>
      </c>
      <c r="M2011" t="s">
        <v>58</v>
      </c>
      <c r="N2011" t="str">
        <f t="shared" si="43"/>
        <v>Gb</v>
      </c>
      <c r="O2011" s="8">
        <f>IF(K2011&gt;=1,K2011,K2011*1000)</f>
        <v>520</v>
      </c>
      <c r="P2011">
        <f>ABS(H2011)</f>
        <v>1</v>
      </c>
      <c r="R2011"/>
    </row>
    <row r="2012" spans="1:18" x14ac:dyDescent="0.35">
      <c r="A2012" t="s">
        <v>3436</v>
      </c>
      <c r="B2012" s="2">
        <v>46100</v>
      </c>
      <c r="C2012" t="s">
        <v>1946</v>
      </c>
      <c r="D2012" s="3" t="s">
        <v>46</v>
      </c>
      <c r="E2012" t="s">
        <v>67</v>
      </c>
      <c r="F2012" t="s">
        <v>83</v>
      </c>
      <c r="G2012" t="s">
        <v>84</v>
      </c>
      <c r="H2012" s="8">
        <v>3</v>
      </c>
      <c r="I2012" s="10">
        <v>79</v>
      </c>
      <c r="J2012" s="14">
        <f>P2012*I2012</f>
        <v>237</v>
      </c>
      <c r="K2012" s="16">
        <v>340</v>
      </c>
      <c r="L2012" s="1" t="s">
        <v>30</v>
      </c>
      <c r="M2012" t="s">
        <v>22</v>
      </c>
      <c r="N2012" t="str">
        <f t="shared" si="43"/>
        <v>Ireland</v>
      </c>
      <c r="O2012" s="8">
        <f>IF(K2012&gt;=1,K2012,K2012*1000)</f>
        <v>340</v>
      </c>
      <c r="P2012">
        <f>ABS(H2012)</f>
        <v>3</v>
      </c>
      <c r="R2012"/>
    </row>
    <row r="2013" spans="1:18" x14ac:dyDescent="0.35">
      <c r="A2013" t="s">
        <v>3437</v>
      </c>
      <c r="B2013" s="2">
        <v>46152</v>
      </c>
      <c r="C2013" t="s">
        <v>624</v>
      </c>
      <c r="D2013" s="3" t="s">
        <v>4613</v>
      </c>
      <c r="E2013" t="s">
        <v>25</v>
      </c>
      <c r="F2013" t="s">
        <v>42</v>
      </c>
      <c r="G2013" t="s">
        <v>43</v>
      </c>
      <c r="H2013" s="8">
        <v>2</v>
      </c>
      <c r="I2013" s="10">
        <v>40.5</v>
      </c>
      <c r="J2013" s="14">
        <f>P2013*I2013</f>
        <v>81</v>
      </c>
      <c r="K2013" s="16">
        <v>0.19</v>
      </c>
      <c r="L2013" s="1" t="s">
        <v>30</v>
      </c>
      <c r="M2013" t="s">
        <v>58</v>
      </c>
      <c r="N2013" t="str">
        <f t="shared" si="43"/>
        <v>United Kingdom</v>
      </c>
      <c r="O2013" s="8">
        <f>IF(K2013&gt;=1,K2013,K2013*1000)</f>
        <v>190</v>
      </c>
      <c r="P2013">
        <f>ABS(H2013)</f>
        <v>2</v>
      </c>
      <c r="R2013"/>
    </row>
    <row r="2014" spans="1:18" x14ac:dyDescent="0.35">
      <c r="A2014" t="s">
        <v>3438</v>
      </c>
      <c r="B2014" s="2">
        <v>46055</v>
      </c>
      <c r="C2014" t="s">
        <v>2728</v>
      </c>
      <c r="D2014" s="3" t="s">
        <v>99</v>
      </c>
      <c r="E2014" t="s">
        <v>67</v>
      </c>
      <c r="F2014" t="s">
        <v>42</v>
      </c>
      <c r="G2014" t="s">
        <v>43</v>
      </c>
      <c r="H2014" s="8">
        <v>1</v>
      </c>
      <c r="I2014" s="10">
        <v>11.25</v>
      </c>
      <c r="J2014" s="14">
        <f>P2014*I2014</f>
        <v>11.25</v>
      </c>
      <c r="K2014" s="16">
        <v>190</v>
      </c>
      <c r="L2014" s="1" t="s">
        <v>30</v>
      </c>
      <c r="M2014" t="s">
        <v>58</v>
      </c>
      <c r="N2014" t="str">
        <f t="shared" si="43"/>
        <v>United Kingdom</v>
      </c>
      <c r="O2014" s="8">
        <f>IF(K2014&gt;=1,K2014,K2014*1000)</f>
        <v>190</v>
      </c>
      <c r="P2014">
        <f>ABS(H2014)</f>
        <v>1</v>
      </c>
      <c r="R2014"/>
    </row>
    <row r="2015" spans="1:18" x14ac:dyDescent="0.35">
      <c r="A2015" t="s">
        <v>3439</v>
      </c>
      <c r="B2015" s="2">
        <v>46146</v>
      </c>
      <c r="C2015" t="s">
        <v>3084</v>
      </c>
      <c r="D2015" s="3" t="s">
        <v>61</v>
      </c>
      <c r="E2015" t="s">
        <v>34</v>
      </c>
      <c r="F2015" t="s">
        <v>35</v>
      </c>
      <c r="G2015" t="s">
        <v>36</v>
      </c>
      <c r="H2015" s="8">
        <v>2</v>
      </c>
      <c r="I2015" s="10">
        <v>79</v>
      </c>
      <c r="J2015" s="14">
        <f>P2015*I2015</f>
        <v>158</v>
      </c>
      <c r="K2015" s="16">
        <v>8.5000000000000006E-2</v>
      </c>
      <c r="L2015" s="1" t="s">
        <v>21</v>
      </c>
      <c r="M2015" t="s">
        <v>22</v>
      </c>
      <c r="N2015" t="str">
        <f t="shared" si="43"/>
        <v>Ireland</v>
      </c>
      <c r="O2015" s="8">
        <f>IF(K2015&gt;=1,K2015,K2015*1000)</f>
        <v>85</v>
      </c>
      <c r="P2015">
        <f>ABS(H2015)</f>
        <v>2</v>
      </c>
      <c r="R2015"/>
    </row>
    <row r="2016" spans="1:18" x14ac:dyDescent="0.35">
      <c r="A2016" t="s">
        <v>3440</v>
      </c>
      <c r="B2016" s="2">
        <v>46098</v>
      </c>
      <c r="C2016" t="s">
        <v>3441</v>
      </c>
      <c r="D2016" s="3" t="s">
        <v>61</v>
      </c>
      <c r="E2016" t="s">
        <v>25</v>
      </c>
      <c r="F2016" t="s">
        <v>89</v>
      </c>
      <c r="G2016" t="s">
        <v>90</v>
      </c>
      <c r="H2016" s="8">
        <v>1</v>
      </c>
      <c r="I2016" s="10">
        <v>116.1</v>
      </c>
      <c r="J2016" s="14">
        <f>P2016*I2016</f>
        <v>116.1</v>
      </c>
      <c r="K2016" s="16">
        <v>640</v>
      </c>
      <c r="L2016" s="1" t="s">
        <v>30</v>
      </c>
      <c r="M2016" t="s">
        <v>22</v>
      </c>
      <c r="N2016" t="str">
        <f t="shared" si="43"/>
        <v>Ireland</v>
      </c>
      <c r="O2016" s="8">
        <f>IF(K2016&gt;=1,K2016,K2016*1000)</f>
        <v>640</v>
      </c>
      <c r="P2016">
        <f>ABS(H2016)</f>
        <v>1</v>
      </c>
      <c r="R2016"/>
    </row>
    <row r="2017" spans="1:18" x14ac:dyDescent="0.35">
      <c r="A2017" t="s">
        <v>3442</v>
      </c>
      <c r="B2017" s="2">
        <v>46156</v>
      </c>
      <c r="C2017" t="s">
        <v>1896</v>
      </c>
      <c r="D2017" s="3" t="s">
        <v>116</v>
      </c>
      <c r="E2017" t="s">
        <v>41</v>
      </c>
      <c r="F2017" t="s">
        <v>83</v>
      </c>
      <c r="G2017" t="s">
        <v>84</v>
      </c>
      <c r="H2017" s="8">
        <v>1</v>
      </c>
      <c r="I2017" s="10">
        <v>116.1</v>
      </c>
      <c r="J2017" s="14">
        <f>P2017*I2017</f>
        <v>116.1</v>
      </c>
      <c r="K2017" s="16">
        <v>0.34</v>
      </c>
      <c r="L2017" s="1" t="s">
        <v>30</v>
      </c>
      <c r="M2017" t="s">
        <v>22</v>
      </c>
      <c r="N2017" t="str">
        <f t="shared" si="43"/>
        <v>Germany</v>
      </c>
      <c r="O2017" s="8">
        <f>IF(K2017&gt;=1,K2017,K2017*1000)</f>
        <v>340</v>
      </c>
      <c r="P2017">
        <f>ABS(H2017)</f>
        <v>1</v>
      </c>
      <c r="R2017"/>
    </row>
    <row r="2018" spans="1:18" x14ac:dyDescent="0.35">
      <c r="A2018" t="s">
        <v>3443</v>
      </c>
      <c r="B2018" s="2">
        <v>46113</v>
      </c>
      <c r="C2018" t="s">
        <v>3444</v>
      </c>
      <c r="D2018" s="3" t="s">
        <v>4613</v>
      </c>
      <c r="E2018" t="s">
        <v>16</v>
      </c>
      <c r="F2018" t="s">
        <v>26</v>
      </c>
      <c r="G2018" t="s">
        <v>27</v>
      </c>
      <c r="H2018" s="8">
        <v>1</v>
      </c>
      <c r="I2018" s="10">
        <v>95</v>
      </c>
      <c r="J2018" s="14">
        <f>P2018*I2018</f>
        <v>95</v>
      </c>
      <c r="K2018" s="16">
        <v>520</v>
      </c>
      <c r="L2018" s="1" t="s">
        <v>30</v>
      </c>
      <c r="M2018" t="s">
        <v>22</v>
      </c>
      <c r="N2018" t="str">
        <f t="shared" si="43"/>
        <v>United Kingdom</v>
      </c>
      <c r="O2018" s="8">
        <f>IF(K2018&gt;=1,K2018,K2018*1000)</f>
        <v>520</v>
      </c>
      <c r="P2018">
        <f>ABS(H2018)</f>
        <v>1</v>
      </c>
      <c r="R2018"/>
    </row>
    <row r="2019" spans="1:18" x14ac:dyDescent="0.35">
      <c r="A2019" t="s">
        <v>3445</v>
      </c>
      <c r="B2019" s="2">
        <v>46175</v>
      </c>
      <c r="C2019" t="s">
        <v>309</v>
      </c>
      <c r="D2019" s="3" t="s">
        <v>66</v>
      </c>
      <c r="E2019" t="s">
        <v>25</v>
      </c>
      <c r="F2019" t="s">
        <v>26</v>
      </c>
      <c r="G2019" t="s">
        <v>27</v>
      </c>
      <c r="H2019" s="8">
        <v>1</v>
      </c>
      <c r="I2019" s="10">
        <v>89</v>
      </c>
      <c r="J2019" s="14">
        <f>P2019*I2019</f>
        <v>89</v>
      </c>
      <c r="K2019" s="16">
        <v>520</v>
      </c>
      <c r="L2019" s="1" t="s">
        <v>30</v>
      </c>
      <c r="M2019" t="s">
        <v>22</v>
      </c>
      <c r="N2019" t="str">
        <f t="shared" si="43"/>
        <v>Gb</v>
      </c>
      <c r="O2019" s="8">
        <f>IF(K2019&gt;=1,K2019,K2019*1000)</f>
        <v>520</v>
      </c>
      <c r="P2019">
        <f>ABS(H2019)</f>
        <v>1</v>
      </c>
      <c r="R2019"/>
    </row>
    <row r="2020" spans="1:18" x14ac:dyDescent="0.35">
      <c r="A2020" t="s">
        <v>3446</v>
      </c>
      <c r="B2020" s="2">
        <v>46160</v>
      </c>
      <c r="C2020" t="s">
        <v>2657</v>
      </c>
      <c r="D2020" s="3" t="s">
        <v>99</v>
      </c>
      <c r="E2020" t="s">
        <v>34</v>
      </c>
      <c r="F2020" t="s">
        <v>47</v>
      </c>
      <c r="G2020" t="s">
        <v>48</v>
      </c>
      <c r="H2020" s="8">
        <v>-3</v>
      </c>
      <c r="I2020" s="10">
        <v>12.5</v>
      </c>
      <c r="J2020" s="14">
        <f>P2020*I2020</f>
        <v>37.5</v>
      </c>
      <c r="K2020" s="16">
        <v>0.38</v>
      </c>
      <c r="L2020" s="1" t="s">
        <v>30</v>
      </c>
      <c r="M2020" t="s">
        <v>22</v>
      </c>
      <c r="N2020" t="str">
        <f t="shared" si="43"/>
        <v>United Kingdom</v>
      </c>
      <c r="O2020" s="8">
        <f>IF(K2020&gt;=1,K2020,K2020*1000)</f>
        <v>380</v>
      </c>
      <c r="P2020">
        <f>ABS(H2020)</f>
        <v>3</v>
      </c>
      <c r="R2020"/>
    </row>
    <row r="2021" spans="1:18" x14ac:dyDescent="0.35">
      <c r="A2021" t="s">
        <v>3448</v>
      </c>
      <c r="B2021" s="2">
        <v>46203</v>
      </c>
      <c r="C2021" t="s">
        <v>3444</v>
      </c>
      <c r="D2021" s="3" t="s">
        <v>53</v>
      </c>
      <c r="E2021" t="s">
        <v>41</v>
      </c>
      <c r="F2021" t="s">
        <v>17</v>
      </c>
      <c r="G2021" t="s">
        <v>18</v>
      </c>
      <c r="H2021" s="8">
        <v>2</v>
      </c>
      <c r="I2021" s="12" t="s">
        <v>4631</v>
      </c>
      <c r="J2021" s="14">
        <f>P2021*R2021</f>
        <v>158</v>
      </c>
      <c r="K2021" s="16">
        <v>0.52</v>
      </c>
      <c r="L2021" s="1" t="s">
        <v>30</v>
      </c>
      <c r="M2021" t="s">
        <v>22</v>
      </c>
      <c r="N2021" t="str">
        <f t="shared" si="43"/>
        <v>Gb</v>
      </c>
      <c r="O2021" s="8">
        <f>IF(K2021&gt;=1,K2021,K2021*1000)</f>
        <v>520</v>
      </c>
      <c r="P2021">
        <f>ABS(H2021)</f>
        <v>2</v>
      </c>
      <c r="Q2021" t="str">
        <f>LEFT(I2021,2)</f>
        <v>Â£</v>
      </c>
      <c r="R2021" t="str">
        <f>RIGHT(I2021,5)</f>
        <v>79,00</v>
      </c>
    </row>
    <row r="2022" spans="1:18" x14ac:dyDescent="0.35">
      <c r="A2022" t="s">
        <v>3449</v>
      </c>
      <c r="B2022" s="2">
        <v>46136</v>
      </c>
      <c r="C2022" t="s">
        <v>572</v>
      </c>
      <c r="D2022" s="3" t="s">
        <v>15</v>
      </c>
      <c r="E2022" t="s">
        <v>41</v>
      </c>
      <c r="F2022" t="s">
        <v>35</v>
      </c>
      <c r="G2022" t="s">
        <v>36</v>
      </c>
      <c r="H2022" s="8">
        <v>3</v>
      </c>
      <c r="I2022" s="10">
        <v>12.5</v>
      </c>
      <c r="J2022" s="14">
        <f>P2022*I2022</f>
        <v>37.5</v>
      </c>
      <c r="K2022" s="16">
        <v>8.5000000000000006E-2</v>
      </c>
      <c r="L2022" s="1" t="s">
        <v>30</v>
      </c>
      <c r="M2022" t="s">
        <v>58</v>
      </c>
      <c r="N2022" t="str">
        <f t="shared" si="43"/>
        <v>France</v>
      </c>
      <c r="O2022" s="8">
        <f>IF(K2022&gt;=1,K2022,K2022*1000)</f>
        <v>85</v>
      </c>
      <c r="P2022">
        <f>ABS(H2022)</f>
        <v>3</v>
      </c>
      <c r="R2022"/>
    </row>
    <row r="2023" spans="1:18" x14ac:dyDescent="0.35">
      <c r="A2023" t="s">
        <v>3450</v>
      </c>
      <c r="B2023" s="2">
        <v>46095</v>
      </c>
      <c r="C2023" t="s">
        <v>273</v>
      </c>
      <c r="D2023" s="3" t="s">
        <v>66</v>
      </c>
      <c r="E2023" t="s">
        <v>34</v>
      </c>
      <c r="F2023" t="s">
        <v>42</v>
      </c>
      <c r="G2023" t="s">
        <v>43</v>
      </c>
      <c r="H2023" s="8">
        <v>1</v>
      </c>
      <c r="I2023" s="10">
        <v>89</v>
      </c>
      <c r="J2023" s="14">
        <f>P2023*I2023</f>
        <v>89</v>
      </c>
      <c r="K2023" s="16">
        <v>190</v>
      </c>
      <c r="L2023" s="1" t="s">
        <v>30</v>
      </c>
      <c r="M2023" t="s">
        <v>58</v>
      </c>
      <c r="N2023" t="str">
        <f t="shared" si="43"/>
        <v>Gb</v>
      </c>
      <c r="O2023" s="8">
        <f>IF(K2023&gt;=1,K2023,K2023*1000)</f>
        <v>190</v>
      </c>
      <c r="P2023">
        <f>ABS(H2023)</f>
        <v>1</v>
      </c>
      <c r="R2023"/>
    </row>
    <row r="2024" spans="1:18" x14ac:dyDescent="0.35">
      <c r="A2024" t="s">
        <v>3451</v>
      </c>
      <c r="B2024" s="2">
        <v>46147</v>
      </c>
      <c r="C2024" t="s">
        <v>1644</v>
      </c>
      <c r="D2024" s="3" t="s">
        <v>4613</v>
      </c>
      <c r="E2024" t="s">
        <v>41</v>
      </c>
      <c r="F2024" t="s">
        <v>35</v>
      </c>
      <c r="G2024" t="s">
        <v>36</v>
      </c>
      <c r="H2024" s="8">
        <v>1</v>
      </c>
      <c r="I2024" s="10">
        <v>21.6</v>
      </c>
      <c r="J2024" s="14">
        <f>P2024*I2024</f>
        <v>21.6</v>
      </c>
      <c r="K2024" s="16">
        <v>8.5000000000000006E-2</v>
      </c>
      <c r="L2024" s="1" t="s">
        <v>30</v>
      </c>
      <c r="M2024" t="s">
        <v>22</v>
      </c>
      <c r="N2024" t="str">
        <f t="shared" si="43"/>
        <v>United Kingdom</v>
      </c>
      <c r="O2024" s="8">
        <f>IF(K2024&gt;=1,K2024,K2024*1000)</f>
        <v>85</v>
      </c>
      <c r="P2024">
        <f>ABS(H2024)</f>
        <v>1</v>
      </c>
      <c r="R2024"/>
    </row>
    <row r="2025" spans="1:18" x14ac:dyDescent="0.35">
      <c r="A2025" t="s">
        <v>3452</v>
      </c>
      <c r="B2025" s="2">
        <v>46094</v>
      </c>
      <c r="C2025" t="s">
        <v>285</v>
      </c>
      <c r="D2025" s="3" t="s">
        <v>99</v>
      </c>
      <c r="E2025" t="s">
        <v>25</v>
      </c>
      <c r="F2025" t="s">
        <v>35</v>
      </c>
      <c r="G2025" t="s">
        <v>36</v>
      </c>
      <c r="H2025" s="8">
        <v>3</v>
      </c>
      <c r="I2025" s="10">
        <v>11.25</v>
      </c>
      <c r="J2025" s="14">
        <f>P2025*I2025</f>
        <v>33.75</v>
      </c>
      <c r="K2025" s="16">
        <v>85</v>
      </c>
      <c r="L2025" s="1" t="s">
        <v>21</v>
      </c>
      <c r="M2025" t="s">
        <v>22</v>
      </c>
      <c r="N2025" t="str">
        <f t="shared" si="43"/>
        <v>United Kingdom</v>
      </c>
      <c r="O2025" s="8">
        <f>IF(K2025&gt;=1,K2025,K2025*1000)</f>
        <v>85</v>
      </c>
      <c r="P2025">
        <f>ABS(H2025)</f>
        <v>3</v>
      </c>
      <c r="R2025"/>
    </row>
    <row r="2026" spans="1:18" x14ac:dyDescent="0.35">
      <c r="A2026" t="s">
        <v>3453</v>
      </c>
      <c r="B2026" s="2">
        <v>46060</v>
      </c>
      <c r="C2026" t="s">
        <v>3454</v>
      </c>
      <c r="D2026" s="3" t="s">
        <v>99</v>
      </c>
      <c r="E2026" t="s">
        <v>67</v>
      </c>
      <c r="F2026" t="s">
        <v>26</v>
      </c>
      <c r="G2026" t="s">
        <v>27</v>
      </c>
      <c r="H2026" s="8">
        <v>1</v>
      </c>
      <c r="I2026" s="10">
        <v>79</v>
      </c>
      <c r="J2026" s="14">
        <f>P2026*I2026</f>
        <v>79</v>
      </c>
      <c r="K2026" s="16">
        <v>520</v>
      </c>
      <c r="L2026" s="1" t="s">
        <v>30</v>
      </c>
      <c r="M2026" t="s">
        <v>22</v>
      </c>
      <c r="N2026" t="str">
        <f t="shared" si="43"/>
        <v>United Kingdom</v>
      </c>
      <c r="O2026" s="8">
        <f>IF(K2026&gt;=1,K2026,K2026*1000)</f>
        <v>520</v>
      </c>
      <c r="P2026">
        <f>ABS(H2026)</f>
        <v>1</v>
      </c>
      <c r="R2026"/>
    </row>
    <row r="2027" spans="1:18" x14ac:dyDescent="0.35">
      <c r="A2027" t="s">
        <v>3455</v>
      </c>
      <c r="B2027" s="2">
        <v>46099</v>
      </c>
      <c r="C2027" t="s">
        <v>637</v>
      </c>
      <c r="D2027" s="3" t="s">
        <v>53</v>
      </c>
      <c r="E2027" t="s">
        <v>41</v>
      </c>
      <c r="F2027" t="s">
        <v>47</v>
      </c>
      <c r="G2027" t="s">
        <v>48</v>
      </c>
      <c r="H2027" s="8">
        <v>1</v>
      </c>
      <c r="I2027" s="12" t="s">
        <v>4631</v>
      </c>
      <c r="J2027" s="14">
        <f>P2027*R2027</f>
        <v>79</v>
      </c>
      <c r="K2027" s="16">
        <v>380</v>
      </c>
      <c r="L2027" s="1" t="s">
        <v>30</v>
      </c>
      <c r="M2027" t="s">
        <v>22</v>
      </c>
      <c r="N2027" t="str">
        <f t="shared" si="43"/>
        <v>Gb</v>
      </c>
      <c r="O2027" s="8">
        <f>IF(K2027&gt;=1,K2027,K2027*1000)</f>
        <v>380</v>
      </c>
      <c r="P2027">
        <f>ABS(H2027)</f>
        <v>1</v>
      </c>
      <c r="Q2027" t="str">
        <f>LEFT(I2027,2)</f>
        <v>Â£</v>
      </c>
      <c r="R2027" t="str">
        <f>RIGHT(I2027,5)</f>
        <v>79,00</v>
      </c>
    </row>
    <row r="2028" spans="1:18" x14ac:dyDescent="0.35">
      <c r="A2028" t="s">
        <v>3456</v>
      </c>
      <c r="B2028" s="2">
        <v>46042</v>
      </c>
      <c r="C2028" t="s">
        <v>378</v>
      </c>
      <c r="D2028" s="3" t="s">
        <v>61</v>
      </c>
      <c r="E2028" t="s">
        <v>25</v>
      </c>
      <c r="F2028" t="s">
        <v>35</v>
      </c>
      <c r="G2028" t="s">
        <v>36</v>
      </c>
      <c r="H2028" s="8">
        <v>1</v>
      </c>
      <c r="I2028" s="10">
        <v>95</v>
      </c>
      <c r="J2028" s="14">
        <f>P2028*I2028</f>
        <v>95</v>
      </c>
      <c r="K2028" s="16">
        <v>85</v>
      </c>
      <c r="L2028" s="1" t="s">
        <v>30</v>
      </c>
      <c r="M2028" t="s">
        <v>22</v>
      </c>
      <c r="N2028" t="str">
        <f t="shared" si="43"/>
        <v>Ireland</v>
      </c>
      <c r="O2028" s="8">
        <f>IF(K2028&gt;=1,K2028,K2028*1000)</f>
        <v>85</v>
      </c>
      <c r="P2028">
        <f>ABS(H2028)</f>
        <v>1</v>
      </c>
      <c r="R2028"/>
    </row>
    <row r="2029" spans="1:18" x14ac:dyDescent="0.35">
      <c r="A2029" t="s">
        <v>3457</v>
      </c>
      <c r="B2029" s="2">
        <v>46105</v>
      </c>
      <c r="C2029" t="s">
        <v>1459</v>
      </c>
      <c r="D2029" s="3" t="s">
        <v>46</v>
      </c>
      <c r="E2029" t="s">
        <v>25</v>
      </c>
      <c r="F2029" t="s">
        <v>26</v>
      </c>
      <c r="G2029" t="s">
        <v>27</v>
      </c>
      <c r="H2029" s="8">
        <v>2</v>
      </c>
      <c r="I2029" s="10">
        <v>21.6</v>
      </c>
      <c r="J2029" s="14">
        <f>P2029*I2029</f>
        <v>43.2</v>
      </c>
      <c r="K2029" s="16">
        <v>520</v>
      </c>
      <c r="L2029" s="1" t="s">
        <v>30</v>
      </c>
      <c r="M2029" t="s">
        <v>22</v>
      </c>
      <c r="N2029" t="str">
        <f t="shared" si="43"/>
        <v>Ireland</v>
      </c>
      <c r="O2029" s="8">
        <f>IF(K2029&gt;=1,K2029,K2029*1000)</f>
        <v>520</v>
      </c>
      <c r="P2029">
        <f>ABS(H2029)</f>
        <v>2</v>
      </c>
      <c r="R2029"/>
    </row>
    <row r="2030" spans="1:18" x14ac:dyDescent="0.35">
      <c r="A2030" t="s">
        <v>3458</v>
      </c>
      <c r="B2030" s="2" t="s">
        <v>2312</v>
      </c>
      <c r="C2030" t="s">
        <v>921</v>
      </c>
      <c r="D2030" s="3" t="s">
        <v>4612</v>
      </c>
      <c r="E2030" t="s">
        <v>34</v>
      </c>
      <c r="F2030" t="s">
        <v>42</v>
      </c>
      <c r="G2030" t="s">
        <v>43</v>
      </c>
      <c r="H2030" s="8">
        <v>1</v>
      </c>
      <c r="I2030" s="10">
        <v>45</v>
      </c>
      <c r="J2030" s="14">
        <f>P2030*I2030</f>
        <v>45</v>
      </c>
      <c r="K2030" s="16">
        <v>190</v>
      </c>
      <c r="L2030" s="1" t="s">
        <v>30</v>
      </c>
      <c r="M2030" t="s">
        <v>22</v>
      </c>
      <c r="N2030" t="str">
        <f t="shared" si="43"/>
        <v>United Kingdom</v>
      </c>
      <c r="O2030" s="8">
        <f>IF(K2030&gt;=1,K2030,K2030*1000)</f>
        <v>190</v>
      </c>
      <c r="P2030">
        <f>ABS(H2030)</f>
        <v>1</v>
      </c>
      <c r="R2030"/>
    </row>
    <row r="2031" spans="1:18" x14ac:dyDescent="0.35">
      <c r="A2031" t="s">
        <v>3459</v>
      </c>
      <c r="B2031" s="2">
        <v>46070</v>
      </c>
      <c r="C2031" t="s">
        <v>3460</v>
      </c>
      <c r="D2031" s="3" t="s">
        <v>66</v>
      </c>
      <c r="E2031" t="s">
        <v>25</v>
      </c>
      <c r="F2031" t="s">
        <v>42</v>
      </c>
      <c r="G2031" t="s">
        <v>43</v>
      </c>
      <c r="H2031" s="8">
        <v>2</v>
      </c>
      <c r="I2031" s="10">
        <v>71.099999999999994</v>
      </c>
      <c r="J2031" s="14">
        <f>P2031*I2031</f>
        <v>142.19999999999999</v>
      </c>
      <c r="K2031" s="16">
        <v>190</v>
      </c>
      <c r="L2031" s="1" t="s">
        <v>21</v>
      </c>
      <c r="M2031" t="s">
        <v>22</v>
      </c>
      <c r="N2031" t="str">
        <f t="shared" si="43"/>
        <v>Gb</v>
      </c>
      <c r="O2031" s="8">
        <f>IF(K2031&gt;=1,K2031,K2031*1000)</f>
        <v>190</v>
      </c>
      <c r="P2031">
        <f>ABS(H2031)</f>
        <v>2</v>
      </c>
      <c r="R2031"/>
    </row>
    <row r="2032" spans="1:18" x14ac:dyDescent="0.35">
      <c r="A2032" t="s">
        <v>3462</v>
      </c>
      <c r="B2032" s="2">
        <v>46125</v>
      </c>
      <c r="C2032" t="s">
        <v>665</v>
      </c>
      <c r="D2032" s="3" t="s">
        <v>116</v>
      </c>
      <c r="E2032" t="s">
        <v>41</v>
      </c>
      <c r="F2032" t="s">
        <v>35</v>
      </c>
      <c r="G2032" t="s">
        <v>36</v>
      </c>
      <c r="H2032" s="8">
        <v>1</v>
      </c>
      <c r="I2032" s="10">
        <v>95</v>
      </c>
      <c r="J2032" s="14">
        <f>P2032*I2032</f>
        <v>95</v>
      </c>
      <c r="K2032" s="16">
        <v>85</v>
      </c>
      <c r="L2032" s="1" t="s">
        <v>30</v>
      </c>
      <c r="M2032" t="s">
        <v>58</v>
      </c>
      <c r="N2032" t="str">
        <f t="shared" si="43"/>
        <v>Germany</v>
      </c>
      <c r="O2032" s="8">
        <f>IF(K2032&gt;=1,K2032,K2032*1000)</f>
        <v>85</v>
      </c>
      <c r="P2032">
        <f>ABS(H2032)</f>
        <v>1</v>
      </c>
      <c r="R2032"/>
    </row>
    <row r="2033" spans="1:18" x14ac:dyDescent="0.35">
      <c r="A2033" t="s">
        <v>3463</v>
      </c>
      <c r="B2033" s="2">
        <v>46150</v>
      </c>
      <c r="C2033" t="s">
        <v>825</v>
      </c>
      <c r="D2033" s="3" t="s">
        <v>99</v>
      </c>
      <c r="E2033" t="s">
        <v>67</v>
      </c>
      <c r="F2033" t="s">
        <v>35</v>
      </c>
      <c r="G2033" t="s">
        <v>36</v>
      </c>
      <c r="H2033" s="8">
        <v>1</v>
      </c>
      <c r="I2033" s="10">
        <v>95</v>
      </c>
      <c r="J2033" s="14">
        <f>P2033*I2033</f>
        <v>95</v>
      </c>
      <c r="K2033" s="16">
        <v>8.5000000000000006E-2</v>
      </c>
      <c r="L2033" s="1" t="s">
        <v>30</v>
      </c>
      <c r="M2033" t="s">
        <v>22</v>
      </c>
      <c r="N2033" t="str">
        <f t="shared" si="43"/>
        <v>United Kingdom</v>
      </c>
      <c r="O2033" s="8">
        <f>IF(K2033&gt;=1,K2033,K2033*1000)</f>
        <v>85</v>
      </c>
      <c r="P2033">
        <f>ABS(H2033)</f>
        <v>1</v>
      </c>
      <c r="R2033"/>
    </row>
    <row r="2034" spans="1:18" x14ac:dyDescent="0.35">
      <c r="A2034" t="s">
        <v>3464</v>
      </c>
      <c r="B2034" s="2">
        <v>46198</v>
      </c>
      <c r="C2034" t="s">
        <v>1990</v>
      </c>
      <c r="D2034" s="3" t="s">
        <v>99</v>
      </c>
      <c r="E2034" t="s">
        <v>25</v>
      </c>
      <c r="F2034" t="s">
        <v>26</v>
      </c>
      <c r="G2034" t="s">
        <v>27</v>
      </c>
      <c r="H2034" s="8">
        <v>1</v>
      </c>
      <c r="I2034" s="10">
        <v>129</v>
      </c>
      <c r="J2034" s="14">
        <f>P2034*I2034</f>
        <v>129</v>
      </c>
      <c r="K2034" s="16">
        <v>0.52</v>
      </c>
      <c r="L2034" s="1" t="s">
        <v>30</v>
      </c>
      <c r="M2034" t="s">
        <v>22</v>
      </c>
      <c r="N2034" t="str">
        <f t="shared" si="43"/>
        <v>United Kingdom</v>
      </c>
      <c r="O2034" s="8">
        <f>IF(K2034&gt;=1,K2034,K2034*1000)</f>
        <v>520</v>
      </c>
      <c r="P2034">
        <f>ABS(H2034)</f>
        <v>1</v>
      </c>
      <c r="R2034"/>
    </row>
    <row r="2035" spans="1:18" x14ac:dyDescent="0.35">
      <c r="A2035" t="s">
        <v>3465</v>
      </c>
      <c r="B2035" s="2">
        <v>46070</v>
      </c>
      <c r="C2035" t="s">
        <v>2236</v>
      </c>
      <c r="D2035" s="3" t="s">
        <v>46</v>
      </c>
      <c r="E2035" t="s">
        <v>41</v>
      </c>
      <c r="F2035" t="s">
        <v>17</v>
      </c>
      <c r="G2035" t="s">
        <v>18</v>
      </c>
      <c r="H2035" s="8">
        <v>1</v>
      </c>
      <c r="I2035" s="10">
        <v>45</v>
      </c>
      <c r="J2035" s="14">
        <f>P2035*I2035</f>
        <v>45</v>
      </c>
      <c r="K2035" s="16">
        <v>520</v>
      </c>
      <c r="L2035" s="1" t="s">
        <v>30</v>
      </c>
      <c r="M2035" t="s">
        <v>22</v>
      </c>
      <c r="N2035" t="str">
        <f t="shared" si="43"/>
        <v>Ireland</v>
      </c>
      <c r="O2035" s="8">
        <f>IF(K2035&gt;=1,K2035,K2035*1000)</f>
        <v>520</v>
      </c>
      <c r="P2035">
        <f>ABS(H2035)</f>
        <v>1</v>
      </c>
      <c r="R2035"/>
    </row>
    <row r="2036" spans="1:18" x14ac:dyDescent="0.35">
      <c r="A2036" t="s">
        <v>3466</v>
      </c>
      <c r="B2036" s="2">
        <v>46101</v>
      </c>
      <c r="C2036" t="s">
        <v>3467</v>
      </c>
      <c r="D2036" s="3" t="s">
        <v>15</v>
      </c>
      <c r="E2036" t="s">
        <v>16</v>
      </c>
      <c r="F2036" t="s">
        <v>26</v>
      </c>
      <c r="G2036" t="s">
        <v>27</v>
      </c>
      <c r="H2036" s="8">
        <v>1</v>
      </c>
      <c r="I2036" s="10">
        <v>89</v>
      </c>
      <c r="J2036" s="14">
        <f>P2036*I2036</f>
        <v>89</v>
      </c>
      <c r="K2036" s="16">
        <v>520</v>
      </c>
      <c r="L2036" s="1" t="s">
        <v>30</v>
      </c>
      <c r="M2036" t="s">
        <v>22</v>
      </c>
      <c r="N2036" t="str">
        <f t="shared" si="43"/>
        <v>France</v>
      </c>
      <c r="O2036" s="8">
        <f>IF(K2036&gt;=1,K2036,K2036*1000)</f>
        <v>520</v>
      </c>
      <c r="P2036">
        <f>ABS(H2036)</f>
        <v>1</v>
      </c>
      <c r="R2036"/>
    </row>
    <row r="2037" spans="1:18" x14ac:dyDescent="0.35">
      <c r="A2037" t="s">
        <v>3468</v>
      </c>
      <c r="B2037" s="2">
        <v>46067</v>
      </c>
      <c r="C2037" t="s">
        <v>263</v>
      </c>
      <c r="D2037" s="3" t="s">
        <v>15</v>
      </c>
      <c r="E2037" t="s">
        <v>41</v>
      </c>
      <c r="F2037" t="s">
        <v>26</v>
      </c>
      <c r="G2037" t="s">
        <v>27</v>
      </c>
      <c r="H2037" s="8">
        <v>1</v>
      </c>
      <c r="I2037" s="10">
        <v>79</v>
      </c>
      <c r="J2037" s="14">
        <f>P2037*I2037</f>
        <v>79</v>
      </c>
      <c r="K2037" s="16">
        <v>520</v>
      </c>
      <c r="L2037" s="1" t="s">
        <v>30</v>
      </c>
      <c r="M2037" t="s">
        <v>22</v>
      </c>
      <c r="N2037" t="str">
        <f t="shared" si="43"/>
        <v>France</v>
      </c>
      <c r="O2037" s="8">
        <f>IF(K2037&gt;=1,K2037,K2037*1000)</f>
        <v>520</v>
      </c>
      <c r="P2037">
        <f>ABS(H2037)</f>
        <v>1</v>
      </c>
      <c r="R2037"/>
    </row>
    <row r="2038" spans="1:18" x14ac:dyDescent="0.35">
      <c r="A2038" t="s">
        <v>3469</v>
      </c>
      <c r="B2038" s="2">
        <v>46330</v>
      </c>
      <c r="C2038" t="s">
        <v>830</v>
      </c>
      <c r="D2038" s="3" t="s">
        <v>66</v>
      </c>
      <c r="E2038" t="s">
        <v>67</v>
      </c>
      <c r="F2038" t="s">
        <v>47</v>
      </c>
      <c r="G2038" t="s">
        <v>48</v>
      </c>
      <c r="H2038" s="8">
        <v>2</v>
      </c>
      <c r="I2038" s="10">
        <v>89</v>
      </c>
      <c r="J2038" s="14">
        <f>P2038*I2038</f>
        <v>178</v>
      </c>
      <c r="K2038" s="16">
        <v>380</v>
      </c>
      <c r="L2038" s="1" t="s">
        <v>30</v>
      </c>
      <c r="M2038" t="s">
        <v>22</v>
      </c>
      <c r="N2038" t="str">
        <f t="shared" si="43"/>
        <v>Gb</v>
      </c>
      <c r="O2038" s="8">
        <f>IF(K2038&gt;=1,K2038,K2038*1000)</f>
        <v>380</v>
      </c>
      <c r="P2038">
        <f>ABS(H2038)</f>
        <v>2</v>
      </c>
      <c r="R2038"/>
    </row>
    <row r="2039" spans="1:18" x14ac:dyDescent="0.35">
      <c r="A2039" t="s">
        <v>3470</v>
      </c>
      <c r="B2039" s="2">
        <v>46054</v>
      </c>
      <c r="C2039" t="s">
        <v>214</v>
      </c>
      <c r="D2039" s="3" t="s">
        <v>116</v>
      </c>
      <c r="E2039" t="s">
        <v>34</v>
      </c>
      <c r="F2039" t="s">
        <v>74</v>
      </c>
      <c r="G2039" t="s">
        <v>75</v>
      </c>
      <c r="H2039" s="8">
        <v>1</v>
      </c>
      <c r="I2039" s="10">
        <v>116.1</v>
      </c>
      <c r="J2039" s="14">
        <f>P2039*I2039</f>
        <v>116.1</v>
      </c>
      <c r="K2039" s="16">
        <v>410</v>
      </c>
      <c r="L2039" s="1" t="s">
        <v>30</v>
      </c>
      <c r="M2039" t="s">
        <v>22</v>
      </c>
      <c r="N2039" t="str">
        <f t="shared" si="43"/>
        <v>Germany</v>
      </c>
      <c r="O2039" s="8">
        <f>IF(K2039&gt;=1,K2039,K2039*1000)</f>
        <v>410</v>
      </c>
      <c r="P2039">
        <f>ABS(H2039)</f>
        <v>1</v>
      </c>
      <c r="R2039"/>
    </row>
    <row r="2040" spans="1:18" x14ac:dyDescent="0.35">
      <c r="A2040" t="s">
        <v>3471</v>
      </c>
      <c r="B2040" s="2" t="s">
        <v>778</v>
      </c>
      <c r="C2040" t="s">
        <v>766</v>
      </c>
      <c r="D2040" s="3" t="s">
        <v>66</v>
      </c>
      <c r="E2040" t="s">
        <v>67</v>
      </c>
      <c r="F2040" t="s">
        <v>74</v>
      </c>
      <c r="G2040" t="s">
        <v>75</v>
      </c>
      <c r="H2040" s="8">
        <v>2</v>
      </c>
      <c r="I2040" s="10">
        <v>12.5</v>
      </c>
      <c r="J2040" s="14">
        <f>P2040*I2040</f>
        <v>25</v>
      </c>
      <c r="K2040" s="16">
        <v>0.41</v>
      </c>
      <c r="L2040" s="1" t="s">
        <v>30</v>
      </c>
      <c r="M2040" t="s">
        <v>22</v>
      </c>
      <c r="N2040" t="str">
        <f t="shared" si="43"/>
        <v>Gb</v>
      </c>
      <c r="O2040" s="8">
        <f>IF(K2040&gt;=1,K2040,K2040*1000)</f>
        <v>410</v>
      </c>
      <c r="P2040">
        <f>ABS(H2040)</f>
        <v>2</v>
      </c>
      <c r="R2040"/>
    </row>
    <row r="2041" spans="1:18" x14ac:dyDescent="0.35">
      <c r="A2041" t="s">
        <v>3472</v>
      </c>
      <c r="B2041" s="2">
        <v>46053</v>
      </c>
      <c r="C2041" t="s">
        <v>247</v>
      </c>
      <c r="D2041" s="3" t="s">
        <v>46</v>
      </c>
      <c r="E2041" t="s">
        <v>67</v>
      </c>
      <c r="F2041" t="s">
        <v>47</v>
      </c>
      <c r="G2041" t="s">
        <v>48</v>
      </c>
      <c r="H2041" s="8">
        <v>1</v>
      </c>
      <c r="I2041" s="10">
        <v>89</v>
      </c>
      <c r="J2041" s="14">
        <f>P2041*I2041</f>
        <v>89</v>
      </c>
      <c r="K2041" s="16">
        <v>380</v>
      </c>
      <c r="L2041" s="1" t="s">
        <v>30</v>
      </c>
      <c r="M2041" t="s">
        <v>22</v>
      </c>
      <c r="N2041" t="str">
        <f t="shared" si="43"/>
        <v>Ireland</v>
      </c>
      <c r="O2041" s="8">
        <f>IF(K2041&gt;=1,K2041,K2041*1000)</f>
        <v>380</v>
      </c>
      <c r="P2041">
        <f>ABS(H2041)</f>
        <v>1</v>
      </c>
      <c r="R2041"/>
    </row>
    <row r="2042" spans="1:18" x14ac:dyDescent="0.35">
      <c r="A2042" t="s">
        <v>3473</v>
      </c>
      <c r="B2042" s="2">
        <v>46066</v>
      </c>
      <c r="C2042" t="s">
        <v>1122</v>
      </c>
      <c r="D2042" s="3" t="s">
        <v>15</v>
      </c>
      <c r="E2042" t="s">
        <v>16</v>
      </c>
      <c r="F2042" t="s">
        <v>89</v>
      </c>
      <c r="G2042" t="s">
        <v>90</v>
      </c>
      <c r="H2042" s="8">
        <v>2</v>
      </c>
      <c r="I2042" s="10">
        <v>80.099999999999994</v>
      </c>
      <c r="J2042" s="14">
        <f>P2042*I2042</f>
        <v>160.19999999999999</v>
      </c>
      <c r="K2042" s="16">
        <v>640</v>
      </c>
      <c r="L2042" s="1" t="s">
        <v>30</v>
      </c>
      <c r="M2042" t="s">
        <v>58</v>
      </c>
      <c r="N2042" t="str">
        <f t="shared" si="43"/>
        <v>France</v>
      </c>
      <c r="O2042" s="8">
        <f>IF(K2042&gt;=1,K2042,K2042*1000)</f>
        <v>640</v>
      </c>
      <c r="P2042">
        <f>ABS(H2042)</f>
        <v>2</v>
      </c>
      <c r="R2042"/>
    </row>
    <row r="2043" spans="1:18" x14ac:dyDescent="0.35">
      <c r="A2043" t="s">
        <v>3474</v>
      </c>
      <c r="B2043" s="2">
        <v>46208</v>
      </c>
      <c r="C2043" t="s">
        <v>726</v>
      </c>
      <c r="D2043" s="3" t="s">
        <v>61</v>
      </c>
      <c r="E2043" t="s">
        <v>25</v>
      </c>
      <c r="F2043" t="s">
        <v>83</v>
      </c>
      <c r="G2043" t="s">
        <v>84</v>
      </c>
      <c r="H2043" s="8">
        <v>1</v>
      </c>
      <c r="I2043" s="10">
        <v>12.5</v>
      </c>
      <c r="J2043" s="14">
        <f>P2043*I2043</f>
        <v>12.5</v>
      </c>
      <c r="K2043" s="16">
        <v>0.34</v>
      </c>
      <c r="L2043" s="1" t="s">
        <v>30</v>
      </c>
      <c r="M2043" t="s">
        <v>58</v>
      </c>
      <c r="N2043" t="str">
        <f t="shared" si="43"/>
        <v>Ireland</v>
      </c>
      <c r="O2043" s="8">
        <f>IF(K2043&gt;=1,K2043,K2043*1000)</f>
        <v>340</v>
      </c>
      <c r="P2043">
        <f>ABS(H2043)</f>
        <v>1</v>
      </c>
      <c r="R2043"/>
    </row>
    <row r="2044" spans="1:18" x14ac:dyDescent="0.35">
      <c r="A2044" t="s">
        <v>3475</v>
      </c>
      <c r="B2044" s="2">
        <v>46028</v>
      </c>
      <c r="C2044" t="s">
        <v>2890</v>
      </c>
      <c r="D2044" s="3" t="s">
        <v>116</v>
      </c>
      <c r="E2044" t="s">
        <v>67</v>
      </c>
      <c r="F2044" t="s">
        <v>35</v>
      </c>
      <c r="G2044" t="s">
        <v>36</v>
      </c>
      <c r="H2044" s="8">
        <v>2</v>
      </c>
      <c r="I2044" s="12" t="s">
        <v>4632</v>
      </c>
      <c r="J2044" s="14">
        <f>P2044*R2044</f>
        <v>178</v>
      </c>
      <c r="K2044" s="16">
        <v>8.5000000000000006E-2</v>
      </c>
      <c r="L2044" s="1" t="s">
        <v>21</v>
      </c>
      <c r="M2044" t="s">
        <v>58</v>
      </c>
      <c r="N2044" t="str">
        <f t="shared" si="43"/>
        <v>Germany</v>
      </c>
      <c r="O2044" s="8">
        <f>IF(K2044&gt;=1,K2044,K2044*1000)</f>
        <v>85</v>
      </c>
      <c r="P2044">
        <f>ABS(H2044)</f>
        <v>2</v>
      </c>
      <c r="Q2044" t="str">
        <f>LEFT(I2044,3)</f>
        <v>GBP</v>
      </c>
      <c r="R2044" s="10" t="str">
        <f>RIGHT(I2044,5)</f>
        <v>89,00</v>
      </c>
    </row>
    <row r="2045" spans="1:18" x14ac:dyDescent="0.35">
      <c r="A2045" t="s">
        <v>3476</v>
      </c>
      <c r="B2045" s="2">
        <v>46170</v>
      </c>
      <c r="C2045" t="s">
        <v>3257</v>
      </c>
      <c r="D2045" s="3" t="s">
        <v>15</v>
      </c>
      <c r="E2045" t="s">
        <v>16</v>
      </c>
      <c r="F2045" t="s">
        <v>83</v>
      </c>
      <c r="G2045" t="s">
        <v>84</v>
      </c>
      <c r="H2045" s="8">
        <v>3</v>
      </c>
      <c r="I2045" s="10">
        <v>12.5</v>
      </c>
      <c r="J2045" s="14">
        <f>P2045*I2045</f>
        <v>37.5</v>
      </c>
      <c r="K2045" s="16">
        <v>0.34</v>
      </c>
      <c r="L2045" s="1" t="s">
        <v>30</v>
      </c>
      <c r="M2045" t="s">
        <v>22</v>
      </c>
      <c r="N2045" t="str">
        <f t="shared" si="43"/>
        <v>France</v>
      </c>
      <c r="O2045" s="8">
        <f>IF(K2045&gt;=1,K2045,K2045*1000)</f>
        <v>340</v>
      </c>
      <c r="P2045">
        <f>ABS(H2045)</f>
        <v>3</v>
      </c>
      <c r="R2045"/>
    </row>
    <row r="2046" spans="1:18" x14ac:dyDescent="0.35">
      <c r="A2046" t="s">
        <v>3477</v>
      </c>
      <c r="B2046" s="2">
        <v>46160</v>
      </c>
      <c r="C2046" t="s">
        <v>2322</v>
      </c>
      <c r="D2046" s="3" t="s">
        <v>46</v>
      </c>
      <c r="E2046" t="s">
        <v>16</v>
      </c>
      <c r="F2046" t="s">
        <v>26</v>
      </c>
      <c r="G2046" t="s">
        <v>27</v>
      </c>
      <c r="H2046" s="8">
        <v>1</v>
      </c>
      <c r="I2046" s="10">
        <v>45</v>
      </c>
      <c r="J2046" s="14">
        <f>P2046*I2046</f>
        <v>45</v>
      </c>
      <c r="K2046" s="16">
        <v>0.52</v>
      </c>
      <c r="L2046" s="1" t="s">
        <v>30</v>
      </c>
      <c r="M2046" t="s">
        <v>22</v>
      </c>
      <c r="N2046" t="str">
        <f t="shared" si="43"/>
        <v>Ireland</v>
      </c>
      <c r="O2046" s="8">
        <f>IF(K2046&gt;=1,K2046,K2046*1000)</f>
        <v>520</v>
      </c>
      <c r="P2046">
        <f>ABS(H2046)</f>
        <v>1</v>
      </c>
      <c r="R2046"/>
    </row>
    <row r="2047" spans="1:18" x14ac:dyDescent="0.35">
      <c r="A2047" t="s">
        <v>3478</v>
      </c>
      <c r="B2047" s="2" t="s">
        <v>775</v>
      </c>
      <c r="C2047" t="s">
        <v>3479</v>
      </c>
      <c r="D2047" s="3" t="s">
        <v>46</v>
      </c>
      <c r="E2047" t="s">
        <v>67</v>
      </c>
      <c r="F2047" t="s">
        <v>26</v>
      </c>
      <c r="G2047" t="s">
        <v>27</v>
      </c>
      <c r="H2047" s="8">
        <v>1</v>
      </c>
      <c r="I2047" s="10">
        <v>80.099999999999994</v>
      </c>
      <c r="J2047" s="14">
        <f>P2047*I2047</f>
        <v>80.099999999999994</v>
      </c>
      <c r="K2047" s="16">
        <v>520</v>
      </c>
      <c r="L2047" s="1" t="s">
        <v>30</v>
      </c>
      <c r="M2047" t="s">
        <v>22</v>
      </c>
      <c r="N2047" t="str">
        <f t="shared" si="43"/>
        <v>Ireland</v>
      </c>
      <c r="O2047" s="8">
        <f>IF(K2047&gt;=1,K2047,K2047*1000)</f>
        <v>520</v>
      </c>
      <c r="P2047">
        <f>ABS(H2047)</f>
        <v>1</v>
      </c>
      <c r="R2047"/>
    </row>
    <row r="2048" spans="1:18" x14ac:dyDescent="0.35">
      <c r="A2048" t="s">
        <v>3480</v>
      </c>
      <c r="B2048" s="2">
        <v>46083</v>
      </c>
      <c r="C2048" t="s">
        <v>1486</v>
      </c>
      <c r="D2048" s="3" t="s">
        <v>99</v>
      </c>
      <c r="E2048" t="s">
        <v>34</v>
      </c>
      <c r="F2048" t="s">
        <v>42</v>
      </c>
      <c r="G2048" t="s">
        <v>43</v>
      </c>
      <c r="H2048" s="8">
        <v>2</v>
      </c>
      <c r="I2048" s="10">
        <v>45</v>
      </c>
      <c r="J2048" s="14">
        <f>P2048*I2048</f>
        <v>90</v>
      </c>
      <c r="K2048" s="16">
        <v>190</v>
      </c>
      <c r="L2048" s="1" t="s">
        <v>30</v>
      </c>
      <c r="M2048" t="s">
        <v>58</v>
      </c>
      <c r="N2048" t="str">
        <f t="shared" si="43"/>
        <v>United Kingdom</v>
      </c>
      <c r="O2048" s="8">
        <f>IF(K2048&gt;=1,K2048,K2048*1000)</f>
        <v>190</v>
      </c>
      <c r="P2048">
        <f>ABS(H2048)</f>
        <v>2</v>
      </c>
      <c r="R2048"/>
    </row>
    <row r="2049" spans="1:18" x14ac:dyDescent="0.35">
      <c r="A2049" t="s">
        <v>3481</v>
      </c>
      <c r="B2049" s="2">
        <v>46195</v>
      </c>
      <c r="C2049" t="s">
        <v>1150</v>
      </c>
      <c r="D2049" s="3" t="s">
        <v>4612</v>
      </c>
      <c r="E2049" t="s">
        <v>41</v>
      </c>
      <c r="F2049" t="s">
        <v>74</v>
      </c>
      <c r="G2049" t="s">
        <v>75</v>
      </c>
      <c r="H2049" s="8">
        <v>3</v>
      </c>
      <c r="I2049" s="10">
        <v>89</v>
      </c>
      <c r="J2049" s="14">
        <f>P2049*I2049</f>
        <v>267</v>
      </c>
      <c r="K2049" s="16">
        <v>0.41</v>
      </c>
      <c r="L2049" s="1" t="s">
        <v>30</v>
      </c>
      <c r="M2049" t="s">
        <v>22</v>
      </c>
      <c r="N2049" t="str">
        <f t="shared" si="43"/>
        <v>United Kingdom</v>
      </c>
      <c r="O2049" s="8">
        <f>IF(K2049&gt;=1,K2049,K2049*1000)</f>
        <v>410</v>
      </c>
      <c r="P2049">
        <f>ABS(H2049)</f>
        <v>3</v>
      </c>
      <c r="R2049"/>
    </row>
    <row r="2050" spans="1:18" x14ac:dyDescent="0.35">
      <c r="A2050" t="s">
        <v>3482</v>
      </c>
      <c r="B2050" s="2">
        <v>46054</v>
      </c>
      <c r="C2050" t="s">
        <v>3483</v>
      </c>
      <c r="D2050" s="3" t="s">
        <v>46</v>
      </c>
      <c r="E2050" t="s">
        <v>34</v>
      </c>
      <c r="F2050" t="s">
        <v>42</v>
      </c>
      <c r="G2050" t="s">
        <v>43</v>
      </c>
      <c r="H2050" s="8">
        <v>1</v>
      </c>
      <c r="I2050" s="10">
        <v>24</v>
      </c>
      <c r="J2050" s="14">
        <f>P2050*I2050</f>
        <v>24</v>
      </c>
      <c r="K2050" s="16">
        <v>190</v>
      </c>
      <c r="L2050" s="1" t="s">
        <v>21</v>
      </c>
      <c r="M2050" t="s">
        <v>22</v>
      </c>
      <c r="N2050" t="str">
        <f t="shared" si="43"/>
        <v>Ireland</v>
      </c>
      <c r="O2050" s="8">
        <f>IF(K2050&gt;=1,K2050,K2050*1000)</f>
        <v>190</v>
      </c>
      <c r="P2050">
        <f>ABS(H2050)</f>
        <v>1</v>
      </c>
      <c r="R2050"/>
    </row>
    <row r="2051" spans="1:18" x14ac:dyDescent="0.35">
      <c r="A2051" t="s">
        <v>3484</v>
      </c>
      <c r="B2051" s="2">
        <v>46162</v>
      </c>
      <c r="C2051" t="s">
        <v>3485</v>
      </c>
      <c r="D2051" s="3" t="s">
        <v>4612</v>
      </c>
      <c r="E2051" t="s">
        <v>41</v>
      </c>
      <c r="F2051" t="s">
        <v>47</v>
      </c>
      <c r="G2051" t="s">
        <v>48</v>
      </c>
      <c r="H2051" s="8">
        <v>-1</v>
      </c>
      <c r="I2051" s="10">
        <v>24</v>
      </c>
      <c r="J2051" s="14">
        <f>P2051*I2051</f>
        <v>24</v>
      </c>
      <c r="K2051" s="16">
        <v>0.38</v>
      </c>
      <c r="L2051" s="1" t="s">
        <v>30</v>
      </c>
      <c r="M2051" t="s">
        <v>22</v>
      </c>
      <c r="N2051" t="str">
        <f t="shared" ref="N2051:N2114" si="44">PROPER(TRIM(D2051))</f>
        <v>United Kingdom</v>
      </c>
      <c r="O2051" s="8">
        <f>IF(K2051&gt;=1,K2051,K2051*1000)</f>
        <v>380</v>
      </c>
      <c r="P2051">
        <f>ABS(H2051)</f>
        <v>1</v>
      </c>
      <c r="R2051"/>
    </row>
    <row r="2052" spans="1:18" x14ac:dyDescent="0.35">
      <c r="A2052" t="s">
        <v>3486</v>
      </c>
      <c r="B2052" s="2">
        <v>46042</v>
      </c>
      <c r="C2052" t="s">
        <v>959</v>
      </c>
      <c r="D2052" s="3" t="s">
        <v>99</v>
      </c>
      <c r="E2052" t="s">
        <v>34</v>
      </c>
      <c r="F2052" t="s">
        <v>47</v>
      </c>
      <c r="G2052" t="s">
        <v>48</v>
      </c>
      <c r="H2052" s="8">
        <v>1</v>
      </c>
      <c r="I2052" s="10">
        <v>71.099999999999994</v>
      </c>
      <c r="J2052" s="14">
        <f>P2052*I2052</f>
        <v>71.099999999999994</v>
      </c>
      <c r="K2052" s="16">
        <v>380</v>
      </c>
      <c r="L2052" s="1" t="s">
        <v>30</v>
      </c>
      <c r="M2052" t="s">
        <v>22</v>
      </c>
      <c r="N2052" t="str">
        <f t="shared" si="44"/>
        <v>United Kingdom</v>
      </c>
      <c r="O2052" s="8">
        <f>IF(K2052&gt;=1,K2052,K2052*1000)</f>
        <v>380</v>
      </c>
      <c r="P2052">
        <f>ABS(H2052)</f>
        <v>1</v>
      </c>
      <c r="R2052"/>
    </row>
    <row r="2053" spans="1:18" x14ac:dyDescent="0.35">
      <c r="A2053" t="s">
        <v>3487</v>
      </c>
      <c r="B2053" s="2" t="s">
        <v>687</v>
      </c>
      <c r="C2053" t="s">
        <v>521</v>
      </c>
      <c r="D2053" s="3" t="s">
        <v>66</v>
      </c>
      <c r="E2053" t="s">
        <v>67</v>
      </c>
      <c r="F2053" t="s">
        <v>26</v>
      </c>
      <c r="G2053" t="s">
        <v>27</v>
      </c>
      <c r="H2053" s="8">
        <v>3</v>
      </c>
      <c r="I2053" s="10">
        <v>21.6</v>
      </c>
      <c r="J2053" s="14">
        <f>P2053*I2053</f>
        <v>64.800000000000011</v>
      </c>
      <c r="K2053" s="16">
        <v>520</v>
      </c>
      <c r="L2053" s="1" t="s">
        <v>21</v>
      </c>
      <c r="M2053" t="s">
        <v>22</v>
      </c>
      <c r="N2053" t="str">
        <f t="shared" si="44"/>
        <v>Gb</v>
      </c>
      <c r="O2053" s="8">
        <f>IF(K2053&gt;=1,K2053,K2053*1000)</f>
        <v>520</v>
      </c>
      <c r="P2053">
        <f>ABS(H2053)</f>
        <v>3</v>
      </c>
      <c r="R2053"/>
    </row>
    <row r="2054" spans="1:18" x14ac:dyDescent="0.35">
      <c r="A2054" t="s">
        <v>3488</v>
      </c>
      <c r="B2054" s="2">
        <v>46053</v>
      </c>
      <c r="C2054" t="s">
        <v>2024</v>
      </c>
      <c r="D2054" s="3" t="s">
        <v>61</v>
      </c>
      <c r="E2054" t="s">
        <v>41</v>
      </c>
      <c r="F2054" t="s">
        <v>74</v>
      </c>
      <c r="G2054" t="s">
        <v>75</v>
      </c>
      <c r="H2054" s="8">
        <v>2</v>
      </c>
      <c r="I2054" s="10">
        <v>129</v>
      </c>
      <c r="J2054" s="14">
        <f>P2054*I2054</f>
        <v>258</v>
      </c>
      <c r="K2054" s="16">
        <v>410</v>
      </c>
      <c r="L2054" s="1" t="s">
        <v>30</v>
      </c>
      <c r="M2054" t="s">
        <v>58</v>
      </c>
      <c r="N2054" t="str">
        <f t="shared" si="44"/>
        <v>Ireland</v>
      </c>
      <c r="O2054" s="8">
        <f>IF(K2054&gt;=1,K2054,K2054*1000)</f>
        <v>410</v>
      </c>
      <c r="P2054">
        <f>ABS(H2054)</f>
        <v>2</v>
      </c>
      <c r="R2054"/>
    </row>
    <row r="2055" spans="1:18" x14ac:dyDescent="0.35">
      <c r="A2055" t="s">
        <v>3489</v>
      </c>
      <c r="B2055" s="2">
        <v>46041</v>
      </c>
      <c r="C2055" t="s">
        <v>443</v>
      </c>
      <c r="D2055" s="3" t="s">
        <v>116</v>
      </c>
      <c r="E2055" t="s">
        <v>25</v>
      </c>
      <c r="F2055" t="s">
        <v>47</v>
      </c>
      <c r="G2055" t="s">
        <v>48</v>
      </c>
      <c r="H2055" s="8">
        <v>1</v>
      </c>
      <c r="I2055" s="10">
        <v>79</v>
      </c>
      <c r="J2055" s="14">
        <f>P2055*I2055</f>
        <v>79</v>
      </c>
      <c r="K2055" s="16">
        <v>380</v>
      </c>
      <c r="L2055" s="1" t="s">
        <v>30</v>
      </c>
      <c r="M2055" t="s">
        <v>22</v>
      </c>
      <c r="N2055" t="str">
        <f t="shared" si="44"/>
        <v>Germany</v>
      </c>
      <c r="O2055" s="8">
        <f>IF(K2055&gt;=1,K2055,K2055*1000)</f>
        <v>380</v>
      </c>
      <c r="P2055">
        <f>ABS(H2055)</f>
        <v>1</v>
      </c>
      <c r="R2055"/>
    </row>
    <row r="2056" spans="1:18" x14ac:dyDescent="0.35">
      <c r="A2056" t="s">
        <v>3490</v>
      </c>
      <c r="B2056" s="2">
        <v>46136</v>
      </c>
      <c r="C2056" t="s">
        <v>502</v>
      </c>
      <c r="D2056" s="3" t="s">
        <v>53</v>
      </c>
      <c r="E2056" t="s">
        <v>41</v>
      </c>
      <c r="F2056" t="s">
        <v>89</v>
      </c>
      <c r="G2056" t="s">
        <v>90</v>
      </c>
      <c r="H2056" s="8">
        <v>1</v>
      </c>
      <c r="I2056" s="10">
        <v>89</v>
      </c>
      <c r="J2056" s="14">
        <f>P2056*I2056</f>
        <v>89</v>
      </c>
      <c r="K2056" s="16">
        <v>0.64</v>
      </c>
      <c r="L2056" s="1" t="s">
        <v>30</v>
      </c>
      <c r="M2056" t="s">
        <v>22</v>
      </c>
      <c r="N2056" t="str">
        <f t="shared" si="44"/>
        <v>Gb</v>
      </c>
      <c r="O2056" s="8">
        <f>IF(K2056&gt;=1,K2056,K2056*1000)</f>
        <v>640</v>
      </c>
      <c r="P2056">
        <f>ABS(H2056)</f>
        <v>1</v>
      </c>
      <c r="R2056"/>
    </row>
    <row r="2057" spans="1:18" x14ac:dyDescent="0.35">
      <c r="A2057" t="s">
        <v>3491</v>
      </c>
      <c r="B2057" s="2">
        <v>46090</v>
      </c>
      <c r="C2057" t="s">
        <v>2676</v>
      </c>
      <c r="D2057" s="3" t="s">
        <v>15</v>
      </c>
      <c r="E2057" t="s">
        <v>25</v>
      </c>
      <c r="F2057" t="s">
        <v>47</v>
      </c>
      <c r="G2057" t="s">
        <v>48</v>
      </c>
      <c r="H2057" s="8">
        <v>3</v>
      </c>
      <c r="I2057" s="10">
        <v>134.1</v>
      </c>
      <c r="J2057" s="14">
        <f>P2057*I2057</f>
        <v>402.29999999999995</v>
      </c>
      <c r="K2057" s="16">
        <v>380</v>
      </c>
      <c r="L2057" s="1" t="s">
        <v>30</v>
      </c>
      <c r="M2057" t="s">
        <v>58</v>
      </c>
      <c r="N2057" t="str">
        <f t="shared" si="44"/>
        <v>France</v>
      </c>
      <c r="O2057" s="8">
        <f>IF(K2057&gt;=1,K2057,K2057*1000)</f>
        <v>380</v>
      </c>
      <c r="P2057">
        <f>ABS(H2057)</f>
        <v>3</v>
      </c>
      <c r="R2057"/>
    </row>
    <row r="2058" spans="1:18" x14ac:dyDescent="0.35">
      <c r="A2058" t="s">
        <v>3492</v>
      </c>
      <c r="B2058" s="2">
        <v>46136</v>
      </c>
      <c r="C2058" t="s">
        <v>2328</v>
      </c>
      <c r="D2058" s="3" t="s">
        <v>99</v>
      </c>
      <c r="E2058" t="s">
        <v>16</v>
      </c>
      <c r="F2058" t="s">
        <v>89</v>
      </c>
      <c r="G2058" t="s">
        <v>90</v>
      </c>
      <c r="H2058" s="8">
        <v>1</v>
      </c>
      <c r="I2058" s="12" t="s">
        <v>4647</v>
      </c>
      <c r="J2058" s="14">
        <f>P2058*R2058</f>
        <v>85.5</v>
      </c>
      <c r="K2058" s="16">
        <v>0.64</v>
      </c>
      <c r="L2058" s="1" t="s">
        <v>21</v>
      </c>
      <c r="M2058" t="s">
        <v>22</v>
      </c>
      <c r="N2058" t="str">
        <f t="shared" si="44"/>
        <v>United Kingdom</v>
      </c>
      <c r="O2058" s="8">
        <f>IF(K2058&gt;=1,K2058,K2058*1000)</f>
        <v>640</v>
      </c>
      <c r="P2058">
        <f>ABS(H2058)</f>
        <v>1</v>
      </c>
      <c r="Q2058" t="str">
        <f>LEFT(I2058,3)</f>
        <v>GBP</v>
      </c>
      <c r="R2058" s="10" t="str">
        <f>RIGHT(I2058,5)</f>
        <v>85,50</v>
      </c>
    </row>
    <row r="2059" spans="1:18" x14ac:dyDescent="0.35">
      <c r="A2059" t="s">
        <v>3493</v>
      </c>
      <c r="B2059" s="2">
        <v>46185</v>
      </c>
      <c r="C2059" t="s">
        <v>1076</v>
      </c>
      <c r="D2059" s="3" t="s">
        <v>99</v>
      </c>
      <c r="E2059" t="s">
        <v>25</v>
      </c>
      <c r="F2059" t="s">
        <v>26</v>
      </c>
      <c r="G2059" t="s">
        <v>27</v>
      </c>
      <c r="H2059" s="8">
        <v>2</v>
      </c>
      <c r="I2059" s="10">
        <v>129</v>
      </c>
      <c r="J2059" s="14">
        <f>P2059*I2059</f>
        <v>258</v>
      </c>
      <c r="K2059" s="16">
        <v>0.52</v>
      </c>
      <c r="L2059" s="1" t="s">
        <v>30</v>
      </c>
      <c r="M2059" t="s">
        <v>22</v>
      </c>
      <c r="N2059" t="str">
        <f t="shared" si="44"/>
        <v>United Kingdom</v>
      </c>
      <c r="O2059" s="8">
        <f>IF(K2059&gt;=1,K2059,K2059*1000)</f>
        <v>520</v>
      </c>
      <c r="P2059">
        <f>ABS(H2059)</f>
        <v>2</v>
      </c>
      <c r="R2059"/>
    </row>
    <row r="2060" spans="1:18" x14ac:dyDescent="0.35">
      <c r="A2060" t="s">
        <v>3494</v>
      </c>
      <c r="B2060" s="2" t="s">
        <v>2833</v>
      </c>
      <c r="C2060" t="s">
        <v>3166</v>
      </c>
      <c r="D2060" s="3" t="s">
        <v>15</v>
      </c>
      <c r="E2060" t="s">
        <v>67</v>
      </c>
      <c r="F2060" t="s">
        <v>35</v>
      </c>
      <c r="G2060" t="s">
        <v>36</v>
      </c>
      <c r="H2060" s="8">
        <v>3</v>
      </c>
      <c r="I2060" s="10">
        <v>89</v>
      </c>
      <c r="J2060" s="14">
        <f>P2060*I2060</f>
        <v>267</v>
      </c>
      <c r="K2060" s="16">
        <v>85</v>
      </c>
      <c r="L2060" s="1" t="s">
        <v>30</v>
      </c>
      <c r="M2060" t="s">
        <v>58</v>
      </c>
      <c r="N2060" t="str">
        <f t="shared" si="44"/>
        <v>France</v>
      </c>
      <c r="O2060" s="8">
        <f>IF(K2060&gt;=1,K2060,K2060*1000)</f>
        <v>85</v>
      </c>
      <c r="P2060">
        <f>ABS(H2060)</f>
        <v>3</v>
      </c>
      <c r="R2060"/>
    </row>
    <row r="2061" spans="1:18" x14ac:dyDescent="0.35">
      <c r="A2061" t="s">
        <v>3495</v>
      </c>
      <c r="B2061" s="2">
        <v>46065</v>
      </c>
      <c r="C2061" t="s">
        <v>3496</v>
      </c>
      <c r="D2061" s="3" t="s">
        <v>4613</v>
      </c>
      <c r="E2061" t="s">
        <v>16</v>
      </c>
      <c r="F2061" t="s">
        <v>26</v>
      </c>
      <c r="G2061" t="s">
        <v>27</v>
      </c>
      <c r="H2061" s="8">
        <v>1</v>
      </c>
      <c r="I2061" s="10">
        <v>149</v>
      </c>
      <c r="J2061" s="14">
        <f>P2061*I2061</f>
        <v>149</v>
      </c>
      <c r="K2061" s="16">
        <v>520</v>
      </c>
      <c r="L2061" s="1" t="s">
        <v>30</v>
      </c>
      <c r="M2061" t="s">
        <v>22</v>
      </c>
      <c r="N2061" t="str">
        <f t="shared" si="44"/>
        <v>United Kingdom</v>
      </c>
      <c r="O2061" s="8">
        <f>IF(K2061&gt;=1,K2061,K2061*1000)</f>
        <v>520</v>
      </c>
      <c r="P2061">
        <f>ABS(H2061)</f>
        <v>1</v>
      </c>
      <c r="R2061"/>
    </row>
    <row r="2062" spans="1:18" x14ac:dyDescent="0.35">
      <c r="A2062" t="s">
        <v>3497</v>
      </c>
      <c r="B2062" s="2">
        <v>46116</v>
      </c>
      <c r="C2062" t="s">
        <v>2220</v>
      </c>
      <c r="D2062" s="3" t="s">
        <v>116</v>
      </c>
      <c r="E2062" t="s">
        <v>67</v>
      </c>
      <c r="F2062" t="s">
        <v>17</v>
      </c>
      <c r="G2062" t="s">
        <v>18</v>
      </c>
      <c r="H2062" s="8">
        <v>1</v>
      </c>
      <c r="I2062" s="10">
        <v>85.5</v>
      </c>
      <c r="J2062" s="14">
        <f>P2062*I2062</f>
        <v>85.5</v>
      </c>
      <c r="K2062" s="16">
        <v>520</v>
      </c>
      <c r="L2062" s="1" t="s">
        <v>30</v>
      </c>
      <c r="M2062" t="s">
        <v>22</v>
      </c>
      <c r="N2062" t="str">
        <f t="shared" si="44"/>
        <v>Germany</v>
      </c>
      <c r="O2062" s="8">
        <f>IF(K2062&gt;=1,K2062,K2062*1000)</f>
        <v>520</v>
      </c>
      <c r="P2062">
        <f>ABS(H2062)</f>
        <v>1</v>
      </c>
      <c r="R2062"/>
    </row>
    <row r="2063" spans="1:18" x14ac:dyDescent="0.35">
      <c r="A2063" t="s">
        <v>3498</v>
      </c>
      <c r="B2063" s="2">
        <v>46208</v>
      </c>
      <c r="C2063" t="s">
        <v>1385</v>
      </c>
      <c r="D2063" s="3" t="s">
        <v>4613</v>
      </c>
      <c r="E2063" t="s">
        <v>67</v>
      </c>
      <c r="F2063" t="s">
        <v>74</v>
      </c>
      <c r="G2063" t="s">
        <v>75</v>
      </c>
      <c r="H2063" s="8">
        <v>2</v>
      </c>
      <c r="I2063" s="12" t="s">
        <v>4631</v>
      </c>
      <c r="J2063" s="14">
        <f>P2063*R2063</f>
        <v>158</v>
      </c>
      <c r="K2063" s="16">
        <v>0.41</v>
      </c>
      <c r="L2063" s="1" t="s">
        <v>30</v>
      </c>
      <c r="M2063" t="s">
        <v>22</v>
      </c>
      <c r="N2063" t="str">
        <f t="shared" si="44"/>
        <v>United Kingdom</v>
      </c>
      <c r="O2063" s="8">
        <f>IF(K2063&gt;=1,K2063,K2063*1000)</f>
        <v>410</v>
      </c>
      <c r="P2063">
        <f>ABS(H2063)</f>
        <v>2</v>
      </c>
      <c r="Q2063" t="str">
        <f>LEFT(I2063,2)</f>
        <v>Â£</v>
      </c>
      <c r="R2063" t="str">
        <f>RIGHT(I2063,5)</f>
        <v>79,00</v>
      </c>
    </row>
    <row r="2064" spans="1:18" x14ac:dyDescent="0.35">
      <c r="A2064" t="s">
        <v>3499</v>
      </c>
      <c r="B2064" s="2">
        <v>46113</v>
      </c>
      <c r="C2064" t="s">
        <v>498</v>
      </c>
      <c r="D2064" s="3" t="s">
        <v>99</v>
      </c>
      <c r="E2064" t="s">
        <v>34</v>
      </c>
      <c r="F2064" t="s">
        <v>74</v>
      </c>
      <c r="G2064" t="s">
        <v>75</v>
      </c>
      <c r="H2064" s="8">
        <v>1</v>
      </c>
      <c r="I2064" s="10">
        <v>12.5</v>
      </c>
      <c r="J2064" s="14">
        <f>P2064*I2064</f>
        <v>12.5</v>
      </c>
      <c r="K2064" s="16">
        <v>410</v>
      </c>
      <c r="L2064" s="1" t="s">
        <v>30</v>
      </c>
      <c r="M2064" t="s">
        <v>22</v>
      </c>
      <c r="N2064" t="str">
        <f t="shared" si="44"/>
        <v>United Kingdom</v>
      </c>
      <c r="O2064" s="8">
        <f>IF(K2064&gt;=1,K2064,K2064*1000)</f>
        <v>410</v>
      </c>
      <c r="P2064">
        <f>ABS(H2064)</f>
        <v>1</v>
      </c>
      <c r="R2064"/>
    </row>
    <row r="2065" spans="1:18" x14ac:dyDescent="0.35">
      <c r="A2065" t="s">
        <v>3500</v>
      </c>
      <c r="B2065" s="2">
        <v>46141</v>
      </c>
      <c r="C2065" t="s">
        <v>3046</v>
      </c>
      <c r="D2065" s="3" t="s">
        <v>15</v>
      </c>
      <c r="E2065" t="s">
        <v>67</v>
      </c>
      <c r="F2065" t="s">
        <v>26</v>
      </c>
      <c r="G2065" t="s">
        <v>27</v>
      </c>
      <c r="H2065" s="8">
        <v>1</v>
      </c>
      <c r="I2065" s="10">
        <v>45</v>
      </c>
      <c r="J2065" s="14">
        <f>P2065*I2065</f>
        <v>45</v>
      </c>
      <c r="K2065" s="16">
        <v>0.52</v>
      </c>
      <c r="L2065" s="1" t="s">
        <v>30</v>
      </c>
      <c r="M2065" t="s">
        <v>22</v>
      </c>
      <c r="N2065" t="str">
        <f t="shared" si="44"/>
        <v>France</v>
      </c>
      <c r="O2065" s="8">
        <f>IF(K2065&gt;=1,K2065,K2065*1000)</f>
        <v>520</v>
      </c>
      <c r="P2065">
        <f>ABS(H2065)</f>
        <v>1</v>
      </c>
      <c r="R2065"/>
    </row>
    <row r="2066" spans="1:18" x14ac:dyDescent="0.35">
      <c r="A2066" t="s">
        <v>3501</v>
      </c>
      <c r="B2066" s="2">
        <v>46031</v>
      </c>
      <c r="C2066" t="s">
        <v>1708</v>
      </c>
      <c r="D2066" s="3" t="s">
        <v>99</v>
      </c>
      <c r="E2066" t="s">
        <v>34</v>
      </c>
      <c r="F2066" t="s">
        <v>17</v>
      </c>
      <c r="G2066" t="s">
        <v>18</v>
      </c>
      <c r="H2066" s="8">
        <v>2</v>
      </c>
      <c r="I2066" s="12" t="s">
        <v>4633</v>
      </c>
      <c r="J2066" s="14">
        <f>P2066*R2066</f>
        <v>48</v>
      </c>
      <c r="K2066" s="16">
        <v>520</v>
      </c>
      <c r="L2066" s="1" t="s">
        <v>21</v>
      </c>
      <c r="M2066" t="s">
        <v>22</v>
      </c>
      <c r="N2066" t="str">
        <f t="shared" si="44"/>
        <v>United Kingdom</v>
      </c>
      <c r="O2066" s="8">
        <f>IF(K2066&gt;=1,K2066,K2066*1000)</f>
        <v>520</v>
      </c>
      <c r="P2066">
        <f>ABS(H2066)</f>
        <v>2</v>
      </c>
      <c r="Q2066" t="str">
        <f>LEFT(I2066,3)</f>
        <v>GBP</v>
      </c>
      <c r="R2066" s="10" t="str">
        <f>RIGHT(I2066,5)</f>
        <v>24,00</v>
      </c>
    </row>
    <row r="2067" spans="1:18" x14ac:dyDescent="0.35">
      <c r="A2067" t="s">
        <v>3502</v>
      </c>
      <c r="B2067" s="2">
        <v>46100</v>
      </c>
      <c r="C2067" t="s">
        <v>3503</v>
      </c>
      <c r="D2067" s="3" t="s">
        <v>4613</v>
      </c>
      <c r="E2067" t="s">
        <v>25</v>
      </c>
      <c r="F2067" t="s">
        <v>26</v>
      </c>
      <c r="G2067" t="s">
        <v>27</v>
      </c>
      <c r="H2067" s="8">
        <v>1</v>
      </c>
      <c r="I2067" s="10">
        <v>85.5</v>
      </c>
      <c r="J2067" s="14">
        <f>P2067*I2067</f>
        <v>85.5</v>
      </c>
      <c r="K2067" s="16">
        <v>520</v>
      </c>
      <c r="L2067" s="1" t="s">
        <v>30</v>
      </c>
      <c r="M2067" t="s">
        <v>22</v>
      </c>
      <c r="N2067" t="str">
        <f t="shared" si="44"/>
        <v>United Kingdom</v>
      </c>
      <c r="O2067" s="8">
        <f>IF(K2067&gt;=1,K2067,K2067*1000)</f>
        <v>520</v>
      </c>
      <c r="P2067">
        <f>ABS(H2067)</f>
        <v>1</v>
      </c>
      <c r="R2067"/>
    </row>
    <row r="2068" spans="1:18" x14ac:dyDescent="0.35">
      <c r="A2068" t="s">
        <v>3504</v>
      </c>
      <c r="B2068" s="2">
        <v>46040</v>
      </c>
      <c r="C2068" t="s">
        <v>1093</v>
      </c>
      <c r="D2068" s="3" t="s">
        <v>46</v>
      </c>
      <c r="E2068" t="s">
        <v>16</v>
      </c>
      <c r="F2068" t="s">
        <v>26</v>
      </c>
      <c r="G2068" t="s">
        <v>27</v>
      </c>
      <c r="H2068" s="8">
        <v>2</v>
      </c>
      <c r="I2068" s="10">
        <v>24</v>
      </c>
      <c r="J2068" s="14">
        <f>P2068*I2068</f>
        <v>48</v>
      </c>
      <c r="K2068" s="16">
        <v>520</v>
      </c>
      <c r="L2068" s="1" t="s">
        <v>30</v>
      </c>
      <c r="M2068" t="s">
        <v>22</v>
      </c>
      <c r="N2068" t="str">
        <f t="shared" si="44"/>
        <v>Ireland</v>
      </c>
      <c r="O2068" s="8">
        <f>IF(K2068&gt;=1,K2068,K2068*1000)</f>
        <v>520</v>
      </c>
      <c r="P2068">
        <f>ABS(H2068)</f>
        <v>2</v>
      </c>
      <c r="R2068"/>
    </row>
    <row r="2069" spans="1:18" x14ac:dyDescent="0.35">
      <c r="A2069" t="s">
        <v>3505</v>
      </c>
      <c r="B2069" s="2">
        <v>46028</v>
      </c>
      <c r="C2069" t="s">
        <v>1070</v>
      </c>
      <c r="D2069" s="3" t="s">
        <v>4613</v>
      </c>
      <c r="E2069" t="s">
        <v>67</v>
      </c>
      <c r="F2069" t="s">
        <v>47</v>
      </c>
      <c r="G2069" t="s">
        <v>48</v>
      </c>
      <c r="H2069" s="8">
        <v>1</v>
      </c>
      <c r="I2069" s="10">
        <v>129</v>
      </c>
      <c r="J2069" s="14">
        <f>P2069*I2069</f>
        <v>129</v>
      </c>
      <c r="K2069" s="16">
        <v>380</v>
      </c>
      <c r="L2069" s="1" t="s">
        <v>30</v>
      </c>
      <c r="M2069" t="s">
        <v>58</v>
      </c>
      <c r="N2069" t="str">
        <f t="shared" si="44"/>
        <v>United Kingdom</v>
      </c>
      <c r="O2069" s="8">
        <f>IF(K2069&gt;=1,K2069,K2069*1000)</f>
        <v>380</v>
      </c>
      <c r="P2069">
        <f>ABS(H2069)</f>
        <v>1</v>
      </c>
      <c r="R2069"/>
    </row>
    <row r="2070" spans="1:18" x14ac:dyDescent="0.35">
      <c r="A2070" t="s">
        <v>3506</v>
      </c>
      <c r="B2070" s="2">
        <v>46094</v>
      </c>
      <c r="C2070" t="s">
        <v>2890</v>
      </c>
      <c r="D2070" s="3" t="s">
        <v>53</v>
      </c>
      <c r="E2070" t="s">
        <v>41</v>
      </c>
      <c r="F2070" t="s">
        <v>47</v>
      </c>
      <c r="G2070" t="s">
        <v>48</v>
      </c>
      <c r="H2070" s="8">
        <v>1</v>
      </c>
      <c r="I2070" s="10">
        <v>95</v>
      </c>
      <c r="J2070" s="14">
        <f>P2070*I2070</f>
        <v>95</v>
      </c>
      <c r="K2070" s="16">
        <v>380</v>
      </c>
      <c r="L2070" s="1" t="s">
        <v>30</v>
      </c>
      <c r="M2070" t="s">
        <v>22</v>
      </c>
      <c r="N2070" t="str">
        <f t="shared" si="44"/>
        <v>Gb</v>
      </c>
      <c r="O2070" s="8">
        <f>IF(K2070&gt;=1,K2070,K2070*1000)</f>
        <v>380</v>
      </c>
      <c r="P2070">
        <f>ABS(H2070)</f>
        <v>1</v>
      </c>
      <c r="R2070"/>
    </row>
    <row r="2071" spans="1:18" x14ac:dyDescent="0.35">
      <c r="A2071" t="s">
        <v>3507</v>
      </c>
      <c r="B2071" s="2">
        <v>46150</v>
      </c>
      <c r="C2071" t="s">
        <v>1107</v>
      </c>
      <c r="D2071" s="3" t="s">
        <v>99</v>
      </c>
      <c r="E2071" t="s">
        <v>34</v>
      </c>
      <c r="F2071" t="s">
        <v>35</v>
      </c>
      <c r="G2071" t="s">
        <v>36</v>
      </c>
      <c r="H2071" s="8">
        <v>1</v>
      </c>
      <c r="I2071" s="10">
        <v>12.5</v>
      </c>
      <c r="J2071" s="14">
        <f>P2071*I2071</f>
        <v>12.5</v>
      </c>
      <c r="K2071" s="16">
        <v>8.5000000000000006E-2</v>
      </c>
      <c r="L2071" s="1" t="s">
        <v>30</v>
      </c>
      <c r="M2071" t="s">
        <v>22</v>
      </c>
      <c r="N2071" t="str">
        <f t="shared" si="44"/>
        <v>United Kingdom</v>
      </c>
      <c r="O2071" s="8">
        <f>IF(K2071&gt;=1,K2071,K2071*1000)</f>
        <v>85</v>
      </c>
      <c r="P2071">
        <f>ABS(H2071)</f>
        <v>1</v>
      </c>
      <c r="R2071"/>
    </row>
    <row r="2072" spans="1:18" x14ac:dyDescent="0.35">
      <c r="A2072" t="s">
        <v>3508</v>
      </c>
      <c r="B2072" s="2">
        <v>46026</v>
      </c>
      <c r="C2072" t="s">
        <v>418</v>
      </c>
      <c r="D2072" s="3" t="s">
        <v>66</v>
      </c>
      <c r="E2072" t="s">
        <v>67</v>
      </c>
      <c r="F2072" t="s">
        <v>26</v>
      </c>
      <c r="G2072" t="s">
        <v>27</v>
      </c>
      <c r="H2072" s="8">
        <v>1</v>
      </c>
      <c r="I2072" s="10">
        <v>12.5</v>
      </c>
      <c r="J2072" s="14">
        <f>P2072*I2072</f>
        <v>12.5</v>
      </c>
      <c r="K2072" s="16">
        <v>520</v>
      </c>
      <c r="L2072" s="1" t="s">
        <v>30</v>
      </c>
      <c r="M2072" t="s">
        <v>22</v>
      </c>
      <c r="N2072" t="str">
        <f t="shared" si="44"/>
        <v>Gb</v>
      </c>
      <c r="O2072" s="8">
        <f>IF(K2072&gt;=1,K2072,K2072*1000)</f>
        <v>520</v>
      </c>
      <c r="P2072">
        <f>ABS(H2072)</f>
        <v>1</v>
      </c>
      <c r="R2072"/>
    </row>
    <row r="2073" spans="1:18" x14ac:dyDescent="0.35">
      <c r="A2073" t="s">
        <v>3509</v>
      </c>
      <c r="B2073" s="2">
        <v>46116</v>
      </c>
      <c r="C2073" t="s">
        <v>3510</v>
      </c>
      <c r="D2073" s="3" t="s">
        <v>46</v>
      </c>
      <c r="E2073" t="s">
        <v>25</v>
      </c>
      <c r="F2073" t="s">
        <v>89</v>
      </c>
      <c r="G2073" t="s">
        <v>90</v>
      </c>
      <c r="H2073" s="8">
        <v>1</v>
      </c>
      <c r="I2073" s="10">
        <v>71.099999999999994</v>
      </c>
      <c r="J2073" s="14">
        <f>P2073*I2073</f>
        <v>71.099999999999994</v>
      </c>
      <c r="K2073" s="16">
        <v>640</v>
      </c>
      <c r="L2073" s="1" t="s">
        <v>30</v>
      </c>
      <c r="M2073" t="s">
        <v>22</v>
      </c>
      <c r="N2073" t="str">
        <f t="shared" si="44"/>
        <v>Ireland</v>
      </c>
      <c r="O2073" s="8">
        <f>IF(K2073&gt;=1,K2073,K2073*1000)</f>
        <v>640</v>
      </c>
      <c r="P2073">
        <f>ABS(H2073)</f>
        <v>1</v>
      </c>
      <c r="R2073"/>
    </row>
    <row r="2074" spans="1:18" x14ac:dyDescent="0.35">
      <c r="A2074" t="s">
        <v>3511</v>
      </c>
      <c r="B2074" s="2" t="s">
        <v>582</v>
      </c>
      <c r="C2074" t="s">
        <v>253</v>
      </c>
      <c r="D2074" s="3" t="s">
        <v>15</v>
      </c>
      <c r="E2074" t="s">
        <v>16</v>
      </c>
      <c r="F2074" t="s">
        <v>42</v>
      </c>
      <c r="G2074" t="s">
        <v>43</v>
      </c>
      <c r="H2074" s="8">
        <v>1</v>
      </c>
      <c r="I2074" s="10">
        <v>21.6</v>
      </c>
      <c r="J2074" s="14">
        <f>P2074*I2074</f>
        <v>21.6</v>
      </c>
      <c r="K2074" s="16">
        <v>0.19</v>
      </c>
      <c r="L2074" s="1" t="s">
        <v>30</v>
      </c>
      <c r="M2074" t="s">
        <v>22</v>
      </c>
      <c r="N2074" t="str">
        <f t="shared" si="44"/>
        <v>France</v>
      </c>
      <c r="O2074" s="8">
        <f>IF(K2074&gt;=1,K2074,K2074*1000)</f>
        <v>190</v>
      </c>
      <c r="P2074">
        <f>ABS(H2074)</f>
        <v>1</v>
      </c>
      <c r="R2074"/>
    </row>
    <row r="2075" spans="1:18" x14ac:dyDescent="0.35">
      <c r="A2075" t="s">
        <v>3512</v>
      </c>
      <c r="B2075" s="2">
        <v>46153</v>
      </c>
      <c r="C2075" t="s">
        <v>2063</v>
      </c>
      <c r="D2075" s="3" t="s">
        <v>99</v>
      </c>
      <c r="E2075" t="s">
        <v>41</v>
      </c>
      <c r="F2075" t="s">
        <v>89</v>
      </c>
      <c r="G2075" t="s">
        <v>90</v>
      </c>
      <c r="H2075" s="8">
        <v>3</v>
      </c>
      <c r="I2075" s="10">
        <v>21.6</v>
      </c>
      <c r="J2075" s="14">
        <f>P2075*I2075</f>
        <v>64.800000000000011</v>
      </c>
      <c r="K2075" s="16">
        <v>0.64</v>
      </c>
      <c r="L2075" s="1" t="s">
        <v>21</v>
      </c>
      <c r="M2075" t="s">
        <v>22</v>
      </c>
      <c r="N2075" t="str">
        <f t="shared" si="44"/>
        <v>United Kingdom</v>
      </c>
      <c r="O2075" s="8">
        <f>IF(K2075&gt;=1,K2075,K2075*1000)</f>
        <v>640</v>
      </c>
      <c r="P2075">
        <f>ABS(H2075)</f>
        <v>3</v>
      </c>
      <c r="R2075"/>
    </row>
    <row r="2076" spans="1:18" x14ac:dyDescent="0.35">
      <c r="A2076" t="s">
        <v>3513</v>
      </c>
      <c r="B2076" s="2">
        <v>46173</v>
      </c>
      <c r="C2076" t="s">
        <v>1789</v>
      </c>
      <c r="D2076" s="3" t="s">
        <v>53</v>
      </c>
      <c r="E2076" t="s">
        <v>16</v>
      </c>
      <c r="F2076" t="s">
        <v>35</v>
      </c>
      <c r="G2076" t="s">
        <v>36</v>
      </c>
      <c r="H2076" s="8">
        <v>2</v>
      </c>
      <c r="I2076" s="10">
        <v>24</v>
      </c>
      <c r="J2076" s="14">
        <f>P2076*I2076</f>
        <v>48</v>
      </c>
      <c r="K2076" s="16">
        <v>8.5000000000000006E-2</v>
      </c>
      <c r="L2076" s="1" t="s">
        <v>30</v>
      </c>
      <c r="M2076" t="s">
        <v>22</v>
      </c>
      <c r="N2076" t="str">
        <f t="shared" si="44"/>
        <v>Gb</v>
      </c>
      <c r="O2076" s="8">
        <f>IF(K2076&gt;=1,K2076,K2076*1000)</f>
        <v>85</v>
      </c>
      <c r="P2076">
        <f>ABS(H2076)</f>
        <v>2</v>
      </c>
      <c r="R2076"/>
    </row>
    <row r="2077" spans="1:18" x14ac:dyDescent="0.35">
      <c r="A2077" t="s">
        <v>3514</v>
      </c>
      <c r="B2077" s="2">
        <v>46051</v>
      </c>
      <c r="C2077" t="s">
        <v>3099</v>
      </c>
      <c r="D2077" s="3" t="s">
        <v>46</v>
      </c>
      <c r="E2077" t="s">
        <v>34</v>
      </c>
      <c r="F2077" t="s">
        <v>17</v>
      </c>
      <c r="G2077" t="s">
        <v>18</v>
      </c>
      <c r="H2077" s="8">
        <v>3</v>
      </c>
      <c r="I2077" s="12" t="s">
        <v>4618</v>
      </c>
      <c r="J2077" s="14">
        <f>P2077*R2077</f>
        <v>240.29999999999998</v>
      </c>
      <c r="K2077" s="16">
        <v>520</v>
      </c>
      <c r="L2077" s="1" t="s">
        <v>30</v>
      </c>
      <c r="M2077" t="s">
        <v>22</v>
      </c>
      <c r="N2077" t="str">
        <f t="shared" si="44"/>
        <v>Ireland</v>
      </c>
      <c r="O2077" s="8">
        <f>IF(K2077&gt;=1,K2077,K2077*1000)</f>
        <v>520</v>
      </c>
      <c r="P2077">
        <f>ABS(H2077)</f>
        <v>3</v>
      </c>
      <c r="Q2077" t="str">
        <f>LEFT(I2077,2)</f>
        <v>Â£</v>
      </c>
      <c r="R2077" t="str">
        <f>RIGHT(I2077,5)</f>
        <v>80,10</v>
      </c>
    </row>
    <row r="2078" spans="1:18" x14ac:dyDescent="0.35">
      <c r="A2078" t="s">
        <v>3515</v>
      </c>
      <c r="B2078" s="2">
        <v>46111</v>
      </c>
      <c r="C2078" t="s">
        <v>344</v>
      </c>
      <c r="D2078" s="3" t="s">
        <v>61</v>
      </c>
      <c r="E2078" t="s">
        <v>16</v>
      </c>
      <c r="F2078" t="s">
        <v>35</v>
      </c>
      <c r="G2078" t="s">
        <v>36</v>
      </c>
      <c r="H2078" s="8">
        <v>1</v>
      </c>
      <c r="I2078" s="10">
        <v>85.5</v>
      </c>
      <c r="J2078" s="14">
        <f>P2078*I2078</f>
        <v>85.5</v>
      </c>
      <c r="K2078" s="16">
        <v>85</v>
      </c>
      <c r="L2078" s="1" t="s">
        <v>30</v>
      </c>
      <c r="M2078" t="s">
        <v>58</v>
      </c>
      <c r="N2078" t="str">
        <f t="shared" si="44"/>
        <v>Ireland</v>
      </c>
      <c r="O2078" s="8">
        <f>IF(K2078&gt;=1,K2078,K2078*1000)</f>
        <v>85</v>
      </c>
      <c r="P2078">
        <f>ABS(H2078)</f>
        <v>1</v>
      </c>
      <c r="R2078"/>
    </row>
    <row r="2079" spans="1:18" x14ac:dyDescent="0.35">
      <c r="A2079" t="s">
        <v>3516</v>
      </c>
      <c r="B2079" s="2">
        <v>46073</v>
      </c>
      <c r="C2079" t="s">
        <v>3517</v>
      </c>
      <c r="D2079" s="3" t="s">
        <v>53</v>
      </c>
      <c r="E2079" t="s">
        <v>16</v>
      </c>
      <c r="F2079" t="s">
        <v>83</v>
      </c>
      <c r="G2079" t="s">
        <v>84</v>
      </c>
      <c r="H2079" s="8">
        <v>2</v>
      </c>
      <c r="I2079" s="10">
        <v>89</v>
      </c>
      <c r="J2079" s="14">
        <f>P2079*I2079</f>
        <v>178</v>
      </c>
      <c r="K2079" s="16">
        <v>340</v>
      </c>
      <c r="L2079" s="1" t="s">
        <v>30</v>
      </c>
      <c r="M2079" t="s">
        <v>22</v>
      </c>
      <c r="N2079" t="str">
        <f t="shared" si="44"/>
        <v>Gb</v>
      </c>
      <c r="O2079" s="8">
        <f>IF(K2079&gt;=1,K2079,K2079*1000)</f>
        <v>340</v>
      </c>
      <c r="P2079">
        <f>ABS(H2079)</f>
        <v>2</v>
      </c>
      <c r="R2079"/>
    </row>
    <row r="2080" spans="1:18" x14ac:dyDescent="0.35">
      <c r="A2080" t="s">
        <v>3518</v>
      </c>
      <c r="B2080" s="2">
        <v>46195</v>
      </c>
      <c r="C2080" t="s">
        <v>455</v>
      </c>
      <c r="D2080" s="3" t="s">
        <v>4612</v>
      </c>
      <c r="E2080" t="s">
        <v>16</v>
      </c>
      <c r="F2080" t="s">
        <v>47</v>
      </c>
      <c r="G2080" t="s">
        <v>48</v>
      </c>
      <c r="H2080" s="8">
        <v>3</v>
      </c>
      <c r="I2080" s="10">
        <v>45</v>
      </c>
      <c r="J2080" s="14">
        <f>P2080*I2080</f>
        <v>135</v>
      </c>
      <c r="K2080" s="16">
        <v>0.38</v>
      </c>
      <c r="L2080" s="1" t="s">
        <v>21</v>
      </c>
      <c r="M2080" t="s">
        <v>58</v>
      </c>
      <c r="N2080" t="str">
        <f t="shared" si="44"/>
        <v>United Kingdom</v>
      </c>
      <c r="O2080" s="8">
        <f>IF(K2080&gt;=1,K2080,K2080*1000)</f>
        <v>380</v>
      </c>
      <c r="P2080">
        <f>ABS(H2080)</f>
        <v>3</v>
      </c>
      <c r="R2080"/>
    </row>
    <row r="2081" spans="1:18" x14ac:dyDescent="0.35">
      <c r="A2081" t="s">
        <v>3519</v>
      </c>
      <c r="B2081" s="2" t="s">
        <v>3058</v>
      </c>
      <c r="C2081" t="s">
        <v>2983</v>
      </c>
      <c r="D2081" s="3" t="s">
        <v>116</v>
      </c>
      <c r="E2081" t="s">
        <v>25</v>
      </c>
      <c r="F2081" t="s">
        <v>74</v>
      </c>
      <c r="G2081" t="s">
        <v>75</v>
      </c>
      <c r="H2081" s="8">
        <v>2</v>
      </c>
      <c r="I2081" s="12" t="s">
        <v>4633</v>
      </c>
      <c r="J2081" s="14">
        <f>P2081*R2081</f>
        <v>48</v>
      </c>
      <c r="K2081" s="16">
        <v>410</v>
      </c>
      <c r="L2081" s="1" t="s">
        <v>30</v>
      </c>
      <c r="M2081" t="s">
        <v>22</v>
      </c>
      <c r="N2081" t="str">
        <f t="shared" si="44"/>
        <v>Germany</v>
      </c>
      <c r="O2081" s="8">
        <f>IF(K2081&gt;=1,K2081,K2081*1000)</f>
        <v>410</v>
      </c>
      <c r="P2081">
        <f>ABS(H2081)</f>
        <v>2</v>
      </c>
      <c r="Q2081" t="str">
        <f>LEFT(I2081,3)</f>
        <v>GBP</v>
      </c>
      <c r="R2081" s="10" t="str">
        <f>RIGHT(I2081,5)</f>
        <v>24,00</v>
      </c>
    </row>
    <row r="2082" spans="1:18" x14ac:dyDescent="0.35">
      <c r="A2082" t="s">
        <v>3520</v>
      </c>
      <c r="B2082" s="2">
        <v>46051</v>
      </c>
      <c r="C2082" t="s">
        <v>320</v>
      </c>
      <c r="D2082" s="3" t="s">
        <v>116</v>
      </c>
      <c r="E2082" t="s">
        <v>34</v>
      </c>
      <c r="F2082" t="s">
        <v>89</v>
      </c>
      <c r="G2082" t="s">
        <v>90</v>
      </c>
      <c r="H2082" s="8">
        <v>1</v>
      </c>
      <c r="I2082" s="10">
        <v>80.099999999999994</v>
      </c>
      <c r="J2082" s="14">
        <f>P2082*I2082</f>
        <v>80.099999999999994</v>
      </c>
      <c r="K2082" s="16">
        <v>640</v>
      </c>
      <c r="L2082" s="1" t="s">
        <v>30</v>
      </c>
      <c r="M2082" t="s">
        <v>58</v>
      </c>
      <c r="N2082" t="str">
        <f t="shared" si="44"/>
        <v>Germany</v>
      </c>
      <c r="O2082" s="8">
        <f>IF(K2082&gt;=1,K2082,K2082*1000)</f>
        <v>640</v>
      </c>
      <c r="P2082">
        <f>ABS(H2082)</f>
        <v>1</v>
      </c>
      <c r="R2082"/>
    </row>
    <row r="2083" spans="1:18" x14ac:dyDescent="0.35">
      <c r="A2083" t="s">
        <v>3521</v>
      </c>
      <c r="B2083" s="2">
        <v>46143</v>
      </c>
      <c r="C2083" t="s">
        <v>3099</v>
      </c>
      <c r="D2083" s="3" t="s">
        <v>46</v>
      </c>
      <c r="E2083" t="s">
        <v>41</v>
      </c>
      <c r="F2083" t="s">
        <v>83</v>
      </c>
      <c r="G2083" t="s">
        <v>84</v>
      </c>
      <c r="H2083" s="8">
        <v>2</v>
      </c>
      <c r="I2083" s="10">
        <v>85.5</v>
      </c>
      <c r="J2083" s="14">
        <f>P2083*I2083</f>
        <v>171</v>
      </c>
      <c r="K2083" s="16">
        <v>0.34</v>
      </c>
      <c r="L2083" s="1" t="s">
        <v>21</v>
      </c>
      <c r="M2083" t="s">
        <v>22</v>
      </c>
      <c r="N2083" t="str">
        <f t="shared" si="44"/>
        <v>Ireland</v>
      </c>
      <c r="O2083" s="8">
        <f>IF(K2083&gt;=1,K2083,K2083*1000)</f>
        <v>340</v>
      </c>
      <c r="P2083">
        <f>ABS(H2083)</f>
        <v>2</v>
      </c>
      <c r="R2083"/>
    </row>
    <row r="2084" spans="1:18" x14ac:dyDescent="0.35">
      <c r="A2084" t="s">
        <v>3522</v>
      </c>
      <c r="B2084" s="2">
        <v>46174</v>
      </c>
      <c r="C2084" t="s">
        <v>1583</v>
      </c>
      <c r="D2084" s="3" t="s">
        <v>46</v>
      </c>
      <c r="E2084" t="s">
        <v>16</v>
      </c>
      <c r="F2084" t="s">
        <v>89</v>
      </c>
      <c r="G2084" t="s">
        <v>90</v>
      </c>
      <c r="H2084" s="8">
        <v>1</v>
      </c>
      <c r="I2084" s="10">
        <v>89</v>
      </c>
      <c r="J2084" s="14">
        <f>P2084*I2084</f>
        <v>89</v>
      </c>
      <c r="K2084" s="16">
        <v>640</v>
      </c>
      <c r="L2084" s="1" t="s">
        <v>30</v>
      </c>
      <c r="M2084" t="s">
        <v>58</v>
      </c>
      <c r="N2084" t="str">
        <f t="shared" si="44"/>
        <v>Ireland</v>
      </c>
      <c r="O2084" s="8">
        <f>IF(K2084&gt;=1,K2084,K2084*1000)</f>
        <v>640</v>
      </c>
      <c r="P2084">
        <f>ABS(H2084)</f>
        <v>1</v>
      </c>
      <c r="R2084"/>
    </row>
    <row r="2085" spans="1:18" x14ac:dyDescent="0.35">
      <c r="A2085" t="s">
        <v>3523</v>
      </c>
      <c r="B2085" s="2">
        <v>46029</v>
      </c>
      <c r="C2085" t="s">
        <v>1502</v>
      </c>
      <c r="D2085" s="3" t="s">
        <v>99</v>
      </c>
      <c r="E2085" t="s">
        <v>67</v>
      </c>
      <c r="F2085" t="s">
        <v>42</v>
      </c>
      <c r="G2085" t="s">
        <v>43</v>
      </c>
      <c r="H2085" s="8">
        <v>1</v>
      </c>
      <c r="I2085" s="10">
        <v>80.099999999999994</v>
      </c>
      <c r="J2085" s="14">
        <f>P2085*I2085</f>
        <v>80.099999999999994</v>
      </c>
      <c r="K2085" s="16">
        <v>190</v>
      </c>
      <c r="L2085" s="1" t="s">
        <v>30</v>
      </c>
      <c r="M2085" t="s">
        <v>22</v>
      </c>
      <c r="N2085" t="str">
        <f t="shared" si="44"/>
        <v>United Kingdom</v>
      </c>
      <c r="O2085" s="8">
        <f>IF(K2085&gt;=1,K2085,K2085*1000)</f>
        <v>190</v>
      </c>
      <c r="P2085">
        <f>ABS(H2085)</f>
        <v>1</v>
      </c>
      <c r="R2085"/>
    </row>
    <row r="2086" spans="1:18" x14ac:dyDescent="0.35">
      <c r="A2086" t="s">
        <v>3524</v>
      </c>
      <c r="B2086" s="2">
        <v>46205</v>
      </c>
      <c r="C2086" t="s">
        <v>173</v>
      </c>
      <c r="D2086" s="3" t="s">
        <v>99</v>
      </c>
      <c r="E2086" t="s">
        <v>67</v>
      </c>
      <c r="F2086" t="s">
        <v>42</v>
      </c>
      <c r="G2086" t="s">
        <v>43</v>
      </c>
      <c r="H2086" s="8">
        <v>2</v>
      </c>
      <c r="I2086" s="10">
        <v>24</v>
      </c>
      <c r="J2086" s="14">
        <f>P2086*I2086</f>
        <v>48</v>
      </c>
      <c r="K2086" s="16">
        <v>0.19</v>
      </c>
      <c r="L2086" s="1" t="s">
        <v>30</v>
      </c>
      <c r="M2086" t="s">
        <v>22</v>
      </c>
      <c r="N2086" t="str">
        <f t="shared" si="44"/>
        <v>United Kingdom</v>
      </c>
      <c r="O2086" s="8">
        <f>IF(K2086&gt;=1,K2086,K2086*1000)</f>
        <v>190</v>
      </c>
      <c r="P2086">
        <f>ABS(H2086)</f>
        <v>2</v>
      </c>
      <c r="R2086"/>
    </row>
    <row r="2087" spans="1:18" x14ac:dyDescent="0.35">
      <c r="A2087" t="s">
        <v>3525</v>
      </c>
      <c r="B2087" s="2" t="s">
        <v>1820</v>
      </c>
      <c r="C2087" t="s">
        <v>352</v>
      </c>
      <c r="D2087" s="3" t="s">
        <v>99</v>
      </c>
      <c r="E2087" t="s">
        <v>16</v>
      </c>
      <c r="F2087" t="s">
        <v>47</v>
      </c>
      <c r="G2087" t="s">
        <v>48</v>
      </c>
      <c r="H2087" s="8">
        <v>1</v>
      </c>
      <c r="I2087" s="12" t="s">
        <v>4632</v>
      </c>
      <c r="J2087" s="14">
        <f>P2087*R2087</f>
        <v>89</v>
      </c>
      <c r="K2087" s="16">
        <v>380</v>
      </c>
      <c r="L2087" s="1" t="s">
        <v>30</v>
      </c>
      <c r="M2087" t="s">
        <v>22</v>
      </c>
      <c r="N2087" t="str">
        <f t="shared" si="44"/>
        <v>United Kingdom</v>
      </c>
      <c r="O2087" s="8">
        <f>IF(K2087&gt;=1,K2087,K2087*1000)</f>
        <v>380</v>
      </c>
      <c r="P2087">
        <f>ABS(H2087)</f>
        <v>1</v>
      </c>
      <c r="Q2087" t="str">
        <f>LEFT(I2087,3)</f>
        <v>GBP</v>
      </c>
      <c r="R2087" s="10" t="str">
        <f>RIGHT(I2087,5)</f>
        <v>89,00</v>
      </c>
    </row>
    <row r="2088" spans="1:18" x14ac:dyDescent="0.35">
      <c r="A2088" t="s">
        <v>3526</v>
      </c>
      <c r="B2088" s="2">
        <v>46114</v>
      </c>
      <c r="C2088" t="s">
        <v>2525</v>
      </c>
      <c r="D2088" s="3" t="s">
        <v>4612</v>
      </c>
      <c r="E2088" t="s">
        <v>34</v>
      </c>
      <c r="F2088" t="s">
        <v>74</v>
      </c>
      <c r="G2088" t="s">
        <v>75</v>
      </c>
      <c r="H2088" s="8">
        <v>1</v>
      </c>
      <c r="I2088" s="10">
        <v>21.6</v>
      </c>
      <c r="J2088" s="14">
        <f>P2088*I2088</f>
        <v>21.6</v>
      </c>
      <c r="K2088" s="16">
        <v>410</v>
      </c>
      <c r="L2088" s="1" t="s">
        <v>30</v>
      </c>
      <c r="M2088" t="s">
        <v>22</v>
      </c>
      <c r="N2088" t="str">
        <f t="shared" si="44"/>
        <v>United Kingdom</v>
      </c>
      <c r="O2088" s="8">
        <f>IF(K2088&gt;=1,K2088,K2088*1000)</f>
        <v>410</v>
      </c>
      <c r="P2088">
        <f>ABS(H2088)</f>
        <v>1</v>
      </c>
      <c r="R2088"/>
    </row>
    <row r="2089" spans="1:18" x14ac:dyDescent="0.35">
      <c r="A2089" t="s">
        <v>3527</v>
      </c>
      <c r="B2089" s="2">
        <v>46115</v>
      </c>
      <c r="C2089" t="s">
        <v>245</v>
      </c>
      <c r="D2089" s="3" t="s">
        <v>4613</v>
      </c>
      <c r="E2089" t="s">
        <v>67</v>
      </c>
      <c r="F2089" t="s">
        <v>47</v>
      </c>
      <c r="G2089" t="s">
        <v>48</v>
      </c>
      <c r="H2089" s="8">
        <v>2</v>
      </c>
      <c r="I2089" s="10">
        <v>79</v>
      </c>
      <c r="J2089" s="14">
        <f>P2089*I2089</f>
        <v>158</v>
      </c>
      <c r="K2089" s="16">
        <v>380</v>
      </c>
      <c r="L2089" s="1" t="s">
        <v>30</v>
      </c>
      <c r="M2089" t="s">
        <v>22</v>
      </c>
      <c r="N2089" t="str">
        <f t="shared" si="44"/>
        <v>United Kingdom</v>
      </c>
      <c r="O2089" s="8">
        <f>IF(K2089&gt;=1,K2089,K2089*1000)</f>
        <v>380</v>
      </c>
      <c r="P2089">
        <f>ABS(H2089)</f>
        <v>2</v>
      </c>
      <c r="R2089"/>
    </row>
    <row r="2090" spans="1:18" x14ac:dyDescent="0.35">
      <c r="A2090" t="s">
        <v>3528</v>
      </c>
      <c r="B2090" s="2" t="s">
        <v>754</v>
      </c>
      <c r="C2090" t="s">
        <v>1777</v>
      </c>
      <c r="D2090" s="3" t="s">
        <v>99</v>
      </c>
      <c r="E2090" t="s">
        <v>41</v>
      </c>
      <c r="F2090" t="s">
        <v>17</v>
      </c>
      <c r="G2090" t="s">
        <v>18</v>
      </c>
      <c r="H2090" s="8">
        <v>1</v>
      </c>
      <c r="I2090" s="10">
        <v>79</v>
      </c>
      <c r="J2090" s="14">
        <f>P2090*I2090</f>
        <v>79</v>
      </c>
      <c r="K2090" s="16">
        <v>520</v>
      </c>
      <c r="L2090" s="1" t="s">
        <v>30</v>
      </c>
      <c r="M2090" t="s">
        <v>58</v>
      </c>
      <c r="N2090" t="str">
        <f t="shared" si="44"/>
        <v>United Kingdom</v>
      </c>
      <c r="O2090" s="8">
        <f>IF(K2090&gt;=1,K2090,K2090*1000)</f>
        <v>520</v>
      </c>
      <c r="P2090">
        <f>ABS(H2090)</f>
        <v>1</v>
      </c>
      <c r="R2090"/>
    </row>
    <row r="2091" spans="1:18" x14ac:dyDescent="0.35">
      <c r="A2091" t="s">
        <v>3529</v>
      </c>
      <c r="B2091" s="2">
        <v>46026</v>
      </c>
      <c r="C2091" t="s">
        <v>2346</v>
      </c>
      <c r="D2091" s="3" t="s">
        <v>46</v>
      </c>
      <c r="E2091" t="s">
        <v>25</v>
      </c>
      <c r="F2091" t="s">
        <v>26</v>
      </c>
      <c r="G2091" t="s">
        <v>27</v>
      </c>
      <c r="H2091" s="8">
        <v>1</v>
      </c>
      <c r="I2091" s="10">
        <v>95</v>
      </c>
      <c r="J2091" s="14">
        <f>P2091*I2091</f>
        <v>95</v>
      </c>
      <c r="K2091" s="16">
        <v>520</v>
      </c>
      <c r="L2091" s="1" t="s">
        <v>21</v>
      </c>
      <c r="M2091" t="s">
        <v>22</v>
      </c>
      <c r="N2091" t="str">
        <f t="shared" si="44"/>
        <v>Ireland</v>
      </c>
      <c r="O2091" s="8">
        <f>IF(K2091&gt;=1,K2091,K2091*1000)</f>
        <v>520</v>
      </c>
      <c r="P2091">
        <f>ABS(H2091)</f>
        <v>1</v>
      </c>
      <c r="R2091"/>
    </row>
    <row r="2092" spans="1:18" x14ac:dyDescent="0.35">
      <c r="A2092" t="s">
        <v>3530</v>
      </c>
      <c r="B2092" s="2">
        <v>46104</v>
      </c>
      <c r="C2092" t="s">
        <v>1868</v>
      </c>
      <c r="D2092" s="3" t="s">
        <v>53</v>
      </c>
      <c r="E2092" t="s">
        <v>16</v>
      </c>
      <c r="F2092" t="s">
        <v>42</v>
      </c>
      <c r="G2092" t="s">
        <v>43</v>
      </c>
      <c r="H2092" s="8">
        <v>1</v>
      </c>
      <c r="I2092" s="10">
        <v>79</v>
      </c>
      <c r="J2092" s="14">
        <f>P2092*I2092</f>
        <v>79</v>
      </c>
      <c r="K2092" s="16">
        <v>190</v>
      </c>
      <c r="L2092" s="1" t="s">
        <v>21</v>
      </c>
      <c r="M2092" t="s">
        <v>58</v>
      </c>
      <c r="N2092" t="str">
        <f t="shared" si="44"/>
        <v>Gb</v>
      </c>
      <c r="O2092" s="8">
        <f>IF(K2092&gt;=1,K2092,K2092*1000)</f>
        <v>190</v>
      </c>
      <c r="P2092">
        <f>ABS(H2092)</f>
        <v>1</v>
      </c>
      <c r="R2092"/>
    </row>
    <row r="2093" spans="1:18" x14ac:dyDescent="0.35">
      <c r="A2093" t="s">
        <v>3531</v>
      </c>
      <c r="B2093" s="2">
        <v>46144</v>
      </c>
      <c r="C2093" t="s">
        <v>3532</v>
      </c>
      <c r="D2093" s="3" t="s">
        <v>66</v>
      </c>
      <c r="E2093" t="s">
        <v>41</v>
      </c>
      <c r="F2093" t="s">
        <v>42</v>
      </c>
      <c r="G2093" t="s">
        <v>43</v>
      </c>
      <c r="H2093" s="8">
        <v>1</v>
      </c>
      <c r="I2093" s="10">
        <v>79</v>
      </c>
      <c r="J2093" s="14">
        <f>P2093*I2093</f>
        <v>79</v>
      </c>
      <c r="K2093" s="16">
        <v>0.19</v>
      </c>
      <c r="L2093" s="1" t="s">
        <v>30</v>
      </c>
      <c r="M2093" t="s">
        <v>22</v>
      </c>
      <c r="N2093" t="str">
        <f t="shared" si="44"/>
        <v>Gb</v>
      </c>
      <c r="O2093" s="8">
        <f>IF(K2093&gt;=1,K2093,K2093*1000)</f>
        <v>190</v>
      </c>
      <c r="P2093">
        <f>ABS(H2093)</f>
        <v>1</v>
      </c>
      <c r="R2093"/>
    </row>
    <row r="2094" spans="1:18" x14ac:dyDescent="0.35">
      <c r="A2094" t="s">
        <v>3533</v>
      </c>
      <c r="B2094" s="2">
        <v>46098</v>
      </c>
      <c r="C2094" t="s">
        <v>1349</v>
      </c>
      <c r="D2094" s="3" t="s">
        <v>46</v>
      </c>
      <c r="E2094" t="s">
        <v>34</v>
      </c>
      <c r="F2094" t="s">
        <v>17</v>
      </c>
      <c r="G2094" t="s">
        <v>18</v>
      </c>
      <c r="H2094" s="8">
        <v>2</v>
      </c>
      <c r="I2094" s="10">
        <v>89</v>
      </c>
      <c r="J2094" s="14">
        <f>P2094*I2094</f>
        <v>178</v>
      </c>
      <c r="K2094" s="16">
        <v>520</v>
      </c>
      <c r="L2094" s="1" t="s">
        <v>21</v>
      </c>
      <c r="M2094" t="s">
        <v>58</v>
      </c>
      <c r="N2094" t="str">
        <f t="shared" si="44"/>
        <v>Ireland</v>
      </c>
      <c r="O2094" s="8">
        <f>IF(K2094&gt;=1,K2094,K2094*1000)</f>
        <v>520</v>
      </c>
      <c r="P2094">
        <f>ABS(H2094)</f>
        <v>2</v>
      </c>
      <c r="R2094"/>
    </row>
    <row r="2095" spans="1:18" x14ac:dyDescent="0.35">
      <c r="A2095" t="s">
        <v>3534</v>
      </c>
      <c r="B2095" s="2">
        <v>46063</v>
      </c>
      <c r="C2095" t="s">
        <v>1502</v>
      </c>
      <c r="D2095" s="3" t="s">
        <v>61</v>
      </c>
      <c r="E2095" t="s">
        <v>34</v>
      </c>
      <c r="F2095" t="s">
        <v>83</v>
      </c>
      <c r="G2095" t="s">
        <v>84</v>
      </c>
      <c r="H2095" s="8">
        <v>2</v>
      </c>
      <c r="I2095" s="10">
        <v>11.25</v>
      </c>
      <c r="J2095" s="14">
        <f>P2095*I2095</f>
        <v>22.5</v>
      </c>
      <c r="K2095" s="16">
        <v>340</v>
      </c>
      <c r="L2095" s="1" t="s">
        <v>21</v>
      </c>
      <c r="M2095" t="s">
        <v>22</v>
      </c>
      <c r="N2095" t="str">
        <f t="shared" si="44"/>
        <v>Ireland</v>
      </c>
      <c r="O2095" s="8">
        <f>IF(K2095&gt;=1,K2095,K2095*1000)</f>
        <v>340</v>
      </c>
      <c r="P2095">
        <f>ABS(H2095)</f>
        <v>2</v>
      </c>
      <c r="R2095"/>
    </row>
    <row r="2096" spans="1:18" x14ac:dyDescent="0.35">
      <c r="A2096" t="s">
        <v>3535</v>
      </c>
      <c r="B2096" s="2">
        <v>46057</v>
      </c>
      <c r="C2096" t="s">
        <v>2380</v>
      </c>
      <c r="D2096" s="3" t="s">
        <v>4613</v>
      </c>
      <c r="E2096" t="s">
        <v>25</v>
      </c>
      <c r="F2096" t="s">
        <v>47</v>
      </c>
      <c r="G2096" t="s">
        <v>48</v>
      </c>
      <c r="H2096" s="8">
        <v>1</v>
      </c>
      <c r="I2096" s="10">
        <v>89</v>
      </c>
      <c r="J2096" s="14">
        <f>P2096*I2096</f>
        <v>89</v>
      </c>
      <c r="K2096" s="16">
        <v>380</v>
      </c>
      <c r="L2096" s="1" t="s">
        <v>30</v>
      </c>
      <c r="M2096" t="s">
        <v>22</v>
      </c>
      <c r="N2096" t="str">
        <f t="shared" si="44"/>
        <v>United Kingdom</v>
      </c>
      <c r="O2096" s="8">
        <f>IF(K2096&gt;=1,K2096,K2096*1000)</f>
        <v>380</v>
      </c>
      <c r="P2096">
        <f>ABS(H2096)</f>
        <v>1</v>
      </c>
      <c r="R2096"/>
    </row>
    <row r="2097" spans="1:18" x14ac:dyDescent="0.35">
      <c r="A2097" t="s">
        <v>3536</v>
      </c>
      <c r="B2097" s="2">
        <v>46043</v>
      </c>
      <c r="C2097" t="s">
        <v>283</v>
      </c>
      <c r="D2097" s="3" t="s">
        <v>116</v>
      </c>
      <c r="E2097" t="s">
        <v>16</v>
      </c>
      <c r="F2097" t="s">
        <v>17</v>
      </c>
      <c r="G2097" t="s">
        <v>18</v>
      </c>
      <c r="H2097" s="8">
        <v>2</v>
      </c>
      <c r="I2097" s="10">
        <v>79</v>
      </c>
      <c r="J2097" s="14">
        <f>P2097*I2097</f>
        <v>158</v>
      </c>
      <c r="K2097" s="16">
        <v>520</v>
      </c>
      <c r="L2097" s="1" t="s">
        <v>21</v>
      </c>
      <c r="M2097" t="s">
        <v>22</v>
      </c>
      <c r="N2097" t="str">
        <f t="shared" si="44"/>
        <v>Germany</v>
      </c>
      <c r="O2097" s="8">
        <f>IF(K2097&gt;=1,K2097,K2097*1000)</f>
        <v>520</v>
      </c>
      <c r="P2097">
        <f>ABS(H2097)</f>
        <v>2</v>
      </c>
      <c r="R2097"/>
    </row>
    <row r="2098" spans="1:18" x14ac:dyDescent="0.35">
      <c r="A2098" t="s">
        <v>3537</v>
      </c>
      <c r="B2098" s="2">
        <v>46151</v>
      </c>
      <c r="C2098" t="s">
        <v>3538</v>
      </c>
      <c r="D2098" s="3" t="s">
        <v>4612</v>
      </c>
      <c r="E2098" t="s">
        <v>67</v>
      </c>
      <c r="F2098" t="s">
        <v>47</v>
      </c>
      <c r="G2098" t="s">
        <v>48</v>
      </c>
      <c r="H2098" s="8">
        <v>1</v>
      </c>
      <c r="I2098" s="10">
        <v>21.6</v>
      </c>
      <c r="J2098" s="14">
        <f>P2098*I2098</f>
        <v>21.6</v>
      </c>
      <c r="K2098" s="16">
        <v>0.38</v>
      </c>
      <c r="L2098" s="1" t="s">
        <v>30</v>
      </c>
      <c r="M2098" t="s">
        <v>58</v>
      </c>
      <c r="N2098" t="str">
        <f t="shared" si="44"/>
        <v>United Kingdom</v>
      </c>
      <c r="O2098" s="8">
        <f>IF(K2098&gt;=1,K2098,K2098*1000)</f>
        <v>380</v>
      </c>
      <c r="P2098">
        <f>ABS(H2098)</f>
        <v>1</v>
      </c>
      <c r="R2098"/>
    </row>
    <row r="2099" spans="1:18" x14ac:dyDescent="0.35">
      <c r="A2099" t="s">
        <v>3539</v>
      </c>
      <c r="B2099" s="2">
        <v>46097</v>
      </c>
      <c r="C2099" t="s">
        <v>443</v>
      </c>
      <c r="D2099" s="3" t="s">
        <v>53</v>
      </c>
      <c r="E2099" t="s">
        <v>25</v>
      </c>
      <c r="F2099" t="s">
        <v>35</v>
      </c>
      <c r="G2099" t="s">
        <v>36</v>
      </c>
      <c r="H2099" s="8">
        <v>-1</v>
      </c>
      <c r="I2099" s="10">
        <v>80.099999999999994</v>
      </c>
      <c r="J2099" s="14">
        <f>P2099*I2099</f>
        <v>80.099999999999994</v>
      </c>
      <c r="K2099" s="16">
        <v>85</v>
      </c>
      <c r="L2099" s="1" t="s">
        <v>30</v>
      </c>
      <c r="M2099" t="s">
        <v>22</v>
      </c>
      <c r="N2099" t="str">
        <f t="shared" si="44"/>
        <v>Gb</v>
      </c>
      <c r="O2099" s="8">
        <f>IF(K2099&gt;=1,K2099,K2099*1000)</f>
        <v>85</v>
      </c>
      <c r="P2099">
        <f>ABS(H2099)</f>
        <v>1</v>
      </c>
      <c r="R2099"/>
    </row>
    <row r="2100" spans="1:18" x14ac:dyDescent="0.35">
      <c r="A2100" t="s">
        <v>3540</v>
      </c>
      <c r="B2100" s="2">
        <v>46049</v>
      </c>
      <c r="C2100" t="s">
        <v>3270</v>
      </c>
      <c r="D2100" s="3" t="s">
        <v>99</v>
      </c>
      <c r="E2100" t="s">
        <v>41</v>
      </c>
      <c r="F2100" t="s">
        <v>47</v>
      </c>
      <c r="G2100" t="s">
        <v>48</v>
      </c>
      <c r="H2100" s="8">
        <v>2</v>
      </c>
      <c r="I2100" s="10">
        <v>95</v>
      </c>
      <c r="J2100" s="14">
        <f>P2100*I2100</f>
        <v>190</v>
      </c>
      <c r="K2100" s="16">
        <v>380</v>
      </c>
      <c r="L2100" s="1" t="s">
        <v>21</v>
      </c>
      <c r="M2100" t="s">
        <v>58</v>
      </c>
      <c r="N2100" t="str">
        <f t="shared" si="44"/>
        <v>United Kingdom</v>
      </c>
      <c r="O2100" s="8">
        <f>IF(K2100&gt;=1,K2100,K2100*1000)</f>
        <v>380</v>
      </c>
      <c r="P2100">
        <f>ABS(H2100)</f>
        <v>2</v>
      </c>
      <c r="R2100"/>
    </row>
    <row r="2101" spans="1:18" x14ac:dyDescent="0.35">
      <c r="A2101" t="s">
        <v>3541</v>
      </c>
      <c r="B2101" s="2">
        <v>46189</v>
      </c>
      <c r="C2101" t="s">
        <v>3542</v>
      </c>
      <c r="D2101" s="3" t="s">
        <v>4613</v>
      </c>
      <c r="E2101" t="s">
        <v>16</v>
      </c>
      <c r="F2101" t="s">
        <v>74</v>
      </c>
      <c r="G2101" t="s">
        <v>75</v>
      </c>
      <c r="H2101" s="8">
        <v>1</v>
      </c>
      <c r="I2101" s="10">
        <v>80.099999999999994</v>
      </c>
      <c r="J2101" s="14">
        <f>P2101*I2101</f>
        <v>80.099999999999994</v>
      </c>
      <c r="K2101" s="16">
        <v>0.41</v>
      </c>
      <c r="L2101" s="1" t="s">
        <v>30</v>
      </c>
      <c r="M2101" t="s">
        <v>22</v>
      </c>
      <c r="N2101" t="str">
        <f t="shared" si="44"/>
        <v>United Kingdom</v>
      </c>
      <c r="O2101" s="8">
        <f>IF(K2101&gt;=1,K2101,K2101*1000)</f>
        <v>410</v>
      </c>
      <c r="P2101">
        <f>ABS(H2101)</f>
        <v>1</v>
      </c>
      <c r="R2101"/>
    </row>
    <row r="2102" spans="1:18" x14ac:dyDescent="0.35">
      <c r="A2102" t="s">
        <v>3543</v>
      </c>
      <c r="B2102" s="2">
        <v>46204</v>
      </c>
      <c r="C2102" t="s">
        <v>2464</v>
      </c>
      <c r="D2102" s="3" t="s">
        <v>53</v>
      </c>
      <c r="E2102" t="s">
        <v>25</v>
      </c>
      <c r="F2102" t="s">
        <v>17</v>
      </c>
      <c r="G2102" t="s">
        <v>18</v>
      </c>
      <c r="H2102" s="8">
        <v>1</v>
      </c>
      <c r="I2102" s="10">
        <v>45</v>
      </c>
      <c r="J2102" s="14">
        <f>P2102*I2102</f>
        <v>45</v>
      </c>
      <c r="K2102" s="16">
        <v>520</v>
      </c>
      <c r="L2102" s="1" t="s">
        <v>30</v>
      </c>
      <c r="M2102" t="s">
        <v>22</v>
      </c>
      <c r="N2102" t="str">
        <f t="shared" si="44"/>
        <v>Gb</v>
      </c>
      <c r="O2102" s="8">
        <f>IF(K2102&gt;=1,K2102,K2102*1000)</f>
        <v>520</v>
      </c>
      <c r="P2102">
        <f>ABS(H2102)</f>
        <v>1</v>
      </c>
      <c r="R2102"/>
    </row>
    <row r="2103" spans="1:18" x14ac:dyDescent="0.35">
      <c r="A2103" t="s">
        <v>3544</v>
      </c>
      <c r="B2103" s="2">
        <v>46146</v>
      </c>
      <c r="C2103" t="s">
        <v>2523</v>
      </c>
      <c r="D2103" s="3" t="s">
        <v>15</v>
      </c>
      <c r="E2103" t="s">
        <v>67</v>
      </c>
      <c r="F2103" t="s">
        <v>89</v>
      </c>
      <c r="G2103" t="s">
        <v>90</v>
      </c>
      <c r="H2103" s="8">
        <v>1</v>
      </c>
      <c r="I2103" s="10">
        <v>45</v>
      </c>
      <c r="J2103" s="14">
        <f>P2103*I2103</f>
        <v>45</v>
      </c>
      <c r="K2103" s="16">
        <v>0.64</v>
      </c>
      <c r="L2103" s="1" t="s">
        <v>21</v>
      </c>
      <c r="M2103" t="s">
        <v>22</v>
      </c>
      <c r="N2103" t="str">
        <f t="shared" si="44"/>
        <v>France</v>
      </c>
      <c r="O2103" s="8">
        <f>IF(K2103&gt;=1,K2103,K2103*1000)</f>
        <v>640</v>
      </c>
      <c r="P2103">
        <f>ABS(H2103)</f>
        <v>1</v>
      </c>
      <c r="R2103"/>
    </row>
    <row r="2104" spans="1:18" x14ac:dyDescent="0.35">
      <c r="A2104" t="s">
        <v>3545</v>
      </c>
      <c r="B2104" s="2">
        <v>46074</v>
      </c>
      <c r="C2104" t="s">
        <v>3546</v>
      </c>
      <c r="D2104" s="3" t="s">
        <v>15</v>
      </c>
      <c r="E2104" t="s">
        <v>16</v>
      </c>
      <c r="F2104" t="s">
        <v>17</v>
      </c>
      <c r="G2104" t="s">
        <v>18</v>
      </c>
      <c r="H2104" s="8">
        <v>2</v>
      </c>
      <c r="I2104" s="10">
        <v>11.25</v>
      </c>
      <c r="J2104" s="14">
        <f>P2104*I2104</f>
        <v>22.5</v>
      </c>
      <c r="K2104" s="16">
        <v>520</v>
      </c>
      <c r="L2104" s="1" t="s">
        <v>30</v>
      </c>
      <c r="M2104" t="s">
        <v>22</v>
      </c>
      <c r="N2104" t="str">
        <f t="shared" si="44"/>
        <v>France</v>
      </c>
      <c r="O2104" s="8">
        <f>IF(K2104&gt;=1,K2104,K2104*1000)</f>
        <v>520</v>
      </c>
      <c r="P2104">
        <f>ABS(H2104)</f>
        <v>2</v>
      </c>
      <c r="R2104"/>
    </row>
    <row r="2105" spans="1:18" x14ac:dyDescent="0.35">
      <c r="A2105" t="s">
        <v>3547</v>
      </c>
      <c r="B2105" s="2">
        <v>46177</v>
      </c>
      <c r="C2105" t="s">
        <v>599</v>
      </c>
      <c r="D2105" s="3" t="s">
        <v>99</v>
      </c>
      <c r="E2105" t="s">
        <v>16</v>
      </c>
      <c r="F2105" t="s">
        <v>35</v>
      </c>
      <c r="G2105" t="s">
        <v>36</v>
      </c>
      <c r="H2105" s="8">
        <v>2</v>
      </c>
      <c r="I2105" s="10">
        <v>80.099999999999994</v>
      </c>
      <c r="J2105" s="14">
        <f>P2105*I2105</f>
        <v>160.19999999999999</v>
      </c>
      <c r="K2105" s="16">
        <v>8.5000000000000006E-2</v>
      </c>
      <c r="L2105" s="1" t="s">
        <v>30</v>
      </c>
      <c r="M2105" t="s">
        <v>22</v>
      </c>
      <c r="N2105" t="str">
        <f t="shared" si="44"/>
        <v>United Kingdom</v>
      </c>
      <c r="O2105" s="8">
        <f>IF(K2105&gt;=1,K2105,K2105*1000)</f>
        <v>85</v>
      </c>
      <c r="P2105">
        <f>ABS(H2105)</f>
        <v>2</v>
      </c>
      <c r="R2105"/>
    </row>
    <row r="2106" spans="1:18" x14ac:dyDescent="0.35">
      <c r="A2106" t="s">
        <v>3548</v>
      </c>
      <c r="B2106" s="2">
        <v>46070</v>
      </c>
      <c r="C2106" t="s">
        <v>55</v>
      </c>
      <c r="D2106" s="3" t="s">
        <v>15</v>
      </c>
      <c r="E2106" t="s">
        <v>25</v>
      </c>
      <c r="F2106" t="s">
        <v>47</v>
      </c>
      <c r="G2106" t="s">
        <v>48</v>
      </c>
      <c r="H2106" s="8">
        <v>1</v>
      </c>
      <c r="I2106" s="10">
        <v>149</v>
      </c>
      <c r="J2106" s="14">
        <f>P2106*I2106</f>
        <v>149</v>
      </c>
      <c r="K2106" s="16">
        <v>380</v>
      </c>
      <c r="L2106" s="1" t="s">
        <v>30</v>
      </c>
      <c r="M2106" t="s">
        <v>22</v>
      </c>
      <c r="N2106" t="str">
        <f t="shared" si="44"/>
        <v>France</v>
      </c>
      <c r="O2106" s="8">
        <f>IF(K2106&gt;=1,K2106,K2106*1000)</f>
        <v>380</v>
      </c>
      <c r="P2106">
        <f>ABS(H2106)</f>
        <v>1</v>
      </c>
      <c r="R2106"/>
    </row>
    <row r="2107" spans="1:18" x14ac:dyDescent="0.35">
      <c r="A2107" t="s">
        <v>3549</v>
      </c>
      <c r="B2107" s="2">
        <v>46142</v>
      </c>
      <c r="C2107" t="s">
        <v>890</v>
      </c>
      <c r="D2107" s="3" t="s">
        <v>66</v>
      </c>
      <c r="E2107" t="s">
        <v>67</v>
      </c>
      <c r="F2107" t="s">
        <v>42</v>
      </c>
      <c r="G2107" t="s">
        <v>43</v>
      </c>
      <c r="H2107" s="8">
        <v>2</v>
      </c>
      <c r="I2107" s="10">
        <v>12.5</v>
      </c>
      <c r="J2107" s="14">
        <f>P2107*I2107</f>
        <v>25</v>
      </c>
      <c r="K2107" s="16">
        <v>0.19</v>
      </c>
      <c r="L2107" s="1" t="s">
        <v>30</v>
      </c>
      <c r="M2107" t="s">
        <v>22</v>
      </c>
      <c r="N2107" t="str">
        <f t="shared" si="44"/>
        <v>Gb</v>
      </c>
      <c r="O2107" s="8">
        <f>IF(K2107&gt;=1,K2107,K2107*1000)</f>
        <v>190</v>
      </c>
      <c r="P2107">
        <f>ABS(H2107)</f>
        <v>2</v>
      </c>
      <c r="R2107"/>
    </row>
    <row r="2108" spans="1:18" x14ac:dyDescent="0.35">
      <c r="A2108" t="s">
        <v>3550</v>
      </c>
      <c r="B2108" s="2">
        <v>46142</v>
      </c>
      <c r="C2108" t="s">
        <v>870</v>
      </c>
      <c r="D2108" s="3" t="s">
        <v>15</v>
      </c>
      <c r="E2108" t="s">
        <v>41</v>
      </c>
      <c r="F2108" t="s">
        <v>17</v>
      </c>
      <c r="G2108" t="s">
        <v>18</v>
      </c>
      <c r="H2108" s="8">
        <v>1</v>
      </c>
      <c r="I2108" s="10">
        <v>95</v>
      </c>
      <c r="J2108" s="14">
        <f>P2108*I2108</f>
        <v>95</v>
      </c>
      <c r="K2108" s="16">
        <v>0.52</v>
      </c>
      <c r="L2108" s="1" t="s">
        <v>30</v>
      </c>
      <c r="M2108" t="s">
        <v>22</v>
      </c>
      <c r="N2108" t="str">
        <f t="shared" si="44"/>
        <v>France</v>
      </c>
      <c r="O2108" s="8">
        <f>IF(K2108&gt;=1,K2108,K2108*1000)</f>
        <v>520</v>
      </c>
      <c r="P2108">
        <f>ABS(H2108)</f>
        <v>1</v>
      </c>
      <c r="R2108"/>
    </row>
    <row r="2109" spans="1:18" x14ac:dyDescent="0.35">
      <c r="A2109" t="s">
        <v>3551</v>
      </c>
      <c r="B2109" s="2">
        <v>46154</v>
      </c>
      <c r="C2109" t="s">
        <v>1072</v>
      </c>
      <c r="D2109" s="3" t="s">
        <v>53</v>
      </c>
      <c r="E2109" t="s">
        <v>25</v>
      </c>
      <c r="F2109" t="s">
        <v>17</v>
      </c>
      <c r="G2109" t="s">
        <v>18</v>
      </c>
      <c r="H2109" s="8">
        <v>3</v>
      </c>
      <c r="I2109" s="10">
        <v>40.5</v>
      </c>
      <c r="J2109" s="14">
        <f>P2109*I2109</f>
        <v>121.5</v>
      </c>
      <c r="K2109" s="16">
        <v>0.52</v>
      </c>
      <c r="L2109" s="1" t="s">
        <v>30</v>
      </c>
      <c r="M2109" t="s">
        <v>22</v>
      </c>
      <c r="N2109" t="str">
        <f t="shared" si="44"/>
        <v>Gb</v>
      </c>
      <c r="O2109" s="8">
        <f>IF(K2109&gt;=1,K2109,K2109*1000)</f>
        <v>520</v>
      </c>
      <c r="P2109">
        <f>ABS(H2109)</f>
        <v>3</v>
      </c>
      <c r="R2109"/>
    </row>
    <row r="2110" spans="1:18" x14ac:dyDescent="0.35">
      <c r="A2110" t="s">
        <v>3552</v>
      </c>
      <c r="B2110" s="2">
        <v>46090</v>
      </c>
      <c r="C2110" t="s">
        <v>966</v>
      </c>
      <c r="D2110" s="3" t="s">
        <v>66</v>
      </c>
      <c r="E2110" t="s">
        <v>34</v>
      </c>
      <c r="F2110" t="s">
        <v>42</v>
      </c>
      <c r="G2110" t="s">
        <v>43</v>
      </c>
      <c r="H2110" s="8">
        <v>3</v>
      </c>
      <c r="I2110" s="10">
        <v>12.5</v>
      </c>
      <c r="J2110" s="14">
        <f>P2110*I2110</f>
        <v>37.5</v>
      </c>
      <c r="K2110" s="16">
        <v>190</v>
      </c>
      <c r="L2110" s="1" t="s">
        <v>30</v>
      </c>
      <c r="M2110" t="s">
        <v>58</v>
      </c>
      <c r="N2110" t="str">
        <f t="shared" si="44"/>
        <v>Gb</v>
      </c>
      <c r="O2110" s="8">
        <f>IF(K2110&gt;=1,K2110,K2110*1000)</f>
        <v>190</v>
      </c>
      <c r="P2110">
        <f>ABS(H2110)</f>
        <v>3</v>
      </c>
      <c r="R2110"/>
    </row>
    <row r="2111" spans="1:18" x14ac:dyDescent="0.35">
      <c r="A2111" t="s">
        <v>3553</v>
      </c>
      <c r="B2111" s="2">
        <v>46200</v>
      </c>
      <c r="C2111" t="s">
        <v>1488</v>
      </c>
      <c r="D2111" s="3" t="s">
        <v>61</v>
      </c>
      <c r="E2111" t="s">
        <v>67</v>
      </c>
      <c r="F2111" t="s">
        <v>42</v>
      </c>
      <c r="G2111" t="s">
        <v>43</v>
      </c>
      <c r="H2111" s="8">
        <v>1</v>
      </c>
      <c r="I2111" s="10">
        <v>40.5</v>
      </c>
      <c r="J2111" s="14">
        <f>P2111*I2111</f>
        <v>40.5</v>
      </c>
      <c r="K2111" s="16">
        <v>0.19</v>
      </c>
      <c r="L2111" s="1" t="s">
        <v>30</v>
      </c>
      <c r="M2111" t="s">
        <v>22</v>
      </c>
      <c r="N2111" t="str">
        <f t="shared" si="44"/>
        <v>Ireland</v>
      </c>
      <c r="O2111" s="8">
        <f>IF(K2111&gt;=1,K2111,K2111*1000)</f>
        <v>190</v>
      </c>
      <c r="P2111">
        <f>ABS(H2111)</f>
        <v>1</v>
      </c>
      <c r="R2111"/>
    </row>
    <row r="2112" spans="1:18" x14ac:dyDescent="0.35">
      <c r="A2112" t="s">
        <v>3554</v>
      </c>
      <c r="B2112" s="2">
        <v>46207</v>
      </c>
      <c r="C2112" t="s">
        <v>1215</v>
      </c>
      <c r="D2112" s="3" t="s">
        <v>66</v>
      </c>
      <c r="E2112" t="s">
        <v>34</v>
      </c>
      <c r="F2112" t="s">
        <v>89</v>
      </c>
      <c r="G2112" t="s">
        <v>90</v>
      </c>
      <c r="H2112" s="8">
        <v>2</v>
      </c>
      <c r="I2112" s="10">
        <v>21.6</v>
      </c>
      <c r="J2112" s="14">
        <f>P2112*I2112</f>
        <v>43.2</v>
      </c>
      <c r="K2112" s="16">
        <v>0.64</v>
      </c>
      <c r="L2112" s="1" t="s">
        <v>21</v>
      </c>
      <c r="M2112" t="s">
        <v>22</v>
      </c>
      <c r="N2112" t="str">
        <f t="shared" si="44"/>
        <v>Gb</v>
      </c>
      <c r="O2112" s="8">
        <f>IF(K2112&gt;=1,K2112,K2112*1000)</f>
        <v>640</v>
      </c>
      <c r="P2112">
        <f>ABS(H2112)</f>
        <v>2</v>
      </c>
      <c r="R2112"/>
    </row>
    <row r="2113" spans="1:18" x14ac:dyDescent="0.35">
      <c r="A2113" t="s">
        <v>3555</v>
      </c>
      <c r="B2113" s="2">
        <v>46139</v>
      </c>
      <c r="C2113" t="s">
        <v>2574</v>
      </c>
      <c r="D2113" s="3" t="s">
        <v>46</v>
      </c>
      <c r="E2113" t="s">
        <v>16</v>
      </c>
      <c r="F2113" t="s">
        <v>35</v>
      </c>
      <c r="G2113" t="s">
        <v>36</v>
      </c>
      <c r="H2113" s="8">
        <v>1</v>
      </c>
      <c r="I2113" s="10">
        <v>149</v>
      </c>
      <c r="J2113" s="14">
        <f>P2113*I2113</f>
        <v>149</v>
      </c>
      <c r="K2113" s="16">
        <v>8.5000000000000006E-2</v>
      </c>
      <c r="L2113" s="1" t="s">
        <v>30</v>
      </c>
      <c r="M2113" t="s">
        <v>22</v>
      </c>
      <c r="N2113" t="str">
        <f t="shared" si="44"/>
        <v>Ireland</v>
      </c>
      <c r="O2113" s="8">
        <f>IF(K2113&gt;=1,K2113,K2113*1000)</f>
        <v>85</v>
      </c>
      <c r="P2113">
        <f>ABS(H2113)</f>
        <v>1</v>
      </c>
      <c r="R2113"/>
    </row>
    <row r="2114" spans="1:18" x14ac:dyDescent="0.35">
      <c r="A2114" t="s">
        <v>3556</v>
      </c>
      <c r="B2114" s="2">
        <v>46112</v>
      </c>
      <c r="C2114" t="s">
        <v>1335</v>
      </c>
      <c r="D2114" s="3" t="s">
        <v>99</v>
      </c>
      <c r="E2114" t="s">
        <v>67</v>
      </c>
      <c r="F2114" t="s">
        <v>74</v>
      </c>
      <c r="G2114" t="s">
        <v>75</v>
      </c>
      <c r="H2114" s="8">
        <v>1</v>
      </c>
      <c r="I2114" s="10">
        <v>79</v>
      </c>
      <c r="J2114" s="14">
        <f>P2114*I2114</f>
        <v>79</v>
      </c>
      <c r="K2114" s="16">
        <v>410</v>
      </c>
      <c r="L2114" s="1" t="s">
        <v>30</v>
      </c>
      <c r="M2114" t="s">
        <v>58</v>
      </c>
      <c r="N2114" t="str">
        <f t="shared" si="44"/>
        <v>United Kingdom</v>
      </c>
      <c r="O2114" s="8">
        <f>IF(K2114&gt;=1,K2114,K2114*1000)</f>
        <v>410</v>
      </c>
      <c r="P2114">
        <f>ABS(H2114)</f>
        <v>1</v>
      </c>
      <c r="R2114"/>
    </row>
    <row r="2115" spans="1:18" x14ac:dyDescent="0.35">
      <c r="A2115" t="s">
        <v>3557</v>
      </c>
      <c r="B2115" s="2">
        <v>46114</v>
      </c>
      <c r="C2115" t="s">
        <v>358</v>
      </c>
      <c r="D2115" s="3" t="s">
        <v>46</v>
      </c>
      <c r="E2115" t="s">
        <v>25</v>
      </c>
      <c r="F2115" t="s">
        <v>89</v>
      </c>
      <c r="G2115" t="s">
        <v>90</v>
      </c>
      <c r="H2115" s="8">
        <v>1</v>
      </c>
      <c r="I2115" s="10">
        <v>80.099999999999994</v>
      </c>
      <c r="J2115" s="14">
        <f>P2115*I2115</f>
        <v>80.099999999999994</v>
      </c>
      <c r="K2115" s="16">
        <v>640</v>
      </c>
      <c r="L2115" s="1" t="s">
        <v>30</v>
      </c>
      <c r="M2115" t="s">
        <v>22</v>
      </c>
      <c r="N2115" t="str">
        <f t="shared" ref="N2115:N2178" si="45">PROPER(TRIM(D2115))</f>
        <v>Ireland</v>
      </c>
      <c r="O2115" s="8">
        <f>IF(K2115&gt;=1,K2115,K2115*1000)</f>
        <v>640</v>
      </c>
      <c r="P2115">
        <f>ABS(H2115)</f>
        <v>1</v>
      </c>
      <c r="R2115"/>
    </row>
    <row r="2116" spans="1:18" x14ac:dyDescent="0.35">
      <c r="A2116" t="s">
        <v>3558</v>
      </c>
      <c r="B2116" s="2">
        <v>46035</v>
      </c>
      <c r="C2116" t="s">
        <v>794</v>
      </c>
      <c r="D2116" s="3" t="s">
        <v>53</v>
      </c>
      <c r="E2116" t="s">
        <v>34</v>
      </c>
      <c r="F2116" t="s">
        <v>42</v>
      </c>
      <c r="G2116" t="s">
        <v>43</v>
      </c>
      <c r="H2116" s="8">
        <v>3</v>
      </c>
      <c r="I2116" s="10">
        <v>85.5</v>
      </c>
      <c r="J2116" s="14">
        <f>P2116*I2116</f>
        <v>256.5</v>
      </c>
      <c r="K2116" s="16">
        <v>190</v>
      </c>
      <c r="L2116" s="1" t="s">
        <v>30</v>
      </c>
      <c r="M2116" t="s">
        <v>58</v>
      </c>
      <c r="N2116" t="str">
        <f t="shared" si="45"/>
        <v>Gb</v>
      </c>
      <c r="O2116" s="8">
        <f>IF(K2116&gt;=1,K2116,K2116*1000)</f>
        <v>190</v>
      </c>
      <c r="P2116">
        <f>ABS(H2116)</f>
        <v>3</v>
      </c>
      <c r="R2116"/>
    </row>
    <row r="2117" spans="1:18" x14ac:dyDescent="0.35">
      <c r="A2117" t="s">
        <v>3559</v>
      </c>
      <c r="B2117" s="2">
        <v>46147</v>
      </c>
      <c r="C2117" t="s">
        <v>3560</v>
      </c>
      <c r="D2117" s="3" t="s">
        <v>15</v>
      </c>
      <c r="E2117" t="s">
        <v>34</v>
      </c>
      <c r="F2117" t="s">
        <v>17</v>
      </c>
      <c r="G2117" t="s">
        <v>18</v>
      </c>
      <c r="H2117" s="8">
        <v>2</v>
      </c>
      <c r="I2117" s="10">
        <v>116.1</v>
      </c>
      <c r="J2117" s="14">
        <f>P2117*I2117</f>
        <v>232.2</v>
      </c>
      <c r="K2117" s="16">
        <v>0.52</v>
      </c>
      <c r="L2117" s="1" t="s">
        <v>21</v>
      </c>
      <c r="M2117" t="s">
        <v>22</v>
      </c>
      <c r="N2117" t="str">
        <f t="shared" si="45"/>
        <v>France</v>
      </c>
      <c r="O2117" s="8">
        <f>IF(K2117&gt;=1,K2117,K2117*1000)</f>
        <v>520</v>
      </c>
      <c r="P2117">
        <f>ABS(H2117)</f>
        <v>2</v>
      </c>
      <c r="R2117"/>
    </row>
    <row r="2118" spans="1:18" x14ac:dyDescent="0.35">
      <c r="A2118" t="s">
        <v>3561</v>
      </c>
      <c r="B2118" s="2">
        <v>46169</v>
      </c>
      <c r="C2118" t="s">
        <v>952</v>
      </c>
      <c r="D2118" s="3" t="s">
        <v>99</v>
      </c>
      <c r="E2118" t="s">
        <v>34</v>
      </c>
      <c r="F2118" t="s">
        <v>47</v>
      </c>
      <c r="G2118" t="s">
        <v>48</v>
      </c>
      <c r="H2118" s="8">
        <v>1</v>
      </c>
      <c r="I2118" s="10">
        <v>149</v>
      </c>
      <c r="J2118" s="14">
        <f>P2118*I2118</f>
        <v>149</v>
      </c>
      <c r="K2118" s="16">
        <v>0.38</v>
      </c>
      <c r="L2118" s="1" t="s">
        <v>30</v>
      </c>
      <c r="M2118" t="s">
        <v>22</v>
      </c>
      <c r="N2118" t="str">
        <f t="shared" si="45"/>
        <v>United Kingdom</v>
      </c>
      <c r="O2118" s="8">
        <f>IF(K2118&gt;=1,K2118,K2118*1000)</f>
        <v>380</v>
      </c>
      <c r="P2118">
        <f>ABS(H2118)</f>
        <v>1</v>
      </c>
      <c r="R2118"/>
    </row>
    <row r="2119" spans="1:18" x14ac:dyDescent="0.35">
      <c r="A2119" t="s">
        <v>3562</v>
      </c>
      <c r="B2119" s="2" t="s">
        <v>259</v>
      </c>
      <c r="C2119" t="s">
        <v>1415</v>
      </c>
      <c r="D2119" s="3" t="s">
        <v>46</v>
      </c>
      <c r="E2119" t="s">
        <v>25</v>
      </c>
      <c r="F2119" t="s">
        <v>42</v>
      </c>
      <c r="G2119" t="s">
        <v>43</v>
      </c>
      <c r="H2119" s="8">
        <v>3</v>
      </c>
      <c r="I2119" s="10">
        <v>80.099999999999994</v>
      </c>
      <c r="J2119" s="14">
        <f>P2119*I2119</f>
        <v>240.29999999999998</v>
      </c>
      <c r="K2119" s="16">
        <v>0.19</v>
      </c>
      <c r="L2119" s="1" t="s">
        <v>21</v>
      </c>
      <c r="M2119" t="s">
        <v>58</v>
      </c>
      <c r="N2119" t="str">
        <f t="shared" si="45"/>
        <v>Ireland</v>
      </c>
      <c r="O2119" s="8">
        <f>IF(K2119&gt;=1,K2119,K2119*1000)</f>
        <v>190</v>
      </c>
      <c r="P2119">
        <f>ABS(H2119)</f>
        <v>3</v>
      </c>
      <c r="R2119"/>
    </row>
    <row r="2120" spans="1:18" x14ac:dyDescent="0.35">
      <c r="A2120" t="s">
        <v>3563</v>
      </c>
      <c r="B2120" s="2">
        <v>46165</v>
      </c>
      <c r="C2120" t="s">
        <v>3564</v>
      </c>
      <c r="D2120" s="3" t="s">
        <v>61</v>
      </c>
      <c r="E2120" t="s">
        <v>25</v>
      </c>
      <c r="F2120" t="s">
        <v>89</v>
      </c>
      <c r="G2120" t="s">
        <v>90</v>
      </c>
      <c r="H2120" s="8">
        <v>1</v>
      </c>
      <c r="I2120" s="10">
        <v>45</v>
      </c>
      <c r="J2120" s="14">
        <f>P2120*I2120</f>
        <v>45</v>
      </c>
      <c r="K2120" s="16">
        <v>0.64</v>
      </c>
      <c r="L2120" s="1" t="s">
        <v>30</v>
      </c>
      <c r="M2120" t="s">
        <v>22</v>
      </c>
      <c r="N2120" t="str">
        <f t="shared" si="45"/>
        <v>Ireland</v>
      </c>
      <c r="O2120" s="8">
        <f>IF(K2120&gt;=1,K2120,K2120*1000)</f>
        <v>640</v>
      </c>
      <c r="P2120">
        <f>ABS(H2120)</f>
        <v>1</v>
      </c>
      <c r="R2120"/>
    </row>
    <row r="2121" spans="1:18" x14ac:dyDescent="0.35">
      <c r="A2121" t="s">
        <v>3565</v>
      </c>
      <c r="B2121" s="2">
        <v>46144</v>
      </c>
      <c r="C2121" t="s">
        <v>356</v>
      </c>
      <c r="D2121" s="3" t="s">
        <v>4612</v>
      </c>
      <c r="E2121" t="s">
        <v>25</v>
      </c>
      <c r="F2121" t="s">
        <v>42</v>
      </c>
      <c r="G2121" t="s">
        <v>43</v>
      </c>
      <c r="H2121" s="8">
        <v>2</v>
      </c>
      <c r="I2121" s="10">
        <v>40.5</v>
      </c>
      <c r="J2121" s="14">
        <f>P2121*I2121</f>
        <v>81</v>
      </c>
      <c r="K2121" s="16">
        <v>0.19</v>
      </c>
      <c r="L2121" s="1" t="s">
        <v>21</v>
      </c>
      <c r="M2121" t="s">
        <v>22</v>
      </c>
      <c r="N2121" t="str">
        <f t="shared" si="45"/>
        <v>United Kingdom</v>
      </c>
      <c r="O2121" s="8">
        <f>IF(K2121&gt;=1,K2121,K2121*1000)</f>
        <v>190</v>
      </c>
      <c r="P2121">
        <f>ABS(H2121)</f>
        <v>2</v>
      </c>
      <c r="R2121"/>
    </row>
    <row r="2122" spans="1:18" x14ac:dyDescent="0.35">
      <c r="A2122" t="s">
        <v>3566</v>
      </c>
      <c r="B2122" s="2">
        <v>46122</v>
      </c>
      <c r="C2122" t="s">
        <v>2007</v>
      </c>
      <c r="D2122" s="3" t="s">
        <v>61</v>
      </c>
      <c r="E2122" t="s">
        <v>34</v>
      </c>
      <c r="F2122" t="s">
        <v>47</v>
      </c>
      <c r="G2122" t="s">
        <v>48</v>
      </c>
      <c r="H2122" s="8">
        <v>1</v>
      </c>
      <c r="I2122" s="10">
        <v>89</v>
      </c>
      <c r="J2122" s="14">
        <f>P2122*I2122</f>
        <v>89</v>
      </c>
      <c r="K2122" s="16">
        <v>380</v>
      </c>
      <c r="L2122" s="1" t="s">
        <v>21</v>
      </c>
      <c r="M2122" t="s">
        <v>22</v>
      </c>
      <c r="N2122" t="str">
        <f t="shared" si="45"/>
        <v>Ireland</v>
      </c>
      <c r="O2122" s="8">
        <f>IF(K2122&gt;=1,K2122,K2122*1000)</f>
        <v>380</v>
      </c>
      <c r="P2122">
        <f>ABS(H2122)</f>
        <v>1</v>
      </c>
      <c r="R2122"/>
    </row>
    <row r="2123" spans="1:18" x14ac:dyDescent="0.35">
      <c r="A2123" t="s">
        <v>3567</v>
      </c>
      <c r="B2123" s="2">
        <v>46088</v>
      </c>
      <c r="C2123" t="s">
        <v>2225</v>
      </c>
      <c r="D2123" s="3" t="s">
        <v>4613</v>
      </c>
      <c r="E2123" t="s">
        <v>41</v>
      </c>
      <c r="F2123" t="s">
        <v>47</v>
      </c>
      <c r="G2123" t="s">
        <v>48</v>
      </c>
      <c r="H2123" s="8">
        <v>1</v>
      </c>
      <c r="I2123" s="10">
        <v>129</v>
      </c>
      <c r="J2123" s="14">
        <f>P2123*I2123</f>
        <v>129</v>
      </c>
      <c r="K2123" s="16">
        <v>380</v>
      </c>
      <c r="L2123" s="1" t="s">
        <v>30</v>
      </c>
      <c r="M2123" t="s">
        <v>58</v>
      </c>
      <c r="N2123" t="str">
        <f t="shared" si="45"/>
        <v>United Kingdom</v>
      </c>
      <c r="O2123" s="8">
        <f>IF(K2123&gt;=1,K2123,K2123*1000)</f>
        <v>380</v>
      </c>
      <c r="P2123">
        <f>ABS(H2123)</f>
        <v>1</v>
      </c>
      <c r="R2123"/>
    </row>
    <row r="2124" spans="1:18" x14ac:dyDescent="0.35">
      <c r="A2124" t="s">
        <v>3568</v>
      </c>
      <c r="B2124" s="2">
        <v>46181</v>
      </c>
      <c r="C2124" t="s">
        <v>2065</v>
      </c>
      <c r="D2124" s="3" t="s">
        <v>46</v>
      </c>
      <c r="E2124" t="s">
        <v>67</v>
      </c>
      <c r="F2124" t="s">
        <v>26</v>
      </c>
      <c r="G2124" t="s">
        <v>27</v>
      </c>
      <c r="H2124" s="8">
        <v>1</v>
      </c>
      <c r="I2124" s="10">
        <v>24</v>
      </c>
      <c r="J2124" s="14">
        <f>P2124*I2124</f>
        <v>24</v>
      </c>
      <c r="K2124" s="16">
        <v>0.52</v>
      </c>
      <c r="L2124" s="1" t="s">
        <v>30</v>
      </c>
      <c r="M2124" t="s">
        <v>22</v>
      </c>
      <c r="N2124" t="str">
        <f t="shared" si="45"/>
        <v>Ireland</v>
      </c>
      <c r="O2124" s="8">
        <f>IF(K2124&gt;=1,K2124,K2124*1000)</f>
        <v>520</v>
      </c>
      <c r="P2124">
        <f>ABS(H2124)</f>
        <v>1</v>
      </c>
      <c r="R2124"/>
    </row>
    <row r="2125" spans="1:18" x14ac:dyDescent="0.35">
      <c r="A2125" t="s">
        <v>3569</v>
      </c>
      <c r="B2125" s="2">
        <v>46297</v>
      </c>
      <c r="C2125" t="s">
        <v>1349</v>
      </c>
      <c r="D2125" s="3" t="s">
        <v>61</v>
      </c>
      <c r="E2125" t="s">
        <v>67</v>
      </c>
      <c r="F2125" t="s">
        <v>26</v>
      </c>
      <c r="G2125" t="s">
        <v>27</v>
      </c>
      <c r="H2125" s="8">
        <v>1</v>
      </c>
      <c r="I2125" s="12" t="s">
        <v>4628</v>
      </c>
      <c r="J2125" s="14">
        <f>P2125*R2125</f>
        <v>40.5</v>
      </c>
      <c r="K2125" s="16">
        <v>520</v>
      </c>
      <c r="L2125" s="1" t="s">
        <v>30</v>
      </c>
      <c r="M2125" t="s">
        <v>58</v>
      </c>
      <c r="N2125" t="str">
        <f t="shared" si="45"/>
        <v>Ireland</v>
      </c>
      <c r="O2125" s="8">
        <f>IF(K2125&gt;=1,K2125,K2125*1000)</f>
        <v>520</v>
      </c>
      <c r="P2125">
        <f>ABS(H2125)</f>
        <v>1</v>
      </c>
      <c r="Q2125" t="str">
        <f>LEFT(I2125,2)</f>
        <v>Â£</v>
      </c>
      <c r="R2125" t="str">
        <f>RIGHT(I2125,5)</f>
        <v>40,50</v>
      </c>
    </row>
    <row r="2126" spans="1:18" x14ac:dyDescent="0.35">
      <c r="A2126" t="s">
        <v>3570</v>
      </c>
      <c r="B2126" s="2">
        <v>46138</v>
      </c>
      <c r="C2126" t="s">
        <v>3571</v>
      </c>
      <c r="D2126" s="3" t="s">
        <v>4613</v>
      </c>
      <c r="E2126" t="s">
        <v>25</v>
      </c>
      <c r="F2126" t="s">
        <v>89</v>
      </c>
      <c r="G2126" t="s">
        <v>90</v>
      </c>
      <c r="H2126" s="8">
        <v>1</v>
      </c>
      <c r="I2126" s="10">
        <v>95</v>
      </c>
      <c r="J2126" s="14">
        <f>P2126*I2126</f>
        <v>95</v>
      </c>
      <c r="K2126" s="16">
        <v>0.64</v>
      </c>
      <c r="L2126" s="1" t="s">
        <v>21</v>
      </c>
      <c r="M2126" t="s">
        <v>58</v>
      </c>
      <c r="N2126" t="str">
        <f t="shared" si="45"/>
        <v>United Kingdom</v>
      </c>
      <c r="O2126" s="8">
        <f>IF(K2126&gt;=1,K2126,K2126*1000)</f>
        <v>640</v>
      </c>
      <c r="P2126">
        <f>ABS(H2126)</f>
        <v>1</v>
      </c>
      <c r="R2126"/>
    </row>
    <row r="2127" spans="1:18" x14ac:dyDescent="0.35">
      <c r="A2127" t="s">
        <v>3572</v>
      </c>
      <c r="B2127" s="2">
        <v>46060</v>
      </c>
      <c r="C2127" t="s">
        <v>615</v>
      </c>
      <c r="D2127" s="3" t="s">
        <v>61</v>
      </c>
      <c r="E2127" t="s">
        <v>16</v>
      </c>
      <c r="F2127" t="s">
        <v>17</v>
      </c>
      <c r="G2127" t="s">
        <v>18</v>
      </c>
      <c r="H2127" s="8">
        <v>3</v>
      </c>
      <c r="I2127" s="10">
        <v>95</v>
      </c>
      <c r="J2127" s="14">
        <f>P2127*I2127</f>
        <v>285</v>
      </c>
      <c r="K2127" s="16">
        <v>520</v>
      </c>
      <c r="L2127" s="1" t="s">
        <v>21</v>
      </c>
      <c r="M2127" t="s">
        <v>22</v>
      </c>
      <c r="N2127" t="str">
        <f t="shared" si="45"/>
        <v>Ireland</v>
      </c>
      <c r="O2127" s="8">
        <f>IF(K2127&gt;=1,K2127,K2127*1000)</f>
        <v>520</v>
      </c>
      <c r="P2127">
        <f>ABS(H2127)</f>
        <v>3</v>
      </c>
      <c r="R2127"/>
    </row>
    <row r="2128" spans="1:18" x14ac:dyDescent="0.35">
      <c r="A2128" t="s">
        <v>3573</v>
      </c>
      <c r="B2128" s="2">
        <v>46129</v>
      </c>
      <c r="C2128" t="s">
        <v>3574</v>
      </c>
      <c r="D2128" s="3" t="s">
        <v>53</v>
      </c>
      <c r="E2128" t="s">
        <v>67</v>
      </c>
      <c r="F2128" t="s">
        <v>47</v>
      </c>
      <c r="G2128" t="s">
        <v>48</v>
      </c>
      <c r="H2128" s="8">
        <v>3</v>
      </c>
      <c r="I2128" s="10">
        <v>24</v>
      </c>
      <c r="J2128" s="14">
        <f>P2128*I2128</f>
        <v>72</v>
      </c>
      <c r="K2128" s="16">
        <v>380</v>
      </c>
      <c r="L2128" s="1" t="s">
        <v>21</v>
      </c>
      <c r="M2128" t="s">
        <v>22</v>
      </c>
      <c r="N2128" t="str">
        <f t="shared" si="45"/>
        <v>Gb</v>
      </c>
      <c r="O2128" s="8">
        <f>IF(K2128&gt;=1,K2128,K2128*1000)</f>
        <v>380</v>
      </c>
      <c r="P2128">
        <f>ABS(H2128)</f>
        <v>3</v>
      </c>
      <c r="R2128"/>
    </row>
    <row r="2129" spans="1:18" x14ac:dyDescent="0.35">
      <c r="A2129" t="s">
        <v>3575</v>
      </c>
      <c r="B2129" s="2">
        <v>46090</v>
      </c>
      <c r="C2129" t="s">
        <v>2625</v>
      </c>
      <c r="D2129" s="3" t="s">
        <v>66</v>
      </c>
      <c r="E2129" t="s">
        <v>41</v>
      </c>
      <c r="F2129" t="s">
        <v>47</v>
      </c>
      <c r="G2129" t="s">
        <v>48</v>
      </c>
      <c r="H2129" s="8">
        <v>2</v>
      </c>
      <c r="I2129" s="10">
        <v>79</v>
      </c>
      <c r="J2129" s="14">
        <f>P2129*I2129</f>
        <v>158</v>
      </c>
      <c r="K2129" s="16">
        <v>380</v>
      </c>
      <c r="L2129" s="1" t="s">
        <v>30</v>
      </c>
      <c r="M2129" t="s">
        <v>22</v>
      </c>
      <c r="N2129" t="str">
        <f t="shared" si="45"/>
        <v>Gb</v>
      </c>
      <c r="O2129" s="8">
        <f>IF(K2129&gt;=1,K2129,K2129*1000)</f>
        <v>380</v>
      </c>
      <c r="P2129">
        <f>ABS(H2129)</f>
        <v>2</v>
      </c>
      <c r="R2129"/>
    </row>
    <row r="2130" spans="1:18" x14ac:dyDescent="0.35">
      <c r="A2130" t="s">
        <v>3576</v>
      </c>
      <c r="B2130" s="2">
        <v>46327</v>
      </c>
      <c r="C2130" t="s">
        <v>714</v>
      </c>
      <c r="D2130" s="3" t="s">
        <v>99</v>
      </c>
      <c r="E2130" t="s">
        <v>25</v>
      </c>
      <c r="F2130" t="s">
        <v>89</v>
      </c>
      <c r="G2130" t="s">
        <v>90</v>
      </c>
      <c r="H2130" s="8">
        <v>2</v>
      </c>
      <c r="I2130" s="10">
        <v>95</v>
      </c>
      <c r="J2130" s="14">
        <f>P2130*I2130</f>
        <v>190</v>
      </c>
      <c r="K2130" s="16">
        <v>640</v>
      </c>
      <c r="L2130" s="1" t="s">
        <v>30</v>
      </c>
      <c r="M2130" t="s">
        <v>22</v>
      </c>
      <c r="N2130" t="str">
        <f t="shared" si="45"/>
        <v>United Kingdom</v>
      </c>
      <c r="O2130" s="8">
        <f>IF(K2130&gt;=1,K2130,K2130*1000)</f>
        <v>640</v>
      </c>
      <c r="P2130">
        <f>ABS(H2130)</f>
        <v>2</v>
      </c>
      <c r="R2130"/>
    </row>
    <row r="2131" spans="1:18" x14ac:dyDescent="0.35">
      <c r="A2131" t="s">
        <v>3577</v>
      </c>
      <c r="B2131" s="2">
        <v>46104</v>
      </c>
      <c r="C2131" t="s">
        <v>1175</v>
      </c>
      <c r="D2131" s="3" t="s">
        <v>66</v>
      </c>
      <c r="E2131" t="s">
        <v>34</v>
      </c>
      <c r="F2131" t="s">
        <v>83</v>
      </c>
      <c r="G2131" t="s">
        <v>84</v>
      </c>
      <c r="H2131" s="8">
        <v>2</v>
      </c>
      <c r="I2131" s="12" t="s">
        <v>4626</v>
      </c>
      <c r="J2131" s="14">
        <f>P2131*R2131</f>
        <v>58</v>
      </c>
      <c r="K2131" s="16">
        <v>340</v>
      </c>
      <c r="L2131" s="1" t="s">
        <v>30</v>
      </c>
      <c r="M2131" t="s">
        <v>22</v>
      </c>
      <c r="N2131" t="str">
        <f t="shared" si="45"/>
        <v>Gb</v>
      </c>
      <c r="O2131" s="8">
        <f>IF(K2131&gt;=1,K2131,K2131*1000)</f>
        <v>340</v>
      </c>
      <c r="P2131">
        <f>ABS(H2131)</f>
        <v>2</v>
      </c>
      <c r="Q2131" t="str">
        <f>LEFT(I2131,3)</f>
        <v>GBP</v>
      </c>
      <c r="R2131" s="10" t="str">
        <f>RIGHT(I2131,5)</f>
        <v>29,00</v>
      </c>
    </row>
    <row r="2132" spans="1:18" x14ac:dyDescent="0.35">
      <c r="A2132" t="s">
        <v>3578</v>
      </c>
      <c r="B2132" s="2">
        <v>46041</v>
      </c>
      <c r="C2132" t="s">
        <v>1428</v>
      </c>
      <c r="D2132" s="3" t="s">
        <v>4613</v>
      </c>
      <c r="E2132" t="s">
        <v>67</v>
      </c>
      <c r="F2132" t="s">
        <v>89</v>
      </c>
      <c r="G2132" t="s">
        <v>90</v>
      </c>
      <c r="H2132" s="8">
        <v>3</v>
      </c>
      <c r="I2132" s="10">
        <v>45</v>
      </c>
      <c r="J2132" s="14">
        <f>P2132*I2132</f>
        <v>135</v>
      </c>
      <c r="K2132" s="16">
        <v>640</v>
      </c>
      <c r="L2132" s="1" t="s">
        <v>30</v>
      </c>
      <c r="M2132" t="s">
        <v>22</v>
      </c>
      <c r="N2132" t="str">
        <f t="shared" si="45"/>
        <v>United Kingdom</v>
      </c>
      <c r="O2132" s="8">
        <f>IF(K2132&gt;=1,K2132,K2132*1000)</f>
        <v>640</v>
      </c>
      <c r="P2132">
        <f>ABS(H2132)</f>
        <v>3</v>
      </c>
      <c r="R2132"/>
    </row>
    <row r="2133" spans="1:18" x14ac:dyDescent="0.35">
      <c r="A2133" t="s">
        <v>3579</v>
      </c>
      <c r="B2133" s="2">
        <v>46206</v>
      </c>
      <c r="C2133" t="s">
        <v>842</v>
      </c>
      <c r="D2133" s="3" t="s">
        <v>99</v>
      </c>
      <c r="E2133" t="s">
        <v>67</v>
      </c>
      <c r="F2133" t="s">
        <v>83</v>
      </c>
      <c r="G2133" t="s">
        <v>84</v>
      </c>
      <c r="H2133" s="8">
        <v>3</v>
      </c>
      <c r="I2133" s="10">
        <v>24</v>
      </c>
      <c r="J2133" s="14">
        <f>P2133*I2133</f>
        <v>72</v>
      </c>
      <c r="K2133" s="16">
        <v>340</v>
      </c>
      <c r="L2133" s="1" t="s">
        <v>30</v>
      </c>
      <c r="M2133" t="s">
        <v>22</v>
      </c>
      <c r="N2133" t="str">
        <f t="shared" si="45"/>
        <v>United Kingdom</v>
      </c>
      <c r="O2133" s="8">
        <f>IF(K2133&gt;=1,K2133,K2133*1000)</f>
        <v>340</v>
      </c>
      <c r="P2133">
        <f>ABS(H2133)</f>
        <v>3</v>
      </c>
      <c r="R2133"/>
    </row>
    <row r="2134" spans="1:18" x14ac:dyDescent="0.35">
      <c r="A2134" t="s">
        <v>3580</v>
      </c>
      <c r="B2134" s="2">
        <v>46061</v>
      </c>
      <c r="C2134" t="s">
        <v>741</v>
      </c>
      <c r="D2134" s="3" t="s">
        <v>4612</v>
      </c>
      <c r="E2134" t="s">
        <v>67</v>
      </c>
      <c r="F2134" t="s">
        <v>26</v>
      </c>
      <c r="G2134" t="s">
        <v>27</v>
      </c>
      <c r="H2134" s="8">
        <v>1</v>
      </c>
      <c r="I2134" s="10">
        <v>129</v>
      </c>
      <c r="J2134" s="14">
        <f>P2134*I2134</f>
        <v>129</v>
      </c>
      <c r="K2134" s="16">
        <v>520</v>
      </c>
      <c r="L2134" s="1" t="s">
        <v>21</v>
      </c>
      <c r="M2134" t="s">
        <v>58</v>
      </c>
      <c r="N2134" t="str">
        <f t="shared" si="45"/>
        <v>United Kingdom</v>
      </c>
      <c r="O2134" s="8">
        <f>IF(K2134&gt;=1,K2134,K2134*1000)</f>
        <v>520</v>
      </c>
      <c r="P2134">
        <f>ABS(H2134)</f>
        <v>1</v>
      </c>
      <c r="R2134"/>
    </row>
    <row r="2135" spans="1:18" x14ac:dyDescent="0.35">
      <c r="A2135" t="s">
        <v>3581</v>
      </c>
      <c r="B2135" s="2">
        <v>46146</v>
      </c>
      <c r="C2135" t="s">
        <v>1310</v>
      </c>
      <c r="D2135" s="3" t="s">
        <v>99</v>
      </c>
      <c r="E2135" t="s">
        <v>67</v>
      </c>
      <c r="F2135" t="s">
        <v>83</v>
      </c>
      <c r="G2135" t="s">
        <v>84</v>
      </c>
      <c r="H2135" s="8">
        <v>1</v>
      </c>
      <c r="I2135" s="10">
        <v>45</v>
      </c>
      <c r="J2135" s="14">
        <f>P2135*I2135</f>
        <v>45</v>
      </c>
      <c r="K2135" s="16">
        <v>0.34</v>
      </c>
      <c r="L2135" s="1" t="s">
        <v>30</v>
      </c>
      <c r="M2135" t="s">
        <v>22</v>
      </c>
      <c r="N2135" t="str">
        <f t="shared" si="45"/>
        <v>United Kingdom</v>
      </c>
      <c r="O2135" s="8">
        <f>IF(K2135&gt;=1,K2135,K2135*1000)</f>
        <v>340</v>
      </c>
      <c r="P2135">
        <f>ABS(H2135)</f>
        <v>1</v>
      </c>
      <c r="R2135"/>
    </row>
    <row r="2136" spans="1:18" x14ac:dyDescent="0.35">
      <c r="A2136" t="s">
        <v>3582</v>
      </c>
      <c r="B2136" s="2">
        <v>46186</v>
      </c>
      <c r="C2136" t="s">
        <v>2163</v>
      </c>
      <c r="D2136" s="3" t="s">
        <v>99</v>
      </c>
      <c r="E2136" t="s">
        <v>16</v>
      </c>
      <c r="F2136" t="s">
        <v>47</v>
      </c>
      <c r="G2136" t="s">
        <v>48</v>
      </c>
      <c r="H2136" s="8">
        <v>1</v>
      </c>
      <c r="I2136" s="10">
        <v>24</v>
      </c>
      <c r="J2136" s="14">
        <f>P2136*I2136</f>
        <v>24</v>
      </c>
      <c r="K2136" s="16">
        <v>0.38</v>
      </c>
      <c r="L2136" s="1" t="s">
        <v>21</v>
      </c>
      <c r="M2136" t="s">
        <v>22</v>
      </c>
      <c r="N2136" t="str">
        <f t="shared" si="45"/>
        <v>United Kingdom</v>
      </c>
      <c r="O2136" s="8">
        <f>IF(K2136&gt;=1,K2136,K2136*1000)</f>
        <v>380</v>
      </c>
      <c r="P2136">
        <f>ABS(H2136)</f>
        <v>1</v>
      </c>
      <c r="R2136"/>
    </row>
    <row r="2137" spans="1:18" x14ac:dyDescent="0.35">
      <c r="A2137" t="s">
        <v>3583</v>
      </c>
      <c r="B2137" s="2">
        <v>46067</v>
      </c>
      <c r="C2137" t="s">
        <v>1866</v>
      </c>
      <c r="D2137" s="3" t="s">
        <v>4613</v>
      </c>
      <c r="E2137" t="s">
        <v>41</v>
      </c>
      <c r="F2137" t="s">
        <v>83</v>
      </c>
      <c r="G2137" t="s">
        <v>84</v>
      </c>
      <c r="H2137" s="8">
        <v>2</v>
      </c>
      <c r="I2137" s="10">
        <v>95</v>
      </c>
      <c r="J2137" s="14">
        <f>P2137*I2137</f>
        <v>190</v>
      </c>
      <c r="K2137" s="16">
        <v>340</v>
      </c>
      <c r="L2137" s="1" t="s">
        <v>30</v>
      </c>
      <c r="M2137" t="s">
        <v>58</v>
      </c>
      <c r="N2137" t="str">
        <f t="shared" si="45"/>
        <v>United Kingdom</v>
      </c>
      <c r="O2137" s="8">
        <f>IF(K2137&gt;=1,K2137,K2137*1000)</f>
        <v>340</v>
      </c>
      <c r="P2137">
        <f>ABS(H2137)</f>
        <v>2</v>
      </c>
      <c r="R2137"/>
    </row>
    <row r="2138" spans="1:18" x14ac:dyDescent="0.35">
      <c r="A2138" t="s">
        <v>3584</v>
      </c>
      <c r="B2138" s="2">
        <v>46150</v>
      </c>
      <c r="C2138" t="s">
        <v>225</v>
      </c>
      <c r="D2138" s="3" t="s">
        <v>53</v>
      </c>
      <c r="E2138" t="s">
        <v>16</v>
      </c>
      <c r="F2138" t="s">
        <v>83</v>
      </c>
      <c r="G2138" t="s">
        <v>84</v>
      </c>
      <c r="H2138" s="8">
        <v>1</v>
      </c>
      <c r="I2138" s="10">
        <v>71.099999999999994</v>
      </c>
      <c r="J2138" s="14">
        <f>P2138*I2138</f>
        <v>71.099999999999994</v>
      </c>
      <c r="K2138" s="16">
        <v>0.34</v>
      </c>
      <c r="L2138" s="1" t="s">
        <v>21</v>
      </c>
      <c r="M2138" t="s">
        <v>58</v>
      </c>
      <c r="N2138" t="str">
        <f t="shared" si="45"/>
        <v>Gb</v>
      </c>
      <c r="O2138" s="8">
        <f>IF(K2138&gt;=1,K2138,K2138*1000)</f>
        <v>340</v>
      </c>
      <c r="P2138">
        <f>ABS(H2138)</f>
        <v>1</v>
      </c>
      <c r="R2138"/>
    </row>
    <row r="2139" spans="1:18" x14ac:dyDescent="0.35">
      <c r="A2139" t="s">
        <v>3585</v>
      </c>
      <c r="B2139" s="2">
        <v>46198</v>
      </c>
      <c r="C2139" t="s">
        <v>1758</v>
      </c>
      <c r="D2139" s="3" t="s">
        <v>61</v>
      </c>
      <c r="E2139" t="s">
        <v>34</v>
      </c>
      <c r="F2139" t="s">
        <v>83</v>
      </c>
      <c r="G2139" t="s">
        <v>84</v>
      </c>
      <c r="H2139" s="8">
        <v>2</v>
      </c>
      <c r="I2139" s="10">
        <v>149</v>
      </c>
      <c r="J2139" s="14">
        <f>P2139*I2139</f>
        <v>298</v>
      </c>
      <c r="K2139" s="16">
        <v>0.34</v>
      </c>
      <c r="L2139" s="1" t="s">
        <v>30</v>
      </c>
      <c r="M2139" t="s">
        <v>22</v>
      </c>
      <c r="N2139" t="str">
        <f t="shared" si="45"/>
        <v>Ireland</v>
      </c>
      <c r="O2139" s="8">
        <f>IF(K2139&gt;=1,K2139,K2139*1000)</f>
        <v>340</v>
      </c>
      <c r="P2139">
        <f>ABS(H2139)</f>
        <v>2</v>
      </c>
      <c r="R2139"/>
    </row>
    <row r="2140" spans="1:18" x14ac:dyDescent="0.35">
      <c r="A2140" t="s">
        <v>3586</v>
      </c>
      <c r="B2140" s="2">
        <v>46180</v>
      </c>
      <c r="C2140" t="s">
        <v>557</v>
      </c>
      <c r="D2140" s="3" t="s">
        <v>4613</v>
      </c>
      <c r="E2140" t="s">
        <v>34</v>
      </c>
      <c r="F2140" t="s">
        <v>74</v>
      </c>
      <c r="G2140" t="s">
        <v>75</v>
      </c>
      <c r="H2140" s="8">
        <v>1</v>
      </c>
      <c r="I2140" s="10">
        <v>79</v>
      </c>
      <c r="J2140" s="14">
        <f>P2140*I2140</f>
        <v>79</v>
      </c>
      <c r="K2140" s="16">
        <v>0.41</v>
      </c>
      <c r="L2140" s="1" t="s">
        <v>30</v>
      </c>
      <c r="M2140" t="s">
        <v>22</v>
      </c>
      <c r="N2140" t="str">
        <f t="shared" si="45"/>
        <v>United Kingdom</v>
      </c>
      <c r="O2140" s="8">
        <f>IF(K2140&gt;=1,K2140,K2140*1000)</f>
        <v>410</v>
      </c>
      <c r="P2140">
        <f>ABS(H2140)</f>
        <v>1</v>
      </c>
      <c r="R2140"/>
    </row>
    <row r="2141" spans="1:18" x14ac:dyDescent="0.35">
      <c r="A2141" t="s">
        <v>3587</v>
      </c>
      <c r="B2141" s="2">
        <v>46055</v>
      </c>
      <c r="C2141" t="s">
        <v>435</v>
      </c>
      <c r="D2141" s="3" t="s">
        <v>15</v>
      </c>
      <c r="E2141" t="s">
        <v>34</v>
      </c>
      <c r="F2141" t="s">
        <v>17</v>
      </c>
      <c r="G2141" t="s">
        <v>18</v>
      </c>
      <c r="H2141" s="8">
        <v>3</v>
      </c>
      <c r="I2141" s="10">
        <v>134.1</v>
      </c>
      <c r="J2141" s="14">
        <f>P2141*I2141</f>
        <v>402.29999999999995</v>
      </c>
      <c r="K2141" s="16">
        <v>520</v>
      </c>
      <c r="L2141" s="1" t="s">
        <v>30</v>
      </c>
      <c r="M2141" t="s">
        <v>22</v>
      </c>
      <c r="N2141" t="str">
        <f t="shared" si="45"/>
        <v>France</v>
      </c>
      <c r="O2141" s="8">
        <f>IF(K2141&gt;=1,K2141,K2141*1000)</f>
        <v>520</v>
      </c>
      <c r="P2141">
        <f>ABS(H2141)</f>
        <v>3</v>
      </c>
      <c r="R2141"/>
    </row>
    <row r="2142" spans="1:18" x14ac:dyDescent="0.35">
      <c r="A2142" t="s">
        <v>3588</v>
      </c>
      <c r="B2142" s="2">
        <v>46136</v>
      </c>
      <c r="C2142" t="s">
        <v>3589</v>
      </c>
      <c r="D2142" s="3" t="s">
        <v>116</v>
      </c>
      <c r="E2142" t="s">
        <v>67</v>
      </c>
      <c r="F2142" t="s">
        <v>89</v>
      </c>
      <c r="G2142" t="s">
        <v>90</v>
      </c>
      <c r="H2142" s="8">
        <v>3</v>
      </c>
      <c r="I2142" s="10">
        <v>149</v>
      </c>
      <c r="J2142" s="14">
        <f>P2142*I2142</f>
        <v>447</v>
      </c>
      <c r="K2142" s="16">
        <v>0.64</v>
      </c>
      <c r="L2142" s="1" t="s">
        <v>30</v>
      </c>
      <c r="M2142" t="s">
        <v>22</v>
      </c>
      <c r="N2142" t="str">
        <f t="shared" si="45"/>
        <v>Germany</v>
      </c>
      <c r="O2142" s="8">
        <f>IF(K2142&gt;=1,K2142,K2142*1000)</f>
        <v>640</v>
      </c>
      <c r="P2142">
        <f>ABS(H2142)</f>
        <v>3</v>
      </c>
      <c r="R2142"/>
    </row>
    <row r="2143" spans="1:18" x14ac:dyDescent="0.35">
      <c r="A2143" t="s">
        <v>3590</v>
      </c>
      <c r="B2143" s="2" t="s">
        <v>1807</v>
      </c>
      <c r="C2143" t="s">
        <v>1872</v>
      </c>
      <c r="D2143" s="3" t="s">
        <v>61</v>
      </c>
      <c r="E2143" t="s">
        <v>34</v>
      </c>
      <c r="F2143" t="s">
        <v>47</v>
      </c>
      <c r="G2143" t="s">
        <v>48</v>
      </c>
      <c r="H2143" s="8">
        <v>2</v>
      </c>
      <c r="I2143" s="10">
        <v>89</v>
      </c>
      <c r="J2143" s="14">
        <f>P2143*I2143</f>
        <v>178</v>
      </c>
      <c r="K2143" s="16">
        <v>0.38</v>
      </c>
      <c r="L2143" s="1" t="s">
        <v>30</v>
      </c>
      <c r="M2143" t="s">
        <v>22</v>
      </c>
      <c r="N2143" t="str">
        <f t="shared" si="45"/>
        <v>Ireland</v>
      </c>
      <c r="O2143" s="8">
        <f>IF(K2143&gt;=1,K2143,K2143*1000)</f>
        <v>380</v>
      </c>
      <c r="P2143">
        <f>ABS(H2143)</f>
        <v>2</v>
      </c>
      <c r="R2143"/>
    </row>
    <row r="2144" spans="1:18" x14ac:dyDescent="0.35">
      <c r="A2144" t="s">
        <v>3591</v>
      </c>
      <c r="B2144" s="2">
        <v>46146</v>
      </c>
      <c r="C2144" t="s">
        <v>1338</v>
      </c>
      <c r="D2144" s="3" t="s">
        <v>99</v>
      </c>
      <c r="E2144" t="s">
        <v>34</v>
      </c>
      <c r="F2144" t="s">
        <v>83</v>
      </c>
      <c r="G2144" t="s">
        <v>84</v>
      </c>
      <c r="H2144" s="8">
        <v>1</v>
      </c>
      <c r="I2144" s="10">
        <v>116.1</v>
      </c>
      <c r="J2144" s="14">
        <f>P2144*I2144</f>
        <v>116.1</v>
      </c>
      <c r="K2144" s="16">
        <v>0.34</v>
      </c>
      <c r="L2144" s="1" t="s">
        <v>30</v>
      </c>
      <c r="M2144" t="s">
        <v>22</v>
      </c>
      <c r="N2144" t="str">
        <f t="shared" si="45"/>
        <v>United Kingdom</v>
      </c>
      <c r="O2144" s="8">
        <f>IF(K2144&gt;=1,K2144,K2144*1000)</f>
        <v>340</v>
      </c>
      <c r="P2144">
        <f>ABS(H2144)</f>
        <v>1</v>
      </c>
      <c r="R2144"/>
    </row>
    <row r="2145" spans="1:18" x14ac:dyDescent="0.35">
      <c r="A2145" t="s">
        <v>3592</v>
      </c>
      <c r="B2145" s="2">
        <v>46117</v>
      </c>
      <c r="C2145" t="s">
        <v>288</v>
      </c>
      <c r="D2145" s="3" t="s">
        <v>66</v>
      </c>
      <c r="E2145" t="s">
        <v>25</v>
      </c>
      <c r="F2145" t="s">
        <v>83</v>
      </c>
      <c r="G2145" t="s">
        <v>84</v>
      </c>
      <c r="H2145" s="8">
        <v>2</v>
      </c>
      <c r="I2145" s="10">
        <v>129</v>
      </c>
      <c r="J2145" s="14">
        <f>P2145*I2145</f>
        <v>258</v>
      </c>
      <c r="K2145" s="16">
        <v>340</v>
      </c>
      <c r="L2145" s="1" t="s">
        <v>30</v>
      </c>
      <c r="M2145" t="s">
        <v>22</v>
      </c>
      <c r="N2145" t="str">
        <f t="shared" si="45"/>
        <v>Gb</v>
      </c>
      <c r="O2145" s="8">
        <f>IF(K2145&gt;=1,K2145,K2145*1000)</f>
        <v>340</v>
      </c>
      <c r="P2145">
        <f>ABS(H2145)</f>
        <v>2</v>
      </c>
      <c r="R2145"/>
    </row>
    <row r="2146" spans="1:18" x14ac:dyDescent="0.35">
      <c r="A2146" t="s">
        <v>3593</v>
      </c>
      <c r="B2146" s="2">
        <v>46146</v>
      </c>
      <c r="C2146" t="s">
        <v>2074</v>
      </c>
      <c r="D2146" s="3" t="s">
        <v>99</v>
      </c>
      <c r="E2146" t="s">
        <v>34</v>
      </c>
      <c r="F2146" t="s">
        <v>83</v>
      </c>
      <c r="G2146" t="s">
        <v>84</v>
      </c>
      <c r="H2146" s="8">
        <v>2</v>
      </c>
      <c r="I2146" s="10">
        <v>11.25</v>
      </c>
      <c r="J2146" s="14">
        <f>P2146*I2146</f>
        <v>22.5</v>
      </c>
      <c r="K2146" s="16">
        <v>340</v>
      </c>
      <c r="L2146" s="1" t="s">
        <v>30</v>
      </c>
      <c r="M2146" t="s">
        <v>22</v>
      </c>
      <c r="N2146" t="str">
        <f t="shared" si="45"/>
        <v>United Kingdom</v>
      </c>
      <c r="O2146" s="8">
        <f>IF(K2146&gt;=1,K2146,K2146*1000)</f>
        <v>340</v>
      </c>
      <c r="P2146">
        <f>ABS(H2146)</f>
        <v>2</v>
      </c>
      <c r="R2146"/>
    </row>
    <row r="2147" spans="1:18" x14ac:dyDescent="0.35">
      <c r="A2147" t="s">
        <v>3594</v>
      </c>
      <c r="B2147" s="2">
        <v>46118</v>
      </c>
      <c r="C2147" t="s">
        <v>55</v>
      </c>
      <c r="D2147" s="3" t="s">
        <v>66</v>
      </c>
      <c r="E2147" t="s">
        <v>25</v>
      </c>
      <c r="F2147" t="s">
        <v>47</v>
      </c>
      <c r="G2147" t="s">
        <v>48</v>
      </c>
      <c r="H2147" s="8">
        <v>2</v>
      </c>
      <c r="I2147" s="10">
        <v>134.1</v>
      </c>
      <c r="J2147" s="14">
        <f>P2147*I2147</f>
        <v>268.2</v>
      </c>
      <c r="K2147" s="16">
        <v>380</v>
      </c>
      <c r="L2147" s="1" t="s">
        <v>30</v>
      </c>
      <c r="M2147" t="s">
        <v>22</v>
      </c>
      <c r="N2147" t="str">
        <f t="shared" si="45"/>
        <v>Gb</v>
      </c>
      <c r="O2147" s="8">
        <f>IF(K2147&gt;=1,K2147,K2147*1000)</f>
        <v>380</v>
      </c>
      <c r="P2147">
        <f>ABS(H2147)</f>
        <v>2</v>
      </c>
      <c r="R2147"/>
    </row>
    <row r="2148" spans="1:18" x14ac:dyDescent="0.35">
      <c r="A2148" t="s">
        <v>3595</v>
      </c>
      <c r="B2148" s="2">
        <v>46113</v>
      </c>
      <c r="C2148" t="s">
        <v>3066</v>
      </c>
      <c r="D2148" s="3" t="s">
        <v>4612</v>
      </c>
      <c r="E2148" t="s">
        <v>16</v>
      </c>
      <c r="F2148" t="s">
        <v>17</v>
      </c>
      <c r="G2148" t="s">
        <v>18</v>
      </c>
      <c r="H2148" s="8">
        <v>3</v>
      </c>
      <c r="I2148" s="10">
        <v>79</v>
      </c>
      <c r="J2148" s="14">
        <f>P2148*I2148</f>
        <v>237</v>
      </c>
      <c r="K2148" s="16">
        <v>520</v>
      </c>
      <c r="L2148" s="1" t="s">
        <v>30</v>
      </c>
      <c r="M2148" t="s">
        <v>58</v>
      </c>
      <c r="N2148" t="str">
        <f t="shared" si="45"/>
        <v>United Kingdom</v>
      </c>
      <c r="O2148" s="8">
        <f>IF(K2148&gt;=1,K2148,K2148*1000)</f>
        <v>520</v>
      </c>
      <c r="P2148">
        <f>ABS(H2148)</f>
        <v>3</v>
      </c>
      <c r="R2148"/>
    </row>
    <row r="2149" spans="1:18" x14ac:dyDescent="0.35">
      <c r="A2149" t="s">
        <v>3596</v>
      </c>
      <c r="B2149" s="2">
        <v>46176</v>
      </c>
      <c r="C2149" t="s">
        <v>842</v>
      </c>
      <c r="D2149" s="3" t="s">
        <v>46</v>
      </c>
      <c r="E2149" t="s">
        <v>25</v>
      </c>
      <c r="F2149" t="s">
        <v>83</v>
      </c>
      <c r="G2149" t="s">
        <v>84</v>
      </c>
      <c r="H2149" s="8">
        <v>1</v>
      </c>
      <c r="I2149" s="12" t="s">
        <v>4635</v>
      </c>
      <c r="J2149" s="14">
        <f>P2149*R2149</f>
        <v>34.1</v>
      </c>
      <c r="K2149" s="16">
        <v>0.34</v>
      </c>
      <c r="L2149" s="1" t="s">
        <v>30</v>
      </c>
      <c r="M2149" t="s">
        <v>22</v>
      </c>
      <c r="N2149" t="str">
        <f t="shared" si="45"/>
        <v>Ireland</v>
      </c>
      <c r="O2149" s="8">
        <f>IF(K2149&gt;=1,K2149,K2149*1000)</f>
        <v>340</v>
      </c>
      <c r="P2149">
        <f>ABS(H2149)</f>
        <v>1</v>
      </c>
      <c r="Q2149" t="str">
        <f>LEFT(I2149,2)</f>
        <v>Â£</v>
      </c>
      <c r="R2149" t="str">
        <f>RIGHT(I2149,5)</f>
        <v>34,10</v>
      </c>
    </row>
    <row r="2150" spans="1:18" x14ac:dyDescent="0.35">
      <c r="A2150" t="s">
        <v>3597</v>
      </c>
      <c r="B2150" s="2">
        <v>46127</v>
      </c>
      <c r="C2150" t="s">
        <v>607</v>
      </c>
      <c r="D2150" s="3" t="s">
        <v>46</v>
      </c>
      <c r="E2150" t="s">
        <v>41</v>
      </c>
      <c r="F2150" t="s">
        <v>35</v>
      </c>
      <c r="G2150" t="s">
        <v>36</v>
      </c>
      <c r="H2150" s="8">
        <v>2</v>
      </c>
      <c r="I2150" s="10">
        <v>129</v>
      </c>
      <c r="J2150" s="14">
        <f>P2150*I2150</f>
        <v>258</v>
      </c>
      <c r="K2150" s="16">
        <v>85</v>
      </c>
      <c r="L2150" s="1" t="s">
        <v>30</v>
      </c>
      <c r="M2150" t="s">
        <v>22</v>
      </c>
      <c r="N2150" t="str">
        <f t="shared" si="45"/>
        <v>Ireland</v>
      </c>
      <c r="O2150" s="8">
        <f>IF(K2150&gt;=1,K2150,K2150*1000)</f>
        <v>85</v>
      </c>
      <c r="P2150">
        <f>ABS(H2150)</f>
        <v>2</v>
      </c>
      <c r="R2150"/>
    </row>
    <row r="2151" spans="1:18" x14ac:dyDescent="0.35">
      <c r="A2151" t="s">
        <v>3598</v>
      </c>
      <c r="B2151" s="2">
        <v>46030</v>
      </c>
      <c r="C2151" t="s">
        <v>1191</v>
      </c>
      <c r="D2151" s="3" t="s">
        <v>15</v>
      </c>
      <c r="E2151" t="s">
        <v>34</v>
      </c>
      <c r="F2151" t="s">
        <v>83</v>
      </c>
      <c r="G2151" t="s">
        <v>84</v>
      </c>
      <c r="H2151" s="8">
        <v>1</v>
      </c>
      <c r="I2151" s="10">
        <v>134.1</v>
      </c>
      <c r="J2151" s="14">
        <f>P2151*I2151</f>
        <v>134.1</v>
      </c>
      <c r="K2151" s="16">
        <v>340</v>
      </c>
      <c r="L2151" s="1" t="s">
        <v>30</v>
      </c>
      <c r="M2151" t="s">
        <v>22</v>
      </c>
      <c r="N2151" t="str">
        <f t="shared" si="45"/>
        <v>France</v>
      </c>
      <c r="O2151" s="8">
        <f>IF(K2151&gt;=1,K2151,K2151*1000)</f>
        <v>340</v>
      </c>
      <c r="P2151">
        <f>ABS(H2151)</f>
        <v>1</v>
      </c>
      <c r="R2151"/>
    </row>
    <row r="2152" spans="1:18" x14ac:dyDescent="0.35">
      <c r="A2152" t="s">
        <v>3599</v>
      </c>
      <c r="B2152" s="2">
        <v>46122</v>
      </c>
      <c r="C2152" t="s">
        <v>2782</v>
      </c>
      <c r="D2152" s="3" t="s">
        <v>61</v>
      </c>
      <c r="E2152" t="s">
        <v>41</v>
      </c>
      <c r="F2152" t="s">
        <v>89</v>
      </c>
      <c r="G2152" t="s">
        <v>90</v>
      </c>
      <c r="H2152" s="8">
        <v>3</v>
      </c>
      <c r="I2152" s="10">
        <v>149</v>
      </c>
      <c r="J2152" s="14">
        <f>P2152*I2152</f>
        <v>447</v>
      </c>
      <c r="K2152" s="16">
        <v>640</v>
      </c>
      <c r="L2152" s="1" t="s">
        <v>30</v>
      </c>
      <c r="M2152" t="s">
        <v>22</v>
      </c>
      <c r="N2152" t="str">
        <f t="shared" si="45"/>
        <v>Ireland</v>
      </c>
      <c r="O2152" s="8">
        <f>IF(K2152&gt;=1,K2152,K2152*1000)</f>
        <v>640</v>
      </c>
      <c r="P2152">
        <f>ABS(H2152)</f>
        <v>3</v>
      </c>
      <c r="R2152"/>
    </row>
    <row r="2153" spans="1:18" x14ac:dyDescent="0.35">
      <c r="A2153" t="s">
        <v>3600</v>
      </c>
      <c r="B2153" s="2">
        <v>46067</v>
      </c>
      <c r="C2153" t="s">
        <v>1831</v>
      </c>
      <c r="D2153" s="3" t="s">
        <v>99</v>
      </c>
      <c r="E2153" t="s">
        <v>67</v>
      </c>
      <c r="F2153" t="s">
        <v>26</v>
      </c>
      <c r="G2153" t="s">
        <v>27</v>
      </c>
      <c r="H2153" s="8">
        <v>1</v>
      </c>
      <c r="I2153" s="10">
        <v>149</v>
      </c>
      <c r="J2153" s="14">
        <f>P2153*I2153</f>
        <v>149</v>
      </c>
      <c r="K2153" s="16">
        <v>520</v>
      </c>
      <c r="L2153" s="1" t="s">
        <v>30</v>
      </c>
      <c r="M2153" t="s">
        <v>58</v>
      </c>
      <c r="N2153" t="str">
        <f t="shared" si="45"/>
        <v>United Kingdom</v>
      </c>
      <c r="O2153" s="8">
        <f>IF(K2153&gt;=1,K2153,K2153*1000)</f>
        <v>520</v>
      </c>
      <c r="P2153">
        <f>ABS(H2153)</f>
        <v>1</v>
      </c>
      <c r="R2153"/>
    </row>
    <row r="2154" spans="1:18" x14ac:dyDescent="0.35">
      <c r="A2154" t="s">
        <v>3601</v>
      </c>
      <c r="B2154" s="2">
        <v>46127</v>
      </c>
      <c r="C2154" t="s">
        <v>3602</v>
      </c>
      <c r="D2154" s="3" t="s">
        <v>66</v>
      </c>
      <c r="E2154" t="s">
        <v>34</v>
      </c>
      <c r="F2154" t="s">
        <v>17</v>
      </c>
      <c r="G2154" t="s">
        <v>18</v>
      </c>
      <c r="H2154" s="8">
        <v>2</v>
      </c>
      <c r="I2154" s="10">
        <v>12.5</v>
      </c>
      <c r="J2154" s="14">
        <f>P2154*I2154</f>
        <v>25</v>
      </c>
      <c r="K2154" s="16">
        <v>520</v>
      </c>
      <c r="L2154" s="1" t="s">
        <v>30</v>
      </c>
      <c r="M2154" t="s">
        <v>22</v>
      </c>
      <c r="N2154" t="str">
        <f t="shared" si="45"/>
        <v>Gb</v>
      </c>
      <c r="O2154" s="8">
        <f>IF(K2154&gt;=1,K2154,K2154*1000)</f>
        <v>520</v>
      </c>
      <c r="P2154">
        <f>ABS(H2154)</f>
        <v>2</v>
      </c>
      <c r="R2154"/>
    </row>
    <row r="2155" spans="1:18" x14ac:dyDescent="0.35">
      <c r="A2155" t="s">
        <v>3603</v>
      </c>
      <c r="B2155" s="2">
        <v>46181</v>
      </c>
      <c r="C2155" t="s">
        <v>1667</v>
      </c>
      <c r="D2155" s="3" t="s">
        <v>46</v>
      </c>
      <c r="E2155" t="s">
        <v>41</v>
      </c>
      <c r="F2155" t="s">
        <v>17</v>
      </c>
      <c r="G2155" t="s">
        <v>18</v>
      </c>
      <c r="H2155" s="8">
        <v>1</v>
      </c>
      <c r="I2155" s="10">
        <v>45</v>
      </c>
      <c r="J2155" s="14">
        <f>P2155*I2155</f>
        <v>45</v>
      </c>
      <c r="K2155" s="16">
        <v>0.52</v>
      </c>
      <c r="L2155" s="1" t="s">
        <v>30</v>
      </c>
      <c r="M2155" t="s">
        <v>22</v>
      </c>
      <c r="N2155" t="str">
        <f t="shared" si="45"/>
        <v>Ireland</v>
      </c>
      <c r="O2155" s="8">
        <f>IF(K2155&gt;=1,K2155,K2155*1000)</f>
        <v>520</v>
      </c>
      <c r="P2155">
        <f>ABS(H2155)</f>
        <v>1</v>
      </c>
      <c r="R2155"/>
    </row>
    <row r="2156" spans="1:18" x14ac:dyDescent="0.35">
      <c r="A2156" t="s">
        <v>3604</v>
      </c>
      <c r="B2156" s="2">
        <v>46097</v>
      </c>
      <c r="C2156" t="s">
        <v>3605</v>
      </c>
      <c r="D2156" s="3" t="s">
        <v>99</v>
      </c>
      <c r="E2156" t="s">
        <v>41</v>
      </c>
      <c r="F2156" t="s">
        <v>17</v>
      </c>
      <c r="G2156" t="s">
        <v>18</v>
      </c>
      <c r="H2156" s="8">
        <v>3</v>
      </c>
      <c r="I2156" s="10">
        <v>85.5</v>
      </c>
      <c r="J2156" s="14">
        <f>P2156*I2156</f>
        <v>256.5</v>
      </c>
      <c r="K2156" s="16">
        <v>520</v>
      </c>
      <c r="L2156" s="1" t="s">
        <v>30</v>
      </c>
      <c r="M2156" t="s">
        <v>22</v>
      </c>
      <c r="N2156" t="str">
        <f t="shared" si="45"/>
        <v>United Kingdom</v>
      </c>
      <c r="O2156" s="8">
        <f>IF(K2156&gt;=1,K2156,K2156*1000)</f>
        <v>520</v>
      </c>
      <c r="P2156">
        <f>ABS(H2156)</f>
        <v>3</v>
      </c>
      <c r="R2156"/>
    </row>
    <row r="2157" spans="1:18" x14ac:dyDescent="0.35">
      <c r="A2157" t="s">
        <v>3606</v>
      </c>
      <c r="B2157" s="2">
        <v>46155</v>
      </c>
      <c r="C2157" t="s">
        <v>280</v>
      </c>
      <c r="D2157" s="3" t="s">
        <v>46</v>
      </c>
      <c r="E2157" t="s">
        <v>16</v>
      </c>
      <c r="F2157" t="s">
        <v>35</v>
      </c>
      <c r="G2157" t="s">
        <v>36</v>
      </c>
      <c r="H2157" s="8">
        <v>3</v>
      </c>
      <c r="I2157" s="10">
        <v>95</v>
      </c>
      <c r="J2157" s="14">
        <f>P2157*I2157</f>
        <v>285</v>
      </c>
      <c r="K2157" s="16">
        <v>8.5000000000000006E-2</v>
      </c>
      <c r="L2157" s="1" t="s">
        <v>30</v>
      </c>
      <c r="M2157" t="s">
        <v>22</v>
      </c>
      <c r="N2157" t="str">
        <f t="shared" si="45"/>
        <v>Ireland</v>
      </c>
      <c r="O2157" s="8">
        <f>IF(K2157&gt;=1,K2157,K2157*1000)</f>
        <v>85</v>
      </c>
      <c r="P2157">
        <f>ABS(H2157)</f>
        <v>3</v>
      </c>
      <c r="R2157"/>
    </row>
    <row r="2158" spans="1:18" x14ac:dyDescent="0.35">
      <c r="A2158" t="s">
        <v>3607</v>
      </c>
      <c r="B2158" s="2">
        <v>46148</v>
      </c>
      <c r="C2158" t="s">
        <v>3608</v>
      </c>
      <c r="D2158" s="3" t="s">
        <v>99</v>
      </c>
      <c r="E2158" t="s">
        <v>34</v>
      </c>
      <c r="F2158" t="s">
        <v>26</v>
      </c>
      <c r="G2158" t="s">
        <v>27</v>
      </c>
      <c r="H2158" s="8">
        <v>1</v>
      </c>
      <c r="I2158" s="10">
        <v>71.099999999999994</v>
      </c>
      <c r="J2158" s="14">
        <f>P2158*I2158</f>
        <v>71.099999999999994</v>
      </c>
      <c r="K2158" s="16">
        <v>0.52</v>
      </c>
      <c r="L2158" s="1" t="s">
        <v>30</v>
      </c>
      <c r="M2158" t="s">
        <v>22</v>
      </c>
      <c r="N2158" t="str">
        <f t="shared" si="45"/>
        <v>United Kingdom</v>
      </c>
      <c r="O2158" s="8">
        <f>IF(K2158&gt;=1,K2158,K2158*1000)</f>
        <v>520</v>
      </c>
      <c r="P2158">
        <f>ABS(H2158)</f>
        <v>1</v>
      </c>
      <c r="R2158"/>
    </row>
    <row r="2159" spans="1:18" x14ac:dyDescent="0.35">
      <c r="A2159" t="s">
        <v>3609</v>
      </c>
      <c r="B2159" s="2">
        <v>46031</v>
      </c>
      <c r="C2159" t="s">
        <v>2464</v>
      </c>
      <c r="D2159" s="3" t="s">
        <v>46</v>
      </c>
      <c r="E2159" t="s">
        <v>67</v>
      </c>
      <c r="F2159" t="s">
        <v>74</v>
      </c>
      <c r="G2159" t="s">
        <v>75</v>
      </c>
      <c r="H2159" s="8">
        <v>1</v>
      </c>
      <c r="I2159" s="10">
        <v>95</v>
      </c>
      <c r="J2159" s="14">
        <f>P2159*I2159</f>
        <v>95</v>
      </c>
      <c r="K2159" s="16">
        <v>410</v>
      </c>
      <c r="L2159" s="1" t="s">
        <v>30</v>
      </c>
      <c r="M2159" t="s">
        <v>22</v>
      </c>
      <c r="N2159" t="str">
        <f t="shared" si="45"/>
        <v>Ireland</v>
      </c>
      <c r="O2159" s="8">
        <f>IF(K2159&gt;=1,K2159,K2159*1000)</f>
        <v>410</v>
      </c>
      <c r="P2159">
        <f>ABS(H2159)</f>
        <v>1</v>
      </c>
      <c r="R2159"/>
    </row>
    <row r="2160" spans="1:18" x14ac:dyDescent="0.35">
      <c r="A2160" t="s">
        <v>3610</v>
      </c>
      <c r="B2160" s="2">
        <v>46130</v>
      </c>
      <c r="C2160" t="s">
        <v>3510</v>
      </c>
      <c r="D2160" s="3" t="s">
        <v>99</v>
      </c>
      <c r="E2160" t="s">
        <v>41</v>
      </c>
      <c r="F2160" t="s">
        <v>17</v>
      </c>
      <c r="G2160" t="s">
        <v>18</v>
      </c>
      <c r="H2160" s="8">
        <v>1</v>
      </c>
      <c r="I2160" s="10">
        <v>116.1</v>
      </c>
      <c r="J2160" s="14">
        <f>P2160*I2160</f>
        <v>116.1</v>
      </c>
      <c r="K2160" s="16">
        <v>520</v>
      </c>
      <c r="L2160" s="1" t="s">
        <v>30</v>
      </c>
      <c r="M2160" t="s">
        <v>22</v>
      </c>
      <c r="N2160" t="str">
        <f t="shared" si="45"/>
        <v>United Kingdom</v>
      </c>
      <c r="O2160" s="8">
        <f>IF(K2160&gt;=1,K2160,K2160*1000)</f>
        <v>520</v>
      </c>
      <c r="P2160">
        <f>ABS(H2160)</f>
        <v>1</v>
      </c>
      <c r="R2160"/>
    </row>
    <row r="2161" spans="1:18" x14ac:dyDescent="0.35">
      <c r="A2161" t="s">
        <v>3611</v>
      </c>
      <c r="B2161" s="2">
        <v>46113</v>
      </c>
      <c r="C2161" t="s">
        <v>2205</v>
      </c>
      <c r="D2161" s="3" t="s">
        <v>4613</v>
      </c>
      <c r="E2161" t="s">
        <v>41</v>
      </c>
      <c r="F2161" t="s">
        <v>83</v>
      </c>
      <c r="G2161" t="s">
        <v>84</v>
      </c>
      <c r="H2161" s="8">
        <v>2</v>
      </c>
      <c r="I2161" s="10">
        <v>149</v>
      </c>
      <c r="J2161" s="14">
        <f>P2161*I2161</f>
        <v>298</v>
      </c>
      <c r="K2161" s="16">
        <v>340</v>
      </c>
      <c r="L2161" s="1" t="s">
        <v>21</v>
      </c>
      <c r="M2161" t="s">
        <v>22</v>
      </c>
      <c r="N2161" t="str">
        <f t="shared" si="45"/>
        <v>United Kingdom</v>
      </c>
      <c r="O2161" s="8">
        <f>IF(K2161&gt;=1,K2161,K2161*1000)</f>
        <v>340</v>
      </c>
      <c r="P2161">
        <f>ABS(H2161)</f>
        <v>2</v>
      </c>
      <c r="R2161"/>
    </row>
    <row r="2162" spans="1:18" x14ac:dyDescent="0.35">
      <c r="A2162" t="s">
        <v>3612</v>
      </c>
      <c r="B2162" s="2">
        <v>46054</v>
      </c>
      <c r="C2162" t="s">
        <v>1087</v>
      </c>
      <c r="D2162" s="3" t="s">
        <v>99</v>
      </c>
      <c r="E2162" t="s">
        <v>41</v>
      </c>
      <c r="F2162" t="s">
        <v>35</v>
      </c>
      <c r="G2162" t="s">
        <v>36</v>
      </c>
      <c r="H2162" s="8">
        <v>3</v>
      </c>
      <c r="I2162" s="10">
        <v>45</v>
      </c>
      <c r="J2162" s="14">
        <f>P2162*I2162</f>
        <v>135</v>
      </c>
      <c r="K2162" s="16">
        <v>85</v>
      </c>
      <c r="L2162" s="1" t="s">
        <v>30</v>
      </c>
      <c r="M2162" t="s">
        <v>22</v>
      </c>
      <c r="N2162" t="str">
        <f t="shared" si="45"/>
        <v>United Kingdom</v>
      </c>
      <c r="O2162" s="8">
        <f>IF(K2162&gt;=1,K2162,K2162*1000)</f>
        <v>85</v>
      </c>
      <c r="P2162">
        <f>ABS(H2162)</f>
        <v>3</v>
      </c>
      <c r="R2162"/>
    </row>
    <row r="2163" spans="1:18" x14ac:dyDescent="0.35">
      <c r="A2163" t="s">
        <v>3613</v>
      </c>
      <c r="B2163" s="2">
        <v>46029</v>
      </c>
      <c r="C2163" t="s">
        <v>1442</v>
      </c>
      <c r="D2163" s="3" t="s">
        <v>46</v>
      </c>
      <c r="E2163" t="s">
        <v>16</v>
      </c>
      <c r="F2163" t="s">
        <v>74</v>
      </c>
      <c r="G2163" t="s">
        <v>75</v>
      </c>
      <c r="H2163" s="8">
        <v>1</v>
      </c>
      <c r="I2163" s="10">
        <v>71.099999999999994</v>
      </c>
      <c r="J2163" s="14">
        <f>P2163*I2163</f>
        <v>71.099999999999994</v>
      </c>
      <c r="K2163" s="16">
        <v>410</v>
      </c>
      <c r="L2163" s="1" t="s">
        <v>21</v>
      </c>
      <c r="M2163" t="s">
        <v>22</v>
      </c>
      <c r="N2163" t="str">
        <f t="shared" si="45"/>
        <v>Ireland</v>
      </c>
      <c r="O2163" s="8">
        <f>IF(K2163&gt;=1,K2163,K2163*1000)</f>
        <v>410</v>
      </c>
      <c r="P2163">
        <f>ABS(H2163)</f>
        <v>1</v>
      </c>
      <c r="R2163"/>
    </row>
    <row r="2164" spans="1:18" x14ac:dyDescent="0.35">
      <c r="A2164" t="s">
        <v>3614</v>
      </c>
      <c r="B2164" s="2">
        <v>46071</v>
      </c>
      <c r="C2164" t="s">
        <v>659</v>
      </c>
      <c r="D2164" s="3" t="s">
        <v>15</v>
      </c>
      <c r="E2164" t="s">
        <v>41</v>
      </c>
      <c r="F2164" t="s">
        <v>17</v>
      </c>
      <c r="G2164" t="s">
        <v>18</v>
      </c>
      <c r="H2164" s="8">
        <v>3</v>
      </c>
      <c r="I2164" s="10">
        <v>40.5</v>
      </c>
      <c r="J2164" s="14">
        <f>P2164*I2164</f>
        <v>121.5</v>
      </c>
      <c r="K2164" s="16">
        <v>520</v>
      </c>
      <c r="L2164" s="1" t="s">
        <v>30</v>
      </c>
      <c r="M2164" t="s">
        <v>58</v>
      </c>
      <c r="N2164" t="str">
        <f t="shared" si="45"/>
        <v>France</v>
      </c>
      <c r="O2164" s="8">
        <f>IF(K2164&gt;=1,K2164,K2164*1000)</f>
        <v>520</v>
      </c>
      <c r="P2164">
        <f>ABS(H2164)</f>
        <v>3</v>
      </c>
      <c r="R2164"/>
    </row>
    <row r="2165" spans="1:18" x14ac:dyDescent="0.35">
      <c r="A2165" t="s">
        <v>3615</v>
      </c>
      <c r="B2165" s="2">
        <v>46040</v>
      </c>
      <c r="C2165" t="s">
        <v>2672</v>
      </c>
      <c r="D2165" s="3" t="s">
        <v>116</v>
      </c>
      <c r="E2165" t="s">
        <v>41</v>
      </c>
      <c r="F2165" t="s">
        <v>47</v>
      </c>
      <c r="G2165" t="s">
        <v>48</v>
      </c>
      <c r="H2165" s="8">
        <v>3</v>
      </c>
      <c r="I2165" s="10">
        <v>12.5</v>
      </c>
      <c r="J2165" s="14">
        <f>P2165*I2165</f>
        <v>37.5</v>
      </c>
      <c r="K2165" s="16">
        <v>380</v>
      </c>
      <c r="L2165" s="1" t="s">
        <v>30</v>
      </c>
      <c r="M2165" t="s">
        <v>22</v>
      </c>
      <c r="N2165" t="str">
        <f t="shared" si="45"/>
        <v>Germany</v>
      </c>
      <c r="O2165" s="8">
        <f>IF(K2165&gt;=1,K2165,K2165*1000)</f>
        <v>380</v>
      </c>
      <c r="P2165">
        <f>ABS(H2165)</f>
        <v>3</v>
      </c>
      <c r="R2165"/>
    </row>
    <row r="2166" spans="1:18" x14ac:dyDescent="0.35">
      <c r="A2166" t="s">
        <v>3616</v>
      </c>
      <c r="B2166" s="2">
        <v>46164</v>
      </c>
      <c r="C2166" t="s">
        <v>1589</v>
      </c>
      <c r="D2166" s="3" t="s">
        <v>99</v>
      </c>
      <c r="E2166" t="s">
        <v>41</v>
      </c>
      <c r="F2166" t="s">
        <v>89</v>
      </c>
      <c r="G2166" t="s">
        <v>90</v>
      </c>
      <c r="H2166" s="8">
        <v>2</v>
      </c>
      <c r="I2166" s="10">
        <v>116.1</v>
      </c>
      <c r="J2166" s="14">
        <f>P2166*I2166</f>
        <v>232.2</v>
      </c>
      <c r="K2166" s="16">
        <v>0.64</v>
      </c>
      <c r="L2166" s="1" t="s">
        <v>30</v>
      </c>
      <c r="M2166" t="s">
        <v>58</v>
      </c>
      <c r="N2166" t="str">
        <f t="shared" si="45"/>
        <v>United Kingdom</v>
      </c>
      <c r="O2166" s="8">
        <f>IF(K2166&gt;=1,K2166,K2166*1000)</f>
        <v>640</v>
      </c>
      <c r="P2166">
        <f>ABS(H2166)</f>
        <v>2</v>
      </c>
      <c r="R2166"/>
    </row>
    <row r="2167" spans="1:18" x14ac:dyDescent="0.35">
      <c r="A2167" t="s">
        <v>3617</v>
      </c>
      <c r="B2167" s="2">
        <v>46142</v>
      </c>
      <c r="C2167" t="s">
        <v>3618</v>
      </c>
      <c r="D2167" s="3" t="s">
        <v>61</v>
      </c>
      <c r="E2167" t="s">
        <v>16</v>
      </c>
      <c r="F2167" t="s">
        <v>89</v>
      </c>
      <c r="G2167" t="s">
        <v>90</v>
      </c>
      <c r="H2167" s="8">
        <v>1</v>
      </c>
      <c r="I2167" s="10">
        <v>45</v>
      </c>
      <c r="J2167" s="14">
        <f>P2167*I2167</f>
        <v>45</v>
      </c>
      <c r="K2167" s="16">
        <v>0.64</v>
      </c>
      <c r="L2167" s="1" t="s">
        <v>21</v>
      </c>
      <c r="M2167" t="s">
        <v>22</v>
      </c>
      <c r="N2167" t="str">
        <f t="shared" si="45"/>
        <v>Ireland</v>
      </c>
      <c r="O2167" s="8">
        <f>IF(K2167&gt;=1,K2167,K2167*1000)</f>
        <v>640</v>
      </c>
      <c r="P2167">
        <f>ABS(H2167)</f>
        <v>1</v>
      </c>
      <c r="R2167"/>
    </row>
    <row r="2168" spans="1:18" x14ac:dyDescent="0.35">
      <c r="A2168" t="s">
        <v>3619</v>
      </c>
      <c r="B2168" s="2">
        <v>46144</v>
      </c>
      <c r="C2168" t="s">
        <v>2733</v>
      </c>
      <c r="D2168" s="3" t="s">
        <v>99</v>
      </c>
      <c r="E2168" t="s">
        <v>25</v>
      </c>
      <c r="F2168" t="s">
        <v>35</v>
      </c>
      <c r="G2168" t="s">
        <v>36</v>
      </c>
      <c r="H2168" s="8">
        <v>1</v>
      </c>
      <c r="I2168" s="10">
        <v>24</v>
      </c>
      <c r="J2168" s="14">
        <f>P2168*I2168</f>
        <v>24</v>
      </c>
      <c r="K2168" s="16">
        <v>8.5000000000000006E-2</v>
      </c>
      <c r="L2168" s="1" t="s">
        <v>30</v>
      </c>
      <c r="M2168" t="s">
        <v>22</v>
      </c>
      <c r="N2168" t="str">
        <f t="shared" si="45"/>
        <v>United Kingdom</v>
      </c>
      <c r="O2168" s="8">
        <f>IF(K2168&gt;=1,K2168,K2168*1000)</f>
        <v>85</v>
      </c>
      <c r="P2168">
        <f>ABS(H2168)</f>
        <v>1</v>
      </c>
      <c r="R2168"/>
    </row>
    <row r="2169" spans="1:18" x14ac:dyDescent="0.35">
      <c r="A2169" t="s">
        <v>3620</v>
      </c>
      <c r="B2169" s="2">
        <v>46196</v>
      </c>
      <c r="C2169" t="s">
        <v>1482</v>
      </c>
      <c r="D2169" s="3" t="s">
        <v>116</v>
      </c>
      <c r="E2169" t="s">
        <v>67</v>
      </c>
      <c r="F2169" t="s">
        <v>17</v>
      </c>
      <c r="G2169" t="s">
        <v>18</v>
      </c>
      <c r="H2169" s="8">
        <v>1</v>
      </c>
      <c r="I2169" s="10">
        <v>24</v>
      </c>
      <c r="J2169" s="14">
        <f>P2169*I2169</f>
        <v>24</v>
      </c>
      <c r="K2169" s="16">
        <v>0.52</v>
      </c>
      <c r="L2169" s="1" t="s">
        <v>30</v>
      </c>
      <c r="M2169" t="s">
        <v>22</v>
      </c>
      <c r="N2169" t="str">
        <f t="shared" si="45"/>
        <v>Germany</v>
      </c>
      <c r="O2169" s="8">
        <f>IF(K2169&gt;=1,K2169,K2169*1000)</f>
        <v>520</v>
      </c>
      <c r="P2169">
        <f>ABS(H2169)</f>
        <v>1</v>
      </c>
      <c r="R2169"/>
    </row>
    <row r="2170" spans="1:18" x14ac:dyDescent="0.35">
      <c r="A2170" t="s">
        <v>3621</v>
      </c>
      <c r="B2170" s="2">
        <v>46075</v>
      </c>
      <c r="C2170" t="s">
        <v>3005</v>
      </c>
      <c r="D2170" s="3" t="s">
        <v>66</v>
      </c>
      <c r="E2170" t="s">
        <v>16</v>
      </c>
      <c r="F2170" t="s">
        <v>42</v>
      </c>
      <c r="G2170" t="s">
        <v>43</v>
      </c>
      <c r="H2170" s="8">
        <v>2</v>
      </c>
      <c r="I2170" s="10">
        <v>129</v>
      </c>
      <c r="J2170" s="14">
        <f>P2170*I2170</f>
        <v>258</v>
      </c>
      <c r="K2170" s="16">
        <v>190</v>
      </c>
      <c r="L2170" s="1" t="s">
        <v>21</v>
      </c>
      <c r="M2170" t="s">
        <v>58</v>
      </c>
      <c r="N2170" t="str">
        <f t="shared" si="45"/>
        <v>Gb</v>
      </c>
      <c r="O2170" s="8">
        <f>IF(K2170&gt;=1,K2170,K2170*1000)</f>
        <v>190</v>
      </c>
      <c r="P2170">
        <f>ABS(H2170)</f>
        <v>2</v>
      </c>
      <c r="R2170"/>
    </row>
    <row r="2171" spans="1:18" x14ac:dyDescent="0.35">
      <c r="A2171" t="s">
        <v>3622</v>
      </c>
      <c r="B2171" s="2">
        <v>46128</v>
      </c>
      <c r="C2171" t="s">
        <v>1633</v>
      </c>
      <c r="D2171" s="3" t="s">
        <v>53</v>
      </c>
      <c r="E2171" t="s">
        <v>34</v>
      </c>
      <c r="F2171" t="s">
        <v>17</v>
      </c>
      <c r="G2171" t="s">
        <v>18</v>
      </c>
      <c r="H2171" s="8">
        <v>2</v>
      </c>
      <c r="I2171" s="10">
        <v>95</v>
      </c>
      <c r="J2171" s="14">
        <f>P2171*I2171</f>
        <v>190</v>
      </c>
      <c r="K2171" s="16">
        <v>520</v>
      </c>
      <c r="L2171" s="1" t="s">
        <v>21</v>
      </c>
      <c r="M2171" t="s">
        <v>22</v>
      </c>
      <c r="N2171" t="str">
        <f t="shared" si="45"/>
        <v>Gb</v>
      </c>
      <c r="O2171" s="8">
        <f>IF(K2171&gt;=1,K2171,K2171*1000)</f>
        <v>520</v>
      </c>
      <c r="P2171">
        <f>ABS(H2171)</f>
        <v>2</v>
      </c>
      <c r="R2171"/>
    </row>
    <row r="2172" spans="1:18" x14ac:dyDescent="0.35">
      <c r="A2172" t="s">
        <v>3623</v>
      </c>
      <c r="B2172" s="2">
        <v>46058</v>
      </c>
      <c r="C2172" t="s">
        <v>1555</v>
      </c>
      <c r="D2172" s="3" t="s">
        <v>15</v>
      </c>
      <c r="E2172" t="s">
        <v>16</v>
      </c>
      <c r="F2172" t="s">
        <v>26</v>
      </c>
      <c r="G2172" t="s">
        <v>27</v>
      </c>
      <c r="H2172" s="8">
        <v>2</v>
      </c>
      <c r="I2172" s="10">
        <v>134.1</v>
      </c>
      <c r="J2172" s="14">
        <f>P2172*I2172</f>
        <v>268.2</v>
      </c>
      <c r="K2172" s="16">
        <v>520</v>
      </c>
      <c r="L2172" s="1" t="s">
        <v>30</v>
      </c>
      <c r="M2172" t="s">
        <v>22</v>
      </c>
      <c r="N2172" t="str">
        <f t="shared" si="45"/>
        <v>France</v>
      </c>
      <c r="O2172" s="8">
        <f>IF(K2172&gt;=1,K2172,K2172*1000)</f>
        <v>520</v>
      </c>
      <c r="P2172">
        <f>ABS(H2172)</f>
        <v>2</v>
      </c>
      <c r="R2172"/>
    </row>
    <row r="2173" spans="1:18" x14ac:dyDescent="0.35">
      <c r="A2173" t="s">
        <v>3624</v>
      </c>
      <c r="B2173" s="2" t="s">
        <v>2266</v>
      </c>
      <c r="C2173" t="s">
        <v>2583</v>
      </c>
      <c r="D2173" s="3" t="s">
        <v>4613</v>
      </c>
      <c r="E2173" t="s">
        <v>41</v>
      </c>
      <c r="F2173" t="s">
        <v>74</v>
      </c>
      <c r="G2173" t="s">
        <v>75</v>
      </c>
      <c r="H2173" s="8">
        <v>-2</v>
      </c>
      <c r="I2173" s="10">
        <v>149</v>
      </c>
      <c r="J2173" s="14">
        <f>P2173*I2173</f>
        <v>298</v>
      </c>
      <c r="K2173" s="16">
        <v>0.41</v>
      </c>
      <c r="L2173" s="1" t="s">
        <v>30</v>
      </c>
      <c r="M2173" t="s">
        <v>22</v>
      </c>
      <c r="N2173" t="str">
        <f t="shared" si="45"/>
        <v>United Kingdom</v>
      </c>
      <c r="O2173" s="8">
        <f>IF(K2173&gt;=1,K2173,K2173*1000)</f>
        <v>410</v>
      </c>
      <c r="P2173">
        <f>ABS(H2173)</f>
        <v>2</v>
      </c>
      <c r="R2173"/>
    </row>
    <row r="2174" spans="1:18" x14ac:dyDescent="0.35">
      <c r="A2174" t="s">
        <v>3625</v>
      </c>
      <c r="B2174" s="2">
        <v>46206</v>
      </c>
      <c r="C2174" t="s">
        <v>1126</v>
      </c>
      <c r="D2174" s="3" t="s">
        <v>46</v>
      </c>
      <c r="E2174" t="s">
        <v>67</v>
      </c>
      <c r="F2174" t="s">
        <v>74</v>
      </c>
      <c r="G2174" t="s">
        <v>75</v>
      </c>
      <c r="H2174" s="8">
        <v>1</v>
      </c>
      <c r="I2174" s="10">
        <v>11.25</v>
      </c>
      <c r="J2174" s="14">
        <f>P2174*I2174</f>
        <v>11.25</v>
      </c>
      <c r="K2174" s="16">
        <v>410</v>
      </c>
      <c r="L2174" s="1" t="s">
        <v>30</v>
      </c>
      <c r="M2174" t="s">
        <v>58</v>
      </c>
      <c r="N2174" t="str">
        <f t="shared" si="45"/>
        <v>Ireland</v>
      </c>
      <c r="O2174" s="8">
        <f>IF(K2174&gt;=1,K2174,K2174*1000)</f>
        <v>410</v>
      </c>
      <c r="P2174">
        <f>ABS(H2174)</f>
        <v>1</v>
      </c>
      <c r="R2174"/>
    </row>
    <row r="2175" spans="1:18" x14ac:dyDescent="0.35">
      <c r="A2175" t="s">
        <v>3626</v>
      </c>
      <c r="B2175" s="2">
        <v>46204</v>
      </c>
      <c r="C2175" t="s">
        <v>1577</v>
      </c>
      <c r="D2175" s="3" t="s">
        <v>15</v>
      </c>
      <c r="E2175" t="s">
        <v>16</v>
      </c>
      <c r="F2175" t="s">
        <v>26</v>
      </c>
      <c r="G2175" t="s">
        <v>27</v>
      </c>
      <c r="H2175" s="8">
        <v>1</v>
      </c>
      <c r="I2175" s="10">
        <v>12.5</v>
      </c>
      <c r="J2175" s="14">
        <f>P2175*I2175</f>
        <v>12.5</v>
      </c>
      <c r="K2175" s="16">
        <v>0.52</v>
      </c>
      <c r="L2175" s="1" t="s">
        <v>30</v>
      </c>
      <c r="M2175" t="s">
        <v>22</v>
      </c>
      <c r="N2175" t="str">
        <f t="shared" si="45"/>
        <v>France</v>
      </c>
      <c r="O2175" s="8">
        <f>IF(K2175&gt;=1,K2175,K2175*1000)</f>
        <v>520</v>
      </c>
      <c r="P2175">
        <f>ABS(H2175)</f>
        <v>1</v>
      </c>
      <c r="R2175"/>
    </row>
    <row r="2176" spans="1:18" x14ac:dyDescent="0.35">
      <c r="A2176" t="s">
        <v>3627</v>
      </c>
      <c r="B2176" s="2">
        <v>46092</v>
      </c>
      <c r="C2176" t="s">
        <v>2660</v>
      </c>
      <c r="D2176" s="3" t="s">
        <v>116</v>
      </c>
      <c r="E2176" t="s">
        <v>41</v>
      </c>
      <c r="F2176" t="s">
        <v>42</v>
      </c>
      <c r="G2176" t="s">
        <v>43</v>
      </c>
      <c r="H2176" s="8">
        <v>1</v>
      </c>
      <c r="I2176" s="10">
        <v>24</v>
      </c>
      <c r="J2176" s="14">
        <f>P2176*I2176</f>
        <v>24</v>
      </c>
      <c r="K2176" s="16">
        <v>190</v>
      </c>
      <c r="L2176" s="1" t="s">
        <v>21</v>
      </c>
      <c r="M2176" t="s">
        <v>22</v>
      </c>
      <c r="N2176" t="str">
        <f t="shared" si="45"/>
        <v>Germany</v>
      </c>
      <c r="O2176" s="8">
        <f>IF(K2176&gt;=1,K2176,K2176*1000)</f>
        <v>190</v>
      </c>
      <c r="P2176">
        <f>ABS(H2176)</f>
        <v>1</v>
      </c>
      <c r="R2176"/>
    </row>
    <row r="2177" spans="1:18" x14ac:dyDescent="0.35">
      <c r="A2177" t="s">
        <v>3628</v>
      </c>
      <c r="B2177" s="2">
        <v>46163</v>
      </c>
      <c r="C2177" t="s">
        <v>1300</v>
      </c>
      <c r="D2177" s="3" t="s">
        <v>116</v>
      </c>
      <c r="E2177" t="s">
        <v>16</v>
      </c>
      <c r="F2177" t="s">
        <v>74</v>
      </c>
      <c r="G2177" t="s">
        <v>75</v>
      </c>
      <c r="H2177" s="8">
        <v>2</v>
      </c>
      <c r="I2177" s="10">
        <v>11.25</v>
      </c>
      <c r="J2177" s="14">
        <f>P2177*I2177</f>
        <v>22.5</v>
      </c>
      <c r="K2177" s="16">
        <v>0.41</v>
      </c>
      <c r="L2177" s="1" t="s">
        <v>30</v>
      </c>
      <c r="M2177" t="s">
        <v>58</v>
      </c>
      <c r="N2177" t="str">
        <f t="shared" si="45"/>
        <v>Germany</v>
      </c>
      <c r="O2177" s="8">
        <f>IF(K2177&gt;=1,K2177,K2177*1000)</f>
        <v>410</v>
      </c>
      <c r="P2177">
        <f>ABS(H2177)</f>
        <v>2</v>
      </c>
      <c r="R2177"/>
    </row>
    <row r="2178" spans="1:18" x14ac:dyDescent="0.35">
      <c r="A2178" t="s">
        <v>3629</v>
      </c>
      <c r="B2178" s="2">
        <v>46111</v>
      </c>
      <c r="C2178" t="s">
        <v>2389</v>
      </c>
      <c r="D2178" s="3" t="s">
        <v>116</v>
      </c>
      <c r="E2178" t="s">
        <v>16</v>
      </c>
      <c r="F2178" t="s">
        <v>42</v>
      </c>
      <c r="G2178" t="s">
        <v>43</v>
      </c>
      <c r="H2178" s="8">
        <v>1</v>
      </c>
      <c r="I2178" s="10">
        <v>45</v>
      </c>
      <c r="J2178" s="14">
        <f>P2178*I2178</f>
        <v>45</v>
      </c>
      <c r="K2178" s="16">
        <v>190</v>
      </c>
      <c r="L2178" s="1" t="s">
        <v>30</v>
      </c>
      <c r="M2178" t="s">
        <v>22</v>
      </c>
      <c r="N2178" t="str">
        <f t="shared" si="45"/>
        <v>Germany</v>
      </c>
      <c r="O2178" s="8">
        <f>IF(K2178&gt;=1,K2178,K2178*1000)</f>
        <v>190</v>
      </c>
      <c r="P2178">
        <f>ABS(H2178)</f>
        <v>1</v>
      </c>
      <c r="R2178"/>
    </row>
    <row r="2179" spans="1:18" x14ac:dyDescent="0.35">
      <c r="A2179" t="s">
        <v>3630</v>
      </c>
      <c r="B2179" s="2">
        <v>46198</v>
      </c>
      <c r="C2179" t="s">
        <v>453</v>
      </c>
      <c r="D2179" s="3" t="s">
        <v>46</v>
      </c>
      <c r="E2179" t="s">
        <v>16</v>
      </c>
      <c r="F2179" t="s">
        <v>83</v>
      </c>
      <c r="G2179" t="s">
        <v>84</v>
      </c>
      <c r="H2179" s="8">
        <v>2</v>
      </c>
      <c r="I2179" s="10">
        <v>45</v>
      </c>
      <c r="J2179" s="14">
        <f>P2179*I2179</f>
        <v>90</v>
      </c>
      <c r="K2179" s="16">
        <v>0.34</v>
      </c>
      <c r="L2179" s="1" t="s">
        <v>30</v>
      </c>
      <c r="M2179" t="s">
        <v>22</v>
      </c>
      <c r="N2179" t="str">
        <f t="shared" ref="N2179:N2242" si="46">PROPER(TRIM(D2179))</f>
        <v>Ireland</v>
      </c>
      <c r="O2179" s="8">
        <f>IF(K2179&gt;=1,K2179,K2179*1000)</f>
        <v>340</v>
      </c>
      <c r="P2179">
        <f>ABS(H2179)</f>
        <v>2</v>
      </c>
      <c r="R2179"/>
    </row>
    <row r="2180" spans="1:18" x14ac:dyDescent="0.35">
      <c r="A2180" t="s">
        <v>3631</v>
      </c>
      <c r="B2180" s="2">
        <v>46082</v>
      </c>
      <c r="C2180" t="s">
        <v>1111</v>
      </c>
      <c r="D2180" s="3" t="s">
        <v>116</v>
      </c>
      <c r="E2180" t="s">
        <v>16</v>
      </c>
      <c r="F2180" t="s">
        <v>74</v>
      </c>
      <c r="G2180" t="s">
        <v>75</v>
      </c>
      <c r="H2180" s="8">
        <v>1</v>
      </c>
      <c r="I2180" s="10">
        <v>24</v>
      </c>
      <c r="J2180" s="14">
        <f>P2180*I2180</f>
        <v>24</v>
      </c>
      <c r="K2180" s="16">
        <v>410</v>
      </c>
      <c r="L2180" s="1" t="s">
        <v>21</v>
      </c>
      <c r="M2180" t="s">
        <v>22</v>
      </c>
      <c r="N2180" t="str">
        <f t="shared" si="46"/>
        <v>Germany</v>
      </c>
      <c r="O2180" s="8">
        <f>IF(K2180&gt;=1,K2180,K2180*1000)</f>
        <v>410</v>
      </c>
      <c r="P2180">
        <f>ABS(H2180)</f>
        <v>1</v>
      </c>
      <c r="R2180"/>
    </row>
    <row r="2181" spans="1:18" x14ac:dyDescent="0.35">
      <c r="A2181" t="s">
        <v>3632</v>
      </c>
      <c r="B2181" s="2" t="s">
        <v>1291</v>
      </c>
      <c r="C2181" t="s">
        <v>3633</v>
      </c>
      <c r="D2181" s="3" t="s">
        <v>15</v>
      </c>
      <c r="E2181" t="s">
        <v>67</v>
      </c>
      <c r="F2181" t="s">
        <v>17</v>
      </c>
      <c r="G2181" t="s">
        <v>18</v>
      </c>
      <c r="H2181" s="8">
        <v>1</v>
      </c>
      <c r="I2181" s="10">
        <v>24</v>
      </c>
      <c r="J2181" s="14">
        <f>P2181*I2181</f>
        <v>24</v>
      </c>
      <c r="K2181" s="16">
        <v>0.52</v>
      </c>
      <c r="L2181" s="1" t="s">
        <v>30</v>
      </c>
      <c r="M2181" t="s">
        <v>58</v>
      </c>
      <c r="N2181" t="str">
        <f t="shared" si="46"/>
        <v>France</v>
      </c>
      <c r="O2181" s="8">
        <f>IF(K2181&gt;=1,K2181,K2181*1000)</f>
        <v>520</v>
      </c>
      <c r="P2181">
        <f>ABS(H2181)</f>
        <v>1</v>
      </c>
      <c r="R2181"/>
    </row>
    <row r="2182" spans="1:18" x14ac:dyDescent="0.35">
      <c r="A2182" t="s">
        <v>3634</v>
      </c>
      <c r="B2182" s="2">
        <v>46085</v>
      </c>
      <c r="C2182" t="s">
        <v>55</v>
      </c>
      <c r="D2182" s="3" t="s">
        <v>46</v>
      </c>
      <c r="E2182" t="s">
        <v>34</v>
      </c>
      <c r="F2182" t="s">
        <v>47</v>
      </c>
      <c r="G2182" t="s">
        <v>48</v>
      </c>
      <c r="H2182" s="8">
        <v>3</v>
      </c>
      <c r="I2182" s="10">
        <v>89</v>
      </c>
      <c r="J2182" s="14">
        <f>P2182*I2182</f>
        <v>267</v>
      </c>
      <c r="K2182" s="16">
        <v>380</v>
      </c>
      <c r="L2182" s="1" t="s">
        <v>30</v>
      </c>
      <c r="M2182" t="s">
        <v>58</v>
      </c>
      <c r="N2182" t="str">
        <f t="shared" si="46"/>
        <v>Ireland</v>
      </c>
      <c r="O2182" s="8">
        <f>IF(K2182&gt;=1,K2182,K2182*1000)</f>
        <v>380</v>
      </c>
      <c r="P2182">
        <f>ABS(H2182)</f>
        <v>3</v>
      </c>
      <c r="R2182"/>
    </row>
    <row r="2183" spans="1:18" x14ac:dyDescent="0.35">
      <c r="A2183" t="s">
        <v>3635</v>
      </c>
      <c r="B2183" s="2">
        <v>46206</v>
      </c>
      <c r="C2183" t="s">
        <v>594</v>
      </c>
      <c r="D2183" s="3" t="s">
        <v>66</v>
      </c>
      <c r="E2183" t="s">
        <v>25</v>
      </c>
      <c r="F2183" t="s">
        <v>17</v>
      </c>
      <c r="G2183" t="s">
        <v>18</v>
      </c>
      <c r="H2183" s="8">
        <v>1</v>
      </c>
      <c r="I2183" s="10">
        <v>11.25</v>
      </c>
      <c r="J2183" s="14">
        <f>P2183*I2183</f>
        <v>11.25</v>
      </c>
      <c r="K2183" s="16">
        <v>0.52</v>
      </c>
      <c r="L2183" s="1" t="s">
        <v>30</v>
      </c>
      <c r="M2183" t="s">
        <v>22</v>
      </c>
      <c r="N2183" t="str">
        <f t="shared" si="46"/>
        <v>Gb</v>
      </c>
      <c r="O2183" s="8">
        <f>IF(K2183&gt;=1,K2183,K2183*1000)</f>
        <v>520</v>
      </c>
      <c r="P2183">
        <f>ABS(H2183)</f>
        <v>1</v>
      </c>
      <c r="R2183"/>
    </row>
    <row r="2184" spans="1:18" x14ac:dyDescent="0.35">
      <c r="A2184" t="s">
        <v>3636</v>
      </c>
      <c r="B2184" s="2">
        <v>46119</v>
      </c>
      <c r="C2184" t="s">
        <v>96</v>
      </c>
      <c r="D2184" s="3" t="s">
        <v>15</v>
      </c>
      <c r="E2184" t="s">
        <v>34</v>
      </c>
      <c r="F2184" t="s">
        <v>74</v>
      </c>
      <c r="G2184" t="s">
        <v>75</v>
      </c>
      <c r="H2184" s="8">
        <v>1</v>
      </c>
      <c r="I2184" s="10">
        <v>95</v>
      </c>
      <c r="J2184" s="14">
        <f>P2184*I2184</f>
        <v>95</v>
      </c>
      <c r="K2184" s="16">
        <v>410</v>
      </c>
      <c r="L2184" s="1" t="s">
        <v>30</v>
      </c>
      <c r="M2184" t="s">
        <v>22</v>
      </c>
      <c r="N2184" t="str">
        <f t="shared" si="46"/>
        <v>France</v>
      </c>
      <c r="O2184" s="8">
        <f>IF(K2184&gt;=1,K2184,K2184*1000)</f>
        <v>410</v>
      </c>
      <c r="P2184">
        <f>ABS(H2184)</f>
        <v>1</v>
      </c>
      <c r="R2184"/>
    </row>
    <row r="2185" spans="1:18" x14ac:dyDescent="0.35">
      <c r="A2185" t="s">
        <v>3637</v>
      </c>
      <c r="B2185" s="2">
        <v>46149</v>
      </c>
      <c r="C2185" t="s">
        <v>690</v>
      </c>
      <c r="D2185" s="3" t="s">
        <v>4613</v>
      </c>
      <c r="E2185" t="s">
        <v>67</v>
      </c>
      <c r="F2185" t="s">
        <v>35</v>
      </c>
      <c r="G2185" t="s">
        <v>36</v>
      </c>
      <c r="H2185" s="8">
        <v>-2</v>
      </c>
      <c r="I2185" s="10">
        <v>149</v>
      </c>
      <c r="J2185" s="14">
        <f>P2185*I2185</f>
        <v>298</v>
      </c>
      <c r="K2185" s="16">
        <v>8.5000000000000006E-2</v>
      </c>
      <c r="L2185" s="1" t="s">
        <v>30</v>
      </c>
      <c r="M2185" t="s">
        <v>58</v>
      </c>
      <c r="N2185" t="str">
        <f t="shared" si="46"/>
        <v>United Kingdom</v>
      </c>
      <c r="O2185" s="8">
        <f>IF(K2185&gt;=1,K2185,K2185*1000)</f>
        <v>85</v>
      </c>
      <c r="P2185">
        <f>ABS(H2185)</f>
        <v>2</v>
      </c>
      <c r="R2185"/>
    </row>
    <row r="2186" spans="1:18" x14ac:dyDescent="0.35">
      <c r="A2186" t="s">
        <v>3638</v>
      </c>
      <c r="B2186" s="2">
        <v>46052</v>
      </c>
      <c r="C2186" t="s">
        <v>1667</v>
      </c>
      <c r="D2186" s="3" t="s">
        <v>99</v>
      </c>
      <c r="E2186" t="s">
        <v>41</v>
      </c>
      <c r="F2186" t="s">
        <v>74</v>
      </c>
      <c r="G2186" t="s">
        <v>75</v>
      </c>
      <c r="H2186" s="8">
        <v>3</v>
      </c>
      <c r="I2186" s="10">
        <v>79</v>
      </c>
      <c r="J2186" s="14">
        <f>P2186*I2186</f>
        <v>237</v>
      </c>
      <c r="K2186" s="16">
        <v>410</v>
      </c>
      <c r="L2186" s="1" t="s">
        <v>30</v>
      </c>
      <c r="M2186" t="s">
        <v>58</v>
      </c>
      <c r="N2186" t="str">
        <f t="shared" si="46"/>
        <v>United Kingdom</v>
      </c>
      <c r="O2186" s="8">
        <f>IF(K2186&gt;=1,K2186,K2186*1000)</f>
        <v>410</v>
      </c>
      <c r="P2186">
        <f>ABS(H2186)</f>
        <v>3</v>
      </c>
      <c r="R2186"/>
    </row>
    <row r="2187" spans="1:18" x14ac:dyDescent="0.35">
      <c r="A2187" t="s">
        <v>3639</v>
      </c>
      <c r="B2187" s="2">
        <v>46203</v>
      </c>
      <c r="C2187" t="s">
        <v>3154</v>
      </c>
      <c r="D2187" s="3" t="s">
        <v>99</v>
      </c>
      <c r="E2187" t="s">
        <v>67</v>
      </c>
      <c r="F2187" t="s">
        <v>74</v>
      </c>
      <c r="G2187" t="s">
        <v>75</v>
      </c>
      <c r="H2187" s="8">
        <v>2</v>
      </c>
      <c r="I2187" s="10">
        <v>45</v>
      </c>
      <c r="J2187" s="14">
        <f>P2187*I2187</f>
        <v>90</v>
      </c>
      <c r="K2187" s="16">
        <v>0.41</v>
      </c>
      <c r="L2187" s="1" t="s">
        <v>30</v>
      </c>
      <c r="M2187" t="s">
        <v>22</v>
      </c>
      <c r="N2187" t="str">
        <f t="shared" si="46"/>
        <v>United Kingdom</v>
      </c>
      <c r="O2187" s="8">
        <f>IF(K2187&gt;=1,K2187,K2187*1000)</f>
        <v>410</v>
      </c>
      <c r="P2187">
        <f>ABS(H2187)</f>
        <v>2</v>
      </c>
      <c r="R2187"/>
    </row>
    <row r="2188" spans="1:18" x14ac:dyDescent="0.35">
      <c r="A2188" t="s">
        <v>3640</v>
      </c>
      <c r="B2188" s="2">
        <v>46197</v>
      </c>
      <c r="C2188" t="s">
        <v>1375</v>
      </c>
      <c r="D2188" s="3" t="s">
        <v>53</v>
      </c>
      <c r="E2188" t="s">
        <v>16</v>
      </c>
      <c r="F2188" t="s">
        <v>47</v>
      </c>
      <c r="G2188" t="s">
        <v>48</v>
      </c>
      <c r="H2188" s="8">
        <v>3</v>
      </c>
      <c r="I2188" s="10">
        <v>24</v>
      </c>
      <c r="J2188" s="14">
        <f>P2188*I2188</f>
        <v>72</v>
      </c>
      <c r="K2188" s="16">
        <v>0.38</v>
      </c>
      <c r="L2188" s="1" t="s">
        <v>21</v>
      </c>
      <c r="M2188" t="s">
        <v>22</v>
      </c>
      <c r="N2188" t="str">
        <f t="shared" si="46"/>
        <v>Gb</v>
      </c>
      <c r="O2188" s="8">
        <f>IF(K2188&gt;=1,K2188,K2188*1000)</f>
        <v>380</v>
      </c>
      <c r="P2188">
        <f>ABS(H2188)</f>
        <v>3</v>
      </c>
      <c r="R2188"/>
    </row>
    <row r="2189" spans="1:18" x14ac:dyDescent="0.35">
      <c r="A2189" t="s">
        <v>3641</v>
      </c>
      <c r="B2189" s="2">
        <v>46147</v>
      </c>
      <c r="C2189" t="s">
        <v>741</v>
      </c>
      <c r="D2189" s="3" t="s">
        <v>66</v>
      </c>
      <c r="E2189" t="s">
        <v>16</v>
      </c>
      <c r="F2189" t="s">
        <v>17</v>
      </c>
      <c r="G2189" t="s">
        <v>18</v>
      </c>
      <c r="H2189" s="8">
        <v>1</v>
      </c>
      <c r="I2189" s="10">
        <v>95</v>
      </c>
      <c r="J2189" s="14">
        <f>P2189*I2189</f>
        <v>95</v>
      </c>
      <c r="K2189" s="16">
        <v>0.52</v>
      </c>
      <c r="L2189" s="1" t="s">
        <v>30</v>
      </c>
      <c r="M2189" t="s">
        <v>22</v>
      </c>
      <c r="N2189" t="str">
        <f t="shared" si="46"/>
        <v>Gb</v>
      </c>
      <c r="O2189" s="8">
        <f>IF(K2189&gt;=1,K2189,K2189*1000)</f>
        <v>520</v>
      </c>
      <c r="P2189">
        <f>ABS(H2189)</f>
        <v>1</v>
      </c>
      <c r="R2189"/>
    </row>
    <row r="2190" spans="1:18" x14ac:dyDescent="0.35">
      <c r="A2190" t="s">
        <v>3642</v>
      </c>
      <c r="B2190" s="2">
        <v>46067</v>
      </c>
      <c r="C2190" t="s">
        <v>3643</v>
      </c>
      <c r="D2190" s="3" t="s">
        <v>53</v>
      </c>
      <c r="E2190" t="s">
        <v>41</v>
      </c>
      <c r="F2190" t="s">
        <v>35</v>
      </c>
      <c r="G2190" t="s">
        <v>36</v>
      </c>
      <c r="H2190" s="8">
        <v>2</v>
      </c>
      <c r="I2190" s="10">
        <v>116.1</v>
      </c>
      <c r="J2190" s="14">
        <f>P2190*I2190</f>
        <v>232.2</v>
      </c>
      <c r="K2190" s="16">
        <v>85</v>
      </c>
      <c r="L2190" s="1" t="s">
        <v>30</v>
      </c>
      <c r="M2190" t="s">
        <v>58</v>
      </c>
      <c r="N2190" t="str">
        <f t="shared" si="46"/>
        <v>Gb</v>
      </c>
      <c r="O2190" s="8">
        <f>IF(K2190&gt;=1,K2190,K2190*1000)</f>
        <v>85</v>
      </c>
      <c r="P2190">
        <f>ABS(H2190)</f>
        <v>2</v>
      </c>
      <c r="R2190"/>
    </row>
    <row r="2191" spans="1:18" x14ac:dyDescent="0.35">
      <c r="A2191" t="s">
        <v>3644</v>
      </c>
      <c r="B2191" s="2">
        <v>46145</v>
      </c>
      <c r="C2191" t="s">
        <v>1165</v>
      </c>
      <c r="D2191" s="3" t="s">
        <v>99</v>
      </c>
      <c r="E2191" t="s">
        <v>16</v>
      </c>
      <c r="F2191" t="s">
        <v>83</v>
      </c>
      <c r="G2191" t="s">
        <v>84</v>
      </c>
      <c r="H2191" s="8">
        <v>1</v>
      </c>
      <c r="I2191" s="10">
        <v>95</v>
      </c>
      <c r="J2191" s="14">
        <f>P2191*I2191</f>
        <v>95</v>
      </c>
      <c r="K2191" s="16">
        <v>0.34</v>
      </c>
      <c r="L2191" s="1" t="s">
        <v>21</v>
      </c>
      <c r="M2191" t="s">
        <v>58</v>
      </c>
      <c r="N2191" t="str">
        <f t="shared" si="46"/>
        <v>United Kingdom</v>
      </c>
      <c r="O2191" s="8">
        <f>IF(K2191&gt;=1,K2191,K2191*1000)</f>
        <v>340</v>
      </c>
      <c r="P2191">
        <f>ABS(H2191)</f>
        <v>1</v>
      </c>
      <c r="R2191"/>
    </row>
    <row r="2192" spans="1:18" x14ac:dyDescent="0.35">
      <c r="A2192" t="s">
        <v>3645</v>
      </c>
      <c r="B2192" s="2">
        <v>46103</v>
      </c>
      <c r="C2192" t="s">
        <v>1647</v>
      </c>
      <c r="D2192" s="3" t="s">
        <v>99</v>
      </c>
      <c r="E2192" t="s">
        <v>34</v>
      </c>
      <c r="F2192" t="s">
        <v>26</v>
      </c>
      <c r="G2192" t="s">
        <v>27</v>
      </c>
      <c r="H2192" s="8">
        <v>1</v>
      </c>
      <c r="I2192" s="10">
        <v>40.5</v>
      </c>
      <c r="J2192" s="14">
        <f>P2192*I2192</f>
        <v>40.5</v>
      </c>
      <c r="K2192" s="16">
        <v>520</v>
      </c>
      <c r="L2192" s="1" t="s">
        <v>30</v>
      </c>
      <c r="M2192" t="s">
        <v>58</v>
      </c>
      <c r="N2192" t="str">
        <f t="shared" si="46"/>
        <v>United Kingdom</v>
      </c>
      <c r="O2192" s="8">
        <f>IF(K2192&gt;=1,K2192,K2192*1000)</f>
        <v>520</v>
      </c>
      <c r="P2192">
        <f>ABS(H2192)</f>
        <v>1</v>
      </c>
      <c r="R2192"/>
    </row>
    <row r="2193" spans="1:18" x14ac:dyDescent="0.35">
      <c r="A2193" t="s">
        <v>3646</v>
      </c>
      <c r="B2193" s="2">
        <v>46102</v>
      </c>
      <c r="C2193" t="s">
        <v>3082</v>
      </c>
      <c r="D2193" s="3" t="s">
        <v>4613</v>
      </c>
      <c r="E2193" t="s">
        <v>25</v>
      </c>
      <c r="F2193" t="s">
        <v>74</v>
      </c>
      <c r="G2193" t="s">
        <v>75</v>
      </c>
      <c r="H2193" s="8">
        <v>1</v>
      </c>
      <c r="I2193" s="10">
        <v>129</v>
      </c>
      <c r="J2193" s="14">
        <f>P2193*I2193</f>
        <v>129</v>
      </c>
      <c r="K2193" s="16">
        <v>410</v>
      </c>
      <c r="L2193" s="1" t="s">
        <v>30</v>
      </c>
      <c r="M2193" t="s">
        <v>58</v>
      </c>
      <c r="N2193" t="str">
        <f t="shared" si="46"/>
        <v>United Kingdom</v>
      </c>
      <c r="O2193" s="8">
        <f>IF(K2193&gt;=1,K2193,K2193*1000)</f>
        <v>410</v>
      </c>
      <c r="P2193">
        <f>ABS(H2193)</f>
        <v>1</v>
      </c>
      <c r="R2193"/>
    </row>
    <row r="2194" spans="1:18" x14ac:dyDescent="0.35">
      <c r="A2194" t="s">
        <v>3647</v>
      </c>
      <c r="B2194" s="2">
        <v>46039</v>
      </c>
      <c r="C2194" t="s">
        <v>952</v>
      </c>
      <c r="D2194" s="3" t="s">
        <v>15</v>
      </c>
      <c r="E2194" t="s">
        <v>67</v>
      </c>
      <c r="F2194" t="s">
        <v>47</v>
      </c>
      <c r="G2194" t="s">
        <v>48</v>
      </c>
      <c r="H2194" s="8">
        <v>2</v>
      </c>
      <c r="I2194" s="12" t="s">
        <v>4639</v>
      </c>
      <c r="J2194" s="14">
        <f>P2194*R2194</f>
        <v>25</v>
      </c>
      <c r="K2194" s="16">
        <v>380</v>
      </c>
      <c r="L2194" s="1" t="s">
        <v>30</v>
      </c>
      <c r="M2194" t="s">
        <v>22</v>
      </c>
      <c r="N2194" t="str">
        <f t="shared" si="46"/>
        <v>France</v>
      </c>
      <c r="O2194" s="8">
        <f>IF(K2194&gt;=1,K2194,K2194*1000)</f>
        <v>380</v>
      </c>
      <c r="P2194">
        <f>ABS(H2194)</f>
        <v>2</v>
      </c>
      <c r="Q2194" t="str">
        <f>LEFT(I2194,2)</f>
        <v>Â£</v>
      </c>
      <c r="R2194" t="str">
        <f>RIGHT(I2194,5)</f>
        <v>12,50</v>
      </c>
    </row>
    <row r="2195" spans="1:18" x14ac:dyDescent="0.35">
      <c r="A2195" t="s">
        <v>3648</v>
      </c>
      <c r="B2195" s="2">
        <v>46107</v>
      </c>
      <c r="C2195" t="s">
        <v>1329</v>
      </c>
      <c r="D2195" s="3" t="s">
        <v>4612</v>
      </c>
      <c r="E2195" t="s">
        <v>67</v>
      </c>
      <c r="F2195" t="s">
        <v>17</v>
      </c>
      <c r="G2195" t="s">
        <v>18</v>
      </c>
      <c r="H2195" s="8">
        <v>1</v>
      </c>
      <c r="I2195" s="10">
        <v>95</v>
      </c>
      <c r="J2195" s="14">
        <f>P2195*I2195</f>
        <v>95</v>
      </c>
      <c r="K2195" s="16">
        <v>520</v>
      </c>
      <c r="L2195" s="1" t="s">
        <v>30</v>
      </c>
      <c r="M2195" t="s">
        <v>22</v>
      </c>
      <c r="N2195" t="str">
        <f t="shared" si="46"/>
        <v>United Kingdom</v>
      </c>
      <c r="O2195" s="8">
        <f>IF(K2195&gt;=1,K2195,K2195*1000)</f>
        <v>520</v>
      </c>
      <c r="P2195">
        <f>ABS(H2195)</f>
        <v>1</v>
      </c>
      <c r="R2195"/>
    </row>
    <row r="2196" spans="1:18" x14ac:dyDescent="0.35">
      <c r="A2196" t="s">
        <v>3649</v>
      </c>
      <c r="B2196" s="2">
        <v>46165</v>
      </c>
      <c r="C2196" t="s">
        <v>70</v>
      </c>
      <c r="D2196" s="3" t="s">
        <v>66</v>
      </c>
      <c r="E2196" t="s">
        <v>16</v>
      </c>
      <c r="F2196" t="s">
        <v>26</v>
      </c>
      <c r="G2196" t="s">
        <v>27</v>
      </c>
      <c r="H2196" s="8">
        <v>2</v>
      </c>
      <c r="I2196" s="10">
        <v>85.5</v>
      </c>
      <c r="J2196" s="14">
        <f>P2196*I2196</f>
        <v>171</v>
      </c>
      <c r="K2196" s="16">
        <v>0.52</v>
      </c>
      <c r="L2196" s="1" t="s">
        <v>30</v>
      </c>
      <c r="M2196" t="s">
        <v>22</v>
      </c>
      <c r="N2196" t="str">
        <f t="shared" si="46"/>
        <v>Gb</v>
      </c>
      <c r="O2196" s="8">
        <f>IF(K2196&gt;=1,K2196,K2196*1000)</f>
        <v>520</v>
      </c>
      <c r="P2196">
        <f>ABS(H2196)</f>
        <v>2</v>
      </c>
      <c r="R2196"/>
    </row>
    <row r="2197" spans="1:18" x14ac:dyDescent="0.35">
      <c r="A2197" t="s">
        <v>3650</v>
      </c>
      <c r="B2197" s="2">
        <v>46174</v>
      </c>
      <c r="C2197" t="s">
        <v>2896</v>
      </c>
      <c r="D2197" s="3" t="s">
        <v>4613</v>
      </c>
      <c r="E2197" t="s">
        <v>34</v>
      </c>
      <c r="F2197" t="s">
        <v>89</v>
      </c>
      <c r="G2197" t="s">
        <v>90</v>
      </c>
      <c r="H2197" s="8">
        <v>2</v>
      </c>
      <c r="I2197" s="10">
        <v>89</v>
      </c>
      <c r="J2197" s="14">
        <f>P2197*I2197</f>
        <v>178</v>
      </c>
      <c r="K2197" s="16">
        <v>0.64</v>
      </c>
      <c r="L2197" s="1" t="s">
        <v>30</v>
      </c>
      <c r="M2197" t="s">
        <v>22</v>
      </c>
      <c r="N2197" t="str">
        <f t="shared" si="46"/>
        <v>United Kingdom</v>
      </c>
      <c r="O2197" s="8">
        <f>IF(K2197&gt;=1,K2197,K2197*1000)</f>
        <v>640</v>
      </c>
      <c r="P2197">
        <f>ABS(H2197)</f>
        <v>2</v>
      </c>
      <c r="R2197"/>
    </row>
    <row r="2198" spans="1:18" x14ac:dyDescent="0.35">
      <c r="A2198" t="s">
        <v>3651</v>
      </c>
      <c r="B2198" s="2">
        <v>46044</v>
      </c>
      <c r="C2198" t="s">
        <v>1109</v>
      </c>
      <c r="D2198" s="3" t="s">
        <v>99</v>
      </c>
      <c r="E2198" t="s">
        <v>25</v>
      </c>
      <c r="F2198" t="s">
        <v>42</v>
      </c>
      <c r="G2198" t="s">
        <v>43</v>
      </c>
      <c r="H2198" s="8">
        <v>1</v>
      </c>
      <c r="I2198" s="10">
        <v>89</v>
      </c>
      <c r="J2198" s="14">
        <f>P2198*I2198</f>
        <v>89</v>
      </c>
      <c r="K2198" s="16">
        <v>190</v>
      </c>
      <c r="L2198" s="1" t="s">
        <v>30</v>
      </c>
      <c r="M2198" t="s">
        <v>58</v>
      </c>
      <c r="N2198" t="str">
        <f t="shared" si="46"/>
        <v>United Kingdom</v>
      </c>
      <c r="O2198" s="8">
        <f>IF(K2198&gt;=1,K2198,K2198*1000)</f>
        <v>190</v>
      </c>
      <c r="P2198">
        <f>ABS(H2198)</f>
        <v>1</v>
      </c>
      <c r="R2198"/>
    </row>
    <row r="2199" spans="1:18" x14ac:dyDescent="0.35">
      <c r="A2199" t="s">
        <v>3652</v>
      </c>
      <c r="B2199" s="2">
        <v>46129</v>
      </c>
      <c r="C2199" t="s">
        <v>3223</v>
      </c>
      <c r="D2199" s="3" t="s">
        <v>15</v>
      </c>
      <c r="E2199" t="s">
        <v>25</v>
      </c>
      <c r="F2199" t="s">
        <v>42</v>
      </c>
      <c r="G2199" t="s">
        <v>43</v>
      </c>
      <c r="H2199" s="8">
        <v>2</v>
      </c>
      <c r="I2199" s="10">
        <v>12.5</v>
      </c>
      <c r="J2199" s="14">
        <f>P2199*I2199</f>
        <v>25</v>
      </c>
      <c r="K2199" s="16">
        <v>190</v>
      </c>
      <c r="L2199" s="1" t="s">
        <v>30</v>
      </c>
      <c r="M2199" t="s">
        <v>22</v>
      </c>
      <c r="N2199" t="str">
        <f t="shared" si="46"/>
        <v>France</v>
      </c>
      <c r="O2199" s="8">
        <f>IF(K2199&gt;=1,K2199,K2199*1000)</f>
        <v>190</v>
      </c>
      <c r="P2199">
        <f>ABS(H2199)</f>
        <v>2</v>
      </c>
      <c r="R2199"/>
    </row>
    <row r="2200" spans="1:18" x14ac:dyDescent="0.35">
      <c r="A2200" t="s">
        <v>3653</v>
      </c>
      <c r="B2200" s="2">
        <v>46085</v>
      </c>
      <c r="C2200" t="s">
        <v>3654</v>
      </c>
      <c r="D2200" s="3" t="s">
        <v>61</v>
      </c>
      <c r="E2200" t="s">
        <v>34</v>
      </c>
      <c r="F2200" t="s">
        <v>74</v>
      </c>
      <c r="G2200" t="s">
        <v>75</v>
      </c>
      <c r="H2200" s="8">
        <v>1</v>
      </c>
      <c r="I2200" s="12" t="s">
        <v>4640</v>
      </c>
      <c r="J2200" s="14">
        <f>P2200*R2200</f>
        <v>29</v>
      </c>
      <c r="K2200" s="16">
        <v>410</v>
      </c>
      <c r="L2200" s="1" t="s">
        <v>30</v>
      </c>
      <c r="M2200" t="s">
        <v>22</v>
      </c>
      <c r="N2200" t="str">
        <f t="shared" si="46"/>
        <v>Ireland</v>
      </c>
      <c r="O2200" s="8">
        <f>IF(K2200&gt;=1,K2200,K2200*1000)</f>
        <v>410</v>
      </c>
      <c r="P2200">
        <f>ABS(H2200)</f>
        <v>1</v>
      </c>
      <c r="Q2200" t="str">
        <f>LEFT(I2200,2)</f>
        <v>Â£</v>
      </c>
      <c r="R2200" t="str">
        <f>RIGHT(I2200,5)</f>
        <v>29,00</v>
      </c>
    </row>
    <row r="2201" spans="1:18" x14ac:dyDescent="0.35">
      <c r="A2201" t="s">
        <v>3655</v>
      </c>
      <c r="B2201" s="2" t="s">
        <v>290</v>
      </c>
      <c r="C2201" t="s">
        <v>3377</v>
      </c>
      <c r="D2201" s="3" t="s">
        <v>46</v>
      </c>
      <c r="E2201" t="s">
        <v>25</v>
      </c>
      <c r="F2201" t="s">
        <v>47</v>
      </c>
      <c r="G2201" t="s">
        <v>48</v>
      </c>
      <c r="H2201" s="8">
        <v>1</v>
      </c>
      <c r="I2201" s="10">
        <v>95</v>
      </c>
      <c r="J2201" s="14">
        <f>P2201*I2201</f>
        <v>95</v>
      </c>
      <c r="K2201" s="16">
        <v>380</v>
      </c>
      <c r="L2201" s="1" t="s">
        <v>21</v>
      </c>
      <c r="M2201" t="s">
        <v>58</v>
      </c>
      <c r="N2201" t="str">
        <f t="shared" si="46"/>
        <v>Ireland</v>
      </c>
      <c r="O2201" s="8">
        <f>IF(K2201&gt;=1,K2201,K2201*1000)</f>
        <v>380</v>
      </c>
      <c r="P2201">
        <f>ABS(H2201)</f>
        <v>1</v>
      </c>
      <c r="R2201"/>
    </row>
    <row r="2202" spans="1:18" x14ac:dyDescent="0.35">
      <c r="A2202" t="s">
        <v>3656</v>
      </c>
      <c r="B2202" s="2">
        <v>46119</v>
      </c>
      <c r="C2202" t="s">
        <v>3657</v>
      </c>
      <c r="D2202" s="3" t="s">
        <v>46</v>
      </c>
      <c r="E2202" t="s">
        <v>25</v>
      </c>
      <c r="F2202" t="s">
        <v>42</v>
      </c>
      <c r="G2202" t="s">
        <v>43</v>
      </c>
      <c r="H2202" s="8">
        <v>3</v>
      </c>
      <c r="I2202" s="10">
        <v>12.5</v>
      </c>
      <c r="J2202" s="14">
        <f>P2202*I2202</f>
        <v>37.5</v>
      </c>
      <c r="K2202" s="16">
        <v>190</v>
      </c>
      <c r="L2202" s="1" t="s">
        <v>30</v>
      </c>
      <c r="M2202" t="s">
        <v>22</v>
      </c>
      <c r="N2202" t="str">
        <f t="shared" si="46"/>
        <v>Ireland</v>
      </c>
      <c r="O2202" s="8">
        <f>IF(K2202&gt;=1,K2202,K2202*1000)</f>
        <v>190</v>
      </c>
      <c r="P2202">
        <f>ABS(H2202)</f>
        <v>3</v>
      </c>
      <c r="R2202"/>
    </row>
    <row r="2203" spans="1:18" x14ac:dyDescent="0.35">
      <c r="A2203" t="s">
        <v>3658</v>
      </c>
      <c r="B2203" s="2">
        <v>46192</v>
      </c>
      <c r="C2203" t="s">
        <v>1465</v>
      </c>
      <c r="D2203" s="3" t="s">
        <v>99</v>
      </c>
      <c r="E2203" t="s">
        <v>16</v>
      </c>
      <c r="F2203" t="s">
        <v>26</v>
      </c>
      <c r="G2203" t="s">
        <v>27</v>
      </c>
      <c r="H2203" s="8">
        <v>1</v>
      </c>
      <c r="I2203" s="10">
        <v>129</v>
      </c>
      <c r="J2203" s="14">
        <f>P2203*I2203</f>
        <v>129</v>
      </c>
      <c r="K2203" s="16">
        <v>0.52</v>
      </c>
      <c r="L2203" s="1" t="s">
        <v>21</v>
      </c>
      <c r="M2203" t="s">
        <v>22</v>
      </c>
      <c r="N2203" t="str">
        <f t="shared" si="46"/>
        <v>United Kingdom</v>
      </c>
      <c r="O2203" s="8">
        <f>IF(K2203&gt;=1,K2203,K2203*1000)</f>
        <v>520</v>
      </c>
      <c r="P2203">
        <f>ABS(H2203)</f>
        <v>1</v>
      </c>
      <c r="R2203"/>
    </row>
    <row r="2204" spans="1:18" x14ac:dyDescent="0.35">
      <c r="A2204" t="s">
        <v>3659</v>
      </c>
      <c r="B2204" s="2">
        <v>46189</v>
      </c>
      <c r="C2204" t="s">
        <v>1138</v>
      </c>
      <c r="D2204" s="3" t="s">
        <v>53</v>
      </c>
      <c r="E2204" t="s">
        <v>34</v>
      </c>
      <c r="F2204" t="s">
        <v>42</v>
      </c>
      <c r="G2204" t="s">
        <v>43</v>
      </c>
      <c r="H2204" s="8">
        <v>2</v>
      </c>
      <c r="I2204" s="10">
        <v>24</v>
      </c>
      <c r="J2204" s="14">
        <f>P2204*I2204</f>
        <v>48</v>
      </c>
      <c r="K2204" s="16">
        <v>0.19</v>
      </c>
      <c r="L2204" s="1" t="s">
        <v>30</v>
      </c>
      <c r="M2204" t="s">
        <v>58</v>
      </c>
      <c r="N2204" t="str">
        <f t="shared" si="46"/>
        <v>Gb</v>
      </c>
      <c r="O2204" s="8">
        <f>IF(K2204&gt;=1,K2204,K2204*1000)</f>
        <v>190</v>
      </c>
      <c r="P2204">
        <f>ABS(H2204)</f>
        <v>2</v>
      </c>
      <c r="R2204"/>
    </row>
    <row r="2205" spans="1:18" x14ac:dyDescent="0.35">
      <c r="A2205" t="s">
        <v>3660</v>
      </c>
      <c r="B2205" s="2">
        <v>46084</v>
      </c>
      <c r="C2205" t="s">
        <v>3661</v>
      </c>
      <c r="D2205" s="3" t="s">
        <v>99</v>
      </c>
      <c r="E2205" t="s">
        <v>34</v>
      </c>
      <c r="F2205" t="s">
        <v>26</v>
      </c>
      <c r="G2205" t="s">
        <v>27</v>
      </c>
      <c r="H2205" s="8">
        <v>1</v>
      </c>
      <c r="I2205" s="10">
        <v>85.5</v>
      </c>
      <c r="J2205" s="14">
        <f>P2205*I2205</f>
        <v>85.5</v>
      </c>
      <c r="K2205" s="16">
        <v>520</v>
      </c>
      <c r="L2205" s="1" t="s">
        <v>30</v>
      </c>
      <c r="M2205" t="s">
        <v>22</v>
      </c>
      <c r="N2205" t="str">
        <f t="shared" si="46"/>
        <v>United Kingdom</v>
      </c>
      <c r="O2205" s="8">
        <f>IF(K2205&gt;=1,K2205,K2205*1000)</f>
        <v>520</v>
      </c>
      <c r="P2205">
        <f>ABS(H2205)</f>
        <v>1</v>
      </c>
      <c r="R2205"/>
    </row>
    <row r="2206" spans="1:18" x14ac:dyDescent="0.35">
      <c r="A2206" t="s">
        <v>3663</v>
      </c>
      <c r="B2206" s="2">
        <v>46157</v>
      </c>
      <c r="C2206" t="s">
        <v>3664</v>
      </c>
      <c r="D2206" s="3" t="s">
        <v>116</v>
      </c>
      <c r="E2206" t="s">
        <v>41</v>
      </c>
      <c r="F2206" t="s">
        <v>83</v>
      </c>
      <c r="G2206" t="s">
        <v>84</v>
      </c>
      <c r="H2206" s="8">
        <v>1</v>
      </c>
      <c r="I2206" s="10">
        <v>24</v>
      </c>
      <c r="J2206" s="14">
        <f>P2206*I2206</f>
        <v>24</v>
      </c>
      <c r="K2206" s="16">
        <v>0.34</v>
      </c>
      <c r="L2206" s="1" t="s">
        <v>21</v>
      </c>
      <c r="M2206" t="s">
        <v>22</v>
      </c>
      <c r="N2206" t="str">
        <f t="shared" si="46"/>
        <v>Germany</v>
      </c>
      <c r="O2206" s="8">
        <f>IF(K2206&gt;=1,K2206,K2206*1000)</f>
        <v>340</v>
      </c>
      <c r="P2206">
        <f>ABS(H2206)</f>
        <v>1</v>
      </c>
      <c r="R2206"/>
    </row>
    <row r="2207" spans="1:18" x14ac:dyDescent="0.35">
      <c r="A2207" t="s">
        <v>3665</v>
      </c>
      <c r="B2207" s="2">
        <v>46179</v>
      </c>
      <c r="C2207" t="s">
        <v>591</v>
      </c>
      <c r="D2207" s="3" t="s">
        <v>99</v>
      </c>
      <c r="E2207" t="s">
        <v>34</v>
      </c>
      <c r="F2207" t="s">
        <v>47</v>
      </c>
      <c r="G2207" t="s">
        <v>48</v>
      </c>
      <c r="H2207" s="8">
        <v>1</v>
      </c>
      <c r="I2207" s="10">
        <v>89</v>
      </c>
      <c r="J2207" s="14">
        <f>P2207*I2207</f>
        <v>89</v>
      </c>
      <c r="K2207" s="16">
        <v>0.38</v>
      </c>
      <c r="L2207" s="1" t="s">
        <v>30</v>
      </c>
      <c r="M2207" t="s">
        <v>22</v>
      </c>
      <c r="N2207" t="str">
        <f t="shared" si="46"/>
        <v>United Kingdom</v>
      </c>
      <c r="O2207" s="8">
        <f>IF(K2207&gt;=1,K2207,K2207*1000)</f>
        <v>380</v>
      </c>
      <c r="P2207">
        <f>ABS(H2207)</f>
        <v>1</v>
      </c>
      <c r="R2207"/>
    </row>
    <row r="2208" spans="1:18" x14ac:dyDescent="0.35">
      <c r="A2208" t="s">
        <v>3666</v>
      </c>
      <c r="B2208" s="2">
        <v>46164</v>
      </c>
      <c r="C2208" t="s">
        <v>757</v>
      </c>
      <c r="D2208" s="3" t="s">
        <v>116</v>
      </c>
      <c r="E2208" t="s">
        <v>67</v>
      </c>
      <c r="F2208" t="s">
        <v>47</v>
      </c>
      <c r="G2208" t="s">
        <v>48</v>
      </c>
      <c r="H2208" s="8">
        <v>-3</v>
      </c>
      <c r="I2208" s="10">
        <v>95</v>
      </c>
      <c r="J2208" s="14">
        <f>P2208*I2208</f>
        <v>285</v>
      </c>
      <c r="K2208" s="16">
        <v>0.38</v>
      </c>
      <c r="L2208" s="1" t="s">
        <v>30</v>
      </c>
      <c r="M2208" t="s">
        <v>22</v>
      </c>
      <c r="N2208" t="str">
        <f t="shared" si="46"/>
        <v>Germany</v>
      </c>
      <c r="O2208" s="8">
        <f>IF(K2208&gt;=1,K2208,K2208*1000)</f>
        <v>380</v>
      </c>
      <c r="P2208">
        <f>ABS(H2208)</f>
        <v>3</v>
      </c>
      <c r="R2208"/>
    </row>
    <row r="2209" spans="1:18" x14ac:dyDescent="0.35">
      <c r="A2209" t="s">
        <v>3668</v>
      </c>
      <c r="B2209" s="2">
        <v>46138</v>
      </c>
      <c r="C2209" t="s">
        <v>3669</v>
      </c>
      <c r="D2209" s="3" t="s">
        <v>66</v>
      </c>
      <c r="E2209" t="s">
        <v>16</v>
      </c>
      <c r="F2209" t="s">
        <v>47</v>
      </c>
      <c r="G2209" t="s">
        <v>48</v>
      </c>
      <c r="H2209" s="8">
        <v>3</v>
      </c>
      <c r="I2209" s="10">
        <v>89</v>
      </c>
      <c r="J2209" s="14">
        <f>P2209*I2209</f>
        <v>267</v>
      </c>
      <c r="K2209" s="16">
        <v>0.38</v>
      </c>
      <c r="L2209" s="1" t="s">
        <v>30</v>
      </c>
      <c r="M2209" t="s">
        <v>22</v>
      </c>
      <c r="N2209" t="str">
        <f t="shared" si="46"/>
        <v>Gb</v>
      </c>
      <c r="O2209" s="8">
        <f>IF(K2209&gt;=1,K2209,K2209*1000)</f>
        <v>380</v>
      </c>
      <c r="P2209">
        <f>ABS(H2209)</f>
        <v>3</v>
      </c>
      <c r="R2209"/>
    </row>
    <row r="2210" spans="1:18" x14ac:dyDescent="0.35">
      <c r="A2210" t="s">
        <v>3670</v>
      </c>
      <c r="B2210" s="2">
        <v>46055</v>
      </c>
      <c r="C2210" t="s">
        <v>2360</v>
      </c>
      <c r="D2210" s="3" t="s">
        <v>61</v>
      </c>
      <c r="E2210" t="s">
        <v>34</v>
      </c>
      <c r="F2210" t="s">
        <v>74</v>
      </c>
      <c r="G2210" t="s">
        <v>75</v>
      </c>
      <c r="H2210" s="8">
        <v>1</v>
      </c>
      <c r="I2210" s="10">
        <v>12.5</v>
      </c>
      <c r="J2210" s="14">
        <f>P2210*I2210</f>
        <v>12.5</v>
      </c>
      <c r="K2210" s="16">
        <v>410</v>
      </c>
      <c r="L2210" s="1" t="s">
        <v>30</v>
      </c>
      <c r="M2210" t="s">
        <v>22</v>
      </c>
      <c r="N2210" t="str">
        <f t="shared" si="46"/>
        <v>Ireland</v>
      </c>
      <c r="O2210" s="8">
        <f>IF(K2210&gt;=1,K2210,K2210*1000)</f>
        <v>410</v>
      </c>
      <c r="P2210">
        <f>ABS(H2210)</f>
        <v>1</v>
      </c>
      <c r="R2210"/>
    </row>
    <row r="2211" spans="1:18" x14ac:dyDescent="0.35">
      <c r="A2211" t="s">
        <v>3671</v>
      </c>
      <c r="B2211" s="2">
        <v>46185</v>
      </c>
      <c r="C2211" t="s">
        <v>2039</v>
      </c>
      <c r="D2211" s="3" t="s">
        <v>4613</v>
      </c>
      <c r="E2211" t="s">
        <v>25</v>
      </c>
      <c r="F2211" t="s">
        <v>74</v>
      </c>
      <c r="G2211" t="s">
        <v>75</v>
      </c>
      <c r="H2211" s="8">
        <v>1</v>
      </c>
      <c r="I2211" s="10">
        <v>79</v>
      </c>
      <c r="J2211" s="14">
        <f>P2211*I2211</f>
        <v>79</v>
      </c>
      <c r="K2211" s="16">
        <v>0.41</v>
      </c>
      <c r="L2211" s="1" t="s">
        <v>30</v>
      </c>
      <c r="M2211" t="s">
        <v>22</v>
      </c>
      <c r="N2211" t="str">
        <f t="shared" si="46"/>
        <v>United Kingdom</v>
      </c>
      <c r="O2211" s="8">
        <f>IF(K2211&gt;=1,K2211,K2211*1000)</f>
        <v>410</v>
      </c>
      <c r="P2211">
        <f>ABS(H2211)</f>
        <v>1</v>
      </c>
      <c r="R2211"/>
    </row>
    <row r="2212" spans="1:18" x14ac:dyDescent="0.35">
      <c r="A2212" t="s">
        <v>3672</v>
      </c>
      <c r="B2212" s="2">
        <v>46132</v>
      </c>
      <c r="C2212" t="s">
        <v>3673</v>
      </c>
      <c r="D2212" s="3" t="s">
        <v>66</v>
      </c>
      <c r="E2212" t="s">
        <v>34</v>
      </c>
      <c r="F2212" t="s">
        <v>89</v>
      </c>
      <c r="G2212" t="s">
        <v>90</v>
      </c>
      <c r="H2212" s="8">
        <v>3</v>
      </c>
      <c r="I2212" s="10">
        <v>89</v>
      </c>
      <c r="J2212" s="14">
        <f>P2212*I2212</f>
        <v>267</v>
      </c>
      <c r="K2212" s="16">
        <v>0.64</v>
      </c>
      <c r="L2212" s="1" t="s">
        <v>21</v>
      </c>
      <c r="M2212" t="s">
        <v>58</v>
      </c>
      <c r="N2212" t="str">
        <f t="shared" si="46"/>
        <v>Gb</v>
      </c>
      <c r="O2212" s="8">
        <f>IF(K2212&gt;=1,K2212,K2212*1000)</f>
        <v>640</v>
      </c>
      <c r="P2212">
        <f>ABS(H2212)</f>
        <v>3</v>
      </c>
      <c r="R2212"/>
    </row>
    <row r="2213" spans="1:18" x14ac:dyDescent="0.35">
      <c r="A2213" t="s">
        <v>3674</v>
      </c>
      <c r="B2213" s="2">
        <v>46105</v>
      </c>
      <c r="C2213" t="s">
        <v>3675</v>
      </c>
      <c r="D2213" s="3" t="s">
        <v>99</v>
      </c>
      <c r="E2213" t="s">
        <v>34</v>
      </c>
      <c r="F2213" t="s">
        <v>17</v>
      </c>
      <c r="G2213" t="s">
        <v>18</v>
      </c>
      <c r="H2213" s="8">
        <v>2</v>
      </c>
      <c r="I2213" s="10">
        <v>149</v>
      </c>
      <c r="J2213" s="14">
        <f>P2213*I2213</f>
        <v>298</v>
      </c>
      <c r="K2213" s="16">
        <v>520</v>
      </c>
      <c r="L2213" s="1" t="s">
        <v>30</v>
      </c>
      <c r="M2213" t="s">
        <v>22</v>
      </c>
      <c r="N2213" t="str">
        <f t="shared" si="46"/>
        <v>United Kingdom</v>
      </c>
      <c r="O2213" s="8">
        <f>IF(K2213&gt;=1,K2213,K2213*1000)</f>
        <v>520</v>
      </c>
      <c r="P2213">
        <f>ABS(H2213)</f>
        <v>2</v>
      </c>
      <c r="R2213"/>
    </row>
    <row r="2214" spans="1:18" x14ac:dyDescent="0.35">
      <c r="A2214" t="s">
        <v>3676</v>
      </c>
      <c r="B2214" s="2">
        <v>46183</v>
      </c>
      <c r="C2214" t="s">
        <v>760</v>
      </c>
      <c r="D2214" s="3" t="s">
        <v>99</v>
      </c>
      <c r="E2214" t="s">
        <v>67</v>
      </c>
      <c r="F2214" t="s">
        <v>35</v>
      </c>
      <c r="G2214" t="s">
        <v>36</v>
      </c>
      <c r="H2214" s="8">
        <v>2</v>
      </c>
      <c r="I2214" s="10">
        <v>89</v>
      </c>
      <c r="J2214" s="14">
        <f>P2214*I2214</f>
        <v>178</v>
      </c>
      <c r="K2214" s="16">
        <v>8.5000000000000006E-2</v>
      </c>
      <c r="L2214" s="1" t="s">
        <v>30</v>
      </c>
      <c r="M2214" t="s">
        <v>22</v>
      </c>
      <c r="N2214" t="str">
        <f t="shared" si="46"/>
        <v>United Kingdom</v>
      </c>
      <c r="O2214" s="8">
        <f>IF(K2214&gt;=1,K2214,K2214*1000)</f>
        <v>85</v>
      </c>
      <c r="P2214">
        <f>ABS(H2214)</f>
        <v>2</v>
      </c>
      <c r="R2214"/>
    </row>
    <row r="2215" spans="1:18" x14ac:dyDescent="0.35">
      <c r="A2215" t="s">
        <v>3677</v>
      </c>
      <c r="B2215" s="2">
        <v>46059</v>
      </c>
      <c r="C2215" t="s">
        <v>344</v>
      </c>
      <c r="D2215" s="3" t="s">
        <v>4613</v>
      </c>
      <c r="E2215" t="s">
        <v>34</v>
      </c>
      <c r="F2215" t="s">
        <v>35</v>
      </c>
      <c r="G2215" t="s">
        <v>36</v>
      </c>
      <c r="H2215" s="8">
        <v>1</v>
      </c>
      <c r="I2215" s="10">
        <v>95</v>
      </c>
      <c r="J2215" s="14">
        <f>P2215*I2215</f>
        <v>95</v>
      </c>
      <c r="K2215" s="16">
        <v>8.5000000000000006E-2</v>
      </c>
      <c r="L2215" s="1" t="s">
        <v>30</v>
      </c>
      <c r="M2215" t="s">
        <v>58</v>
      </c>
      <c r="N2215" t="str">
        <f t="shared" si="46"/>
        <v>United Kingdom</v>
      </c>
      <c r="O2215" s="8">
        <f>IF(K2215&gt;=1,K2215,K2215*1000)</f>
        <v>85</v>
      </c>
      <c r="P2215">
        <f>ABS(H2215)</f>
        <v>1</v>
      </c>
      <c r="R2215"/>
    </row>
    <row r="2216" spans="1:18" x14ac:dyDescent="0.35">
      <c r="A2216" t="s">
        <v>3678</v>
      </c>
      <c r="B2216" s="2">
        <v>46156</v>
      </c>
      <c r="C2216" t="s">
        <v>3679</v>
      </c>
      <c r="D2216" s="3" t="s">
        <v>99</v>
      </c>
      <c r="E2216" t="s">
        <v>41</v>
      </c>
      <c r="F2216" t="s">
        <v>42</v>
      </c>
      <c r="G2216" t="s">
        <v>43</v>
      </c>
      <c r="H2216" s="8">
        <v>1</v>
      </c>
      <c r="I2216" s="10">
        <v>129</v>
      </c>
      <c r="J2216" s="14">
        <f>P2216*I2216</f>
        <v>129</v>
      </c>
      <c r="K2216" s="16">
        <v>0.19</v>
      </c>
      <c r="L2216" s="1" t="s">
        <v>21</v>
      </c>
      <c r="M2216" t="s">
        <v>22</v>
      </c>
      <c r="N2216" t="str">
        <f t="shared" si="46"/>
        <v>United Kingdom</v>
      </c>
      <c r="O2216" s="8">
        <f>IF(K2216&gt;=1,K2216,K2216*1000)</f>
        <v>190</v>
      </c>
      <c r="P2216">
        <f>ABS(H2216)</f>
        <v>1</v>
      </c>
      <c r="R2216"/>
    </row>
    <row r="2217" spans="1:18" x14ac:dyDescent="0.35">
      <c r="A2217" t="s">
        <v>3680</v>
      </c>
      <c r="B2217" s="2">
        <v>46164</v>
      </c>
      <c r="C2217" t="s">
        <v>344</v>
      </c>
      <c r="D2217" s="3" t="s">
        <v>15</v>
      </c>
      <c r="E2217" t="s">
        <v>34</v>
      </c>
      <c r="F2217" t="s">
        <v>47</v>
      </c>
      <c r="G2217" t="s">
        <v>48</v>
      </c>
      <c r="H2217" s="8">
        <v>2</v>
      </c>
      <c r="I2217" s="12" t="s">
        <v>4637</v>
      </c>
      <c r="J2217" s="14">
        <f t="shared" ref="J2217:J2218" si="47">P2217*R2217</f>
        <v>98</v>
      </c>
      <c r="K2217" s="16">
        <v>0.38</v>
      </c>
      <c r="L2217" s="1" t="s">
        <v>21</v>
      </c>
      <c r="M2217" t="s">
        <v>22</v>
      </c>
      <c r="N2217" t="str">
        <f t="shared" si="46"/>
        <v>France</v>
      </c>
      <c r="O2217" s="8">
        <f>IF(K2217&gt;=1,K2217,K2217*1000)</f>
        <v>380</v>
      </c>
      <c r="P2217">
        <f>ABS(H2217)</f>
        <v>2</v>
      </c>
      <c r="Q2217" t="str">
        <f t="shared" ref="Q2217:Q2218" si="48">LEFT(I2217,2)</f>
        <v>Â£</v>
      </c>
      <c r="R2217" t="str">
        <f t="shared" ref="R2217:R2218" si="49">RIGHT(I2217,5)</f>
        <v>49,00</v>
      </c>
    </row>
    <row r="2218" spans="1:18" x14ac:dyDescent="0.35">
      <c r="A2218" t="s">
        <v>3681</v>
      </c>
      <c r="B2218" s="2">
        <v>46035</v>
      </c>
      <c r="C2218" t="s">
        <v>3129</v>
      </c>
      <c r="D2218" s="3" t="s">
        <v>15</v>
      </c>
      <c r="E2218" t="s">
        <v>67</v>
      </c>
      <c r="F2218" t="s">
        <v>74</v>
      </c>
      <c r="G2218" t="s">
        <v>75</v>
      </c>
      <c r="H2218" s="8">
        <v>1</v>
      </c>
      <c r="I2218" s="12" t="s">
        <v>4636</v>
      </c>
      <c r="J2218" s="14">
        <f t="shared" si="47"/>
        <v>89</v>
      </c>
      <c r="K2218" s="16">
        <v>410</v>
      </c>
      <c r="L2218" s="1" t="s">
        <v>30</v>
      </c>
      <c r="M2218" t="s">
        <v>22</v>
      </c>
      <c r="N2218" t="str">
        <f t="shared" si="46"/>
        <v>France</v>
      </c>
      <c r="O2218" s="8">
        <f>IF(K2218&gt;=1,K2218,K2218*1000)</f>
        <v>410</v>
      </c>
      <c r="P2218">
        <f>ABS(H2218)</f>
        <v>1</v>
      </c>
      <c r="Q2218" t="str">
        <f t="shared" si="48"/>
        <v>Â£</v>
      </c>
      <c r="R2218" t="str">
        <f t="shared" si="49"/>
        <v>89,00</v>
      </c>
    </row>
    <row r="2219" spans="1:18" x14ac:dyDescent="0.35">
      <c r="A2219" t="s">
        <v>3682</v>
      </c>
      <c r="B2219" s="2">
        <v>46202</v>
      </c>
      <c r="C2219" t="s">
        <v>315</v>
      </c>
      <c r="D2219" s="3" t="s">
        <v>4612</v>
      </c>
      <c r="E2219" t="s">
        <v>16</v>
      </c>
      <c r="F2219" t="s">
        <v>17</v>
      </c>
      <c r="G2219" t="s">
        <v>18</v>
      </c>
      <c r="H2219" s="8">
        <v>2</v>
      </c>
      <c r="I2219" s="10">
        <v>129</v>
      </c>
      <c r="J2219" s="14">
        <f>P2219*I2219</f>
        <v>258</v>
      </c>
      <c r="K2219" s="16">
        <v>0.52</v>
      </c>
      <c r="L2219" s="1" t="s">
        <v>30</v>
      </c>
      <c r="M2219" t="s">
        <v>58</v>
      </c>
      <c r="N2219" t="str">
        <f t="shared" si="46"/>
        <v>United Kingdom</v>
      </c>
      <c r="O2219" s="8">
        <f>IF(K2219&gt;=1,K2219,K2219*1000)</f>
        <v>520</v>
      </c>
      <c r="P2219">
        <f>ABS(H2219)</f>
        <v>2</v>
      </c>
      <c r="R2219"/>
    </row>
    <row r="2220" spans="1:18" x14ac:dyDescent="0.35">
      <c r="A2220" t="s">
        <v>3683</v>
      </c>
      <c r="B2220" s="2">
        <v>46203</v>
      </c>
      <c r="C2220" t="s">
        <v>269</v>
      </c>
      <c r="D2220" s="3" t="s">
        <v>99</v>
      </c>
      <c r="E2220" t="s">
        <v>34</v>
      </c>
      <c r="F2220" t="s">
        <v>89</v>
      </c>
      <c r="G2220" t="s">
        <v>90</v>
      </c>
      <c r="H2220" s="8">
        <v>3</v>
      </c>
      <c r="I2220" s="10">
        <v>134.1</v>
      </c>
      <c r="J2220" s="14">
        <f>P2220*I2220</f>
        <v>402.29999999999995</v>
      </c>
      <c r="K2220" s="16">
        <v>0.64</v>
      </c>
      <c r="L2220" s="1" t="s">
        <v>30</v>
      </c>
      <c r="M2220" t="s">
        <v>22</v>
      </c>
      <c r="N2220" t="str">
        <f t="shared" si="46"/>
        <v>United Kingdom</v>
      </c>
      <c r="O2220" s="8">
        <f>IF(K2220&gt;=1,K2220,K2220*1000)</f>
        <v>640</v>
      </c>
      <c r="P2220">
        <f>ABS(H2220)</f>
        <v>3</v>
      </c>
      <c r="R2220"/>
    </row>
    <row r="2221" spans="1:18" x14ac:dyDescent="0.35">
      <c r="A2221" t="s">
        <v>3685</v>
      </c>
      <c r="B2221" s="2">
        <v>46073</v>
      </c>
      <c r="C2221" t="s">
        <v>513</v>
      </c>
      <c r="D2221" s="3" t="s">
        <v>46</v>
      </c>
      <c r="E2221" t="s">
        <v>41</v>
      </c>
      <c r="F2221" t="s">
        <v>89</v>
      </c>
      <c r="G2221" t="s">
        <v>90</v>
      </c>
      <c r="H2221" s="8">
        <v>3</v>
      </c>
      <c r="I2221" s="10">
        <v>85.5</v>
      </c>
      <c r="J2221" s="14">
        <f>P2221*I2221</f>
        <v>256.5</v>
      </c>
      <c r="K2221" s="16">
        <v>640</v>
      </c>
      <c r="L2221" s="1" t="s">
        <v>30</v>
      </c>
      <c r="M2221" t="s">
        <v>58</v>
      </c>
      <c r="N2221" t="str">
        <f t="shared" si="46"/>
        <v>Ireland</v>
      </c>
      <c r="O2221" s="8">
        <f>IF(K2221&gt;=1,K2221,K2221*1000)</f>
        <v>640</v>
      </c>
      <c r="P2221">
        <f>ABS(H2221)</f>
        <v>3</v>
      </c>
      <c r="R2221"/>
    </row>
    <row r="2222" spans="1:18" x14ac:dyDescent="0.35">
      <c r="A2222" t="s">
        <v>3686</v>
      </c>
      <c r="B2222" s="2">
        <v>46086</v>
      </c>
      <c r="C2222" t="s">
        <v>773</v>
      </c>
      <c r="D2222" s="3" t="s">
        <v>4612</v>
      </c>
      <c r="E2222" t="s">
        <v>34</v>
      </c>
      <c r="F2222" t="s">
        <v>89</v>
      </c>
      <c r="G2222" t="s">
        <v>90</v>
      </c>
      <c r="H2222" s="8">
        <v>-1</v>
      </c>
      <c r="I2222" s="10">
        <v>12.5</v>
      </c>
      <c r="J2222" s="14">
        <f>P2222*I2222</f>
        <v>12.5</v>
      </c>
      <c r="K2222" s="16">
        <v>640</v>
      </c>
      <c r="L2222" s="1" t="s">
        <v>30</v>
      </c>
      <c r="M2222" t="s">
        <v>22</v>
      </c>
      <c r="N2222" t="str">
        <f t="shared" si="46"/>
        <v>United Kingdom</v>
      </c>
      <c r="O2222" s="8">
        <f>IF(K2222&gt;=1,K2222,K2222*1000)</f>
        <v>640</v>
      </c>
      <c r="P2222">
        <f>ABS(H2222)</f>
        <v>1</v>
      </c>
      <c r="R2222"/>
    </row>
    <row r="2223" spans="1:18" x14ac:dyDescent="0.35">
      <c r="A2223" t="s">
        <v>3687</v>
      </c>
      <c r="B2223" s="2">
        <v>46145</v>
      </c>
      <c r="C2223" t="s">
        <v>2767</v>
      </c>
      <c r="D2223" s="3" t="s">
        <v>99</v>
      </c>
      <c r="E2223" t="s">
        <v>34</v>
      </c>
      <c r="F2223" t="s">
        <v>26</v>
      </c>
      <c r="G2223" t="s">
        <v>27</v>
      </c>
      <c r="H2223" s="8">
        <v>2</v>
      </c>
      <c r="I2223" s="10">
        <v>24</v>
      </c>
      <c r="J2223" s="14">
        <f>P2223*I2223</f>
        <v>48</v>
      </c>
      <c r="K2223" s="16">
        <v>520</v>
      </c>
      <c r="L2223" s="1" t="s">
        <v>30</v>
      </c>
      <c r="M2223" t="s">
        <v>22</v>
      </c>
      <c r="N2223" t="str">
        <f t="shared" si="46"/>
        <v>United Kingdom</v>
      </c>
      <c r="O2223" s="8">
        <f>IF(K2223&gt;=1,K2223,K2223*1000)</f>
        <v>520</v>
      </c>
      <c r="P2223">
        <f>ABS(H2223)</f>
        <v>2</v>
      </c>
      <c r="R2223"/>
    </row>
    <row r="2224" spans="1:18" x14ac:dyDescent="0.35">
      <c r="A2224" t="s">
        <v>3688</v>
      </c>
      <c r="B2224" s="2">
        <v>46103</v>
      </c>
      <c r="C2224" t="s">
        <v>3510</v>
      </c>
      <c r="D2224" s="3" t="s">
        <v>4612</v>
      </c>
      <c r="E2224" t="s">
        <v>34</v>
      </c>
      <c r="F2224" t="s">
        <v>89</v>
      </c>
      <c r="G2224" t="s">
        <v>90</v>
      </c>
      <c r="H2224" s="8">
        <v>2</v>
      </c>
      <c r="I2224" s="10">
        <v>149</v>
      </c>
      <c r="J2224" s="14">
        <f>P2224*I2224</f>
        <v>298</v>
      </c>
      <c r="K2224" s="16">
        <v>640</v>
      </c>
      <c r="L2224" s="1" t="s">
        <v>21</v>
      </c>
      <c r="M2224" t="s">
        <v>22</v>
      </c>
      <c r="N2224" t="str">
        <f t="shared" si="46"/>
        <v>United Kingdom</v>
      </c>
      <c r="O2224" s="8">
        <f>IF(K2224&gt;=1,K2224,K2224*1000)</f>
        <v>640</v>
      </c>
      <c r="P2224">
        <f>ABS(H2224)</f>
        <v>2</v>
      </c>
      <c r="R2224"/>
    </row>
    <row r="2225" spans="1:18" x14ac:dyDescent="0.35">
      <c r="A2225" t="s">
        <v>3689</v>
      </c>
      <c r="B2225" s="2">
        <v>46075</v>
      </c>
      <c r="C2225" t="s">
        <v>2297</v>
      </c>
      <c r="D2225" s="3" t="s">
        <v>53</v>
      </c>
      <c r="E2225" t="s">
        <v>41</v>
      </c>
      <c r="F2225" t="s">
        <v>17</v>
      </c>
      <c r="G2225" t="s">
        <v>18</v>
      </c>
      <c r="H2225" s="8">
        <v>1</v>
      </c>
      <c r="I2225" s="10">
        <v>80.099999999999994</v>
      </c>
      <c r="J2225" s="14">
        <f>P2225*I2225</f>
        <v>80.099999999999994</v>
      </c>
      <c r="K2225" s="16">
        <v>520</v>
      </c>
      <c r="L2225" s="1" t="s">
        <v>21</v>
      </c>
      <c r="M2225" t="s">
        <v>22</v>
      </c>
      <c r="N2225" t="str">
        <f t="shared" si="46"/>
        <v>Gb</v>
      </c>
      <c r="O2225" s="8">
        <f>IF(K2225&gt;=1,K2225,K2225*1000)</f>
        <v>520</v>
      </c>
      <c r="P2225">
        <f>ABS(H2225)</f>
        <v>1</v>
      </c>
      <c r="R2225"/>
    </row>
    <row r="2226" spans="1:18" x14ac:dyDescent="0.35">
      <c r="A2226" t="s">
        <v>3690</v>
      </c>
      <c r="B2226" s="2">
        <v>46119</v>
      </c>
      <c r="C2226" t="s">
        <v>370</v>
      </c>
      <c r="D2226" s="3" t="s">
        <v>53</v>
      </c>
      <c r="E2226" t="s">
        <v>67</v>
      </c>
      <c r="F2226" t="s">
        <v>47</v>
      </c>
      <c r="G2226" t="s">
        <v>48</v>
      </c>
      <c r="H2226" s="8">
        <v>1</v>
      </c>
      <c r="I2226" s="10">
        <v>12.5</v>
      </c>
      <c r="J2226" s="14">
        <f>P2226*I2226</f>
        <v>12.5</v>
      </c>
      <c r="K2226" s="16">
        <v>380</v>
      </c>
      <c r="L2226" s="1" t="s">
        <v>30</v>
      </c>
      <c r="M2226" t="s">
        <v>58</v>
      </c>
      <c r="N2226" t="str">
        <f t="shared" si="46"/>
        <v>Gb</v>
      </c>
      <c r="O2226" s="8">
        <f>IF(K2226&gt;=1,K2226,K2226*1000)</f>
        <v>380</v>
      </c>
      <c r="P2226">
        <f>ABS(H2226)</f>
        <v>1</v>
      </c>
      <c r="R2226"/>
    </row>
    <row r="2227" spans="1:18" x14ac:dyDescent="0.35">
      <c r="A2227" t="s">
        <v>3691</v>
      </c>
      <c r="B2227" s="2">
        <v>46035</v>
      </c>
      <c r="C2227" t="s">
        <v>2870</v>
      </c>
      <c r="D2227" s="3" t="s">
        <v>53</v>
      </c>
      <c r="E2227" t="s">
        <v>34</v>
      </c>
      <c r="F2227" t="s">
        <v>47</v>
      </c>
      <c r="G2227" t="s">
        <v>48</v>
      </c>
      <c r="H2227" s="8">
        <v>1</v>
      </c>
      <c r="I2227" s="10">
        <v>80.099999999999994</v>
      </c>
      <c r="J2227" s="14">
        <f>P2227*I2227</f>
        <v>80.099999999999994</v>
      </c>
      <c r="K2227" s="16">
        <v>380</v>
      </c>
      <c r="L2227" s="1" t="s">
        <v>30</v>
      </c>
      <c r="M2227" t="s">
        <v>22</v>
      </c>
      <c r="N2227" t="str">
        <f t="shared" si="46"/>
        <v>Gb</v>
      </c>
      <c r="O2227" s="8">
        <f>IF(K2227&gt;=1,K2227,K2227*1000)</f>
        <v>380</v>
      </c>
      <c r="P2227">
        <f>ABS(H2227)</f>
        <v>1</v>
      </c>
      <c r="R2227"/>
    </row>
    <row r="2228" spans="1:18" x14ac:dyDescent="0.35">
      <c r="A2228" t="s">
        <v>3692</v>
      </c>
      <c r="B2228" s="2">
        <v>46155</v>
      </c>
      <c r="C2228" t="s">
        <v>1883</v>
      </c>
      <c r="D2228" s="3" t="s">
        <v>46</v>
      </c>
      <c r="E2228" t="s">
        <v>34</v>
      </c>
      <c r="F2228" t="s">
        <v>47</v>
      </c>
      <c r="G2228" t="s">
        <v>48</v>
      </c>
      <c r="H2228" s="8">
        <v>1</v>
      </c>
      <c r="I2228" s="12" t="s">
        <v>4619</v>
      </c>
      <c r="J2228" s="14">
        <f>P2228*R2228</f>
        <v>12.5</v>
      </c>
      <c r="K2228" s="16">
        <v>0.38</v>
      </c>
      <c r="L2228" s="1" t="s">
        <v>21</v>
      </c>
      <c r="M2228" t="s">
        <v>22</v>
      </c>
      <c r="N2228" t="str">
        <f t="shared" si="46"/>
        <v>Ireland</v>
      </c>
      <c r="O2228" s="8">
        <f>IF(K2228&gt;=1,K2228,K2228*1000)</f>
        <v>380</v>
      </c>
      <c r="P2228">
        <f>ABS(H2228)</f>
        <v>1</v>
      </c>
      <c r="Q2228" t="str">
        <f>LEFT(I2228,3)</f>
        <v>GBP</v>
      </c>
      <c r="R2228" s="10" t="str">
        <f>RIGHT(I2228,5)</f>
        <v>12,50</v>
      </c>
    </row>
    <row r="2229" spans="1:18" x14ac:dyDescent="0.35">
      <c r="A2229" t="s">
        <v>3693</v>
      </c>
      <c r="B2229" s="2">
        <v>46031</v>
      </c>
      <c r="C2229" t="s">
        <v>195</v>
      </c>
      <c r="D2229" s="3" t="s">
        <v>66</v>
      </c>
      <c r="E2229" t="s">
        <v>25</v>
      </c>
      <c r="F2229" t="s">
        <v>89</v>
      </c>
      <c r="G2229" t="s">
        <v>90</v>
      </c>
      <c r="H2229" s="8">
        <v>1</v>
      </c>
      <c r="I2229" s="10">
        <v>12.5</v>
      </c>
      <c r="J2229" s="14">
        <f>P2229*I2229</f>
        <v>12.5</v>
      </c>
      <c r="K2229" s="16">
        <v>640</v>
      </c>
      <c r="L2229" s="1" t="s">
        <v>21</v>
      </c>
      <c r="M2229" t="s">
        <v>22</v>
      </c>
      <c r="N2229" t="str">
        <f t="shared" si="46"/>
        <v>Gb</v>
      </c>
      <c r="O2229" s="8">
        <f>IF(K2229&gt;=1,K2229,K2229*1000)</f>
        <v>640</v>
      </c>
      <c r="P2229">
        <f>ABS(H2229)</f>
        <v>1</v>
      </c>
      <c r="R2229"/>
    </row>
    <row r="2230" spans="1:18" x14ac:dyDescent="0.35">
      <c r="A2230" t="s">
        <v>3694</v>
      </c>
      <c r="B2230" s="2">
        <v>46089</v>
      </c>
      <c r="C2230" t="s">
        <v>3695</v>
      </c>
      <c r="D2230" s="3" t="s">
        <v>4613</v>
      </c>
      <c r="E2230" t="s">
        <v>41</v>
      </c>
      <c r="F2230" t="s">
        <v>35</v>
      </c>
      <c r="G2230" t="s">
        <v>36</v>
      </c>
      <c r="H2230" s="8">
        <v>1</v>
      </c>
      <c r="I2230" s="10">
        <v>11.25</v>
      </c>
      <c r="J2230" s="14">
        <f>P2230*I2230</f>
        <v>11.25</v>
      </c>
      <c r="K2230" s="16">
        <v>85</v>
      </c>
      <c r="L2230" s="1" t="s">
        <v>21</v>
      </c>
      <c r="M2230" t="s">
        <v>58</v>
      </c>
      <c r="N2230" t="str">
        <f t="shared" si="46"/>
        <v>United Kingdom</v>
      </c>
      <c r="O2230" s="8">
        <f>IF(K2230&gt;=1,K2230,K2230*1000)</f>
        <v>85</v>
      </c>
      <c r="P2230">
        <f>ABS(H2230)</f>
        <v>1</v>
      </c>
      <c r="R2230"/>
    </row>
    <row r="2231" spans="1:18" x14ac:dyDescent="0.35">
      <c r="A2231" t="s">
        <v>3696</v>
      </c>
      <c r="B2231" s="2">
        <v>46055</v>
      </c>
      <c r="C2231" t="s">
        <v>3697</v>
      </c>
      <c r="D2231" s="3" t="s">
        <v>116</v>
      </c>
      <c r="E2231" t="s">
        <v>41</v>
      </c>
      <c r="F2231" t="s">
        <v>74</v>
      </c>
      <c r="G2231" t="s">
        <v>75</v>
      </c>
      <c r="H2231" s="8">
        <v>1</v>
      </c>
      <c r="I2231" s="10">
        <v>129</v>
      </c>
      <c r="J2231" s="14">
        <f>P2231*I2231</f>
        <v>129</v>
      </c>
      <c r="K2231" s="16">
        <v>410</v>
      </c>
      <c r="L2231" s="1" t="s">
        <v>30</v>
      </c>
      <c r="M2231" t="s">
        <v>58</v>
      </c>
      <c r="N2231" t="str">
        <f t="shared" si="46"/>
        <v>Germany</v>
      </c>
      <c r="O2231" s="8">
        <f>IF(K2231&gt;=1,K2231,K2231*1000)</f>
        <v>410</v>
      </c>
      <c r="P2231">
        <f>ABS(H2231)</f>
        <v>1</v>
      </c>
      <c r="R2231"/>
    </row>
    <row r="2232" spans="1:18" x14ac:dyDescent="0.35">
      <c r="A2232" t="s">
        <v>3698</v>
      </c>
      <c r="B2232" s="2">
        <v>46166</v>
      </c>
      <c r="C2232" t="s">
        <v>340</v>
      </c>
      <c r="D2232" s="3" t="s">
        <v>61</v>
      </c>
      <c r="E2232" t="s">
        <v>16</v>
      </c>
      <c r="F2232" t="s">
        <v>74</v>
      </c>
      <c r="G2232" t="s">
        <v>75</v>
      </c>
      <c r="H2232" s="8">
        <v>1</v>
      </c>
      <c r="I2232" s="10">
        <v>45</v>
      </c>
      <c r="J2232" s="14">
        <f>P2232*I2232</f>
        <v>45</v>
      </c>
      <c r="K2232" s="16">
        <v>0.41</v>
      </c>
      <c r="L2232" s="1" t="s">
        <v>30</v>
      </c>
      <c r="M2232" t="s">
        <v>22</v>
      </c>
      <c r="N2232" t="str">
        <f t="shared" si="46"/>
        <v>Ireland</v>
      </c>
      <c r="O2232" s="8">
        <f>IF(K2232&gt;=1,K2232,K2232*1000)</f>
        <v>410</v>
      </c>
      <c r="P2232">
        <f>ABS(H2232)</f>
        <v>1</v>
      </c>
      <c r="R2232"/>
    </row>
    <row r="2233" spans="1:18" x14ac:dyDescent="0.35">
      <c r="A2233" t="s">
        <v>3699</v>
      </c>
      <c r="B2233" s="2">
        <v>46083</v>
      </c>
      <c r="C2233" t="s">
        <v>2273</v>
      </c>
      <c r="D2233" s="3" t="s">
        <v>15</v>
      </c>
      <c r="E2233" t="s">
        <v>67</v>
      </c>
      <c r="F2233" t="s">
        <v>26</v>
      </c>
      <c r="G2233" t="s">
        <v>27</v>
      </c>
      <c r="H2233" s="8">
        <v>2</v>
      </c>
      <c r="I2233" s="10">
        <v>79</v>
      </c>
      <c r="J2233" s="14">
        <f>P2233*I2233</f>
        <v>158</v>
      </c>
      <c r="K2233" s="16">
        <v>520</v>
      </c>
      <c r="L2233" s="1" t="s">
        <v>30</v>
      </c>
      <c r="M2233" t="s">
        <v>58</v>
      </c>
      <c r="N2233" t="str">
        <f t="shared" si="46"/>
        <v>France</v>
      </c>
      <c r="O2233" s="8">
        <f>IF(K2233&gt;=1,K2233,K2233*1000)</f>
        <v>520</v>
      </c>
      <c r="P2233">
        <f>ABS(H2233)</f>
        <v>2</v>
      </c>
      <c r="R2233"/>
    </row>
    <row r="2234" spans="1:18" x14ac:dyDescent="0.35">
      <c r="A2234" t="s">
        <v>3700</v>
      </c>
      <c r="B2234" s="2">
        <v>46093</v>
      </c>
      <c r="C2234" t="s">
        <v>1918</v>
      </c>
      <c r="D2234" s="3" t="s">
        <v>4613</v>
      </c>
      <c r="E2234" t="s">
        <v>67</v>
      </c>
      <c r="F2234" t="s">
        <v>26</v>
      </c>
      <c r="G2234" t="s">
        <v>27</v>
      </c>
      <c r="H2234" s="8">
        <v>2</v>
      </c>
      <c r="I2234" s="10">
        <v>116.1</v>
      </c>
      <c r="J2234" s="14">
        <f>P2234*I2234</f>
        <v>232.2</v>
      </c>
      <c r="K2234" s="16">
        <v>520</v>
      </c>
      <c r="L2234" s="1" t="s">
        <v>30</v>
      </c>
      <c r="M2234" t="s">
        <v>22</v>
      </c>
      <c r="N2234" t="str">
        <f t="shared" si="46"/>
        <v>United Kingdom</v>
      </c>
      <c r="O2234" s="8">
        <f>IF(K2234&gt;=1,K2234,K2234*1000)</f>
        <v>520</v>
      </c>
      <c r="P2234">
        <f>ABS(H2234)</f>
        <v>2</v>
      </c>
      <c r="R2234"/>
    </row>
    <row r="2235" spans="1:18" x14ac:dyDescent="0.35">
      <c r="A2235" t="s">
        <v>3701</v>
      </c>
      <c r="B2235" s="2">
        <v>46169</v>
      </c>
      <c r="C2235" t="s">
        <v>1850</v>
      </c>
      <c r="D2235" s="3" t="s">
        <v>15</v>
      </c>
      <c r="E2235" t="s">
        <v>41</v>
      </c>
      <c r="F2235" t="s">
        <v>35</v>
      </c>
      <c r="G2235" t="s">
        <v>36</v>
      </c>
      <c r="H2235" s="8">
        <v>2</v>
      </c>
      <c r="I2235" s="10">
        <v>89</v>
      </c>
      <c r="J2235" s="14">
        <f>P2235*I2235</f>
        <v>178</v>
      </c>
      <c r="K2235" s="16">
        <v>8.5000000000000006E-2</v>
      </c>
      <c r="L2235" s="1" t="s">
        <v>30</v>
      </c>
      <c r="M2235" t="s">
        <v>22</v>
      </c>
      <c r="N2235" t="str">
        <f t="shared" si="46"/>
        <v>France</v>
      </c>
      <c r="O2235" s="8">
        <f>IF(K2235&gt;=1,K2235,K2235*1000)</f>
        <v>85</v>
      </c>
      <c r="P2235">
        <f>ABS(H2235)</f>
        <v>2</v>
      </c>
      <c r="R2235"/>
    </row>
    <row r="2236" spans="1:18" x14ac:dyDescent="0.35">
      <c r="A2236" t="s">
        <v>3702</v>
      </c>
      <c r="B2236" s="2">
        <v>46069</v>
      </c>
      <c r="C2236" t="s">
        <v>1246</v>
      </c>
      <c r="D2236" s="3" t="s">
        <v>4613</v>
      </c>
      <c r="E2236" t="s">
        <v>67</v>
      </c>
      <c r="F2236" t="s">
        <v>47</v>
      </c>
      <c r="G2236" t="s">
        <v>48</v>
      </c>
      <c r="H2236" s="8">
        <v>3</v>
      </c>
      <c r="I2236" s="10">
        <v>129</v>
      </c>
      <c r="J2236" s="14">
        <f>P2236*I2236</f>
        <v>387</v>
      </c>
      <c r="K2236" s="16">
        <v>380</v>
      </c>
      <c r="L2236" s="1" t="s">
        <v>21</v>
      </c>
      <c r="M2236" t="s">
        <v>22</v>
      </c>
      <c r="N2236" t="str">
        <f t="shared" si="46"/>
        <v>United Kingdom</v>
      </c>
      <c r="O2236" s="8">
        <f>IF(K2236&gt;=1,K2236,K2236*1000)</f>
        <v>380</v>
      </c>
      <c r="P2236">
        <f>ABS(H2236)</f>
        <v>3</v>
      </c>
      <c r="R2236"/>
    </row>
    <row r="2237" spans="1:18" x14ac:dyDescent="0.35">
      <c r="A2237" t="s">
        <v>3703</v>
      </c>
      <c r="B2237" s="2">
        <v>46036</v>
      </c>
      <c r="C2237" t="s">
        <v>307</v>
      </c>
      <c r="D2237" s="3" t="s">
        <v>61</v>
      </c>
      <c r="E2237" t="s">
        <v>25</v>
      </c>
      <c r="F2237" t="s">
        <v>47</v>
      </c>
      <c r="G2237" t="s">
        <v>48</v>
      </c>
      <c r="H2237" s="8">
        <v>1</v>
      </c>
      <c r="I2237" s="10">
        <v>79</v>
      </c>
      <c r="J2237" s="14">
        <f>P2237*I2237</f>
        <v>79</v>
      </c>
      <c r="K2237" s="16">
        <v>380</v>
      </c>
      <c r="L2237" s="1" t="s">
        <v>30</v>
      </c>
      <c r="M2237" t="s">
        <v>22</v>
      </c>
      <c r="N2237" t="str">
        <f t="shared" si="46"/>
        <v>Ireland</v>
      </c>
      <c r="O2237" s="8">
        <f>IF(K2237&gt;=1,K2237,K2237*1000)</f>
        <v>380</v>
      </c>
      <c r="P2237">
        <f>ABS(H2237)</f>
        <v>1</v>
      </c>
      <c r="R2237"/>
    </row>
    <row r="2238" spans="1:18" x14ac:dyDescent="0.35">
      <c r="A2238" t="s">
        <v>3704</v>
      </c>
      <c r="B2238" s="2">
        <v>46090</v>
      </c>
      <c r="C2238" t="s">
        <v>959</v>
      </c>
      <c r="D2238" s="3" t="s">
        <v>4612</v>
      </c>
      <c r="E2238" t="s">
        <v>67</v>
      </c>
      <c r="F2238" t="s">
        <v>17</v>
      </c>
      <c r="G2238" t="s">
        <v>18</v>
      </c>
      <c r="H2238" s="8">
        <v>1</v>
      </c>
      <c r="I2238" s="10">
        <v>12.5</v>
      </c>
      <c r="J2238" s="14">
        <f>P2238*I2238</f>
        <v>12.5</v>
      </c>
      <c r="K2238" s="16">
        <v>520</v>
      </c>
      <c r="L2238" s="1" t="s">
        <v>21</v>
      </c>
      <c r="M2238" t="s">
        <v>22</v>
      </c>
      <c r="N2238" t="str">
        <f t="shared" si="46"/>
        <v>United Kingdom</v>
      </c>
      <c r="O2238" s="8">
        <f>IF(K2238&gt;=1,K2238,K2238*1000)</f>
        <v>520</v>
      </c>
      <c r="P2238">
        <f>ABS(H2238)</f>
        <v>1</v>
      </c>
      <c r="R2238"/>
    </row>
    <row r="2239" spans="1:18" x14ac:dyDescent="0.35">
      <c r="A2239" t="s">
        <v>3705</v>
      </c>
      <c r="B2239" s="2">
        <v>46162</v>
      </c>
      <c r="C2239" t="s">
        <v>2309</v>
      </c>
      <c r="D2239" s="3" t="s">
        <v>4613</v>
      </c>
      <c r="E2239" t="s">
        <v>16</v>
      </c>
      <c r="F2239" t="s">
        <v>42</v>
      </c>
      <c r="G2239" t="s">
        <v>43</v>
      </c>
      <c r="H2239" s="8">
        <v>3</v>
      </c>
      <c r="I2239" s="10">
        <v>11.25</v>
      </c>
      <c r="J2239" s="14">
        <f>P2239*I2239</f>
        <v>33.75</v>
      </c>
      <c r="K2239" s="16">
        <v>0.19</v>
      </c>
      <c r="L2239" s="1" t="s">
        <v>21</v>
      </c>
      <c r="M2239" t="s">
        <v>22</v>
      </c>
      <c r="N2239" t="str">
        <f t="shared" si="46"/>
        <v>United Kingdom</v>
      </c>
      <c r="O2239" s="8">
        <f>IF(K2239&gt;=1,K2239,K2239*1000)</f>
        <v>190</v>
      </c>
      <c r="P2239">
        <f>ABS(H2239)</f>
        <v>3</v>
      </c>
      <c r="R2239"/>
    </row>
    <row r="2240" spans="1:18" x14ac:dyDescent="0.35">
      <c r="A2240" t="s">
        <v>3706</v>
      </c>
      <c r="B2240" s="2" t="s">
        <v>880</v>
      </c>
      <c r="C2240" t="s">
        <v>672</v>
      </c>
      <c r="D2240" s="3" t="s">
        <v>4612</v>
      </c>
      <c r="E2240" t="s">
        <v>16</v>
      </c>
      <c r="F2240" t="s">
        <v>17</v>
      </c>
      <c r="G2240" t="s">
        <v>18</v>
      </c>
      <c r="H2240" s="8">
        <v>2</v>
      </c>
      <c r="I2240" s="10">
        <v>80.099999999999994</v>
      </c>
      <c r="J2240" s="14">
        <f>P2240*I2240</f>
        <v>160.19999999999999</v>
      </c>
      <c r="K2240" s="16">
        <v>520</v>
      </c>
      <c r="L2240" s="1" t="s">
        <v>30</v>
      </c>
      <c r="M2240" t="s">
        <v>58</v>
      </c>
      <c r="N2240" t="str">
        <f t="shared" si="46"/>
        <v>United Kingdom</v>
      </c>
      <c r="O2240" s="8">
        <f>IF(K2240&gt;=1,K2240,K2240*1000)</f>
        <v>520</v>
      </c>
      <c r="P2240">
        <f>ABS(H2240)</f>
        <v>2</v>
      </c>
      <c r="R2240"/>
    </row>
    <row r="2241" spans="1:18" x14ac:dyDescent="0.35">
      <c r="A2241" t="s">
        <v>3707</v>
      </c>
      <c r="B2241" s="2">
        <v>46133</v>
      </c>
      <c r="C2241" t="s">
        <v>3708</v>
      </c>
      <c r="D2241" s="3" t="s">
        <v>46</v>
      </c>
      <c r="E2241" t="s">
        <v>67</v>
      </c>
      <c r="F2241" t="s">
        <v>74</v>
      </c>
      <c r="G2241" t="s">
        <v>75</v>
      </c>
      <c r="H2241" s="8">
        <v>1</v>
      </c>
      <c r="I2241" s="10">
        <v>129</v>
      </c>
      <c r="J2241" s="14">
        <f>P2241*I2241</f>
        <v>129</v>
      </c>
      <c r="K2241" s="16">
        <v>0.41</v>
      </c>
      <c r="L2241" s="1" t="s">
        <v>30</v>
      </c>
      <c r="M2241" t="s">
        <v>22</v>
      </c>
      <c r="N2241" t="str">
        <f t="shared" si="46"/>
        <v>Ireland</v>
      </c>
      <c r="O2241" s="8">
        <f>IF(K2241&gt;=1,K2241,K2241*1000)</f>
        <v>410</v>
      </c>
      <c r="P2241">
        <f>ABS(H2241)</f>
        <v>1</v>
      </c>
      <c r="R2241"/>
    </row>
    <row r="2242" spans="1:18" x14ac:dyDescent="0.35">
      <c r="A2242" t="s">
        <v>3709</v>
      </c>
      <c r="B2242" s="2">
        <v>46195</v>
      </c>
      <c r="C2242" t="s">
        <v>1866</v>
      </c>
      <c r="D2242" s="3" t="s">
        <v>66</v>
      </c>
      <c r="E2242" t="s">
        <v>41</v>
      </c>
      <c r="F2242" t="s">
        <v>17</v>
      </c>
      <c r="G2242" t="s">
        <v>18</v>
      </c>
      <c r="H2242" s="8">
        <v>2</v>
      </c>
      <c r="I2242" s="10">
        <v>45</v>
      </c>
      <c r="J2242" s="14">
        <f>P2242*I2242</f>
        <v>90</v>
      </c>
      <c r="K2242" s="16">
        <v>0.52</v>
      </c>
      <c r="L2242" s="1" t="s">
        <v>30</v>
      </c>
      <c r="M2242" t="s">
        <v>58</v>
      </c>
      <c r="N2242" t="str">
        <f t="shared" si="46"/>
        <v>Gb</v>
      </c>
      <c r="O2242" s="8">
        <f>IF(K2242&gt;=1,K2242,K2242*1000)</f>
        <v>520</v>
      </c>
      <c r="P2242">
        <f>ABS(H2242)</f>
        <v>2</v>
      </c>
      <c r="R2242"/>
    </row>
    <row r="2243" spans="1:18" x14ac:dyDescent="0.35">
      <c r="A2243" t="s">
        <v>3710</v>
      </c>
      <c r="B2243" s="2">
        <v>46194</v>
      </c>
      <c r="C2243" t="s">
        <v>1536</v>
      </c>
      <c r="D2243" s="3" t="s">
        <v>99</v>
      </c>
      <c r="E2243" t="s">
        <v>41</v>
      </c>
      <c r="F2243" t="s">
        <v>42</v>
      </c>
      <c r="G2243" t="s">
        <v>43</v>
      </c>
      <c r="H2243" s="8">
        <v>1</v>
      </c>
      <c r="I2243" s="10">
        <v>129</v>
      </c>
      <c r="J2243" s="14">
        <f>P2243*I2243</f>
        <v>129</v>
      </c>
      <c r="K2243" s="16">
        <v>0.19</v>
      </c>
      <c r="L2243" s="1" t="s">
        <v>21</v>
      </c>
      <c r="M2243" t="s">
        <v>22</v>
      </c>
      <c r="N2243" t="str">
        <f t="shared" ref="N2243:N2306" si="50">PROPER(TRIM(D2243))</f>
        <v>United Kingdom</v>
      </c>
      <c r="O2243" s="8">
        <f>IF(K2243&gt;=1,K2243,K2243*1000)</f>
        <v>190</v>
      </c>
      <c r="P2243">
        <f>ABS(H2243)</f>
        <v>1</v>
      </c>
      <c r="R2243"/>
    </row>
    <row r="2244" spans="1:18" x14ac:dyDescent="0.35">
      <c r="A2244" t="s">
        <v>3711</v>
      </c>
      <c r="B2244" s="2">
        <v>46176</v>
      </c>
      <c r="C2244" t="s">
        <v>2728</v>
      </c>
      <c r="D2244" s="3" t="s">
        <v>4613</v>
      </c>
      <c r="E2244" t="s">
        <v>25</v>
      </c>
      <c r="F2244" t="s">
        <v>47</v>
      </c>
      <c r="G2244" t="s">
        <v>48</v>
      </c>
      <c r="H2244" s="8">
        <v>3</v>
      </c>
      <c r="I2244" s="10">
        <v>45</v>
      </c>
      <c r="J2244" s="14">
        <f>P2244*I2244</f>
        <v>135</v>
      </c>
      <c r="K2244" s="16">
        <v>0.38</v>
      </c>
      <c r="L2244" s="1" t="s">
        <v>30</v>
      </c>
      <c r="M2244" t="s">
        <v>22</v>
      </c>
      <c r="N2244" t="str">
        <f t="shared" si="50"/>
        <v>United Kingdom</v>
      </c>
      <c r="O2244" s="8">
        <f>IF(K2244&gt;=1,K2244,K2244*1000)</f>
        <v>380</v>
      </c>
      <c r="P2244">
        <f>ABS(H2244)</f>
        <v>3</v>
      </c>
      <c r="R2244"/>
    </row>
    <row r="2245" spans="1:18" x14ac:dyDescent="0.35">
      <c r="A2245" t="s">
        <v>3712</v>
      </c>
      <c r="B2245" s="2" t="s">
        <v>259</v>
      </c>
      <c r="C2245" t="s">
        <v>3398</v>
      </c>
      <c r="D2245" s="3" t="s">
        <v>99</v>
      </c>
      <c r="E2245" t="s">
        <v>34</v>
      </c>
      <c r="F2245" t="s">
        <v>17</v>
      </c>
      <c r="G2245" t="s">
        <v>18</v>
      </c>
      <c r="H2245" s="8">
        <v>-1</v>
      </c>
      <c r="I2245" s="10">
        <v>71.099999999999994</v>
      </c>
      <c r="J2245" s="14">
        <f>P2245*I2245</f>
        <v>71.099999999999994</v>
      </c>
      <c r="K2245" s="16">
        <v>0.52</v>
      </c>
      <c r="L2245" s="1" t="s">
        <v>21</v>
      </c>
      <c r="M2245" t="s">
        <v>22</v>
      </c>
      <c r="N2245" t="str">
        <f t="shared" si="50"/>
        <v>United Kingdom</v>
      </c>
      <c r="O2245" s="8">
        <f>IF(K2245&gt;=1,K2245,K2245*1000)</f>
        <v>520</v>
      </c>
      <c r="P2245">
        <f>ABS(H2245)</f>
        <v>1</v>
      </c>
      <c r="R2245"/>
    </row>
    <row r="2246" spans="1:18" x14ac:dyDescent="0.35">
      <c r="A2246" t="s">
        <v>3713</v>
      </c>
      <c r="B2246" s="2">
        <v>46168</v>
      </c>
      <c r="C2246" t="s">
        <v>416</v>
      </c>
      <c r="D2246" s="3" t="s">
        <v>99</v>
      </c>
      <c r="E2246" t="s">
        <v>34</v>
      </c>
      <c r="F2246" t="s">
        <v>26</v>
      </c>
      <c r="G2246" t="s">
        <v>27</v>
      </c>
      <c r="H2246" s="8">
        <v>1</v>
      </c>
      <c r="I2246" s="10">
        <v>11.25</v>
      </c>
      <c r="J2246" s="14">
        <f>P2246*I2246</f>
        <v>11.25</v>
      </c>
      <c r="K2246" s="16">
        <v>0.52</v>
      </c>
      <c r="L2246" s="1" t="s">
        <v>21</v>
      </c>
      <c r="M2246" t="s">
        <v>58</v>
      </c>
      <c r="N2246" t="str">
        <f t="shared" si="50"/>
        <v>United Kingdom</v>
      </c>
      <c r="O2246" s="8">
        <f>IF(K2246&gt;=1,K2246,K2246*1000)</f>
        <v>520</v>
      </c>
      <c r="P2246">
        <f>ABS(H2246)</f>
        <v>1</v>
      </c>
      <c r="R2246"/>
    </row>
    <row r="2247" spans="1:18" x14ac:dyDescent="0.35">
      <c r="A2247" t="s">
        <v>3714</v>
      </c>
      <c r="B2247" s="2">
        <v>46137</v>
      </c>
      <c r="C2247" t="s">
        <v>1298</v>
      </c>
      <c r="D2247" s="3" t="s">
        <v>4613</v>
      </c>
      <c r="E2247" t="s">
        <v>16</v>
      </c>
      <c r="F2247" t="s">
        <v>35</v>
      </c>
      <c r="G2247" t="s">
        <v>36</v>
      </c>
      <c r="H2247" s="8">
        <v>2</v>
      </c>
      <c r="I2247" s="10">
        <v>89</v>
      </c>
      <c r="J2247" s="14">
        <f>P2247*I2247</f>
        <v>178</v>
      </c>
      <c r="K2247" s="16">
        <v>8.5000000000000006E-2</v>
      </c>
      <c r="L2247" s="1" t="s">
        <v>30</v>
      </c>
      <c r="M2247" t="s">
        <v>22</v>
      </c>
      <c r="N2247" t="str">
        <f t="shared" si="50"/>
        <v>United Kingdom</v>
      </c>
      <c r="O2247" s="8">
        <f>IF(K2247&gt;=1,K2247,K2247*1000)</f>
        <v>85</v>
      </c>
      <c r="P2247">
        <f>ABS(H2247)</f>
        <v>2</v>
      </c>
      <c r="R2247"/>
    </row>
    <row r="2248" spans="1:18" x14ac:dyDescent="0.35">
      <c r="A2248" t="s">
        <v>3715</v>
      </c>
      <c r="B2248" s="2">
        <v>46147</v>
      </c>
      <c r="C2248" t="s">
        <v>1691</v>
      </c>
      <c r="D2248" s="3" t="s">
        <v>61</v>
      </c>
      <c r="E2248" t="s">
        <v>41</v>
      </c>
      <c r="F2248" t="s">
        <v>17</v>
      </c>
      <c r="G2248" t="s">
        <v>18</v>
      </c>
      <c r="H2248" s="8">
        <v>1</v>
      </c>
      <c r="I2248" s="10">
        <v>116.1</v>
      </c>
      <c r="J2248" s="14">
        <f>P2248*I2248</f>
        <v>116.1</v>
      </c>
      <c r="K2248" s="16">
        <v>0.52</v>
      </c>
      <c r="L2248" s="1" t="s">
        <v>21</v>
      </c>
      <c r="M2248" t="s">
        <v>58</v>
      </c>
      <c r="N2248" t="str">
        <f t="shared" si="50"/>
        <v>Ireland</v>
      </c>
      <c r="O2248" s="8">
        <f>IF(K2248&gt;=1,K2248,K2248*1000)</f>
        <v>520</v>
      </c>
      <c r="P2248">
        <f>ABS(H2248)</f>
        <v>1</v>
      </c>
      <c r="R2248"/>
    </row>
    <row r="2249" spans="1:18" x14ac:dyDescent="0.35">
      <c r="A2249" t="s">
        <v>3716</v>
      </c>
      <c r="B2249" s="2">
        <v>46042</v>
      </c>
      <c r="C2249" t="s">
        <v>990</v>
      </c>
      <c r="D2249" s="3" t="s">
        <v>15</v>
      </c>
      <c r="E2249" t="s">
        <v>34</v>
      </c>
      <c r="F2249" t="s">
        <v>35</v>
      </c>
      <c r="G2249" t="s">
        <v>36</v>
      </c>
      <c r="H2249" s="8">
        <v>3</v>
      </c>
      <c r="I2249" s="10">
        <v>45</v>
      </c>
      <c r="J2249" s="14">
        <f>P2249*I2249</f>
        <v>135</v>
      </c>
      <c r="K2249" s="16">
        <v>85</v>
      </c>
      <c r="L2249" s="1" t="s">
        <v>21</v>
      </c>
      <c r="M2249" t="s">
        <v>22</v>
      </c>
      <c r="N2249" t="str">
        <f t="shared" si="50"/>
        <v>France</v>
      </c>
      <c r="O2249" s="8">
        <f>IF(K2249&gt;=1,K2249,K2249*1000)</f>
        <v>85</v>
      </c>
      <c r="P2249">
        <f>ABS(H2249)</f>
        <v>3</v>
      </c>
      <c r="R2249"/>
    </row>
    <row r="2250" spans="1:18" x14ac:dyDescent="0.35">
      <c r="A2250" t="s">
        <v>3717</v>
      </c>
      <c r="B2250" s="2">
        <v>46112</v>
      </c>
      <c r="C2250" t="s">
        <v>2171</v>
      </c>
      <c r="D2250" s="3" t="s">
        <v>66</v>
      </c>
      <c r="E2250" t="s">
        <v>16</v>
      </c>
      <c r="F2250" t="s">
        <v>89</v>
      </c>
      <c r="G2250" t="s">
        <v>90</v>
      </c>
      <c r="H2250" s="8">
        <v>1</v>
      </c>
      <c r="I2250" s="10">
        <v>24</v>
      </c>
      <c r="J2250" s="14">
        <f>P2250*I2250</f>
        <v>24</v>
      </c>
      <c r="K2250" s="16">
        <v>640</v>
      </c>
      <c r="L2250" s="1" t="s">
        <v>30</v>
      </c>
      <c r="M2250" t="s">
        <v>22</v>
      </c>
      <c r="N2250" t="str">
        <f t="shared" si="50"/>
        <v>Gb</v>
      </c>
      <c r="O2250" s="8">
        <f>IF(K2250&gt;=1,K2250,K2250*1000)</f>
        <v>640</v>
      </c>
      <c r="P2250">
        <f>ABS(H2250)</f>
        <v>1</v>
      </c>
      <c r="R2250"/>
    </row>
    <row r="2251" spans="1:18" x14ac:dyDescent="0.35">
      <c r="A2251" t="s">
        <v>3718</v>
      </c>
      <c r="B2251" s="2">
        <v>46188</v>
      </c>
      <c r="C2251" t="s">
        <v>877</v>
      </c>
      <c r="D2251" s="3" t="s">
        <v>53</v>
      </c>
      <c r="E2251" t="s">
        <v>25</v>
      </c>
      <c r="F2251" t="s">
        <v>17</v>
      </c>
      <c r="G2251" t="s">
        <v>18</v>
      </c>
      <c r="H2251" s="8">
        <v>3</v>
      </c>
      <c r="I2251" s="10">
        <v>89</v>
      </c>
      <c r="J2251" s="14">
        <f>P2251*I2251</f>
        <v>267</v>
      </c>
      <c r="K2251" s="16">
        <v>0.52</v>
      </c>
      <c r="L2251" s="1" t="s">
        <v>21</v>
      </c>
      <c r="M2251" t="s">
        <v>22</v>
      </c>
      <c r="N2251" t="str">
        <f t="shared" si="50"/>
        <v>Gb</v>
      </c>
      <c r="O2251" s="8">
        <f>IF(K2251&gt;=1,K2251,K2251*1000)</f>
        <v>520</v>
      </c>
      <c r="P2251">
        <f>ABS(H2251)</f>
        <v>3</v>
      </c>
      <c r="R2251"/>
    </row>
    <row r="2252" spans="1:18" x14ac:dyDescent="0.35">
      <c r="A2252" t="s">
        <v>3719</v>
      </c>
      <c r="B2252" s="2">
        <v>46150</v>
      </c>
      <c r="C2252" t="s">
        <v>273</v>
      </c>
      <c r="D2252" s="3" t="s">
        <v>61</v>
      </c>
      <c r="E2252" t="s">
        <v>16</v>
      </c>
      <c r="F2252" t="s">
        <v>26</v>
      </c>
      <c r="G2252" t="s">
        <v>27</v>
      </c>
      <c r="H2252" s="8">
        <v>3</v>
      </c>
      <c r="I2252" s="10">
        <v>95</v>
      </c>
      <c r="J2252" s="14">
        <f>P2252*I2252</f>
        <v>285</v>
      </c>
      <c r="K2252" s="16">
        <v>0.52</v>
      </c>
      <c r="L2252" s="1" t="s">
        <v>30</v>
      </c>
      <c r="M2252" t="s">
        <v>22</v>
      </c>
      <c r="N2252" t="str">
        <f t="shared" si="50"/>
        <v>Ireland</v>
      </c>
      <c r="O2252" s="8">
        <f>IF(K2252&gt;=1,K2252,K2252*1000)</f>
        <v>520</v>
      </c>
      <c r="P2252">
        <f>ABS(H2252)</f>
        <v>3</v>
      </c>
      <c r="R2252"/>
    </row>
    <row r="2253" spans="1:18" x14ac:dyDescent="0.35">
      <c r="A2253" t="s">
        <v>3720</v>
      </c>
      <c r="B2253" s="2">
        <v>46040</v>
      </c>
      <c r="C2253" t="s">
        <v>1179</v>
      </c>
      <c r="D2253" s="3" t="s">
        <v>53</v>
      </c>
      <c r="E2253" t="s">
        <v>67</v>
      </c>
      <c r="F2253" t="s">
        <v>26</v>
      </c>
      <c r="G2253" t="s">
        <v>27</v>
      </c>
      <c r="H2253" s="8">
        <v>1</v>
      </c>
      <c r="I2253" s="10">
        <v>11.25</v>
      </c>
      <c r="J2253" s="14">
        <f>P2253*I2253</f>
        <v>11.25</v>
      </c>
      <c r="K2253" s="16">
        <v>520</v>
      </c>
      <c r="L2253" s="1" t="s">
        <v>30</v>
      </c>
      <c r="M2253" t="s">
        <v>22</v>
      </c>
      <c r="N2253" t="str">
        <f t="shared" si="50"/>
        <v>Gb</v>
      </c>
      <c r="O2253" s="8">
        <f>IF(K2253&gt;=1,K2253,K2253*1000)</f>
        <v>520</v>
      </c>
      <c r="P2253">
        <f>ABS(H2253)</f>
        <v>1</v>
      </c>
      <c r="R2253"/>
    </row>
    <row r="2254" spans="1:18" x14ac:dyDescent="0.35">
      <c r="A2254" t="s">
        <v>3721</v>
      </c>
      <c r="B2254" s="2">
        <v>46167</v>
      </c>
      <c r="C2254" t="s">
        <v>416</v>
      </c>
      <c r="D2254" s="3" t="s">
        <v>4613</v>
      </c>
      <c r="E2254" t="s">
        <v>67</v>
      </c>
      <c r="F2254" t="s">
        <v>17</v>
      </c>
      <c r="G2254" t="s">
        <v>18</v>
      </c>
      <c r="H2254" s="8">
        <v>3</v>
      </c>
      <c r="I2254" s="10">
        <v>149</v>
      </c>
      <c r="J2254" s="14">
        <f>P2254*I2254</f>
        <v>447</v>
      </c>
      <c r="K2254" s="16">
        <v>0.52</v>
      </c>
      <c r="L2254" s="1" t="s">
        <v>30</v>
      </c>
      <c r="M2254" t="s">
        <v>22</v>
      </c>
      <c r="N2254" t="str">
        <f t="shared" si="50"/>
        <v>United Kingdom</v>
      </c>
      <c r="O2254" s="8">
        <f>IF(K2254&gt;=1,K2254,K2254*1000)</f>
        <v>520</v>
      </c>
      <c r="P2254">
        <f>ABS(H2254)</f>
        <v>3</v>
      </c>
      <c r="R2254"/>
    </row>
    <row r="2255" spans="1:18" x14ac:dyDescent="0.35">
      <c r="A2255" t="s">
        <v>3722</v>
      </c>
      <c r="B2255" s="2">
        <v>46064</v>
      </c>
      <c r="C2255" t="s">
        <v>3723</v>
      </c>
      <c r="D2255" s="3" t="s">
        <v>66</v>
      </c>
      <c r="E2255" t="s">
        <v>67</v>
      </c>
      <c r="F2255" t="s">
        <v>47</v>
      </c>
      <c r="G2255" t="s">
        <v>48</v>
      </c>
      <c r="H2255" s="8">
        <v>3</v>
      </c>
      <c r="I2255" s="10">
        <v>149</v>
      </c>
      <c r="J2255" s="14">
        <f>P2255*I2255</f>
        <v>447</v>
      </c>
      <c r="K2255" s="16">
        <v>380</v>
      </c>
      <c r="L2255" s="1" t="s">
        <v>30</v>
      </c>
      <c r="M2255" t="s">
        <v>58</v>
      </c>
      <c r="N2255" t="str">
        <f t="shared" si="50"/>
        <v>Gb</v>
      </c>
      <c r="O2255" s="8">
        <f>IF(K2255&gt;=1,K2255,K2255*1000)</f>
        <v>380</v>
      </c>
      <c r="P2255">
        <f>ABS(H2255)</f>
        <v>3</v>
      </c>
      <c r="R2255"/>
    </row>
    <row r="2256" spans="1:18" x14ac:dyDescent="0.35">
      <c r="A2256" t="s">
        <v>3724</v>
      </c>
      <c r="B2256" s="2">
        <v>46081</v>
      </c>
      <c r="C2256" t="s">
        <v>2523</v>
      </c>
      <c r="D2256" s="3" t="s">
        <v>4612</v>
      </c>
      <c r="E2256" t="s">
        <v>34</v>
      </c>
      <c r="F2256" t="s">
        <v>47</v>
      </c>
      <c r="G2256" t="s">
        <v>48</v>
      </c>
      <c r="H2256" s="8">
        <v>2</v>
      </c>
      <c r="I2256" s="10">
        <v>134.1</v>
      </c>
      <c r="J2256" s="14">
        <f>P2256*I2256</f>
        <v>268.2</v>
      </c>
      <c r="K2256" s="16">
        <v>380</v>
      </c>
      <c r="L2256" s="1" t="s">
        <v>21</v>
      </c>
      <c r="M2256" t="s">
        <v>22</v>
      </c>
      <c r="N2256" t="str">
        <f t="shared" si="50"/>
        <v>United Kingdom</v>
      </c>
      <c r="O2256" s="8">
        <f>IF(K2256&gt;=1,K2256,K2256*1000)</f>
        <v>380</v>
      </c>
      <c r="P2256">
        <f>ABS(H2256)</f>
        <v>2</v>
      </c>
      <c r="R2256"/>
    </row>
    <row r="2257" spans="1:18" x14ac:dyDescent="0.35">
      <c r="A2257" t="s">
        <v>3725</v>
      </c>
      <c r="B2257" s="2">
        <v>46062</v>
      </c>
      <c r="C2257" t="s">
        <v>3726</v>
      </c>
      <c r="D2257" s="3" t="s">
        <v>66</v>
      </c>
      <c r="E2257" t="s">
        <v>16</v>
      </c>
      <c r="F2257" t="s">
        <v>89</v>
      </c>
      <c r="G2257" t="s">
        <v>90</v>
      </c>
      <c r="H2257" s="8">
        <v>1</v>
      </c>
      <c r="I2257" s="10">
        <v>129</v>
      </c>
      <c r="J2257" s="14">
        <f>P2257*I2257</f>
        <v>129</v>
      </c>
      <c r="K2257" s="16">
        <v>640</v>
      </c>
      <c r="L2257" s="1" t="s">
        <v>30</v>
      </c>
      <c r="M2257" t="s">
        <v>22</v>
      </c>
      <c r="N2257" t="str">
        <f t="shared" si="50"/>
        <v>Gb</v>
      </c>
      <c r="O2257" s="8">
        <f>IF(K2257&gt;=1,K2257,K2257*1000)</f>
        <v>640</v>
      </c>
      <c r="P2257">
        <f>ABS(H2257)</f>
        <v>1</v>
      </c>
      <c r="R2257"/>
    </row>
    <row r="2258" spans="1:18" x14ac:dyDescent="0.35">
      <c r="A2258" t="s">
        <v>3727</v>
      </c>
      <c r="B2258" s="2">
        <v>46203</v>
      </c>
      <c r="C2258" t="s">
        <v>1264</v>
      </c>
      <c r="D2258" s="3" t="s">
        <v>99</v>
      </c>
      <c r="E2258" t="s">
        <v>67</v>
      </c>
      <c r="F2258" t="s">
        <v>26</v>
      </c>
      <c r="G2258" t="s">
        <v>27</v>
      </c>
      <c r="H2258" s="8">
        <v>1</v>
      </c>
      <c r="I2258" s="10">
        <v>80.099999999999994</v>
      </c>
      <c r="J2258" s="14">
        <f>P2258*I2258</f>
        <v>80.099999999999994</v>
      </c>
      <c r="K2258" s="16">
        <v>0.52</v>
      </c>
      <c r="L2258" s="1" t="s">
        <v>30</v>
      </c>
      <c r="M2258" t="s">
        <v>58</v>
      </c>
      <c r="N2258" t="str">
        <f t="shared" si="50"/>
        <v>United Kingdom</v>
      </c>
      <c r="O2258" s="8">
        <f>IF(K2258&gt;=1,K2258,K2258*1000)</f>
        <v>520</v>
      </c>
      <c r="P2258">
        <f>ABS(H2258)</f>
        <v>1</v>
      </c>
      <c r="R2258"/>
    </row>
    <row r="2259" spans="1:18" x14ac:dyDescent="0.35">
      <c r="A2259" t="s">
        <v>3728</v>
      </c>
      <c r="B2259" s="2">
        <v>46195</v>
      </c>
      <c r="C2259" t="s">
        <v>3729</v>
      </c>
      <c r="D2259" s="3" t="s">
        <v>15</v>
      </c>
      <c r="E2259" t="s">
        <v>16</v>
      </c>
      <c r="F2259" t="s">
        <v>35</v>
      </c>
      <c r="G2259" t="s">
        <v>36</v>
      </c>
      <c r="H2259" s="8">
        <v>2</v>
      </c>
      <c r="I2259" s="10">
        <v>129</v>
      </c>
      <c r="J2259" s="14">
        <f>P2259*I2259</f>
        <v>258</v>
      </c>
      <c r="K2259" s="16">
        <v>8.5000000000000006E-2</v>
      </c>
      <c r="L2259" s="1" t="s">
        <v>30</v>
      </c>
      <c r="M2259" t="s">
        <v>22</v>
      </c>
      <c r="N2259" t="str">
        <f t="shared" si="50"/>
        <v>France</v>
      </c>
      <c r="O2259" s="8">
        <f>IF(K2259&gt;=1,K2259,K2259*1000)</f>
        <v>85</v>
      </c>
      <c r="P2259">
        <f>ABS(H2259)</f>
        <v>2</v>
      </c>
      <c r="R2259"/>
    </row>
    <row r="2260" spans="1:18" x14ac:dyDescent="0.35">
      <c r="A2260" t="s">
        <v>3730</v>
      </c>
      <c r="B2260" s="2">
        <v>46097</v>
      </c>
      <c r="C2260" t="s">
        <v>873</v>
      </c>
      <c r="D2260" s="3" t="s">
        <v>15</v>
      </c>
      <c r="E2260" t="s">
        <v>67</v>
      </c>
      <c r="F2260" t="s">
        <v>35</v>
      </c>
      <c r="G2260" t="s">
        <v>36</v>
      </c>
      <c r="H2260" s="8">
        <v>2</v>
      </c>
      <c r="I2260" s="10">
        <v>134.1</v>
      </c>
      <c r="J2260" s="14">
        <f>P2260*I2260</f>
        <v>268.2</v>
      </c>
      <c r="K2260" s="16">
        <v>85</v>
      </c>
      <c r="L2260" s="1" t="s">
        <v>30</v>
      </c>
      <c r="M2260" t="s">
        <v>22</v>
      </c>
      <c r="N2260" t="str">
        <f t="shared" si="50"/>
        <v>France</v>
      </c>
      <c r="O2260" s="8">
        <f>IF(K2260&gt;=1,K2260,K2260*1000)</f>
        <v>85</v>
      </c>
      <c r="P2260">
        <f>ABS(H2260)</f>
        <v>2</v>
      </c>
      <c r="R2260"/>
    </row>
    <row r="2261" spans="1:18" x14ac:dyDescent="0.35">
      <c r="A2261" t="s">
        <v>3731</v>
      </c>
      <c r="B2261" s="2">
        <v>46141</v>
      </c>
      <c r="C2261" t="s">
        <v>180</v>
      </c>
      <c r="D2261" s="3" t="s">
        <v>15</v>
      </c>
      <c r="E2261" t="s">
        <v>34</v>
      </c>
      <c r="F2261" t="s">
        <v>89</v>
      </c>
      <c r="G2261" t="s">
        <v>90</v>
      </c>
      <c r="H2261" s="8">
        <v>1</v>
      </c>
      <c r="I2261" s="10">
        <v>149</v>
      </c>
      <c r="J2261" s="14">
        <f>P2261*I2261</f>
        <v>149</v>
      </c>
      <c r="K2261" s="16">
        <v>0.64</v>
      </c>
      <c r="L2261" s="1" t="s">
        <v>30</v>
      </c>
      <c r="M2261" t="s">
        <v>22</v>
      </c>
      <c r="N2261" t="str">
        <f t="shared" si="50"/>
        <v>France</v>
      </c>
      <c r="O2261" s="8">
        <f>IF(K2261&gt;=1,K2261,K2261*1000)</f>
        <v>640</v>
      </c>
      <c r="P2261">
        <f>ABS(H2261)</f>
        <v>1</v>
      </c>
      <c r="R2261"/>
    </row>
    <row r="2262" spans="1:18" x14ac:dyDescent="0.35">
      <c r="A2262" t="s">
        <v>3732</v>
      </c>
      <c r="B2262" s="2">
        <v>46093</v>
      </c>
      <c r="C2262" t="s">
        <v>1953</v>
      </c>
      <c r="D2262" s="3" t="s">
        <v>46</v>
      </c>
      <c r="E2262" t="s">
        <v>25</v>
      </c>
      <c r="F2262" t="s">
        <v>35</v>
      </c>
      <c r="G2262" t="s">
        <v>36</v>
      </c>
      <c r="H2262" s="8">
        <v>2</v>
      </c>
      <c r="I2262" s="10">
        <v>21.6</v>
      </c>
      <c r="J2262" s="14">
        <f>P2262*I2262</f>
        <v>43.2</v>
      </c>
      <c r="K2262" s="16">
        <v>85</v>
      </c>
      <c r="L2262" s="1" t="s">
        <v>21</v>
      </c>
      <c r="M2262" t="s">
        <v>22</v>
      </c>
      <c r="N2262" t="str">
        <f t="shared" si="50"/>
        <v>Ireland</v>
      </c>
      <c r="O2262" s="8">
        <f>IF(K2262&gt;=1,K2262,K2262*1000)</f>
        <v>85</v>
      </c>
      <c r="P2262">
        <f>ABS(H2262)</f>
        <v>2</v>
      </c>
      <c r="R2262"/>
    </row>
    <row r="2263" spans="1:18" x14ac:dyDescent="0.35">
      <c r="A2263" t="s">
        <v>3733</v>
      </c>
      <c r="B2263" s="2">
        <v>46107</v>
      </c>
      <c r="C2263" t="s">
        <v>1157</v>
      </c>
      <c r="D2263" s="3" t="s">
        <v>4612</v>
      </c>
      <c r="E2263" t="s">
        <v>25</v>
      </c>
      <c r="F2263" t="s">
        <v>83</v>
      </c>
      <c r="G2263" t="s">
        <v>84</v>
      </c>
      <c r="H2263" s="8">
        <v>1</v>
      </c>
      <c r="I2263" s="10">
        <v>12.5</v>
      </c>
      <c r="J2263" s="14">
        <f>P2263*I2263</f>
        <v>12.5</v>
      </c>
      <c r="K2263" s="16">
        <v>340</v>
      </c>
      <c r="L2263" s="1" t="s">
        <v>30</v>
      </c>
      <c r="M2263" t="s">
        <v>22</v>
      </c>
      <c r="N2263" t="str">
        <f t="shared" si="50"/>
        <v>United Kingdom</v>
      </c>
      <c r="O2263" s="8">
        <f>IF(K2263&gt;=1,K2263,K2263*1000)</f>
        <v>340</v>
      </c>
      <c r="P2263">
        <f>ABS(H2263)</f>
        <v>1</v>
      </c>
      <c r="R2263"/>
    </row>
    <row r="2264" spans="1:18" x14ac:dyDescent="0.35">
      <c r="A2264" t="s">
        <v>3734</v>
      </c>
      <c r="B2264" s="2">
        <v>46197</v>
      </c>
      <c r="C2264" t="s">
        <v>1048</v>
      </c>
      <c r="D2264" s="3" t="s">
        <v>4613</v>
      </c>
      <c r="E2264" t="s">
        <v>67</v>
      </c>
      <c r="F2264" t="s">
        <v>74</v>
      </c>
      <c r="G2264" t="s">
        <v>75</v>
      </c>
      <c r="H2264" s="8">
        <v>3</v>
      </c>
      <c r="I2264" s="10">
        <v>12.5</v>
      </c>
      <c r="J2264" s="14">
        <f>P2264*I2264</f>
        <v>37.5</v>
      </c>
      <c r="K2264" s="16">
        <v>0.41</v>
      </c>
      <c r="L2264" s="1" t="s">
        <v>30</v>
      </c>
      <c r="M2264" t="s">
        <v>22</v>
      </c>
      <c r="N2264" t="str">
        <f t="shared" si="50"/>
        <v>United Kingdom</v>
      </c>
      <c r="O2264" s="8">
        <f>IF(K2264&gt;=1,K2264,K2264*1000)</f>
        <v>410</v>
      </c>
      <c r="P2264">
        <f>ABS(H2264)</f>
        <v>3</v>
      </c>
      <c r="R2264"/>
    </row>
    <row r="2265" spans="1:18" x14ac:dyDescent="0.35">
      <c r="A2265" t="s">
        <v>3735</v>
      </c>
      <c r="B2265" s="2">
        <v>46120</v>
      </c>
      <c r="C2265" t="s">
        <v>1312</v>
      </c>
      <c r="D2265" s="3" t="s">
        <v>15</v>
      </c>
      <c r="E2265" t="s">
        <v>67</v>
      </c>
      <c r="F2265" t="s">
        <v>35</v>
      </c>
      <c r="G2265" t="s">
        <v>36</v>
      </c>
      <c r="H2265" s="8">
        <v>2</v>
      </c>
      <c r="I2265" s="10">
        <v>40.5</v>
      </c>
      <c r="J2265" s="14">
        <f>P2265*I2265</f>
        <v>81</v>
      </c>
      <c r="K2265" s="16">
        <v>85</v>
      </c>
      <c r="L2265" s="1" t="s">
        <v>30</v>
      </c>
      <c r="M2265" t="s">
        <v>22</v>
      </c>
      <c r="N2265" t="str">
        <f t="shared" si="50"/>
        <v>France</v>
      </c>
      <c r="O2265" s="8">
        <f>IF(K2265&gt;=1,K2265,K2265*1000)</f>
        <v>85</v>
      </c>
      <c r="P2265">
        <f>ABS(H2265)</f>
        <v>2</v>
      </c>
      <c r="R2265"/>
    </row>
    <row r="2266" spans="1:18" x14ac:dyDescent="0.35">
      <c r="A2266" t="s">
        <v>3736</v>
      </c>
      <c r="B2266" s="2">
        <v>46206</v>
      </c>
      <c r="C2266" t="s">
        <v>3737</v>
      </c>
      <c r="D2266" s="3" t="s">
        <v>116</v>
      </c>
      <c r="E2266" t="s">
        <v>16</v>
      </c>
      <c r="F2266" t="s">
        <v>35</v>
      </c>
      <c r="G2266" t="s">
        <v>36</v>
      </c>
      <c r="H2266" s="8">
        <v>1</v>
      </c>
      <c r="I2266" s="10">
        <v>24</v>
      </c>
      <c r="J2266" s="14">
        <f>P2266*I2266</f>
        <v>24</v>
      </c>
      <c r="K2266" s="16">
        <v>8.5000000000000006E-2</v>
      </c>
      <c r="L2266" s="1" t="s">
        <v>30</v>
      </c>
      <c r="M2266" t="s">
        <v>22</v>
      </c>
      <c r="N2266" t="str">
        <f t="shared" si="50"/>
        <v>Germany</v>
      </c>
      <c r="O2266" s="8">
        <f>IF(K2266&gt;=1,K2266,K2266*1000)</f>
        <v>85</v>
      </c>
      <c r="P2266">
        <f>ABS(H2266)</f>
        <v>1</v>
      </c>
      <c r="R2266"/>
    </row>
    <row r="2267" spans="1:18" x14ac:dyDescent="0.35">
      <c r="A2267" t="s">
        <v>3738</v>
      </c>
      <c r="B2267" s="2">
        <v>46060</v>
      </c>
      <c r="C2267" t="s">
        <v>940</v>
      </c>
      <c r="D2267" s="3" t="s">
        <v>61</v>
      </c>
      <c r="E2267" t="s">
        <v>25</v>
      </c>
      <c r="F2267" t="s">
        <v>42</v>
      </c>
      <c r="G2267" t="s">
        <v>43</v>
      </c>
      <c r="H2267" s="8">
        <v>2</v>
      </c>
      <c r="I2267" s="10">
        <v>149</v>
      </c>
      <c r="J2267" s="14">
        <f>P2267*I2267</f>
        <v>298</v>
      </c>
      <c r="K2267" s="16">
        <v>190</v>
      </c>
      <c r="L2267" s="1" t="s">
        <v>21</v>
      </c>
      <c r="M2267" t="s">
        <v>58</v>
      </c>
      <c r="N2267" t="str">
        <f t="shared" si="50"/>
        <v>Ireland</v>
      </c>
      <c r="O2267" s="8">
        <f>IF(K2267&gt;=1,K2267,K2267*1000)</f>
        <v>190</v>
      </c>
      <c r="P2267">
        <f>ABS(H2267)</f>
        <v>2</v>
      </c>
      <c r="R2267"/>
    </row>
    <row r="2268" spans="1:18" x14ac:dyDescent="0.35">
      <c r="A2268" t="s">
        <v>3739</v>
      </c>
      <c r="B2268" s="2">
        <v>46089</v>
      </c>
      <c r="C2268" t="s">
        <v>3740</v>
      </c>
      <c r="D2268" s="3" t="s">
        <v>116</v>
      </c>
      <c r="E2268" t="s">
        <v>16</v>
      </c>
      <c r="F2268" t="s">
        <v>26</v>
      </c>
      <c r="G2268" t="s">
        <v>27</v>
      </c>
      <c r="H2268" s="8">
        <v>2</v>
      </c>
      <c r="I2268" s="10">
        <v>149</v>
      </c>
      <c r="J2268" s="14">
        <f>P2268*I2268</f>
        <v>298</v>
      </c>
      <c r="K2268" s="16">
        <v>520</v>
      </c>
      <c r="L2268" s="1" t="s">
        <v>30</v>
      </c>
      <c r="M2268" t="s">
        <v>58</v>
      </c>
      <c r="N2268" t="str">
        <f t="shared" si="50"/>
        <v>Germany</v>
      </c>
      <c r="O2268" s="8">
        <f>IF(K2268&gt;=1,K2268,K2268*1000)</f>
        <v>520</v>
      </c>
      <c r="P2268">
        <f>ABS(H2268)</f>
        <v>2</v>
      </c>
      <c r="R2268"/>
    </row>
    <row r="2269" spans="1:18" x14ac:dyDescent="0.35">
      <c r="A2269" t="s">
        <v>3741</v>
      </c>
      <c r="B2269" s="2">
        <v>46185</v>
      </c>
      <c r="C2269" t="s">
        <v>1723</v>
      </c>
      <c r="D2269" s="3" t="s">
        <v>66</v>
      </c>
      <c r="E2269" t="s">
        <v>67</v>
      </c>
      <c r="F2269" t="s">
        <v>42</v>
      </c>
      <c r="G2269" t="s">
        <v>43</v>
      </c>
      <c r="H2269" s="8">
        <v>3</v>
      </c>
      <c r="I2269" s="10">
        <v>79</v>
      </c>
      <c r="J2269" s="14">
        <f>P2269*I2269</f>
        <v>237</v>
      </c>
      <c r="K2269" s="16">
        <v>0.19</v>
      </c>
      <c r="L2269" s="1" t="s">
        <v>30</v>
      </c>
      <c r="M2269" t="s">
        <v>22</v>
      </c>
      <c r="N2269" t="str">
        <f t="shared" si="50"/>
        <v>Gb</v>
      </c>
      <c r="O2269" s="8">
        <f>IF(K2269&gt;=1,K2269,K2269*1000)</f>
        <v>190</v>
      </c>
      <c r="P2269">
        <f>ABS(H2269)</f>
        <v>3</v>
      </c>
      <c r="R2269"/>
    </row>
    <row r="2270" spans="1:18" x14ac:dyDescent="0.35">
      <c r="A2270" t="s">
        <v>3742</v>
      </c>
      <c r="B2270" s="2">
        <v>46113</v>
      </c>
      <c r="C2270" t="s">
        <v>2627</v>
      </c>
      <c r="D2270" s="3" t="s">
        <v>15</v>
      </c>
      <c r="E2270" t="s">
        <v>41</v>
      </c>
      <c r="F2270" t="s">
        <v>83</v>
      </c>
      <c r="G2270" t="s">
        <v>84</v>
      </c>
      <c r="H2270" s="8">
        <v>2</v>
      </c>
      <c r="I2270" s="10">
        <v>89</v>
      </c>
      <c r="J2270" s="14">
        <f>P2270*I2270</f>
        <v>178</v>
      </c>
      <c r="K2270" s="16">
        <v>340</v>
      </c>
      <c r="L2270" s="1" t="s">
        <v>30</v>
      </c>
      <c r="M2270" t="s">
        <v>22</v>
      </c>
      <c r="N2270" t="str">
        <f t="shared" si="50"/>
        <v>France</v>
      </c>
      <c r="O2270" s="8">
        <f>IF(K2270&gt;=1,K2270,K2270*1000)</f>
        <v>340</v>
      </c>
      <c r="P2270">
        <f>ABS(H2270)</f>
        <v>2</v>
      </c>
      <c r="R2270"/>
    </row>
    <row r="2271" spans="1:18" x14ac:dyDescent="0.35">
      <c r="A2271" t="s">
        <v>3743</v>
      </c>
      <c r="B2271" s="2">
        <v>46171</v>
      </c>
      <c r="C2271" t="s">
        <v>1070</v>
      </c>
      <c r="D2271" s="3" t="s">
        <v>4612</v>
      </c>
      <c r="E2271" t="s">
        <v>67</v>
      </c>
      <c r="F2271" t="s">
        <v>74</v>
      </c>
      <c r="G2271" t="s">
        <v>75</v>
      </c>
      <c r="H2271" s="8">
        <v>1</v>
      </c>
      <c r="I2271" s="10">
        <v>95</v>
      </c>
      <c r="J2271" s="14">
        <f>P2271*I2271</f>
        <v>95</v>
      </c>
      <c r="K2271" s="16">
        <v>0.41</v>
      </c>
      <c r="L2271" s="1" t="s">
        <v>30</v>
      </c>
      <c r="M2271" t="s">
        <v>22</v>
      </c>
      <c r="N2271" t="str">
        <f t="shared" si="50"/>
        <v>United Kingdom</v>
      </c>
      <c r="O2271" s="8">
        <f>IF(K2271&gt;=1,K2271,K2271*1000)</f>
        <v>410</v>
      </c>
      <c r="P2271">
        <f>ABS(H2271)</f>
        <v>1</v>
      </c>
      <c r="R2271"/>
    </row>
    <row r="2272" spans="1:18" x14ac:dyDescent="0.35">
      <c r="A2272" t="s">
        <v>3744</v>
      </c>
      <c r="B2272" s="2">
        <v>46028</v>
      </c>
      <c r="C2272" t="s">
        <v>1321</v>
      </c>
      <c r="D2272" s="3" t="s">
        <v>99</v>
      </c>
      <c r="E2272" t="s">
        <v>41</v>
      </c>
      <c r="F2272" t="s">
        <v>17</v>
      </c>
      <c r="G2272" t="s">
        <v>18</v>
      </c>
      <c r="H2272" s="8">
        <v>2</v>
      </c>
      <c r="I2272" s="10">
        <v>24</v>
      </c>
      <c r="J2272" s="14">
        <f>P2272*I2272</f>
        <v>48</v>
      </c>
      <c r="K2272" s="16">
        <v>520</v>
      </c>
      <c r="L2272" s="1" t="s">
        <v>30</v>
      </c>
      <c r="M2272" t="s">
        <v>22</v>
      </c>
      <c r="N2272" t="str">
        <f t="shared" si="50"/>
        <v>United Kingdom</v>
      </c>
      <c r="O2272" s="8">
        <f>IF(K2272&gt;=1,K2272,K2272*1000)</f>
        <v>520</v>
      </c>
      <c r="P2272">
        <f>ABS(H2272)</f>
        <v>2</v>
      </c>
      <c r="R2272"/>
    </row>
    <row r="2273" spans="1:18" x14ac:dyDescent="0.35">
      <c r="A2273" t="s">
        <v>3745</v>
      </c>
      <c r="B2273" s="2">
        <v>46063</v>
      </c>
      <c r="C2273" t="s">
        <v>2473</v>
      </c>
      <c r="D2273" s="3" t="s">
        <v>15</v>
      </c>
      <c r="E2273" t="s">
        <v>16</v>
      </c>
      <c r="F2273" t="s">
        <v>83</v>
      </c>
      <c r="G2273" t="s">
        <v>84</v>
      </c>
      <c r="H2273" s="8">
        <v>3</v>
      </c>
      <c r="I2273" s="10">
        <v>24</v>
      </c>
      <c r="J2273" s="14">
        <f>P2273*I2273</f>
        <v>72</v>
      </c>
      <c r="K2273" s="16">
        <v>340</v>
      </c>
      <c r="L2273" s="1" t="s">
        <v>30</v>
      </c>
      <c r="M2273" t="s">
        <v>22</v>
      </c>
      <c r="N2273" t="str">
        <f t="shared" si="50"/>
        <v>France</v>
      </c>
      <c r="O2273" s="8">
        <f>IF(K2273&gt;=1,K2273,K2273*1000)</f>
        <v>340</v>
      </c>
      <c r="P2273">
        <f>ABS(H2273)</f>
        <v>3</v>
      </c>
      <c r="R2273"/>
    </row>
    <row r="2274" spans="1:18" x14ac:dyDescent="0.35">
      <c r="A2274" t="s">
        <v>3746</v>
      </c>
      <c r="B2274" s="2">
        <v>46041</v>
      </c>
      <c r="C2274" t="s">
        <v>1275</v>
      </c>
      <c r="D2274" s="3" t="s">
        <v>46</v>
      </c>
      <c r="E2274" t="s">
        <v>41</v>
      </c>
      <c r="F2274" t="s">
        <v>26</v>
      </c>
      <c r="G2274" t="s">
        <v>27</v>
      </c>
      <c r="H2274" s="8">
        <v>1</v>
      </c>
      <c r="I2274" s="10">
        <v>45</v>
      </c>
      <c r="J2274" s="14">
        <f>P2274*I2274</f>
        <v>45</v>
      </c>
      <c r="K2274" s="16">
        <v>520</v>
      </c>
      <c r="L2274" s="1" t="s">
        <v>30</v>
      </c>
      <c r="M2274" t="s">
        <v>22</v>
      </c>
      <c r="N2274" t="str">
        <f t="shared" si="50"/>
        <v>Ireland</v>
      </c>
      <c r="O2274" s="8">
        <f>IF(K2274&gt;=1,K2274,K2274*1000)</f>
        <v>520</v>
      </c>
      <c r="P2274">
        <f>ABS(H2274)</f>
        <v>1</v>
      </c>
      <c r="R2274"/>
    </row>
    <row r="2275" spans="1:18" x14ac:dyDescent="0.35">
      <c r="A2275" t="s">
        <v>3747</v>
      </c>
      <c r="B2275" s="2">
        <v>46032</v>
      </c>
      <c r="C2275" t="s">
        <v>979</v>
      </c>
      <c r="D2275" s="3" t="s">
        <v>61</v>
      </c>
      <c r="E2275" t="s">
        <v>67</v>
      </c>
      <c r="F2275" t="s">
        <v>26</v>
      </c>
      <c r="G2275" t="s">
        <v>27</v>
      </c>
      <c r="H2275" s="8">
        <v>3</v>
      </c>
      <c r="I2275" s="10">
        <v>45</v>
      </c>
      <c r="J2275" s="14">
        <f>P2275*I2275</f>
        <v>135</v>
      </c>
      <c r="K2275" s="16">
        <v>520</v>
      </c>
      <c r="L2275" s="1" t="s">
        <v>21</v>
      </c>
      <c r="M2275" t="s">
        <v>58</v>
      </c>
      <c r="N2275" t="str">
        <f t="shared" si="50"/>
        <v>Ireland</v>
      </c>
      <c r="O2275" s="8">
        <f>IF(K2275&gt;=1,K2275,K2275*1000)</f>
        <v>520</v>
      </c>
      <c r="P2275">
        <f>ABS(H2275)</f>
        <v>3</v>
      </c>
      <c r="R2275"/>
    </row>
    <row r="2276" spans="1:18" x14ac:dyDescent="0.35">
      <c r="A2276" t="s">
        <v>3748</v>
      </c>
      <c r="B2276" s="2">
        <v>46143</v>
      </c>
      <c r="C2276" t="s">
        <v>191</v>
      </c>
      <c r="D2276" s="3" t="s">
        <v>4613</v>
      </c>
      <c r="E2276" t="s">
        <v>41</v>
      </c>
      <c r="F2276" t="s">
        <v>83</v>
      </c>
      <c r="G2276" t="s">
        <v>84</v>
      </c>
      <c r="H2276" s="8">
        <v>-2</v>
      </c>
      <c r="I2276" s="10">
        <v>45</v>
      </c>
      <c r="J2276" s="14">
        <f>P2276*I2276</f>
        <v>90</v>
      </c>
      <c r="K2276" s="16">
        <v>0.34</v>
      </c>
      <c r="L2276" s="1" t="s">
        <v>21</v>
      </c>
      <c r="M2276" t="s">
        <v>58</v>
      </c>
      <c r="N2276" t="str">
        <f t="shared" si="50"/>
        <v>United Kingdom</v>
      </c>
      <c r="O2276" s="8">
        <f>IF(K2276&gt;=1,K2276,K2276*1000)</f>
        <v>340</v>
      </c>
      <c r="P2276">
        <f>ABS(H2276)</f>
        <v>2</v>
      </c>
      <c r="R2276"/>
    </row>
    <row r="2277" spans="1:18" x14ac:dyDescent="0.35">
      <c r="A2277" t="s">
        <v>3749</v>
      </c>
      <c r="B2277" s="2">
        <v>46052</v>
      </c>
      <c r="C2277" t="s">
        <v>553</v>
      </c>
      <c r="D2277" s="3" t="s">
        <v>4612</v>
      </c>
      <c r="E2277" t="s">
        <v>34</v>
      </c>
      <c r="F2277" t="s">
        <v>83</v>
      </c>
      <c r="G2277" t="s">
        <v>84</v>
      </c>
      <c r="H2277" s="8">
        <v>1</v>
      </c>
      <c r="I2277" s="10">
        <v>24</v>
      </c>
      <c r="J2277" s="14">
        <f>P2277*I2277</f>
        <v>24</v>
      </c>
      <c r="K2277" s="16">
        <v>340</v>
      </c>
      <c r="L2277" s="1" t="s">
        <v>21</v>
      </c>
      <c r="M2277" t="s">
        <v>22</v>
      </c>
      <c r="N2277" t="str">
        <f t="shared" si="50"/>
        <v>United Kingdom</v>
      </c>
      <c r="O2277" s="8">
        <f>IF(K2277&gt;=1,K2277,K2277*1000)</f>
        <v>340</v>
      </c>
      <c r="P2277">
        <f>ABS(H2277)</f>
        <v>1</v>
      </c>
      <c r="R2277"/>
    </row>
    <row r="2278" spans="1:18" x14ac:dyDescent="0.35">
      <c r="A2278" t="s">
        <v>3750</v>
      </c>
      <c r="B2278" s="2">
        <v>46051</v>
      </c>
      <c r="C2278" t="s">
        <v>3751</v>
      </c>
      <c r="D2278" s="3" t="s">
        <v>15</v>
      </c>
      <c r="E2278" t="s">
        <v>41</v>
      </c>
      <c r="F2278" t="s">
        <v>35</v>
      </c>
      <c r="G2278" t="s">
        <v>36</v>
      </c>
      <c r="H2278" s="8">
        <v>3</v>
      </c>
      <c r="I2278" s="10">
        <v>24</v>
      </c>
      <c r="J2278" s="14">
        <f>P2278*I2278</f>
        <v>72</v>
      </c>
      <c r="K2278" s="16">
        <v>85</v>
      </c>
      <c r="L2278" s="1" t="s">
        <v>21</v>
      </c>
      <c r="M2278" t="s">
        <v>22</v>
      </c>
      <c r="N2278" t="str">
        <f t="shared" si="50"/>
        <v>France</v>
      </c>
      <c r="O2278" s="8">
        <f>IF(K2278&gt;=1,K2278,K2278*1000)</f>
        <v>85</v>
      </c>
      <c r="P2278">
        <f>ABS(H2278)</f>
        <v>3</v>
      </c>
      <c r="R2278"/>
    </row>
    <row r="2279" spans="1:18" x14ac:dyDescent="0.35">
      <c r="A2279" t="s">
        <v>3752</v>
      </c>
      <c r="B2279" s="2">
        <v>46063</v>
      </c>
      <c r="C2279" t="s">
        <v>1275</v>
      </c>
      <c r="D2279" s="3" t="s">
        <v>15</v>
      </c>
      <c r="E2279" t="s">
        <v>67</v>
      </c>
      <c r="F2279" t="s">
        <v>35</v>
      </c>
      <c r="G2279" t="s">
        <v>36</v>
      </c>
      <c r="H2279" s="8">
        <v>2</v>
      </c>
      <c r="I2279" s="10">
        <v>89</v>
      </c>
      <c r="J2279" s="14">
        <f>P2279*I2279</f>
        <v>178</v>
      </c>
      <c r="K2279" s="16">
        <v>85</v>
      </c>
      <c r="L2279" s="1" t="s">
        <v>30</v>
      </c>
      <c r="M2279" t="s">
        <v>22</v>
      </c>
      <c r="N2279" t="str">
        <f t="shared" si="50"/>
        <v>France</v>
      </c>
      <c r="O2279" s="8">
        <f>IF(K2279&gt;=1,K2279,K2279*1000)</f>
        <v>85</v>
      </c>
      <c r="P2279">
        <f>ABS(H2279)</f>
        <v>2</v>
      </c>
      <c r="R2279"/>
    </row>
    <row r="2280" spans="1:18" x14ac:dyDescent="0.35">
      <c r="A2280" t="s">
        <v>3753</v>
      </c>
      <c r="B2280" s="2">
        <v>46088</v>
      </c>
      <c r="C2280" t="s">
        <v>24</v>
      </c>
      <c r="D2280" s="3" t="s">
        <v>46</v>
      </c>
      <c r="E2280" t="s">
        <v>67</v>
      </c>
      <c r="F2280" t="s">
        <v>17</v>
      </c>
      <c r="G2280" t="s">
        <v>18</v>
      </c>
      <c r="H2280" s="8">
        <v>2</v>
      </c>
      <c r="I2280" s="10">
        <v>89</v>
      </c>
      <c r="J2280" s="14">
        <f>P2280*I2280</f>
        <v>178</v>
      </c>
      <c r="K2280" s="16">
        <v>0.52</v>
      </c>
      <c r="L2280" s="1" t="s">
        <v>21</v>
      </c>
      <c r="M2280" t="s">
        <v>22</v>
      </c>
      <c r="N2280" t="str">
        <f t="shared" si="50"/>
        <v>Ireland</v>
      </c>
      <c r="O2280" s="8">
        <f>IF(K2280&gt;=1,K2280,K2280*1000)</f>
        <v>520</v>
      </c>
      <c r="P2280">
        <f>ABS(H2280)</f>
        <v>2</v>
      </c>
      <c r="R2280"/>
    </row>
    <row r="2281" spans="1:18" x14ac:dyDescent="0.35">
      <c r="A2281" t="s">
        <v>3754</v>
      </c>
      <c r="B2281" s="2">
        <v>46175</v>
      </c>
      <c r="C2281" t="s">
        <v>416</v>
      </c>
      <c r="D2281" s="3" t="s">
        <v>4613</v>
      </c>
      <c r="E2281" t="s">
        <v>34</v>
      </c>
      <c r="F2281" t="s">
        <v>26</v>
      </c>
      <c r="G2281" t="s">
        <v>27</v>
      </c>
      <c r="H2281" s="8">
        <v>2</v>
      </c>
      <c r="I2281" s="10">
        <v>45</v>
      </c>
      <c r="J2281" s="14">
        <f>P2281*I2281</f>
        <v>90</v>
      </c>
      <c r="K2281" s="16">
        <v>0.52</v>
      </c>
      <c r="L2281" s="1" t="s">
        <v>30</v>
      </c>
      <c r="M2281" t="s">
        <v>58</v>
      </c>
      <c r="N2281" t="str">
        <f t="shared" si="50"/>
        <v>United Kingdom</v>
      </c>
      <c r="O2281" s="8">
        <f>IF(K2281&gt;=1,K2281,K2281*1000)</f>
        <v>520</v>
      </c>
      <c r="P2281">
        <f>ABS(H2281)</f>
        <v>2</v>
      </c>
      <c r="R2281"/>
    </row>
    <row r="2282" spans="1:18" x14ac:dyDescent="0.35">
      <c r="A2282" t="s">
        <v>3755</v>
      </c>
      <c r="B2282" s="2">
        <v>46060</v>
      </c>
      <c r="C2282" t="s">
        <v>724</v>
      </c>
      <c r="D2282" s="3" t="s">
        <v>46</v>
      </c>
      <c r="E2282" t="s">
        <v>34</v>
      </c>
      <c r="F2282" t="s">
        <v>26</v>
      </c>
      <c r="G2282" t="s">
        <v>27</v>
      </c>
      <c r="H2282" s="8">
        <v>3</v>
      </c>
      <c r="I2282" s="10">
        <v>45</v>
      </c>
      <c r="J2282" s="14">
        <f>P2282*I2282</f>
        <v>135</v>
      </c>
      <c r="K2282" s="16">
        <v>520</v>
      </c>
      <c r="L2282" s="1" t="s">
        <v>30</v>
      </c>
      <c r="M2282" t="s">
        <v>58</v>
      </c>
      <c r="N2282" t="str">
        <f t="shared" si="50"/>
        <v>Ireland</v>
      </c>
      <c r="O2282" s="8">
        <f>IF(K2282&gt;=1,K2282,K2282*1000)</f>
        <v>520</v>
      </c>
      <c r="P2282">
        <f>ABS(H2282)</f>
        <v>3</v>
      </c>
      <c r="R2282"/>
    </row>
    <row r="2283" spans="1:18" x14ac:dyDescent="0.35">
      <c r="A2283" t="s">
        <v>3756</v>
      </c>
      <c r="B2283" s="2">
        <v>46032</v>
      </c>
      <c r="C2283" t="s">
        <v>422</v>
      </c>
      <c r="D2283" s="3" t="s">
        <v>99</v>
      </c>
      <c r="E2283" t="s">
        <v>25</v>
      </c>
      <c r="F2283" t="s">
        <v>26</v>
      </c>
      <c r="G2283" t="s">
        <v>27</v>
      </c>
      <c r="H2283" s="8">
        <v>3</v>
      </c>
      <c r="I2283" s="10">
        <v>85.5</v>
      </c>
      <c r="J2283" s="14">
        <f>P2283*I2283</f>
        <v>256.5</v>
      </c>
      <c r="K2283" s="16">
        <v>520</v>
      </c>
      <c r="L2283" s="1" t="s">
        <v>21</v>
      </c>
      <c r="M2283" t="s">
        <v>58</v>
      </c>
      <c r="N2283" t="str">
        <f t="shared" si="50"/>
        <v>United Kingdom</v>
      </c>
      <c r="O2283" s="8">
        <f>IF(K2283&gt;=1,K2283,K2283*1000)</f>
        <v>520</v>
      </c>
      <c r="P2283">
        <f>ABS(H2283)</f>
        <v>3</v>
      </c>
      <c r="R2283"/>
    </row>
    <row r="2284" spans="1:18" x14ac:dyDescent="0.35">
      <c r="A2284" t="s">
        <v>3757</v>
      </c>
      <c r="B2284" s="2">
        <v>46149</v>
      </c>
      <c r="C2284" t="s">
        <v>285</v>
      </c>
      <c r="D2284" s="3" t="s">
        <v>66</v>
      </c>
      <c r="E2284" t="s">
        <v>16</v>
      </c>
      <c r="F2284" t="s">
        <v>89</v>
      </c>
      <c r="G2284" t="s">
        <v>90</v>
      </c>
      <c r="H2284" s="8">
        <v>1</v>
      </c>
      <c r="I2284" s="10">
        <v>12.5</v>
      </c>
      <c r="J2284" s="14">
        <f>P2284*I2284</f>
        <v>12.5</v>
      </c>
      <c r="K2284" s="16">
        <v>0.64</v>
      </c>
      <c r="L2284" s="1" t="s">
        <v>21</v>
      </c>
      <c r="M2284" t="s">
        <v>22</v>
      </c>
      <c r="N2284" t="str">
        <f t="shared" si="50"/>
        <v>Gb</v>
      </c>
      <c r="O2284" s="8">
        <f>IF(K2284&gt;=1,K2284,K2284*1000)</f>
        <v>640</v>
      </c>
      <c r="P2284">
        <f>ABS(H2284)</f>
        <v>1</v>
      </c>
      <c r="R2284"/>
    </row>
    <row r="2285" spans="1:18" x14ac:dyDescent="0.35">
      <c r="A2285" t="s">
        <v>3758</v>
      </c>
      <c r="B2285" s="2">
        <v>46175</v>
      </c>
      <c r="C2285" t="s">
        <v>3759</v>
      </c>
      <c r="D2285" s="3" t="s">
        <v>61</v>
      </c>
      <c r="E2285" t="s">
        <v>25</v>
      </c>
      <c r="F2285" t="s">
        <v>47</v>
      </c>
      <c r="G2285" t="s">
        <v>48</v>
      </c>
      <c r="H2285" s="8">
        <v>1</v>
      </c>
      <c r="I2285" s="10">
        <v>40.5</v>
      </c>
      <c r="J2285" s="14">
        <f>P2285*I2285</f>
        <v>40.5</v>
      </c>
      <c r="K2285" s="16">
        <v>380</v>
      </c>
      <c r="L2285" s="1" t="s">
        <v>30</v>
      </c>
      <c r="M2285" t="s">
        <v>58</v>
      </c>
      <c r="N2285" t="str">
        <f t="shared" si="50"/>
        <v>Ireland</v>
      </c>
      <c r="O2285" s="8">
        <f>IF(K2285&gt;=1,K2285,K2285*1000)</f>
        <v>380</v>
      </c>
      <c r="P2285">
        <f>ABS(H2285)</f>
        <v>1</v>
      </c>
      <c r="R2285"/>
    </row>
    <row r="2286" spans="1:18" x14ac:dyDescent="0.35">
      <c r="A2286" t="s">
        <v>3760</v>
      </c>
      <c r="B2286" s="2">
        <v>46174</v>
      </c>
      <c r="C2286" t="s">
        <v>1417</v>
      </c>
      <c r="D2286" s="3" t="s">
        <v>46</v>
      </c>
      <c r="E2286" t="s">
        <v>67</v>
      </c>
      <c r="F2286" t="s">
        <v>35</v>
      </c>
      <c r="G2286" t="s">
        <v>36</v>
      </c>
      <c r="H2286" s="8">
        <v>3</v>
      </c>
      <c r="I2286" s="10">
        <v>12.5</v>
      </c>
      <c r="J2286" s="14">
        <f>P2286*I2286</f>
        <v>37.5</v>
      </c>
      <c r="K2286" s="16">
        <v>8.5000000000000006E-2</v>
      </c>
      <c r="L2286" s="1" t="s">
        <v>30</v>
      </c>
      <c r="M2286" t="s">
        <v>22</v>
      </c>
      <c r="N2286" t="str">
        <f t="shared" si="50"/>
        <v>Ireland</v>
      </c>
      <c r="O2286" s="8">
        <f>IF(K2286&gt;=1,K2286,K2286*1000)</f>
        <v>85</v>
      </c>
      <c r="P2286">
        <f>ABS(H2286)</f>
        <v>3</v>
      </c>
      <c r="R2286"/>
    </row>
    <row r="2287" spans="1:18" x14ac:dyDescent="0.35">
      <c r="A2287" t="s">
        <v>3761</v>
      </c>
      <c r="B2287" s="2" t="s">
        <v>1807</v>
      </c>
      <c r="C2287" t="s">
        <v>1997</v>
      </c>
      <c r="D2287" s="3" t="s">
        <v>53</v>
      </c>
      <c r="E2287" t="s">
        <v>25</v>
      </c>
      <c r="F2287" t="s">
        <v>47</v>
      </c>
      <c r="G2287" t="s">
        <v>48</v>
      </c>
      <c r="H2287" s="8">
        <v>1</v>
      </c>
      <c r="I2287" s="10">
        <v>24</v>
      </c>
      <c r="J2287" s="14">
        <f>P2287*I2287</f>
        <v>24</v>
      </c>
      <c r="K2287" s="16">
        <v>0.38</v>
      </c>
      <c r="L2287" s="1" t="s">
        <v>30</v>
      </c>
      <c r="M2287" t="s">
        <v>22</v>
      </c>
      <c r="N2287" t="str">
        <f t="shared" si="50"/>
        <v>Gb</v>
      </c>
      <c r="O2287" s="8">
        <f>IF(K2287&gt;=1,K2287,K2287*1000)</f>
        <v>380</v>
      </c>
      <c r="P2287">
        <f>ABS(H2287)</f>
        <v>1</v>
      </c>
      <c r="R2287"/>
    </row>
    <row r="2288" spans="1:18" x14ac:dyDescent="0.35">
      <c r="A2288" t="s">
        <v>3762</v>
      </c>
      <c r="B2288" s="2">
        <v>46160</v>
      </c>
      <c r="C2288" t="s">
        <v>2534</v>
      </c>
      <c r="D2288" s="3" t="s">
        <v>116</v>
      </c>
      <c r="E2288" t="s">
        <v>34</v>
      </c>
      <c r="F2288" t="s">
        <v>26</v>
      </c>
      <c r="G2288" t="s">
        <v>27</v>
      </c>
      <c r="H2288" s="8">
        <v>3</v>
      </c>
      <c r="I2288" s="12" t="s">
        <v>4632</v>
      </c>
      <c r="J2288" s="14">
        <f>P2288*R2288</f>
        <v>267</v>
      </c>
      <c r="K2288" s="16">
        <v>0.52</v>
      </c>
      <c r="L2288" s="1" t="s">
        <v>30</v>
      </c>
      <c r="M2288" t="s">
        <v>22</v>
      </c>
      <c r="N2288" t="str">
        <f t="shared" si="50"/>
        <v>Germany</v>
      </c>
      <c r="O2288" s="8">
        <f>IF(K2288&gt;=1,K2288,K2288*1000)</f>
        <v>520</v>
      </c>
      <c r="P2288">
        <f>ABS(H2288)</f>
        <v>3</v>
      </c>
      <c r="Q2288" t="str">
        <f>LEFT(I2288,3)</f>
        <v>GBP</v>
      </c>
      <c r="R2288" s="10" t="str">
        <f>RIGHT(I2288,5)</f>
        <v>89,00</v>
      </c>
    </row>
    <row r="2289" spans="1:18" x14ac:dyDescent="0.35">
      <c r="A2289" t="s">
        <v>3763</v>
      </c>
      <c r="B2289" s="2">
        <v>46114</v>
      </c>
      <c r="C2289" t="s">
        <v>832</v>
      </c>
      <c r="D2289" s="3" t="s">
        <v>15</v>
      </c>
      <c r="E2289" t="s">
        <v>67</v>
      </c>
      <c r="F2289" t="s">
        <v>89</v>
      </c>
      <c r="G2289" t="s">
        <v>90</v>
      </c>
      <c r="H2289" s="8">
        <v>1</v>
      </c>
      <c r="I2289" s="10">
        <v>79</v>
      </c>
      <c r="J2289" s="14">
        <f>P2289*I2289</f>
        <v>79</v>
      </c>
      <c r="K2289" s="16">
        <v>640</v>
      </c>
      <c r="L2289" s="1" t="s">
        <v>30</v>
      </c>
      <c r="M2289" t="s">
        <v>58</v>
      </c>
      <c r="N2289" t="str">
        <f t="shared" si="50"/>
        <v>France</v>
      </c>
      <c r="O2289" s="8">
        <f>IF(K2289&gt;=1,K2289,K2289*1000)</f>
        <v>640</v>
      </c>
      <c r="P2289">
        <f>ABS(H2289)</f>
        <v>1</v>
      </c>
      <c r="R2289"/>
    </row>
    <row r="2290" spans="1:18" x14ac:dyDescent="0.35">
      <c r="A2290" t="s">
        <v>3764</v>
      </c>
      <c r="B2290" s="2">
        <v>46193</v>
      </c>
      <c r="C2290" t="s">
        <v>3765</v>
      </c>
      <c r="D2290" s="3" t="s">
        <v>15</v>
      </c>
      <c r="E2290" t="s">
        <v>41</v>
      </c>
      <c r="F2290" t="s">
        <v>35</v>
      </c>
      <c r="G2290" t="s">
        <v>36</v>
      </c>
      <c r="H2290" s="8">
        <v>2</v>
      </c>
      <c r="I2290" s="10">
        <v>116.1</v>
      </c>
      <c r="J2290" s="14">
        <f>P2290*I2290</f>
        <v>232.2</v>
      </c>
      <c r="K2290" s="16">
        <v>8.5000000000000006E-2</v>
      </c>
      <c r="L2290" s="1" t="s">
        <v>30</v>
      </c>
      <c r="M2290" t="s">
        <v>22</v>
      </c>
      <c r="N2290" t="str">
        <f t="shared" si="50"/>
        <v>France</v>
      </c>
      <c r="O2290" s="8">
        <f>IF(K2290&gt;=1,K2290,K2290*1000)</f>
        <v>85</v>
      </c>
      <c r="P2290">
        <f>ABS(H2290)</f>
        <v>2</v>
      </c>
      <c r="R2290"/>
    </row>
    <row r="2291" spans="1:18" x14ac:dyDescent="0.35">
      <c r="A2291" t="s">
        <v>3766</v>
      </c>
      <c r="B2291" s="2">
        <v>46120</v>
      </c>
      <c r="C2291" t="s">
        <v>633</v>
      </c>
      <c r="D2291" s="3" t="s">
        <v>46</v>
      </c>
      <c r="E2291" t="s">
        <v>34</v>
      </c>
      <c r="F2291" t="s">
        <v>47</v>
      </c>
      <c r="G2291" t="s">
        <v>48</v>
      </c>
      <c r="H2291" s="8">
        <v>1</v>
      </c>
      <c r="I2291" s="10">
        <v>45</v>
      </c>
      <c r="J2291" s="14">
        <f>P2291*I2291</f>
        <v>45</v>
      </c>
      <c r="K2291" s="16">
        <v>380</v>
      </c>
      <c r="L2291" s="1" t="s">
        <v>30</v>
      </c>
      <c r="M2291" t="s">
        <v>22</v>
      </c>
      <c r="N2291" t="str">
        <f t="shared" si="50"/>
        <v>Ireland</v>
      </c>
      <c r="O2291" s="8">
        <f>IF(K2291&gt;=1,K2291,K2291*1000)</f>
        <v>380</v>
      </c>
      <c r="P2291">
        <f>ABS(H2291)</f>
        <v>1</v>
      </c>
      <c r="R2291"/>
    </row>
    <row r="2292" spans="1:18" x14ac:dyDescent="0.35">
      <c r="A2292" t="s">
        <v>3767</v>
      </c>
      <c r="B2292" s="2">
        <v>46122</v>
      </c>
      <c r="C2292" t="s">
        <v>180</v>
      </c>
      <c r="D2292" s="3" t="s">
        <v>53</v>
      </c>
      <c r="E2292" t="s">
        <v>67</v>
      </c>
      <c r="F2292" t="s">
        <v>89</v>
      </c>
      <c r="G2292" t="s">
        <v>90</v>
      </c>
      <c r="H2292" s="8">
        <v>1</v>
      </c>
      <c r="I2292" s="10">
        <v>149</v>
      </c>
      <c r="J2292" s="14">
        <f>P2292*I2292</f>
        <v>149</v>
      </c>
      <c r="K2292" s="16">
        <v>640</v>
      </c>
      <c r="L2292" s="1" t="s">
        <v>30</v>
      </c>
      <c r="M2292" t="s">
        <v>22</v>
      </c>
      <c r="N2292" t="str">
        <f t="shared" si="50"/>
        <v>Gb</v>
      </c>
      <c r="O2292" s="8">
        <f>IF(K2292&gt;=1,K2292,K2292*1000)</f>
        <v>640</v>
      </c>
      <c r="P2292">
        <f>ABS(H2292)</f>
        <v>1</v>
      </c>
      <c r="R2292"/>
    </row>
    <row r="2293" spans="1:18" x14ac:dyDescent="0.35">
      <c r="A2293" t="s">
        <v>3768</v>
      </c>
      <c r="B2293" s="2">
        <v>46040</v>
      </c>
      <c r="C2293" t="s">
        <v>1669</v>
      </c>
      <c r="D2293" s="3" t="s">
        <v>53</v>
      </c>
      <c r="E2293" t="s">
        <v>25</v>
      </c>
      <c r="F2293" t="s">
        <v>83</v>
      </c>
      <c r="G2293" t="s">
        <v>84</v>
      </c>
      <c r="H2293" s="8">
        <v>3</v>
      </c>
      <c r="I2293" s="10">
        <v>12.5</v>
      </c>
      <c r="J2293" s="14">
        <f>P2293*I2293</f>
        <v>37.5</v>
      </c>
      <c r="K2293" s="16">
        <v>340</v>
      </c>
      <c r="L2293" s="1" t="s">
        <v>30</v>
      </c>
      <c r="M2293" t="s">
        <v>22</v>
      </c>
      <c r="N2293" t="str">
        <f t="shared" si="50"/>
        <v>Gb</v>
      </c>
      <c r="O2293" s="8">
        <f>IF(K2293&gt;=1,K2293,K2293*1000)</f>
        <v>340</v>
      </c>
      <c r="P2293">
        <f>ABS(H2293)</f>
        <v>3</v>
      </c>
      <c r="R2293"/>
    </row>
    <row r="2294" spans="1:18" x14ac:dyDescent="0.35">
      <c r="A2294" t="s">
        <v>3769</v>
      </c>
      <c r="B2294" s="2">
        <v>46135</v>
      </c>
      <c r="C2294" t="s">
        <v>1581</v>
      </c>
      <c r="D2294" s="3" t="s">
        <v>15</v>
      </c>
      <c r="E2294" t="s">
        <v>41</v>
      </c>
      <c r="F2294" t="s">
        <v>17</v>
      </c>
      <c r="G2294" t="s">
        <v>18</v>
      </c>
      <c r="H2294" s="8">
        <v>2</v>
      </c>
      <c r="I2294" s="12" t="s">
        <v>4644</v>
      </c>
      <c r="J2294" s="14">
        <f>P2294*R2294</f>
        <v>158</v>
      </c>
      <c r="K2294" s="16">
        <v>0.52</v>
      </c>
      <c r="L2294" s="1" t="s">
        <v>30</v>
      </c>
      <c r="M2294" t="s">
        <v>22</v>
      </c>
      <c r="N2294" t="str">
        <f t="shared" si="50"/>
        <v>France</v>
      </c>
      <c r="O2294" s="8">
        <f>IF(K2294&gt;=1,K2294,K2294*1000)</f>
        <v>520</v>
      </c>
      <c r="P2294">
        <f>ABS(H2294)</f>
        <v>2</v>
      </c>
      <c r="Q2294" t="str">
        <f>LEFT(I2294,3)</f>
        <v>GBP</v>
      </c>
      <c r="R2294" s="10" t="str">
        <f>RIGHT(I2294,5)</f>
        <v>79,00</v>
      </c>
    </row>
    <row r="2295" spans="1:18" x14ac:dyDescent="0.35">
      <c r="A2295" t="s">
        <v>3770</v>
      </c>
      <c r="B2295" s="2">
        <v>46042</v>
      </c>
      <c r="C2295" t="s">
        <v>2759</v>
      </c>
      <c r="D2295" s="3" t="s">
        <v>46</v>
      </c>
      <c r="E2295" t="s">
        <v>34</v>
      </c>
      <c r="F2295" t="s">
        <v>89</v>
      </c>
      <c r="G2295" t="s">
        <v>90</v>
      </c>
      <c r="H2295" s="8">
        <v>1</v>
      </c>
      <c r="I2295" s="10">
        <v>24</v>
      </c>
      <c r="J2295" s="14">
        <f>P2295*I2295</f>
        <v>24</v>
      </c>
      <c r="K2295" s="16">
        <v>640</v>
      </c>
      <c r="L2295" s="1" t="s">
        <v>30</v>
      </c>
      <c r="M2295" t="s">
        <v>22</v>
      </c>
      <c r="N2295" t="str">
        <f t="shared" si="50"/>
        <v>Ireland</v>
      </c>
      <c r="O2295" s="8">
        <f>IF(K2295&gt;=1,K2295,K2295*1000)</f>
        <v>640</v>
      </c>
      <c r="P2295">
        <f>ABS(H2295)</f>
        <v>1</v>
      </c>
      <c r="R2295"/>
    </row>
    <row r="2296" spans="1:18" x14ac:dyDescent="0.35">
      <c r="A2296" t="s">
        <v>3771</v>
      </c>
      <c r="B2296" s="2" t="s">
        <v>937</v>
      </c>
      <c r="C2296" t="s">
        <v>985</v>
      </c>
      <c r="D2296" s="3" t="s">
        <v>99</v>
      </c>
      <c r="E2296" t="s">
        <v>67</v>
      </c>
      <c r="F2296" t="s">
        <v>42</v>
      </c>
      <c r="G2296" t="s">
        <v>43</v>
      </c>
      <c r="H2296" s="8">
        <v>1</v>
      </c>
      <c r="I2296" s="12" t="s">
        <v>4645</v>
      </c>
      <c r="J2296" s="14">
        <f>P2296*R2296</f>
        <v>40.5</v>
      </c>
      <c r="K2296" s="16">
        <v>0.19</v>
      </c>
      <c r="L2296" s="1" t="s">
        <v>30</v>
      </c>
      <c r="M2296" t="s">
        <v>58</v>
      </c>
      <c r="N2296" t="str">
        <f t="shared" si="50"/>
        <v>United Kingdom</v>
      </c>
      <c r="O2296" s="8">
        <f>IF(K2296&gt;=1,K2296,K2296*1000)</f>
        <v>190</v>
      </c>
      <c r="P2296">
        <f>ABS(H2296)</f>
        <v>1</v>
      </c>
      <c r="Q2296" t="str">
        <f>LEFT(I2296,3)</f>
        <v>GBP</v>
      </c>
      <c r="R2296" s="10" t="str">
        <f>RIGHT(I2296,5)</f>
        <v>40,50</v>
      </c>
    </row>
    <row r="2297" spans="1:18" x14ac:dyDescent="0.35">
      <c r="A2297" t="s">
        <v>3772</v>
      </c>
      <c r="B2297" s="2">
        <v>46105</v>
      </c>
      <c r="C2297" t="s">
        <v>3773</v>
      </c>
      <c r="D2297" s="3" t="s">
        <v>61</v>
      </c>
      <c r="E2297" t="s">
        <v>16</v>
      </c>
      <c r="F2297" t="s">
        <v>83</v>
      </c>
      <c r="G2297" t="s">
        <v>84</v>
      </c>
      <c r="H2297" s="8">
        <v>1</v>
      </c>
      <c r="I2297" s="10">
        <v>79</v>
      </c>
      <c r="J2297" s="14">
        <f>P2297*I2297</f>
        <v>79</v>
      </c>
      <c r="K2297" s="16">
        <v>340</v>
      </c>
      <c r="L2297" s="1" t="s">
        <v>30</v>
      </c>
      <c r="M2297" t="s">
        <v>22</v>
      </c>
      <c r="N2297" t="str">
        <f t="shared" si="50"/>
        <v>Ireland</v>
      </c>
      <c r="O2297" s="8">
        <f>IF(K2297&gt;=1,K2297,K2297*1000)</f>
        <v>340</v>
      </c>
      <c r="P2297">
        <f>ABS(H2297)</f>
        <v>1</v>
      </c>
      <c r="R2297"/>
    </row>
    <row r="2298" spans="1:18" x14ac:dyDescent="0.35">
      <c r="A2298" t="s">
        <v>3774</v>
      </c>
      <c r="B2298" s="2">
        <v>46163</v>
      </c>
      <c r="C2298" t="s">
        <v>1755</v>
      </c>
      <c r="D2298" s="3" t="s">
        <v>116</v>
      </c>
      <c r="E2298" t="s">
        <v>41</v>
      </c>
      <c r="F2298" t="s">
        <v>17</v>
      </c>
      <c r="G2298" t="s">
        <v>18</v>
      </c>
      <c r="H2298" s="8">
        <v>1</v>
      </c>
      <c r="I2298" s="10">
        <v>79</v>
      </c>
      <c r="J2298" s="14">
        <f>P2298*I2298</f>
        <v>79</v>
      </c>
      <c r="K2298" s="16">
        <v>0.52</v>
      </c>
      <c r="L2298" s="1" t="s">
        <v>21</v>
      </c>
      <c r="M2298" t="s">
        <v>22</v>
      </c>
      <c r="N2298" t="str">
        <f t="shared" si="50"/>
        <v>Germany</v>
      </c>
      <c r="O2298" s="8">
        <f>IF(K2298&gt;=1,K2298,K2298*1000)</f>
        <v>520</v>
      </c>
      <c r="P2298">
        <f>ABS(H2298)</f>
        <v>1</v>
      </c>
      <c r="R2298"/>
    </row>
    <row r="2299" spans="1:18" x14ac:dyDescent="0.35">
      <c r="A2299" t="s">
        <v>3775</v>
      </c>
      <c r="B2299" s="2">
        <v>46115</v>
      </c>
      <c r="C2299" t="s">
        <v>3776</v>
      </c>
      <c r="D2299" s="3" t="s">
        <v>15</v>
      </c>
      <c r="E2299" t="s">
        <v>34</v>
      </c>
      <c r="F2299" t="s">
        <v>17</v>
      </c>
      <c r="G2299" t="s">
        <v>18</v>
      </c>
      <c r="H2299" s="8">
        <v>3</v>
      </c>
      <c r="I2299" s="12" t="s">
        <v>4626</v>
      </c>
      <c r="J2299" s="14">
        <f>P2299*R2299</f>
        <v>87</v>
      </c>
      <c r="K2299" s="16">
        <v>520</v>
      </c>
      <c r="L2299" s="1" t="s">
        <v>21</v>
      </c>
      <c r="M2299" t="s">
        <v>22</v>
      </c>
      <c r="N2299" t="str">
        <f t="shared" si="50"/>
        <v>France</v>
      </c>
      <c r="O2299" s="8">
        <f>IF(K2299&gt;=1,K2299,K2299*1000)</f>
        <v>520</v>
      </c>
      <c r="P2299">
        <f>ABS(H2299)</f>
        <v>3</v>
      </c>
      <c r="Q2299" t="str">
        <f>LEFT(I2299,3)</f>
        <v>GBP</v>
      </c>
      <c r="R2299" s="10" t="str">
        <f>RIGHT(I2299,5)</f>
        <v>29,00</v>
      </c>
    </row>
    <row r="2300" spans="1:18" x14ac:dyDescent="0.35">
      <c r="A2300" t="s">
        <v>3777</v>
      </c>
      <c r="B2300" s="2">
        <v>46113</v>
      </c>
      <c r="C2300" t="s">
        <v>332</v>
      </c>
      <c r="D2300" s="3" t="s">
        <v>15</v>
      </c>
      <c r="E2300" t="s">
        <v>34</v>
      </c>
      <c r="F2300" t="s">
        <v>74</v>
      </c>
      <c r="G2300" t="s">
        <v>75</v>
      </c>
      <c r="H2300" s="8">
        <v>1</v>
      </c>
      <c r="I2300" s="10">
        <v>40.5</v>
      </c>
      <c r="J2300" s="14">
        <f>P2300*I2300</f>
        <v>40.5</v>
      </c>
      <c r="K2300" s="16">
        <v>410</v>
      </c>
      <c r="L2300" s="1" t="s">
        <v>30</v>
      </c>
      <c r="M2300" t="s">
        <v>22</v>
      </c>
      <c r="N2300" t="str">
        <f t="shared" si="50"/>
        <v>France</v>
      </c>
      <c r="O2300" s="8">
        <f>IF(K2300&gt;=1,K2300,K2300*1000)</f>
        <v>410</v>
      </c>
      <c r="P2300">
        <f>ABS(H2300)</f>
        <v>1</v>
      </c>
      <c r="R2300"/>
    </row>
    <row r="2301" spans="1:18" x14ac:dyDescent="0.35">
      <c r="A2301" t="s">
        <v>3778</v>
      </c>
      <c r="B2301" s="2">
        <v>46159</v>
      </c>
      <c r="C2301" t="s">
        <v>418</v>
      </c>
      <c r="D2301" s="3" t="s">
        <v>66</v>
      </c>
      <c r="E2301" t="s">
        <v>41</v>
      </c>
      <c r="F2301" t="s">
        <v>17</v>
      </c>
      <c r="G2301" t="s">
        <v>18</v>
      </c>
      <c r="H2301" s="8">
        <v>2</v>
      </c>
      <c r="I2301" s="10">
        <v>24</v>
      </c>
      <c r="J2301" s="14">
        <f>P2301*I2301</f>
        <v>48</v>
      </c>
      <c r="K2301" s="16">
        <v>0.52</v>
      </c>
      <c r="L2301" s="1" t="s">
        <v>30</v>
      </c>
      <c r="M2301" t="s">
        <v>22</v>
      </c>
      <c r="N2301" t="str">
        <f t="shared" si="50"/>
        <v>Gb</v>
      </c>
      <c r="O2301" s="8">
        <f>IF(K2301&gt;=1,K2301,K2301*1000)</f>
        <v>520</v>
      </c>
      <c r="P2301">
        <f>ABS(H2301)</f>
        <v>2</v>
      </c>
      <c r="R2301"/>
    </row>
    <row r="2302" spans="1:18" x14ac:dyDescent="0.35">
      <c r="A2302" t="s">
        <v>3779</v>
      </c>
      <c r="B2302" s="2">
        <v>46076</v>
      </c>
      <c r="C2302" t="s">
        <v>952</v>
      </c>
      <c r="D2302" s="3" t="s">
        <v>53</v>
      </c>
      <c r="E2302" t="s">
        <v>41</v>
      </c>
      <c r="F2302" t="s">
        <v>74</v>
      </c>
      <c r="G2302" t="s">
        <v>75</v>
      </c>
      <c r="H2302" s="8">
        <v>1</v>
      </c>
      <c r="I2302" s="10">
        <v>129</v>
      </c>
      <c r="J2302" s="14">
        <f>P2302*I2302</f>
        <v>129</v>
      </c>
      <c r="K2302" s="16">
        <v>410</v>
      </c>
      <c r="L2302" s="1" t="s">
        <v>30</v>
      </c>
      <c r="M2302" t="s">
        <v>22</v>
      </c>
      <c r="N2302" t="str">
        <f t="shared" si="50"/>
        <v>Gb</v>
      </c>
      <c r="O2302" s="8">
        <f>IF(K2302&gt;=1,K2302,K2302*1000)</f>
        <v>410</v>
      </c>
      <c r="P2302">
        <f>ABS(H2302)</f>
        <v>1</v>
      </c>
      <c r="R2302"/>
    </row>
    <row r="2303" spans="1:18" x14ac:dyDescent="0.35">
      <c r="A2303" t="s">
        <v>3780</v>
      </c>
      <c r="B2303" s="2">
        <v>46129</v>
      </c>
      <c r="C2303" t="s">
        <v>3781</v>
      </c>
      <c r="D2303" s="3" t="s">
        <v>61</v>
      </c>
      <c r="E2303" t="s">
        <v>34</v>
      </c>
      <c r="F2303" t="s">
        <v>42</v>
      </c>
      <c r="G2303" t="s">
        <v>43</v>
      </c>
      <c r="H2303" s="8">
        <v>1</v>
      </c>
      <c r="I2303" s="10">
        <v>45</v>
      </c>
      <c r="J2303" s="14">
        <f>P2303*I2303</f>
        <v>45</v>
      </c>
      <c r="K2303" s="16">
        <v>190</v>
      </c>
      <c r="L2303" s="1" t="s">
        <v>30</v>
      </c>
      <c r="M2303" t="s">
        <v>22</v>
      </c>
      <c r="N2303" t="str">
        <f t="shared" si="50"/>
        <v>Ireland</v>
      </c>
      <c r="O2303" s="8">
        <f>IF(K2303&gt;=1,K2303,K2303*1000)</f>
        <v>190</v>
      </c>
      <c r="P2303">
        <f>ABS(H2303)</f>
        <v>1</v>
      </c>
      <c r="R2303"/>
    </row>
    <row r="2304" spans="1:18" x14ac:dyDescent="0.35">
      <c r="A2304" t="s">
        <v>3782</v>
      </c>
      <c r="B2304" s="2">
        <v>46171</v>
      </c>
      <c r="C2304" t="s">
        <v>587</v>
      </c>
      <c r="D2304" s="3" t="s">
        <v>116</v>
      </c>
      <c r="E2304" t="s">
        <v>16</v>
      </c>
      <c r="F2304" t="s">
        <v>89</v>
      </c>
      <c r="G2304" t="s">
        <v>90</v>
      </c>
      <c r="H2304" s="8">
        <v>2</v>
      </c>
      <c r="I2304" s="12" t="s">
        <v>4622</v>
      </c>
      <c r="J2304" s="14">
        <f>P2304*R2304</f>
        <v>32.200000000000003</v>
      </c>
      <c r="K2304" s="16">
        <v>0.64</v>
      </c>
      <c r="L2304" s="1" t="s">
        <v>30</v>
      </c>
      <c r="M2304" t="s">
        <v>22</v>
      </c>
      <c r="N2304" t="str">
        <f t="shared" si="50"/>
        <v>Germany</v>
      </c>
      <c r="O2304" s="8">
        <f>IF(K2304&gt;=1,K2304,K2304*1000)</f>
        <v>640</v>
      </c>
      <c r="P2304">
        <f>ABS(H2304)</f>
        <v>2</v>
      </c>
      <c r="Q2304" t="str">
        <f>LEFT(I2304,2)</f>
        <v>Â£</v>
      </c>
      <c r="R2304" t="str">
        <f>RIGHT(I2304,5)</f>
        <v>16,10</v>
      </c>
    </row>
    <row r="2305" spans="1:18" x14ac:dyDescent="0.35">
      <c r="A2305" t="s">
        <v>3783</v>
      </c>
      <c r="B2305" s="2">
        <v>46066</v>
      </c>
      <c r="C2305" t="s">
        <v>527</v>
      </c>
      <c r="D2305" s="3" t="s">
        <v>66</v>
      </c>
      <c r="E2305" t="s">
        <v>34</v>
      </c>
      <c r="F2305" t="s">
        <v>89</v>
      </c>
      <c r="G2305" t="s">
        <v>90</v>
      </c>
      <c r="H2305" s="8">
        <v>1</v>
      </c>
      <c r="I2305" s="10">
        <v>24</v>
      </c>
      <c r="J2305" s="14">
        <f>P2305*I2305</f>
        <v>24</v>
      </c>
      <c r="K2305" s="16">
        <v>640</v>
      </c>
      <c r="L2305" s="1" t="s">
        <v>30</v>
      </c>
      <c r="M2305" t="s">
        <v>58</v>
      </c>
      <c r="N2305" t="str">
        <f t="shared" si="50"/>
        <v>Gb</v>
      </c>
      <c r="O2305" s="8">
        <f>IF(K2305&gt;=1,K2305,K2305*1000)</f>
        <v>640</v>
      </c>
      <c r="P2305">
        <f>ABS(H2305)</f>
        <v>1</v>
      </c>
      <c r="R2305"/>
    </row>
    <row r="2306" spans="1:18" x14ac:dyDescent="0.35">
      <c r="A2306" t="s">
        <v>3784</v>
      </c>
      <c r="B2306" s="2">
        <v>46178</v>
      </c>
      <c r="C2306" t="s">
        <v>2925</v>
      </c>
      <c r="D2306" s="3" t="s">
        <v>53</v>
      </c>
      <c r="E2306" t="s">
        <v>25</v>
      </c>
      <c r="F2306" t="s">
        <v>35</v>
      </c>
      <c r="G2306" t="s">
        <v>36</v>
      </c>
      <c r="H2306" s="8">
        <v>1</v>
      </c>
      <c r="I2306" s="10">
        <v>129</v>
      </c>
      <c r="J2306" s="14">
        <f>P2306*I2306</f>
        <v>129</v>
      </c>
      <c r="K2306" s="16">
        <v>8.5000000000000006E-2</v>
      </c>
      <c r="L2306" s="1" t="s">
        <v>30</v>
      </c>
      <c r="M2306" t="s">
        <v>22</v>
      </c>
      <c r="N2306" t="str">
        <f t="shared" si="50"/>
        <v>Gb</v>
      </c>
      <c r="O2306" s="8">
        <f>IF(K2306&gt;=1,K2306,K2306*1000)</f>
        <v>85</v>
      </c>
      <c r="P2306">
        <f>ABS(H2306)</f>
        <v>1</v>
      </c>
      <c r="R2306"/>
    </row>
    <row r="2307" spans="1:18" x14ac:dyDescent="0.35">
      <c r="A2307" t="s">
        <v>3785</v>
      </c>
      <c r="B2307" s="2">
        <v>46237</v>
      </c>
      <c r="C2307" t="s">
        <v>240</v>
      </c>
      <c r="D2307" s="3" t="s">
        <v>61</v>
      </c>
      <c r="E2307" t="s">
        <v>67</v>
      </c>
      <c r="F2307" t="s">
        <v>35</v>
      </c>
      <c r="G2307" t="s">
        <v>36</v>
      </c>
      <c r="H2307" s="8">
        <v>3</v>
      </c>
      <c r="I2307" s="10">
        <v>71.099999999999994</v>
      </c>
      <c r="J2307" s="14">
        <f>P2307*I2307</f>
        <v>213.29999999999998</v>
      </c>
      <c r="K2307" s="16">
        <v>85</v>
      </c>
      <c r="L2307" s="1" t="s">
        <v>30</v>
      </c>
      <c r="M2307" t="s">
        <v>58</v>
      </c>
      <c r="N2307" t="str">
        <f t="shared" ref="N2307:N2370" si="51">PROPER(TRIM(D2307))</f>
        <v>Ireland</v>
      </c>
      <c r="O2307" s="8">
        <f>IF(K2307&gt;=1,K2307,K2307*1000)</f>
        <v>85</v>
      </c>
      <c r="P2307">
        <f>ABS(H2307)</f>
        <v>3</v>
      </c>
      <c r="R2307"/>
    </row>
    <row r="2308" spans="1:18" x14ac:dyDescent="0.35">
      <c r="A2308" t="s">
        <v>3786</v>
      </c>
      <c r="B2308" s="2">
        <v>46036</v>
      </c>
      <c r="C2308" t="s">
        <v>1335</v>
      </c>
      <c r="D2308" s="3" t="s">
        <v>15</v>
      </c>
      <c r="E2308" t="s">
        <v>34</v>
      </c>
      <c r="F2308" t="s">
        <v>42</v>
      </c>
      <c r="G2308" t="s">
        <v>43</v>
      </c>
      <c r="H2308" s="8">
        <v>2</v>
      </c>
      <c r="I2308" s="10">
        <v>79</v>
      </c>
      <c r="J2308" s="14">
        <f>P2308*I2308</f>
        <v>158</v>
      </c>
      <c r="K2308" s="16">
        <v>190</v>
      </c>
      <c r="L2308" s="1" t="s">
        <v>30</v>
      </c>
      <c r="M2308" t="s">
        <v>22</v>
      </c>
      <c r="N2308" t="str">
        <f t="shared" si="51"/>
        <v>France</v>
      </c>
      <c r="O2308" s="8">
        <f>IF(K2308&gt;=1,K2308,K2308*1000)</f>
        <v>190</v>
      </c>
      <c r="P2308">
        <f>ABS(H2308)</f>
        <v>2</v>
      </c>
      <c r="R2308"/>
    </row>
    <row r="2309" spans="1:18" x14ac:dyDescent="0.35">
      <c r="A2309" t="s">
        <v>3787</v>
      </c>
      <c r="B2309" s="2">
        <v>46118</v>
      </c>
      <c r="C2309" t="s">
        <v>3031</v>
      </c>
      <c r="D2309" s="3" t="s">
        <v>61</v>
      </c>
      <c r="E2309" t="s">
        <v>25</v>
      </c>
      <c r="F2309" t="s">
        <v>26</v>
      </c>
      <c r="G2309" t="s">
        <v>27</v>
      </c>
      <c r="H2309" s="8">
        <v>1</v>
      </c>
      <c r="I2309" s="10">
        <v>45</v>
      </c>
      <c r="J2309" s="14">
        <f>P2309*I2309</f>
        <v>45</v>
      </c>
      <c r="K2309" s="16">
        <v>520</v>
      </c>
      <c r="L2309" s="1" t="s">
        <v>21</v>
      </c>
      <c r="M2309" t="s">
        <v>22</v>
      </c>
      <c r="N2309" t="str">
        <f t="shared" si="51"/>
        <v>Ireland</v>
      </c>
      <c r="O2309" s="8">
        <f>IF(K2309&gt;=1,K2309,K2309*1000)</f>
        <v>520</v>
      </c>
      <c r="P2309">
        <f>ABS(H2309)</f>
        <v>1</v>
      </c>
      <c r="R2309"/>
    </row>
    <row r="2310" spans="1:18" x14ac:dyDescent="0.35">
      <c r="A2310" t="s">
        <v>3788</v>
      </c>
      <c r="B2310" s="2">
        <v>46083</v>
      </c>
      <c r="C2310" t="s">
        <v>1135</v>
      </c>
      <c r="D2310" s="3" t="s">
        <v>46</v>
      </c>
      <c r="E2310" t="s">
        <v>25</v>
      </c>
      <c r="F2310" t="s">
        <v>89</v>
      </c>
      <c r="G2310" t="s">
        <v>90</v>
      </c>
      <c r="H2310" s="8">
        <v>1</v>
      </c>
      <c r="I2310" s="10">
        <v>89</v>
      </c>
      <c r="J2310" s="14">
        <f>P2310*I2310</f>
        <v>89</v>
      </c>
      <c r="K2310" s="16">
        <v>640</v>
      </c>
      <c r="L2310" s="1" t="s">
        <v>30</v>
      </c>
      <c r="M2310" t="s">
        <v>22</v>
      </c>
      <c r="N2310" t="str">
        <f t="shared" si="51"/>
        <v>Ireland</v>
      </c>
      <c r="O2310" s="8">
        <f>IF(K2310&gt;=1,K2310,K2310*1000)</f>
        <v>640</v>
      </c>
      <c r="P2310">
        <f>ABS(H2310)</f>
        <v>1</v>
      </c>
      <c r="R2310"/>
    </row>
    <row r="2311" spans="1:18" x14ac:dyDescent="0.35">
      <c r="A2311" t="s">
        <v>3789</v>
      </c>
      <c r="B2311" s="2">
        <v>46151</v>
      </c>
      <c r="C2311" t="s">
        <v>971</v>
      </c>
      <c r="D2311" s="3" t="s">
        <v>15</v>
      </c>
      <c r="E2311" t="s">
        <v>16</v>
      </c>
      <c r="F2311" t="s">
        <v>47</v>
      </c>
      <c r="G2311" t="s">
        <v>48</v>
      </c>
      <c r="H2311" s="8">
        <v>1</v>
      </c>
      <c r="I2311" s="10">
        <v>45</v>
      </c>
      <c r="J2311" s="14">
        <f>P2311*I2311</f>
        <v>45</v>
      </c>
      <c r="K2311" s="16">
        <v>0.38</v>
      </c>
      <c r="L2311" s="1" t="s">
        <v>30</v>
      </c>
      <c r="M2311" t="s">
        <v>22</v>
      </c>
      <c r="N2311" t="str">
        <f t="shared" si="51"/>
        <v>France</v>
      </c>
      <c r="O2311" s="8">
        <f>IF(K2311&gt;=1,K2311,K2311*1000)</f>
        <v>380</v>
      </c>
      <c r="P2311">
        <f>ABS(H2311)</f>
        <v>1</v>
      </c>
      <c r="R2311"/>
    </row>
    <row r="2312" spans="1:18" x14ac:dyDescent="0.35">
      <c r="A2312" t="s">
        <v>3790</v>
      </c>
      <c r="B2312" s="2">
        <v>46181</v>
      </c>
      <c r="C2312" t="s">
        <v>2070</v>
      </c>
      <c r="D2312" s="3" t="s">
        <v>116</v>
      </c>
      <c r="E2312" t="s">
        <v>34</v>
      </c>
      <c r="F2312" t="s">
        <v>89</v>
      </c>
      <c r="G2312" t="s">
        <v>90</v>
      </c>
      <c r="H2312" s="8">
        <v>2</v>
      </c>
      <c r="I2312" s="10">
        <v>95</v>
      </c>
      <c r="J2312" s="14">
        <f>P2312*I2312</f>
        <v>190</v>
      </c>
      <c r="K2312" s="16">
        <v>0.64</v>
      </c>
      <c r="L2312" s="1" t="s">
        <v>30</v>
      </c>
      <c r="M2312" t="s">
        <v>22</v>
      </c>
      <c r="N2312" t="str">
        <f t="shared" si="51"/>
        <v>Germany</v>
      </c>
      <c r="O2312" s="8">
        <f>IF(K2312&gt;=1,K2312,K2312*1000)</f>
        <v>640</v>
      </c>
      <c r="P2312">
        <f>ABS(H2312)</f>
        <v>2</v>
      </c>
      <c r="R2312"/>
    </row>
    <row r="2313" spans="1:18" x14ac:dyDescent="0.35">
      <c r="A2313" t="s">
        <v>3791</v>
      </c>
      <c r="B2313" s="2">
        <v>46137</v>
      </c>
      <c r="C2313" t="s">
        <v>533</v>
      </c>
      <c r="D2313" s="3" t="s">
        <v>4613</v>
      </c>
      <c r="E2313" t="s">
        <v>25</v>
      </c>
      <c r="F2313" t="s">
        <v>83</v>
      </c>
      <c r="G2313" t="s">
        <v>84</v>
      </c>
      <c r="H2313" s="8">
        <v>-3</v>
      </c>
      <c r="I2313" s="10">
        <v>89</v>
      </c>
      <c r="J2313" s="14">
        <f>P2313*I2313</f>
        <v>267</v>
      </c>
      <c r="K2313" s="16">
        <v>0.34</v>
      </c>
      <c r="L2313" s="1" t="s">
        <v>21</v>
      </c>
      <c r="M2313" t="s">
        <v>22</v>
      </c>
      <c r="N2313" t="str">
        <f t="shared" si="51"/>
        <v>United Kingdom</v>
      </c>
      <c r="O2313" s="8">
        <f>IF(K2313&gt;=1,K2313,K2313*1000)</f>
        <v>340</v>
      </c>
      <c r="P2313">
        <f>ABS(H2313)</f>
        <v>3</v>
      </c>
      <c r="R2313"/>
    </row>
    <row r="2314" spans="1:18" x14ac:dyDescent="0.35">
      <c r="A2314" t="s">
        <v>3792</v>
      </c>
      <c r="B2314" s="2" t="s">
        <v>3793</v>
      </c>
      <c r="C2314" t="s">
        <v>352</v>
      </c>
      <c r="D2314" s="3" t="s">
        <v>4612</v>
      </c>
      <c r="E2314" t="s">
        <v>16</v>
      </c>
      <c r="F2314" t="s">
        <v>26</v>
      </c>
      <c r="G2314" t="s">
        <v>27</v>
      </c>
      <c r="H2314" s="8">
        <v>1</v>
      </c>
      <c r="I2314" s="10">
        <v>45</v>
      </c>
      <c r="J2314" s="14">
        <f>P2314*I2314</f>
        <v>45</v>
      </c>
      <c r="K2314" s="16">
        <v>0.52</v>
      </c>
      <c r="L2314" s="1" t="s">
        <v>30</v>
      </c>
      <c r="M2314" t="s">
        <v>22</v>
      </c>
      <c r="N2314" t="str">
        <f t="shared" si="51"/>
        <v>United Kingdom</v>
      </c>
      <c r="O2314" s="8">
        <f>IF(K2314&gt;=1,K2314,K2314*1000)</f>
        <v>520</v>
      </c>
      <c r="P2314">
        <f>ABS(H2314)</f>
        <v>1</v>
      </c>
      <c r="R2314"/>
    </row>
    <row r="2315" spans="1:18" x14ac:dyDescent="0.35">
      <c r="A2315" t="s">
        <v>3794</v>
      </c>
      <c r="B2315" s="2">
        <v>46169</v>
      </c>
      <c r="C2315" t="s">
        <v>3795</v>
      </c>
      <c r="D2315" s="3" t="s">
        <v>53</v>
      </c>
      <c r="E2315" t="s">
        <v>67</v>
      </c>
      <c r="F2315" t="s">
        <v>17</v>
      </c>
      <c r="G2315" t="s">
        <v>18</v>
      </c>
      <c r="H2315" s="8">
        <v>1</v>
      </c>
      <c r="I2315" s="10">
        <v>40.5</v>
      </c>
      <c r="J2315" s="14">
        <f>P2315*I2315</f>
        <v>40.5</v>
      </c>
      <c r="K2315" s="16">
        <v>0.52</v>
      </c>
      <c r="L2315" s="1" t="s">
        <v>30</v>
      </c>
      <c r="M2315" t="s">
        <v>22</v>
      </c>
      <c r="N2315" t="str">
        <f t="shared" si="51"/>
        <v>Gb</v>
      </c>
      <c r="O2315" s="8">
        <f>IF(K2315&gt;=1,K2315,K2315*1000)</f>
        <v>520</v>
      </c>
      <c r="P2315">
        <f>ABS(H2315)</f>
        <v>1</v>
      </c>
      <c r="R2315"/>
    </row>
    <row r="2316" spans="1:18" x14ac:dyDescent="0.35">
      <c r="A2316" t="s">
        <v>3796</v>
      </c>
      <c r="B2316" s="2">
        <v>46110</v>
      </c>
      <c r="C2316" t="s">
        <v>1798</v>
      </c>
      <c r="D2316" s="3" t="s">
        <v>53</v>
      </c>
      <c r="E2316" t="s">
        <v>16</v>
      </c>
      <c r="F2316" t="s">
        <v>26</v>
      </c>
      <c r="G2316" t="s">
        <v>27</v>
      </c>
      <c r="H2316" s="8">
        <v>-1</v>
      </c>
      <c r="I2316" s="10">
        <v>149</v>
      </c>
      <c r="J2316" s="14">
        <f>P2316*I2316</f>
        <v>149</v>
      </c>
      <c r="K2316" s="16">
        <v>520</v>
      </c>
      <c r="L2316" s="1" t="s">
        <v>30</v>
      </c>
      <c r="M2316" t="s">
        <v>22</v>
      </c>
      <c r="N2316" t="str">
        <f t="shared" si="51"/>
        <v>Gb</v>
      </c>
      <c r="O2316" s="8">
        <f>IF(K2316&gt;=1,K2316,K2316*1000)</f>
        <v>520</v>
      </c>
      <c r="P2316">
        <f>ABS(H2316)</f>
        <v>1</v>
      </c>
      <c r="R2316"/>
    </row>
    <row r="2317" spans="1:18" x14ac:dyDescent="0.35">
      <c r="A2317" t="s">
        <v>3797</v>
      </c>
      <c r="B2317" s="2">
        <v>46129</v>
      </c>
      <c r="C2317" t="s">
        <v>3798</v>
      </c>
      <c r="D2317" s="3" t="s">
        <v>99</v>
      </c>
      <c r="E2317" t="s">
        <v>34</v>
      </c>
      <c r="F2317" t="s">
        <v>47</v>
      </c>
      <c r="G2317" t="s">
        <v>48</v>
      </c>
      <c r="H2317" s="8">
        <v>1</v>
      </c>
      <c r="I2317" s="10">
        <v>12.5</v>
      </c>
      <c r="J2317" s="14">
        <f>P2317*I2317</f>
        <v>12.5</v>
      </c>
      <c r="K2317" s="16">
        <v>380</v>
      </c>
      <c r="L2317" s="1" t="s">
        <v>30</v>
      </c>
      <c r="M2317" t="s">
        <v>22</v>
      </c>
      <c r="N2317" t="str">
        <f t="shared" si="51"/>
        <v>United Kingdom</v>
      </c>
      <c r="O2317" s="8">
        <f>IF(K2317&gt;=1,K2317,K2317*1000)</f>
        <v>380</v>
      </c>
      <c r="P2317">
        <f>ABS(H2317)</f>
        <v>1</v>
      </c>
      <c r="R2317"/>
    </row>
    <row r="2318" spans="1:18" x14ac:dyDescent="0.35">
      <c r="A2318" t="s">
        <v>3799</v>
      </c>
      <c r="B2318" s="2">
        <v>46031</v>
      </c>
      <c r="C2318" t="s">
        <v>1052</v>
      </c>
      <c r="D2318" s="3" t="s">
        <v>53</v>
      </c>
      <c r="E2318" t="s">
        <v>41</v>
      </c>
      <c r="F2318" t="s">
        <v>26</v>
      </c>
      <c r="G2318" t="s">
        <v>27</v>
      </c>
      <c r="H2318" s="8">
        <v>2</v>
      </c>
      <c r="I2318" s="10">
        <v>95</v>
      </c>
      <c r="J2318" s="14">
        <f>P2318*I2318</f>
        <v>190</v>
      </c>
      <c r="K2318" s="16">
        <v>520</v>
      </c>
      <c r="L2318" s="1" t="s">
        <v>30</v>
      </c>
      <c r="M2318" t="s">
        <v>22</v>
      </c>
      <c r="N2318" t="str">
        <f t="shared" si="51"/>
        <v>Gb</v>
      </c>
      <c r="O2318" s="8">
        <f>IF(K2318&gt;=1,K2318,K2318*1000)</f>
        <v>520</v>
      </c>
      <c r="P2318">
        <f>ABS(H2318)</f>
        <v>2</v>
      </c>
      <c r="R2318"/>
    </row>
    <row r="2319" spans="1:18" x14ac:dyDescent="0.35">
      <c r="A2319" t="s">
        <v>3800</v>
      </c>
      <c r="B2319" s="2">
        <v>46269</v>
      </c>
      <c r="C2319" t="s">
        <v>441</v>
      </c>
      <c r="D2319" s="3" t="s">
        <v>66</v>
      </c>
      <c r="E2319" t="s">
        <v>67</v>
      </c>
      <c r="F2319" t="s">
        <v>35</v>
      </c>
      <c r="G2319" t="s">
        <v>36</v>
      </c>
      <c r="H2319" s="8">
        <v>3</v>
      </c>
      <c r="I2319" s="10">
        <v>40.5</v>
      </c>
      <c r="J2319" s="14">
        <f>P2319*I2319</f>
        <v>121.5</v>
      </c>
      <c r="K2319" s="16">
        <v>85</v>
      </c>
      <c r="L2319" s="1" t="s">
        <v>30</v>
      </c>
      <c r="M2319" t="s">
        <v>22</v>
      </c>
      <c r="N2319" t="str">
        <f t="shared" si="51"/>
        <v>Gb</v>
      </c>
      <c r="O2319" s="8">
        <f>IF(K2319&gt;=1,K2319,K2319*1000)</f>
        <v>85</v>
      </c>
      <c r="P2319">
        <f>ABS(H2319)</f>
        <v>3</v>
      </c>
      <c r="R2319"/>
    </row>
    <row r="2320" spans="1:18" x14ac:dyDescent="0.35">
      <c r="A2320" t="s">
        <v>3801</v>
      </c>
      <c r="B2320" s="2">
        <v>46070</v>
      </c>
      <c r="C2320" t="s">
        <v>624</v>
      </c>
      <c r="D2320" s="3" t="s">
        <v>46</v>
      </c>
      <c r="E2320" t="s">
        <v>34</v>
      </c>
      <c r="F2320" t="s">
        <v>74</v>
      </c>
      <c r="G2320" t="s">
        <v>75</v>
      </c>
      <c r="H2320" s="8">
        <v>1</v>
      </c>
      <c r="I2320" s="10">
        <v>134.1</v>
      </c>
      <c r="J2320" s="14">
        <f>P2320*I2320</f>
        <v>134.1</v>
      </c>
      <c r="K2320" s="16">
        <v>410</v>
      </c>
      <c r="L2320" s="1" t="s">
        <v>30</v>
      </c>
      <c r="M2320" t="s">
        <v>58</v>
      </c>
      <c r="N2320" t="str">
        <f t="shared" si="51"/>
        <v>Ireland</v>
      </c>
      <c r="O2320" s="8">
        <f>IF(K2320&gt;=1,K2320,K2320*1000)</f>
        <v>410</v>
      </c>
      <c r="P2320">
        <f>ABS(H2320)</f>
        <v>1</v>
      </c>
      <c r="R2320"/>
    </row>
    <row r="2321" spans="1:18" x14ac:dyDescent="0.35">
      <c r="A2321" t="s">
        <v>3802</v>
      </c>
      <c r="B2321" s="2">
        <v>46038</v>
      </c>
      <c r="C2321" t="s">
        <v>1811</v>
      </c>
      <c r="D2321" s="3" t="s">
        <v>4613</v>
      </c>
      <c r="E2321" t="s">
        <v>16</v>
      </c>
      <c r="F2321" t="s">
        <v>83</v>
      </c>
      <c r="G2321" t="s">
        <v>84</v>
      </c>
      <c r="H2321" s="8">
        <v>3</v>
      </c>
      <c r="I2321" s="10">
        <v>24</v>
      </c>
      <c r="J2321" s="14">
        <f>P2321*I2321</f>
        <v>72</v>
      </c>
      <c r="K2321" s="16">
        <v>340</v>
      </c>
      <c r="L2321" s="1" t="s">
        <v>30</v>
      </c>
      <c r="M2321" t="s">
        <v>58</v>
      </c>
      <c r="N2321" t="str">
        <f t="shared" si="51"/>
        <v>United Kingdom</v>
      </c>
      <c r="O2321" s="8">
        <f>IF(K2321&gt;=1,K2321,K2321*1000)</f>
        <v>340</v>
      </c>
      <c r="P2321">
        <f>ABS(H2321)</f>
        <v>3</v>
      </c>
      <c r="R2321"/>
    </row>
    <row r="2322" spans="1:18" x14ac:dyDescent="0.35">
      <c r="A2322" t="s">
        <v>3803</v>
      </c>
      <c r="B2322" s="2">
        <v>46082</v>
      </c>
      <c r="C2322" t="s">
        <v>3338</v>
      </c>
      <c r="D2322" s="3" t="s">
        <v>99</v>
      </c>
      <c r="E2322" t="s">
        <v>34</v>
      </c>
      <c r="F2322" t="s">
        <v>74</v>
      </c>
      <c r="G2322" t="s">
        <v>75</v>
      </c>
      <c r="H2322" s="8">
        <v>1</v>
      </c>
      <c r="I2322" s="10">
        <v>149</v>
      </c>
      <c r="J2322" s="14">
        <f>P2322*I2322</f>
        <v>149</v>
      </c>
      <c r="K2322" s="16">
        <v>410</v>
      </c>
      <c r="L2322" s="1" t="s">
        <v>30</v>
      </c>
      <c r="M2322" t="s">
        <v>22</v>
      </c>
      <c r="N2322" t="str">
        <f t="shared" si="51"/>
        <v>United Kingdom</v>
      </c>
      <c r="O2322" s="8">
        <f>IF(K2322&gt;=1,K2322,K2322*1000)</f>
        <v>410</v>
      </c>
      <c r="P2322">
        <f>ABS(H2322)</f>
        <v>1</v>
      </c>
      <c r="R2322"/>
    </row>
    <row r="2323" spans="1:18" x14ac:dyDescent="0.35">
      <c r="A2323" t="s">
        <v>3804</v>
      </c>
      <c r="B2323" s="2">
        <v>46044</v>
      </c>
      <c r="C2323" t="s">
        <v>3805</v>
      </c>
      <c r="D2323" s="3" t="s">
        <v>46</v>
      </c>
      <c r="E2323" t="s">
        <v>67</v>
      </c>
      <c r="F2323" t="s">
        <v>74</v>
      </c>
      <c r="G2323" t="s">
        <v>75</v>
      </c>
      <c r="H2323" s="8">
        <v>3</v>
      </c>
      <c r="I2323" s="10">
        <v>11.25</v>
      </c>
      <c r="J2323" s="14">
        <f>P2323*I2323</f>
        <v>33.75</v>
      </c>
      <c r="K2323" s="16">
        <v>410</v>
      </c>
      <c r="L2323" s="1" t="s">
        <v>30</v>
      </c>
      <c r="M2323" t="s">
        <v>22</v>
      </c>
      <c r="N2323" t="str">
        <f t="shared" si="51"/>
        <v>Ireland</v>
      </c>
      <c r="O2323" s="8">
        <f>IF(K2323&gt;=1,K2323,K2323*1000)</f>
        <v>410</v>
      </c>
      <c r="P2323">
        <f>ABS(H2323)</f>
        <v>3</v>
      </c>
      <c r="R2323"/>
    </row>
    <row r="2324" spans="1:18" x14ac:dyDescent="0.35">
      <c r="A2324" t="s">
        <v>3806</v>
      </c>
      <c r="B2324" s="2">
        <v>46091</v>
      </c>
      <c r="C2324" t="s">
        <v>154</v>
      </c>
      <c r="D2324" s="3" t="s">
        <v>99</v>
      </c>
      <c r="E2324" t="s">
        <v>34</v>
      </c>
      <c r="F2324" t="s">
        <v>26</v>
      </c>
      <c r="G2324" t="s">
        <v>27</v>
      </c>
      <c r="H2324" s="8">
        <v>2</v>
      </c>
      <c r="I2324" s="12" t="s">
        <v>4619</v>
      </c>
      <c r="J2324" s="14">
        <f>P2324*R2324</f>
        <v>25</v>
      </c>
      <c r="K2324" s="16">
        <v>520</v>
      </c>
      <c r="L2324" s="1" t="s">
        <v>30</v>
      </c>
      <c r="M2324" t="s">
        <v>22</v>
      </c>
      <c r="N2324" t="str">
        <f t="shared" si="51"/>
        <v>United Kingdom</v>
      </c>
      <c r="O2324" s="8">
        <f>IF(K2324&gt;=1,K2324,K2324*1000)</f>
        <v>520</v>
      </c>
      <c r="P2324">
        <f>ABS(H2324)</f>
        <v>2</v>
      </c>
      <c r="Q2324" t="str">
        <f>LEFT(I2324,3)</f>
        <v>GBP</v>
      </c>
      <c r="R2324" s="10" t="str">
        <f>RIGHT(I2324,5)</f>
        <v>12,50</v>
      </c>
    </row>
    <row r="2325" spans="1:18" x14ac:dyDescent="0.35">
      <c r="A2325" t="s">
        <v>3807</v>
      </c>
      <c r="B2325" s="2">
        <v>46077</v>
      </c>
      <c r="C2325" t="s">
        <v>180</v>
      </c>
      <c r="D2325" s="3" t="s">
        <v>4613</v>
      </c>
      <c r="E2325" t="s">
        <v>67</v>
      </c>
      <c r="F2325" t="s">
        <v>47</v>
      </c>
      <c r="G2325" t="s">
        <v>48</v>
      </c>
      <c r="H2325" s="8">
        <v>3</v>
      </c>
      <c r="I2325" s="10">
        <v>24</v>
      </c>
      <c r="J2325" s="14">
        <f>P2325*I2325</f>
        <v>72</v>
      </c>
      <c r="K2325" s="16">
        <v>380</v>
      </c>
      <c r="L2325" s="1" t="s">
        <v>30</v>
      </c>
      <c r="M2325" t="s">
        <v>22</v>
      </c>
      <c r="N2325" t="str">
        <f t="shared" si="51"/>
        <v>United Kingdom</v>
      </c>
      <c r="O2325" s="8">
        <f>IF(K2325&gt;=1,K2325,K2325*1000)</f>
        <v>380</v>
      </c>
      <c r="P2325">
        <f>ABS(H2325)</f>
        <v>3</v>
      </c>
      <c r="R2325"/>
    </row>
    <row r="2326" spans="1:18" x14ac:dyDescent="0.35">
      <c r="A2326" t="s">
        <v>3808</v>
      </c>
      <c r="B2326" s="2">
        <v>46072</v>
      </c>
      <c r="C2326" t="s">
        <v>3809</v>
      </c>
      <c r="D2326" s="3" t="s">
        <v>46</v>
      </c>
      <c r="E2326" t="s">
        <v>41</v>
      </c>
      <c r="F2326" t="s">
        <v>74</v>
      </c>
      <c r="G2326" t="s">
        <v>75</v>
      </c>
      <c r="H2326" s="8">
        <v>2</v>
      </c>
      <c r="I2326" s="10">
        <v>95</v>
      </c>
      <c r="J2326" s="14">
        <f>P2326*I2326</f>
        <v>190</v>
      </c>
      <c r="K2326" s="16">
        <v>410</v>
      </c>
      <c r="L2326" s="1" t="s">
        <v>30</v>
      </c>
      <c r="M2326" t="s">
        <v>58</v>
      </c>
      <c r="N2326" t="str">
        <f t="shared" si="51"/>
        <v>Ireland</v>
      </c>
      <c r="O2326" s="8">
        <f>IF(K2326&gt;=1,K2326,K2326*1000)</f>
        <v>410</v>
      </c>
      <c r="P2326">
        <f>ABS(H2326)</f>
        <v>2</v>
      </c>
      <c r="R2326"/>
    </row>
    <row r="2327" spans="1:18" x14ac:dyDescent="0.35">
      <c r="A2327" t="s">
        <v>3810</v>
      </c>
      <c r="B2327" s="2">
        <v>46190</v>
      </c>
      <c r="C2327" t="s">
        <v>1782</v>
      </c>
      <c r="D2327" s="3" t="s">
        <v>15</v>
      </c>
      <c r="E2327" t="s">
        <v>16</v>
      </c>
      <c r="F2327" t="s">
        <v>17</v>
      </c>
      <c r="G2327" t="s">
        <v>18</v>
      </c>
      <c r="H2327" s="8">
        <v>2</v>
      </c>
      <c r="I2327" s="12" t="s">
        <v>4647</v>
      </c>
      <c r="J2327" s="14">
        <f>P2327*R2327</f>
        <v>171</v>
      </c>
      <c r="K2327" s="16">
        <v>0.52</v>
      </c>
      <c r="L2327" s="1" t="s">
        <v>30</v>
      </c>
      <c r="M2327" t="s">
        <v>22</v>
      </c>
      <c r="N2327" t="str">
        <f t="shared" si="51"/>
        <v>France</v>
      </c>
      <c r="O2327" s="8">
        <f>IF(K2327&gt;=1,K2327,K2327*1000)</f>
        <v>520</v>
      </c>
      <c r="P2327">
        <f>ABS(H2327)</f>
        <v>2</v>
      </c>
      <c r="Q2327" t="str">
        <f>LEFT(I2327,3)</f>
        <v>GBP</v>
      </c>
      <c r="R2327" s="10" t="str">
        <f>RIGHT(I2327,5)</f>
        <v>85,50</v>
      </c>
    </row>
    <row r="2328" spans="1:18" x14ac:dyDescent="0.35">
      <c r="A2328" t="s">
        <v>3811</v>
      </c>
      <c r="B2328" s="2">
        <v>46192</v>
      </c>
      <c r="C2328" t="s">
        <v>3812</v>
      </c>
      <c r="D2328" s="3" t="s">
        <v>99</v>
      </c>
      <c r="E2328" t="s">
        <v>34</v>
      </c>
      <c r="F2328" t="s">
        <v>17</v>
      </c>
      <c r="G2328" t="s">
        <v>18</v>
      </c>
      <c r="H2328" s="8">
        <v>3</v>
      </c>
      <c r="I2328" s="10">
        <v>21.6</v>
      </c>
      <c r="J2328" s="14">
        <f>P2328*I2328</f>
        <v>64.800000000000011</v>
      </c>
      <c r="K2328" s="16">
        <v>0.52</v>
      </c>
      <c r="L2328" s="1" t="s">
        <v>30</v>
      </c>
      <c r="M2328" t="s">
        <v>22</v>
      </c>
      <c r="N2328" t="str">
        <f t="shared" si="51"/>
        <v>United Kingdom</v>
      </c>
      <c r="O2328" s="8">
        <f>IF(K2328&gt;=1,K2328,K2328*1000)</f>
        <v>520</v>
      </c>
      <c r="P2328">
        <f>ABS(H2328)</f>
        <v>3</v>
      </c>
      <c r="R2328"/>
    </row>
    <row r="2329" spans="1:18" x14ac:dyDescent="0.35">
      <c r="A2329" t="s">
        <v>3813</v>
      </c>
      <c r="B2329" s="2">
        <v>46054</v>
      </c>
      <c r="C2329" t="s">
        <v>2063</v>
      </c>
      <c r="D2329" s="3" t="s">
        <v>116</v>
      </c>
      <c r="E2329" t="s">
        <v>67</v>
      </c>
      <c r="F2329" t="s">
        <v>83</v>
      </c>
      <c r="G2329" t="s">
        <v>84</v>
      </c>
      <c r="H2329" s="8">
        <v>1</v>
      </c>
      <c r="I2329" s="10">
        <v>89</v>
      </c>
      <c r="J2329" s="14">
        <f>P2329*I2329</f>
        <v>89</v>
      </c>
      <c r="K2329" s="16">
        <v>340</v>
      </c>
      <c r="L2329" s="1" t="s">
        <v>30</v>
      </c>
      <c r="M2329" t="s">
        <v>22</v>
      </c>
      <c r="N2329" t="str">
        <f t="shared" si="51"/>
        <v>Germany</v>
      </c>
      <c r="O2329" s="8">
        <f>IF(K2329&gt;=1,K2329,K2329*1000)</f>
        <v>340</v>
      </c>
      <c r="P2329">
        <f>ABS(H2329)</f>
        <v>1</v>
      </c>
      <c r="R2329"/>
    </row>
    <row r="2330" spans="1:18" x14ac:dyDescent="0.35">
      <c r="A2330" t="s">
        <v>3814</v>
      </c>
      <c r="B2330" s="2">
        <v>46185</v>
      </c>
      <c r="C2330" t="s">
        <v>1183</v>
      </c>
      <c r="D2330" s="3" t="s">
        <v>4612</v>
      </c>
      <c r="E2330" t="s">
        <v>67</v>
      </c>
      <c r="F2330" t="s">
        <v>89</v>
      </c>
      <c r="G2330" t="s">
        <v>90</v>
      </c>
      <c r="H2330" s="8">
        <v>1</v>
      </c>
      <c r="I2330" s="10">
        <v>95</v>
      </c>
      <c r="J2330" s="14">
        <f>P2330*I2330</f>
        <v>95</v>
      </c>
      <c r="K2330" s="16">
        <v>0.64</v>
      </c>
      <c r="L2330" s="1" t="s">
        <v>21</v>
      </c>
      <c r="M2330" t="s">
        <v>22</v>
      </c>
      <c r="N2330" t="str">
        <f t="shared" si="51"/>
        <v>United Kingdom</v>
      </c>
      <c r="O2330" s="8">
        <f>IF(K2330&gt;=1,K2330,K2330*1000)</f>
        <v>640</v>
      </c>
      <c r="P2330">
        <f>ABS(H2330)</f>
        <v>1</v>
      </c>
      <c r="R2330"/>
    </row>
    <row r="2331" spans="1:18" x14ac:dyDescent="0.35">
      <c r="A2331" t="s">
        <v>3815</v>
      </c>
      <c r="B2331" s="2">
        <v>46070</v>
      </c>
      <c r="C2331" t="s">
        <v>3816</v>
      </c>
      <c r="D2331" s="3" t="s">
        <v>15</v>
      </c>
      <c r="E2331" t="s">
        <v>41</v>
      </c>
      <c r="F2331" t="s">
        <v>35</v>
      </c>
      <c r="G2331" t="s">
        <v>36</v>
      </c>
      <c r="H2331" s="8">
        <v>1</v>
      </c>
      <c r="I2331" s="10">
        <v>95</v>
      </c>
      <c r="J2331" s="14">
        <f>P2331*I2331</f>
        <v>95</v>
      </c>
      <c r="K2331" s="16">
        <v>85</v>
      </c>
      <c r="L2331" s="1" t="s">
        <v>30</v>
      </c>
      <c r="M2331" t="s">
        <v>22</v>
      </c>
      <c r="N2331" t="str">
        <f t="shared" si="51"/>
        <v>France</v>
      </c>
      <c r="O2331" s="8">
        <f>IF(K2331&gt;=1,K2331,K2331*1000)</f>
        <v>85</v>
      </c>
      <c r="P2331">
        <f>ABS(H2331)</f>
        <v>1</v>
      </c>
      <c r="R2331"/>
    </row>
    <row r="2332" spans="1:18" x14ac:dyDescent="0.35">
      <c r="A2332" t="s">
        <v>3817</v>
      </c>
      <c r="B2332" s="2">
        <v>46201</v>
      </c>
      <c r="C2332" t="s">
        <v>870</v>
      </c>
      <c r="D2332" s="3" t="s">
        <v>61</v>
      </c>
      <c r="E2332" t="s">
        <v>41</v>
      </c>
      <c r="F2332" t="s">
        <v>89</v>
      </c>
      <c r="G2332" t="s">
        <v>90</v>
      </c>
      <c r="H2332" s="8">
        <v>2</v>
      </c>
      <c r="I2332" s="10">
        <v>95</v>
      </c>
      <c r="J2332" s="14">
        <f>P2332*I2332</f>
        <v>190</v>
      </c>
      <c r="K2332" s="16">
        <v>0.64</v>
      </c>
      <c r="L2332" s="1" t="s">
        <v>30</v>
      </c>
      <c r="M2332" t="s">
        <v>22</v>
      </c>
      <c r="N2332" t="str">
        <f t="shared" si="51"/>
        <v>Ireland</v>
      </c>
      <c r="O2332" s="8">
        <f>IF(K2332&gt;=1,K2332,K2332*1000)</f>
        <v>640</v>
      </c>
      <c r="P2332">
        <f>ABS(H2332)</f>
        <v>2</v>
      </c>
      <c r="R2332"/>
    </row>
    <row r="2333" spans="1:18" x14ac:dyDescent="0.35">
      <c r="A2333" t="s">
        <v>3818</v>
      </c>
      <c r="B2333" s="2">
        <v>46051</v>
      </c>
      <c r="C2333" t="s">
        <v>1859</v>
      </c>
      <c r="D2333" s="3" t="s">
        <v>4612</v>
      </c>
      <c r="E2333" t="s">
        <v>41</v>
      </c>
      <c r="F2333" t="s">
        <v>47</v>
      </c>
      <c r="G2333" t="s">
        <v>48</v>
      </c>
      <c r="H2333" s="8">
        <v>1</v>
      </c>
      <c r="I2333" s="10">
        <v>149</v>
      </c>
      <c r="J2333" s="14">
        <f>P2333*I2333</f>
        <v>149</v>
      </c>
      <c r="K2333" s="16">
        <v>380</v>
      </c>
      <c r="L2333" s="1" t="s">
        <v>30</v>
      </c>
      <c r="M2333" t="s">
        <v>22</v>
      </c>
      <c r="N2333" t="str">
        <f t="shared" si="51"/>
        <v>United Kingdom</v>
      </c>
      <c r="O2333" s="8">
        <f>IF(K2333&gt;=1,K2333,K2333*1000)</f>
        <v>380</v>
      </c>
      <c r="P2333">
        <f>ABS(H2333)</f>
        <v>1</v>
      </c>
      <c r="R2333"/>
    </row>
    <row r="2334" spans="1:18" x14ac:dyDescent="0.35">
      <c r="A2334" t="s">
        <v>3819</v>
      </c>
      <c r="B2334" s="2">
        <v>46051</v>
      </c>
      <c r="C2334" t="s">
        <v>1859</v>
      </c>
      <c r="D2334" s="3" t="s">
        <v>61</v>
      </c>
      <c r="E2334" t="s">
        <v>34</v>
      </c>
      <c r="F2334" t="s">
        <v>26</v>
      </c>
      <c r="G2334" t="s">
        <v>27</v>
      </c>
      <c r="H2334" s="8">
        <v>2</v>
      </c>
      <c r="I2334" s="10">
        <v>116.1</v>
      </c>
      <c r="J2334" s="14">
        <f>P2334*I2334</f>
        <v>232.2</v>
      </c>
      <c r="K2334" s="16">
        <v>520</v>
      </c>
      <c r="L2334" s="1" t="s">
        <v>30</v>
      </c>
      <c r="M2334" t="s">
        <v>22</v>
      </c>
      <c r="N2334" t="str">
        <f t="shared" si="51"/>
        <v>Ireland</v>
      </c>
      <c r="O2334" s="8">
        <f>IF(K2334&gt;=1,K2334,K2334*1000)</f>
        <v>520</v>
      </c>
      <c r="P2334">
        <f>ABS(H2334)</f>
        <v>2</v>
      </c>
      <c r="R2334"/>
    </row>
    <row r="2335" spans="1:18" x14ac:dyDescent="0.35">
      <c r="A2335" t="s">
        <v>3820</v>
      </c>
      <c r="B2335" s="2">
        <v>46044</v>
      </c>
      <c r="C2335" t="s">
        <v>2896</v>
      </c>
      <c r="D2335" s="3" t="s">
        <v>61</v>
      </c>
      <c r="E2335" t="s">
        <v>16</v>
      </c>
      <c r="F2335" t="s">
        <v>83</v>
      </c>
      <c r="G2335" t="s">
        <v>84</v>
      </c>
      <c r="H2335" s="8">
        <v>1</v>
      </c>
      <c r="I2335" s="10">
        <v>12.5</v>
      </c>
      <c r="J2335" s="14">
        <f>P2335*I2335</f>
        <v>12.5</v>
      </c>
      <c r="K2335" s="16">
        <v>340</v>
      </c>
      <c r="L2335" s="1" t="s">
        <v>21</v>
      </c>
      <c r="M2335" t="s">
        <v>22</v>
      </c>
      <c r="N2335" t="str">
        <f t="shared" si="51"/>
        <v>Ireland</v>
      </c>
      <c r="O2335" s="8">
        <f>IF(K2335&gt;=1,K2335,K2335*1000)</f>
        <v>340</v>
      </c>
      <c r="P2335">
        <f>ABS(H2335)</f>
        <v>1</v>
      </c>
      <c r="R2335"/>
    </row>
    <row r="2336" spans="1:18" x14ac:dyDescent="0.35">
      <c r="A2336" t="s">
        <v>3822</v>
      </c>
      <c r="B2336" s="2">
        <v>46152</v>
      </c>
      <c r="C2336" t="s">
        <v>3823</v>
      </c>
      <c r="D2336" s="3" t="s">
        <v>99</v>
      </c>
      <c r="E2336" t="s">
        <v>25</v>
      </c>
      <c r="F2336" t="s">
        <v>35</v>
      </c>
      <c r="G2336" t="s">
        <v>36</v>
      </c>
      <c r="H2336" s="8">
        <v>3</v>
      </c>
      <c r="I2336" s="10">
        <v>116.1</v>
      </c>
      <c r="J2336" s="14">
        <f>P2336*I2336</f>
        <v>348.29999999999995</v>
      </c>
      <c r="K2336" s="16">
        <v>8.5000000000000006E-2</v>
      </c>
      <c r="L2336" s="1" t="s">
        <v>30</v>
      </c>
      <c r="M2336" t="s">
        <v>22</v>
      </c>
      <c r="N2336" t="str">
        <f t="shared" si="51"/>
        <v>United Kingdom</v>
      </c>
      <c r="O2336" s="8">
        <f>IF(K2336&gt;=1,K2336,K2336*1000)</f>
        <v>85</v>
      </c>
      <c r="P2336">
        <f>ABS(H2336)</f>
        <v>3</v>
      </c>
      <c r="R2336"/>
    </row>
    <row r="2337" spans="1:18" x14ac:dyDescent="0.35">
      <c r="A2337" t="s">
        <v>3824</v>
      </c>
      <c r="B2337" s="2">
        <v>46360</v>
      </c>
      <c r="C2337" t="s">
        <v>1924</v>
      </c>
      <c r="D2337" s="3" t="s">
        <v>61</v>
      </c>
      <c r="E2337" t="s">
        <v>16</v>
      </c>
      <c r="F2337" t="s">
        <v>42</v>
      </c>
      <c r="G2337" t="s">
        <v>43</v>
      </c>
      <c r="H2337" s="8">
        <v>3</v>
      </c>
      <c r="I2337" s="12" t="s">
        <v>4636</v>
      </c>
      <c r="J2337" s="14">
        <f t="shared" ref="J2337:J2339" si="52">P2337*R2337</f>
        <v>267</v>
      </c>
      <c r="K2337" s="16">
        <v>190</v>
      </c>
      <c r="L2337" s="1" t="s">
        <v>30</v>
      </c>
      <c r="M2337" t="s">
        <v>22</v>
      </c>
      <c r="N2337" t="str">
        <f t="shared" si="51"/>
        <v>Ireland</v>
      </c>
      <c r="O2337" s="8">
        <f>IF(K2337&gt;=1,K2337,K2337*1000)</f>
        <v>190</v>
      </c>
      <c r="P2337">
        <f>ABS(H2337)</f>
        <v>3</v>
      </c>
      <c r="Q2337" t="str">
        <f t="shared" ref="Q2337:Q2339" si="53">LEFT(I2337,2)</f>
        <v>Â£</v>
      </c>
      <c r="R2337" t="str">
        <f t="shared" ref="R2337:R2339" si="54">RIGHT(I2337,5)</f>
        <v>89,00</v>
      </c>
    </row>
    <row r="2338" spans="1:18" x14ac:dyDescent="0.35">
      <c r="A2338" t="s">
        <v>3825</v>
      </c>
      <c r="B2338" s="2">
        <v>46164</v>
      </c>
      <c r="C2338" t="s">
        <v>890</v>
      </c>
      <c r="D2338" s="3" t="s">
        <v>4613</v>
      </c>
      <c r="E2338" t="s">
        <v>25</v>
      </c>
      <c r="F2338" t="s">
        <v>17</v>
      </c>
      <c r="G2338" t="s">
        <v>18</v>
      </c>
      <c r="H2338" s="8">
        <v>3</v>
      </c>
      <c r="I2338" s="12" t="s">
        <v>4639</v>
      </c>
      <c r="J2338" s="14">
        <f t="shared" si="52"/>
        <v>37.5</v>
      </c>
      <c r="K2338" s="16">
        <v>0.52</v>
      </c>
      <c r="L2338" s="1" t="s">
        <v>30</v>
      </c>
      <c r="M2338" t="s">
        <v>22</v>
      </c>
      <c r="N2338" t="str">
        <f t="shared" si="51"/>
        <v>United Kingdom</v>
      </c>
      <c r="O2338" s="8">
        <f>IF(K2338&gt;=1,K2338,K2338*1000)</f>
        <v>520</v>
      </c>
      <c r="P2338">
        <f>ABS(H2338)</f>
        <v>3</v>
      </c>
      <c r="Q2338" t="str">
        <f t="shared" si="53"/>
        <v>Â£</v>
      </c>
      <c r="R2338" t="str">
        <f t="shared" si="54"/>
        <v>12,50</v>
      </c>
    </row>
    <row r="2339" spans="1:18" x14ac:dyDescent="0.35">
      <c r="A2339" t="s">
        <v>3826</v>
      </c>
      <c r="B2339" s="2">
        <v>46157</v>
      </c>
      <c r="C2339" t="s">
        <v>1839</v>
      </c>
      <c r="D2339" s="3" t="s">
        <v>46</v>
      </c>
      <c r="E2339" t="s">
        <v>16</v>
      </c>
      <c r="F2339" t="s">
        <v>17</v>
      </c>
      <c r="G2339" t="s">
        <v>18</v>
      </c>
      <c r="H2339" s="8">
        <v>-3</v>
      </c>
      <c r="I2339" s="12" t="s">
        <v>4622</v>
      </c>
      <c r="J2339" s="14">
        <f t="shared" si="52"/>
        <v>48.300000000000004</v>
      </c>
      <c r="K2339" s="16">
        <v>0.52</v>
      </c>
      <c r="L2339" s="1" t="s">
        <v>21</v>
      </c>
      <c r="M2339" t="s">
        <v>22</v>
      </c>
      <c r="N2339" t="str">
        <f t="shared" si="51"/>
        <v>Ireland</v>
      </c>
      <c r="O2339" s="8">
        <f>IF(K2339&gt;=1,K2339,K2339*1000)</f>
        <v>520</v>
      </c>
      <c r="P2339">
        <f>ABS(H2339)</f>
        <v>3</v>
      </c>
      <c r="Q2339" t="str">
        <f t="shared" si="53"/>
        <v>Â£</v>
      </c>
      <c r="R2339" t="str">
        <f t="shared" si="54"/>
        <v>16,10</v>
      </c>
    </row>
    <row r="2340" spans="1:18" x14ac:dyDescent="0.35">
      <c r="A2340" t="s">
        <v>3828</v>
      </c>
      <c r="B2340" s="2" t="s">
        <v>687</v>
      </c>
      <c r="C2340" t="s">
        <v>690</v>
      </c>
      <c r="D2340" s="3" t="s">
        <v>66</v>
      </c>
      <c r="E2340" t="s">
        <v>41</v>
      </c>
      <c r="F2340" t="s">
        <v>17</v>
      </c>
      <c r="G2340" t="s">
        <v>18</v>
      </c>
      <c r="H2340" s="8">
        <v>1</v>
      </c>
      <c r="I2340" s="10">
        <v>129</v>
      </c>
      <c r="J2340" s="14">
        <f>P2340*I2340</f>
        <v>129</v>
      </c>
      <c r="K2340" s="16">
        <v>520</v>
      </c>
      <c r="L2340" s="1" t="s">
        <v>30</v>
      </c>
      <c r="M2340" t="s">
        <v>22</v>
      </c>
      <c r="N2340" t="str">
        <f t="shared" si="51"/>
        <v>Gb</v>
      </c>
      <c r="O2340" s="8">
        <f>IF(K2340&gt;=1,K2340,K2340*1000)</f>
        <v>520</v>
      </c>
      <c r="P2340">
        <f>ABS(H2340)</f>
        <v>1</v>
      </c>
      <c r="R2340"/>
    </row>
    <row r="2341" spans="1:18" x14ac:dyDescent="0.35">
      <c r="A2341" t="s">
        <v>3829</v>
      </c>
      <c r="B2341" s="2">
        <v>46129</v>
      </c>
      <c r="C2341" t="s">
        <v>919</v>
      </c>
      <c r="D2341" s="3" t="s">
        <v>99</v>
      </c>
      <c r="E2341" t="s">
        <v>25</v>
      </c>
      <c r="F2341" t="s">
        <v>17</v>
      </c>
      <c r="G2341" t="s">
        <v>18</v>
      </c>
      <c r="H2341" s="8">
        <v>2</v>
      </c>
      <c r="I2341" s="10">
        <v>12.5</v>
      </c>
      <c r="J2341" s="14">
        <f>P2341*I2341</f>
        <v>25</v>
      </c>
      <c r="K2341" s="16">
        <v>520</v>
      </c>
      <c r="L2341" s="1" t="s">
        <v>30</v>
      </c>
      <c r="M2341" t="s">
        <v>22</v>
      </c>
      <c r="N2341" t="str">
        <f t="shared" si="51"/>
        <v>United Kingdom</v>
      </c>
      <c r="O2341" s="8">
        <f>IF(K2341&gt;=1,K2341,K2341*1000)</f>
        <v>520</v>
      </c>
      <c r="P2341">
        <f>ABS(H2341)</f>
        <v>2</v>
      </c>
      <c r="R2341"/>
    </row>
    <row r="2342" spans="1:18" x14ac:dyDescent="0.35">
      <c r="A2342" t="s">
        <v>3830</v>
      </c>
      <c r="B2342" s="2">
        <v>46142</v>
      </c>
      <c r="C2342" t="s">
        <v>3831</v>
      </c>
      <c r="D2342" s="3" t="s">
        <v>15</v>
      </c>
      <c r="E2342" t="s">
        <v>34</v>
      </c>
      <c r="F2342" t="s">
        <v>47</v>
      </c>
      <c r="G2342" t="s">
        <v>48</v>
      </c>
      <c r="H2342" s="8">
        <v>1</v>
      </c>
      <c r="I2342" s="10">
        <v>12.5</v>
      </c>
      <c r="J2342" s="14">
        <f>P2342*I2342</f>
        <v>12.5</v>
      </c>
      <c r="K2342" s="16">
        <v>0.38</v>
      </c>
      <c r="L2342" s="1" t="s">
        <v>30</v>
      </c>
      <c r="M2342" t="s">
        <v>22</v>
      </c>
      <c r="N2342" t="str">
        <f t="shared" si="51"/>
        <v>France</v>
      </c>
      <c r="O2342" s="8">
        <f>IF(K2342&gt;=1,K2342,K2342*1000)</f>
        <v>380</v>
      </c>
      <c r="P2342">
        <f>ABS(H2342)</f>
        <v>1</v>
      </c>
      <c r="R2342"/>
    </row>
    <row r="2343" spans="1:18" x14ac:dyDescent="0.35">
      <c r="A2343" t="s">
        <v>3832</v>
      </c>
      <c r="B2343" s="2">
        <v>46051</v>
      </c>
      <c r="C2343" t="s">
        <v>443</v>
      </c>
      <c r="D2343" s="3" t="s">
        <v>4613</v>
      </c>
      <c r="E2343" t="s">
        <v>67</v>
      </c>
      <c r="F2343" t="s">
        <v>89</v>
      </c>
      <c r="G2343" t="s">
        <v>90</v>
      </c>
      <c r="H2343" s="8">
        <v>1</v>
      </c>
      <c r="I2343" s="10">
        <v>89</v>
      </c>
      <c r="J2343" s="14">
        <f>P2343*I2343</f>
        <v>89</v>
      </c>
      <c r="K2343" s="16">
        <v>640</v>
      </c>
      <c r="L2343" s="1" t="s">
        <v>30</v>
      </c>
      <c r="M2343" t="s">
        <v>22</v>
      </c>
      <c r="N2343" t="str">
        <f t="shared" si="51"/>
        <v>United Kingdom</v>
      </c>
      <c r="O2343" s="8">
        <f>IF(K2343&gt;=1,K2343,K2343*1000)</f>
        <v>640</v>
      </c>
      <c r="P2343">
        <f>ABS(H2343)</f>
        <v>1</v>
      </c>
      <c r="R2343"/>
    </row>
    <row r="2344" spans="1:18" x14ac:dyDescent="0.35">
      <c r="A2344" t="s">
        <v>3833</v>
      </c>
      <c r="B2344" s="2">
        <v>46169</v>
      </c>
      <c r="C2344" t="s">
        <v>1362</v>
      </c>
      <c r="D2344" s="3" t="s">
        <v>116</v>
      </c>
      <c r="E2344" t="s">
        <v>25</v>
      </c>
      <c r="F2344" t="s">
        <v>26</v>
      </c>
      <c r="G2344" t="s">
        <v>27</v>
      </c>
      <c r="H2344" s="8">
        <v>1</v>
      </c>
      <c r="I2344" s="10">
        <v>149</v>
      </c>
      <c r="J2344" s="14">
        <f>P2344*I2344</f>
        <v>149</v>
      </c>
      <c r="K2344" s="16">
        <v>0.52</v>
      </c>
      <c r="L2344" s="1" t="s">
        <v>21</v>
      </c>
      <c r="M2344" t="s">
        <v>22</v>
      </c>
      <c r="N2344" t="str">
        <f t="shared" si="51"/>
        <v>Germany</v>
      </c>
      <c r="O2344" s="8">
        <f>IF(K2344&gt;=1,K2344,K2344*1000)</f>
        <v>520</v>
      </c>
      <c r="P2344">
        <f>ABS(H2344)</f>
        <v>1</v>
      </c>
      <c r="R2344"/>
    </row>
    <row r="2345" spans="1:18" x14ac:dyDescent="0.35">
      <c r="A2345" t="s">
        <v>3834</v>
      </c>
      <c r="B2345" s="2">
        <v>46158</v>
      </c>
      <c r="C2345" t="s">
        <v>1708</v>
      </c>
      <c r="D2345" s="3" t="s">
        <v>116</v>
      </c>
      <c r="E2345" t="s">
        <v>16</v>
      </c>
      <c r="F2345" t="s">
        <v>17</v>
      </c>
      <c r="G2345" t="s">
        <v>18</v>
      </c>
      <c r="H2345" s="8">
        <v>2</v>
      </c>
      <c r="I2345" s="10">
        <v>21.6</v>
      </c>
      <c r="J2345" s="14">
        <f>P2345*I2345</f>
        <v>43.2</v>
      </c>
      <c r="K2345" s="16">
        <v>0.52</v>
      </c>
      <c r="L2345" s="1" t="s">
        <v>30</v>
      </c>
      <c r="M2345" t="s">
        <v>22</v>
      </c>
      <c r="N2345" t="str">
        <f t="shared" si="51"/>
        <v>Germany</v>
      </c>
      <c r="O2345" s="8">
        <f>IF(K2345&gt;=1,K2345,K2345*1000)</f>
        <v>520</v>
      </c>
      <c r="P2345">
        <f>ABS(H2345)</f>
        <v>2</v>
      </c>
      <c r="R2345"/>
    </row>
    <row r="2346" spans="1:18" x14ac:dyDescent="0.35">
      <c r="A2346" t="s">
        <v>3835</v>
      </c>
      <c r="B2346" s="2">
        <v>46135</v>
      </c>
      <c r="C2346" t="s">
        <v>2401</v>
      </c>
      <c r="D2346" s="3" t="s">
        <v>61</v>
      </c>
      <c r="E2346" t="s">
        <v>25</v>
      </c>
      <c r="F2346" t="s">
        <v>89</v>
      </c>
      <c r="G2346" t="s">
        <v>90</v>
      </c>
      <c r="H2346" s="8">
        <v>3</v>
      </c>
      <c r="I2346" s="10">
        <v>89</v>
      </c>
      <c r="J2346" s="14">
        <f>P2346*I2346</f>
        <v>267</v>
      </c>
      <c r="K2346" s="16">
        <v>0.64</v>
      </c>
      <c r="L2346" s="1" t="s">
        <v>30</v>
      </c>
      <c r="M2346" t="s">
        <v>58</v>
      </c>
      <c r="N2346" t="str">
        <f t="shared" si="51"/>
        <v>Ireland</v>
      </c>
      <c r="O2346" s="8">
        <f>IF(K2346&gt;=1,K2346,K2346*1000)</f>
        <v>640</v>
      </c>
      <c r="P2346">
        <f>ABS(H2346)</f>
        <v>3</v>
      </c>
      <c r="R2346"/>
    </row>
    <row r="2347" spans="1:18" x14ac:dyDescent="0.35">
      <c r="A2347" t="s">
        <v>3836</v>
      </c>
      <c r="B2347" s="2">
        <v>46105</v>
      </c>
      <c r="C2347" t="s">
        <v>1457</v>
      </c>
      <c r="D2347" s="3" t="s">
        <v>15</v>
      </c>
      <c r="E2347" t="s">
        <v>41</v>
      </c>
      <c r="F2347" t="s">
        <v>89</v>
      </c>
      <c r="G2347" t="s">
        <v>90</v>
      </c>
      <c r="H2347" s="8">
        <v>1</v>
      </c>
      <c r="I2347" s="10">
        <v>45</v>
      </c>
      <c r="J2347" s="14">
        <f>P2347*I2347</f>
        <v>45</v>
      </c>
      <c r="K2347" s="16">
        <v>640</v>
      </c>
      <c r="L2347" s="1" t="s">
        <v>30</v>
      </c>
      <c r="M2347" t="s">
        <v>22</v>
      </c>
      <c r="N2347" t="str">
        <f t="shared" si="51"/>
        <v>France</v>
      </c>
      <c r="O2347" s="8">
        <f>IF(K2347&gt;=1,K2347,K2347*1000)</f>
        <v>640</v>
      </c>
      <c r="P2347">
        <f>ABS(H2347)</f>
        <v>1</v>
      </c>
      <c r="R2347"/>
    </row>
    <row r="2348" spans="1:18" x14ac:dyDescent="0.35">
      <c r="A2348" t="s">
        <v>3837</v>
      </c>
      <c r="B2348" s="2">
        <v>46040</v>
      </c>
      <c r="C2348" t="s">
        <v>2791</v>
      </c>
      <c r="D2348" s="3" t="s">
        <v>4612</v>
      </c>
      <c r="E2348" t="s">
        <v>16</v>
      </c>
      <c r="F2348" t="s">
        <v>42</v>
      </c>
      <c r="G2348" t="s">
        <v>43</v>
      </c>
      <c r="H2348" s="8">
        <v>2</v>
      </c>
      <c r="I2348" s="10">
        <v>95</v>
      </c>
      <c r="J2348" s="14">
        <f>P2348*I2348</f>
        <v>190</v>
      </c>
      <c r="K2348" s="16">
        <v>190</v>
      </c>
      <c r="L2348" s="1" t="s">
        <v>30</v>
      </c>
      <c r="M2348" t="s">
        <v>58</v>
      </c>
      <c r="N2348" t="str">
        <f t="shared" si="51"/>
        <v>United Kingdom</v>
      </c>
      <c r="O2348" s="8">
        <f>IF(K2348&gt;=1,K2348,K2348*1000)</f>
        <v>190</v>
      </c>
      <c r="P2348">
        <f>ABS(H2348)</f>
        <v>2</v>
      </c>
      <c r="R2348"/>
    </row>
    <row r="2349" spans="1:18" x14ac:dyDescent="0.35">
      <c r="A2349" t="s">
        <v>3838</v>
      </c>
      <c r="B2349" s="2">
        <v>46132</v>
      </c>
      <c r="C2349" t="s">
        <v>2964</v>
      </c>
      <c r="D2349" s="3" t="s">
        <v>99</v>
      </c>
      <c r="E2349" t="s">
        <v>25</v>
      </c>
      <c r="F2349" t="s">
        <v>83</v>
      </c>
      <c r="G2349" t="s">
        <v>84</v>
      </c>
      <c r="H2349" s="8">
        <v>1</v>
      </c>
      <c r="I2349" s="10">
        <v>79</v>
      </c>
      <c r="J2349" s="14">
        <f>P2349*I2349</f>
        <v>79</v>
      </c>
      <c r="K2349" s="16">
        <v>0.34</v>
      </c>
      <c r="L2349" s="1" t="s">
        <v>30</v>
      </c>
      <c r="M2349" t="s">
        <v>58</v>
      </c>
      <c r="N2349" t="str">
        <f t="shared" si="51"/>
        <v>United Kingdom</v>
      </c>
      <c r="O2349" s="8">
        <f>IF(K2349&gt;=1,K2349,K2349*1000)</f>
        <v>340</v>
      </c>
      <c r="P2349">
        <f>ABS(H2349)</f>
        <v>1</v>
      </c>
      <c r="R2349"/>
    </row>
    <row r="2350" spans="1:18" x14ac:dyDescent="0.35">
      <c r="A2350" t="s">
        <v>3839</v>
      </c>
      <c r="B2350" s="2">
        <v>46181</v>
      </c>
      <c r="C2350" t="s">
        <v>3389</v>
      </c>
      <c r="D2350" s="3" t="s">
        <v>99</v>
      </c>
      <c r="E2350" t="s">
        <v>41</v>
      </c>
      <c r="F2350" t="s">
        <v>47</v>
      </c>
      <c r="G2350" t="s">
        <v>48</v>
      </c>
      <c r="H2350" s="8">
        <v>2</v>
      </c>
      <c r="I2350" s="10">
        <v>45</v>
      </c>
      <c r="J2350" s="14">
        <f>P2350*I2350</f>
        <v>90</v>
      </c>
      <c r="K2350" s="16">
        <v>0.38</v>
      </c>
      <c r="L2350" s="1" t="s">
        <v>21</v>
      </c>
      <c r="M2350" t="s">
        <v>58</v>
      </c>
      <c r="N2350" t="str">
        <f t="shared" si="51"/>
        <v>United Kingdom</v>
      </c>
      <c r="O2350" s="8">
        <f>IF(K2350&gt;=1,K2350,K2350*1000)</f>
        <v>380</v>
      </c>
      <c r="P2350">
        <f>ABS(H2350)</f>
        <v>2</v>
      </c>
      <c r="R2350"/>
    </row>
    <row r="2351" spans="1:18" x14ac:dyDescent="0.35">
      <c r="A2351" t="s">
        <v>3840</v>
      </c>
      <c r="B2351" s="2">
        <v>46076</v>
      </c>
      <c r="C2351" t="s">
        <v>2611</v>
      </c>
      <c r="D2351" s="3" t="s">
        <v>4613</v>
      </c>
      <c r="E2351" t="s">
        <v>67</v>
      </c>
      <c r="F2351" t="s">
        <v>83</v>
      </c>
      <c r="G2351" t="s">
        <v>84</v>
      </c>
      <c r="H2351" s="8">
        <v>1</v>
      </c>
      <c r="I2351" s="10">
        <v>71.099999999999994</v>
      </c>
      <c r="J2351" s="14">
        <f>P2351*I2351</f>
        <v>71.099999999999994</v>
      </c>
      <c r="K2351" s="16">
        <v>340</v>
      </c>
      <c r="L2351" s="1" t="s">
        <v>21</v>
      </c>
      <c r="M2351" t="s">
        <v>22</v>
      </c>
      <c r="N2351" t="str">
        <f t="shared" si="51"/>
        <v>United Kingdom</v>
      </c>
      <c r="O2351" s="8">
        <f>IF(K2351&gt;=1,K2351,K2351*1000)</f>
        <v>340</v>
      </c>
      <c r="P2351">
        <f>ABS(H2351)</f>
        <v>1</v>
      </c>
      <c r="R2351"/>
    </row>
    <row r="2352" spans="1:18" x14ac:dyDescent="0.35">
      <c r="A2352" t="s">
        <v>3842</v>
      </c>
      <c r="B2352" s="2">
        <v>46112</v>
      </c>
      <c r="C2352" t="s">
        <v>2800</v>
      </c>
      <c r="D2352" s="3" t="s">
        <v>53</v>
      </c>
      <c r="E2352" t="s">
        <v>16</v>
      </c>
      <c r="F2352" t="s">
        <v>47</v>
      </c>
      <c r="G2352" t="s">
        <v>48</v>
      </c>
      <c r="H2352" s="8">
        <v>1</v>
      </c>
      <c r="I2352" s="10">
        <v>85.5</v>
      </c>
      <c r="J2352" s="14">
        <f>P2352*I2352</f>
        <v>85.5</v>
      </c>
      <c r="K2352" s="16">
        <v>380</v>
      </c>
      <c r="L2352" s="1" t="s">
        <v>30</v>
      </c>
      <c r="M2352" t="s">
        <v>58</v>
      </c>
      <c r="N2352" t="str">
        <f t="shared" si="51"/>
        <v>Gb</v>
      </c>
      <c r="O2352" s="8">
        <f>IF(K2352&gt;=1,K2352,K2352*1000)</f>
        <v>380</v>
      </c>
      <c r="P2352">
        <f>ABS(H2352)</f>
        <v>1</v>
      </c>
      <c r="R2352"/>
    </row>
    <row r="2353" spans="1:18" x14ac:dyDescent="0.35">
      <c r="A2353" t="s">
        <v>3843</v>
      </c>
      <c r="B2353" s="2">
        <v>46073</v>
      </c>
      <c r="C2353" t="s">
        <v>3844</v>
      </c>
      <c r="D2353" s="3" t="s">
        <v>99</v>
      </c>
      <c r="E2353" t="s">
        <v>25</v>
      </c>
      <c r="F2353" t="s">
        <v>42</v>
      </c>
      <c r="G2353" t="s">
        <v>43</v>
      </c>
      <c r="H2353" s="8">
        <v>1</v>
      </c>
      <c r="I2353" s="10">
        <v>12.5</v>
      </c>
      <c r="J2353" s="14">
        <f>P2353*I2353</f>
        <v>12.5</v>
      </c>
      <c r="K2353" s="16">
        <v>190</v>
      </c>
      <c r="L2353" s="1" t="s">
        <v>30</v>
      </c>
      <c r="M2353" t="s">
        <v>58</v>
      </c>
      <c r="N2353" t="str">
        <f t="shared" si="51"/>
        <v>United Kingdom</v>
      </c>
      <c r="O2353" s="8">
        <f>IF(K2353&gt;=1,K2353,K2353*1000)</f>
        <v>190</v>
      </c>
      <c r="P2353">
        <f>ABS(H2353)</f>
        <v>1</v>
      </c>
      <c r="R2353"/>
    </row>
    <row r="2354" spans="1:18" x14ac:dyDescent="0.35">
      <c r="A2354" t="s">
        <v>3845</v>
      </c>
      <c r="B2354" s="2">
        <v>46198</v>
      </c>
      <c r="C2354" t="s">
        <v>3773</v>
      </c>
      <c r="D2354" s="3" t="s">
        <v>4612</v>
      </c>
      <c r="E2354" t="s">
        <v>67</v>
      </c>
      <c r="F2354" t="s">
        <v>42</v>
      </c>
      <c r="G2354" t="s">
        <v>43</v>
      </c>
      <c r="H2354" s="8">
        <v>1</v>
      </c>
      <c r="I2354" s="10">
        <v>129</v>
      </c>
      <c r="J2354" s="14">
        <f>P2354*I2354</f>
        <v>129</v>
      </c>
      <c r="K2354" s="16">
        <v>0.19</v>
      </c>
      <c r="L2354" s="1" t="s">
        <v>30</v>
      </c>
      <c r="M2354" t="s">
        <v>58</v>
      </c>
      <c r="N2354" t="str">
        <f t="shared" si="51"/>
        <v>United Kingdom</v>
      </c>
      <c r="O2354" s="8">
        <f>IF(K2354&gt;=1,K2354,K2354*1000)</f>
        <v>190</v>
      </c>
      <c r="P2354">
        <f>ABS(H2354)</f>
        <v>1</v>
      </c>
      <c r="R2354"/>
    </row>
    <row r="2355" spans="1:18" x14ac:dyDescent="0.35">
      <c r="A2355" t="s">
        <v>3846</v>
      </c>
      <c r="B2355" s="2">
        <v>46175</v>
      </c>
      <c r="C2355" t="s">
        <v>3847</v>
      </c>
      <c r="D2355" s="3" t="s">
        <v>4613</v>
      </c>
      <c r="E2355" t="s">
        <v>16</v>
      </c>
      <c r="F2355" t="s">
        <v>17</v>
      </c>
      <c r="G2355" t="s">
        <v>18</v>
      </c>
      <c r="H2355" s="8">
        <v>1</v>
      </c>
      <c r="I2355" s="10">
        <v>116.1</v>
      </c>
      <c r="J2355" s="14">
        <f>P2355*I2355</f>
        <v>116.1</v>
      </c>
      <c r="K2355" s="16">
        <v>0.52</v>
      </c>
      <c r="L2355" s="1" t="s">
        <v>30</v>
      </c>
      <c r="M2355" t="s">
        <v>58</v>
      </c>
      <c r="N2355" t="str">
        <f t="shared" si="51"/>
        <v>United Kingdom</v>
      </c>
      <c r="O2355" s="8">
        <f>IF(K2355&gt;=1,K2355,K2355*1000)</f>
        <v>520</v>
      </c>
      <c r="P2355">
        <f>ABS(H2355)</f>
        <v>1</v>
      </c>
      <c r="R2355"/>
    </row>
    <row r="2356" spans="1:18" x14ac:dyDescent="0.35">
      <c r="A2356" t="s">
        <v>3848</v>
      </c>
      <c r="B2356" s="2">
        <v>46073</v>
      </c>
      <c r="C2356" t="s">
        <v>3849</v>
      </c>
      <c r="D2356" s="3" t="s">
        <v>61</v>
      </c>
      <c r="E2356" t="s">
        <v>16</v>
      </c>
      <c r="F2356" t="s">
        <v>74</v>
      </c>
      <c r="G2356" t="s">
        <v>75</v>
      </c>
      <c r="H2356" s="8">
        <v>2</v>
      </c>
      <c r="I2356" s="10">
        <v>11.25</v>
      </c>
      <c r="J2356" s="14">
        <f>P2356*I2356</f>
        <v>22.5</v>
      </c>
      <c r="K2356" s="16">
        <v>410</v>
      </c>
      <c r="L2356" s="1" t="s">
        <v>30</v>
      </c>
      <c r="M2356" t="s">
        <v>58</v>
      </c>
      <c r="N2356" t="str">
        <f t="shared" si="51"/>
        <v>Ireland</v>
      </c>
      <c r="O2356" s="8">
        <f>IF(K2356&gt;=1,K2356,K2356*1000)</f>
        <v>410</v>
      </c>
      <c r="P2356">
        <f>ABS(H2356)</f>
        <v>2</v>
      </c>
      <c r="R2356"/>
    </row>
    <row r="2357" spans="1:18" x14ac:dyDescent="0.35">
      <c r="A2357" t="s">
        <v>3850</v>
      </c>
      <c r="B2357" s="2">
        <v>46143</v>
      </c>
      <c r="C2357" t="s">
        <v>1471</v>
      </c>
      <c r="D2357" s="3" t="s">
        <v>53</v>
      </c>
      <c r="E2357" t="s">
        <v>41</v>
      </c>
      <c r="F2357" t="s">
        <v>35</v>
      </c>
      <c r="G2357" t="s">
        <v>36</v>
      </c>
      <c r="H2357" s="8">
        <v>2</v>
      </c>
      <c r="I2357" s="10">
        <v>79</v>
      </c>
      <c r="J2357" s="14">
        <f>P2357*I2357</f>
        <v>158</v>
      </c>
      <c r="K2357" s="16">
        <v>8.5000000000000006E-2</v>
      </c>
      <c r="L2357" s="1" t="s">
        <v>30</v>
      </c>
      <c r="M2357" t="s">
        <v>22</v>
      </c>
      <c r="N2357" t="str">
        <f t="shared" si="51"/>
        <v>Gb</v>
      </c>
      <c r="O2357" s="8">
        <f>IF(K2357&gt;=1,K2357,K2357*1000)</f>
        <v>85</v>
      </c>
      <c r="P2357">
        <f>ABS(H2357)</f>
        <v>2</v>
      </c>
      <c r="R2357"/>
    </row>
    <row r="2358" spans="1:18" x14ac:dyDescent="0.35">
      <c r="A2358" t="s">
        <v>3851</v>
      </c>
      <c r="B2358" s="2">
        <v>46060</v>
      </c>
      <c r="C2358" t="s">
        <v>1792</v>
      </c>
      <c r="D2358" s="3" t="s">
        <v>15</v>
      </c>
      <c r="E2358" t="s">
        <v>16</v>
      </c>
      <c r="F2358" t="s">
        <v>89</v>
      </c>
      <c r="G2358" t="s">
        <v>90</v>
      </c>
      <c r="H2358" s="8">
        <v>1</v>
      </c>
      <c r="I2358" s="10">
        <v>129</v>
      </c>
      <c r="J2358" s="14">
        <f>P2358*I2358</f>
        <v>129</v>
      </c>
      <c r="K2358" s="16">
        <v>640</v>
      </c>
      <c r="L2358" s="1" t="s">
        <v>30</v>
      </c>
      <c r="M2358" t="s">
        <v>22</v>
      </c>
      <c r="N2358" t="str">
        <f t="shared" si="51"/>
        <v>France</v>
      </c>
      <c r="O2358" s="8">
        <f>IF(K2358&gt;=1,K2358,K2358*1000)</f>
        <v>640</v>
      </c>
      <c r="P2358">
        <f>ABS(H2358)</f>
        <v>1</v>
      </c>
      <c r="R2358"/>
    </row>
    <row r="2359" spans="1:18" x14ac:dyDescent="0.35">
      <c r="A2359" t="s">
        <v>3852</v>
      </c>
      <c r="B2359" s="2">
        <v>46100</v>
      </c>
      <c r="C2359" t="s">
        <v>1428</v>
      </c>
      <c r="D2359" s="3" t="s">
        <v>116</v>
      </c>
      <c r="E2359" t="s">
        <v>67</v>
      </c>
      <c r="F2359" t="s">
        <v>83</v>
      </c>
      <c r="G2359" t="s">
        <v>84</v>
      </c>
      <c r="H2359" s="8">
        <v>3</v>
      </c>
      <c r="I2359" s="10">
        <v>129</v>
      </c>
      <c r="J2359" s="14">
        <f>P2359*I2359</f>
        <v>387</v>
      </c>
      <c r="K2359" s="16">
        <v>340</v>
      </c>
      <c r="L2359" s="1" t="s">
        <v>30</v>
      </c>
      <c r="M2359" t="s">
        <v>22</v>
      </c>
      <c r="N2359" t="str">
        <f t="shared" si="51"/>
        <v>Germany</v>
      </c>
      <c r="O2359" s="8">
        <f>IF(K2359&gt;=1,K2359,K2359*1000)</f>
        <v>340</v>
      </c>
      <c r="P2359">
        <f>ABS(H2359)</f>
        <v>3</v>
      </c>
      <c r="R2359"/>
    </row>
    <row r="2360" spans="1:18" x14ac:dyDescent="0.35">
      <c r="A2360" t="s">
        <v>3853</v>
      </c>
      <c r="B2360" s="2">
        <v>46043</v>
      </c>
      <c r="C2360" t="s">
        <v>840</v>
      </c>
      <c r="D2360" s="3" t="s">
        <v>61</v>
      </c>
      <c r="E2360" t="s">
        <v>41</v>
      </c>
      <c r="F2360" t="s">
        <v>17</v>
      </c>
      <c r="G2360" t="s">
        <v>18</v>
      </c>
      <c r="H2360" s="8">
        <v>1</v>
      </c>
      <c r="I2360" s="10">
        <v>85.5</v>
      </c>
      <c r="J2360" s="14">
        <f>P2360*I2360</f>
        <v>85.5</v>
      </c>
      <c r="K2360" s="16">
        <v>520</v>
      </c>
      <c r="L2360" s="1" t="s">
        <v>30</v>
      </c>
      <c r="M2360" t="s">
        <v>22</v>
      </c>
      <c r="N2360" t="str">
        <f t="shared" si="51"/>
        <v>Ireland</v>
      </c>
      <c r="O2360" s="8">
        <f>IF(K2360&gt;=1,K2360,K2360*1000)</f>
        <v>520</v>
      </c>
      <c r="P2360">
        <f>ABS(H2360)</f>
        <v>1</v>
      </c>
      <c r="R2360"/>
    </row>
    <row r="2361" spans="1:18" x14ac:dyDescent="0.35">
      <c r="A2361" t="s">
        <v>3854</v>
      </c>
      <c r="B2361" s="2">
        <v>46050</v>
      </c>
      <c r="C2361" t="s">
        <v>3454</v>
      </c>
      <c r="D2361" s="3" t="s">
        <v>46</v>
      </c>
      <c r="E2361" t="s">
        <v>34</v>
      </c>
      <c r="F2361" t="s">
        <v>26</v>
      </c>
      <c r="G2361" t="s">
        <v>27</v>
      </c>
      <c r="H2361" s="8">
        <v>2</v>
      </c>
      <c r="I2361" s="10">
        <v>85.5</v>
      </c>
      <c r="J2361" s="14">
        <f>P2361*I2361</f>
        <v>171</v>
      </c>
      <c r="K2361" s="16">
        <v>520</v>
      </c>
      <c r="L2361" s="1" t="s">
        <v>30</v>
      </c>
      <c r="M2361" t="s">
        <v>22</v>
      </c>
      <c r="N2361" t="str">
        <f t="shared" si="51"/>
        <v>Ireland</v>
      </c>
      <c r="O2361" s="8">
        <f>IF(K2361&gt;=1,K2361,K2361*1000)</f>
        <v>520</v>
      </c>
      <c r="P2361">
        <f>ABS(H2361)</f>
        <v>2</v>
      </c>
      <c r="R2361"/>
    </row>
    <row r="2362" spans="1:18" x14ac:dyDescent="0.35">
      <c r="A2362" t="s">
        <v>3855</v>
      </c>
      <c r="B2362" s="2">
        <v>46175</v>
      </c>
      <c r="C2362" t="s">
        <v>3092</v>
      </c>
      <c r="D2362" s="3" t="s">
        <v>4613</v>
      </c>
      <c r="E2362" t="s">
        <v>67</v>
      </c>
      <c r="F2362" t="s">
        <v>42</v>
      </c>
      <c r="G2362" t="s">
        <v>43</v>
      </c>
      <c r="H2362" s="8">
        <v>3</v>
      </c>
      <c r="I2362" s="10">
        <v>12.5</v>
      </c>
      <c r="J2362" s="14">
        <f>P2362*I2362</f>
        <v>37.5</v>
      </c>
      <c r="K2362" s="16">
        <v>0.19</v>
      </c>
      <c r="L2362" s="1" t="s">
        <v>21</v>
      </c>
      <c r="M2362" t="s">
        <v>22</v>
      </c>
      <c r="N2362" t="str">
        <f t="shared" si="51"/>
        <v>United Kingdom</v>
      </c>
      <c r="O2362" s="8">
        <f>IF(K2362&gt;=1,K2362,K2362*1000)</f>
        <v>190</v>
      </c>
      <c r="P2362">
        <f>ABS(H2362)</f>
        <v>3</v>
      </c>
      <c r="R2362"/>
    </row>
    <row r="2363" spans="1:18" x14ac:dyDescent="0.35">
      <c r="A2363" t="s">
        <v>3856</v>
      </c>
      <c r="B2363" s="2">
        <v>46151</v>
      </c>
      <c r="C2363" t="s">
        <v>3857</v>
      </c>
      <c r="D2363" s="3" t="s">
        <v>4613</v>
      </c>
      <c r="E2363" t="s">
        <v>34</v>
      </c>
      <c r="F2363" t="s">
        <v>42</v>
      </c>
      <c r="G2363" t="s">
        <v>43</v>
      </c>
      <c r="H2363" s="8">
        <v>1</v>
      </c>
      <c r="I2363" s="10">
        <v>149</v>
      </c>
      <c r="J2363" s="14">
        <f>P2363*I2363</f>
        <v>149</v>
      </c>
      <c r="K2363" s="16">
        <v>0.19</v>
      </c>
      <c r="L2363" s="1" t="s">
        <v>30</v>
      </c>
      <c r="M2363" t="s">
        <v>22</v>
      </c>
      <c r="N2363" t="str">
        <f t="shared" si="51"/>
        <v>United Kingdom</v>
      </c>
      <c r="O2363" s="8">
        <f>IF(K2363&gt;=1,K2363,K2363*1000)</f>
        <v>190</v>
      </c>
      <c r="P2363">
        <f>ABS(H2363)</f>
        <v>1</v>
      </c>
      <c r="R2363"/>
    </row>
    <row r="2364" spans="1:18" x14ac:dyDescent="0.35">
      <c r="A2364" t="s">
        <v>3858</v>
      </c>
      <c r="B2364" s="2">
        <v>46106</v>
      </c>
      <c r="C2364" t="s">
        <v>746</v>
      </c>
      <c r="D2364" s="3" t="s">
        <v>66</v>
      </c>
      <c r="E2364" t="s">
        <v>34</v>
      </c>
      <c r="F2364" t="s">
        <v>35</v>
      </c>
      <c r="G2364" t="s">
        <v>36</v>
      </c>
      <c r="H2364" s="8">
        <v>1</v>
      </c>
      <c r="I2364" s="10">
        <v>79</v>
      </c>
      <c r="J2364" s="14">
        <f>P2364*I2364</f>
        <v>79</v>
      </c>
      <c r="K2364" s="16">
        <v>85</v>
      </c>
      <c r="L2364" s="1" t="s">
        <v>21</v>
      </c>
      <c r="M2364" t="s">
        <v>58</v>
      </c>
      <c r="N2364" t="str">
        <f t="shared" si="51"/>
        <v>Gb</v>
      </c>
      <c r="O2364" s="8">
        <f>IF(K2364&gt;=1,K2364,K2364*1000)</f>
        <v>85</v>
      </c>
      <c r="P2364">
        <f>ABS(H2364)</f>
        <v>1</v>
      </c>
      <c r="R2364"/>
    </row>
    <row r="2365" spans="1:18" x14ac:dyDescent="0.35">
      <c r="A2365" t="s">
        <v>3859</v>
      </c>
      <c r="B2365" s="2">
        <v>46088</v>
      </c>
      <c r="C2365" t="s">
        <v>2754</v>
      </c>
      <c r="D2365" s="3" t="s">
        <v>53</v>
      </c>
      <c r="E2365" t="s">
        <v>41</v>
      </c>
      <c r="F2365" t="s">
        <v>35</v>
      </c>
      <c r="G2365" t="s">
        <v>36</v>
      </c>
      <c r="H2365" s="8">
        <v>1</v>
      </c>
      <c r="I2365" s="10">
        <v>89</v>
      </c>
      <c r="J2365" s="14">
        <f>P2365*I2365</f>
        <v>89</v>
      </c>
      <c r="K2365" s="16">
        <v>85</v>
      </c>
      <c r="L2365" s="1" t="s">
        <v>30</v>
      </c>
      <c r="M2365" t="s">
        <v>58</v>
      </c>
      <c r="N2365" t="str">
        <f t="shared" si="51"/>
        <v>Gb</v>
      </c>
      <c r="O2365" s="8">
        <f>IF(K2365&gt;=1,K2365,K2365*1000)</f>
        <v>85</v>
      </c>
      <c r="P2365">
        <f>ABS(H2365)</f>
        <v>1</v>
      </c>
      <c r="R2365"/>
    </row>
    <row r="2366" spans="1:18" x14ac:dyDescent="0.35">
      <c r="A2366" t="s">
        <v>3860</v>
      </c>
      <c r="B2366" s="2">
        <v>46040</v>
      </c>
      <c r="C2366" t="s">
        <v>2452</v>
      </c>
      <c r="D2366" s="3" t="s">
        <v>46</v>
      </c>
      <c r="E2366" t="s">
        <v>34</v>
      </c>
      <c r="F2366" t="s">
        <v>26</v>
      </c>
      <c r="G2366" t="s">
        <v>27</v>
      </c>
      <c r="H2366" s="8">
        <v>2</v>
      </c>
      <c r="I2366" s="10">
        <v>149</v>
      </c>
      <c r="J2366" s="14">
        <f>P2366*I2366</f>
        <v>298</v>
      </c>
      <c r="K2366" s="16">
        <v>520</v>
      </c>
      <c r="L2366" s="1" t="s">
        <v>30</v>
      </c>
      <c r="M2366" t="s">
        <v>58</v>
      </c>
      <c r="N2366" t="str">
        <f t="shared" si="51"/>
        <v>Ireland</v>
      </c>
      <c r="O2366" s="8">
        <f>IF(K2366&gt;=1,K2366,K2366*1000)</f>
        <v>520</v>
      </c>
      <c r="P2366">
        <f>ABS(H2366)</f>
        <v>2</v>
      </c>
      <c r="R2366"/>
    </row>
    <row r="2367" spans="1:18" x14ac:dyDescent="0.35">
      <c r="A2367" t="s">
        <v>3861</v>
      </c>
      <c r="B2367" s="2">
        <v>46099</v>
      </c>
      <c r="C2367" t="s">
        <v>3862</v>
      </c>
      <c r="D2367" s="3" t="s">
        <v>4613</v>
      </c>
      <c r="E2367" t="s">
        <v>41</v>
      </c>
      <c r="F2367" t="s">
        <v>17</v>
      </c>
      <c r="G2367" t="s">
        <v>18</v>
      </c>
      <c r="H2367" s="8">
        <v>1</v>
      </c>
      <c r="I2367" s="10">
        <v>89</v>
      </c>
      <c r="J2367" s="14">
        <f>P2367*I2367</f>
        <v>89</v>
      </c>
      <c r="K2367" s="16">
        <v>520</v>
      </c>
      <c r="L2367" s="1" t="s">
        <v>21</v>
      </c>
      <c r="M2367" t="s">
        <v>22</v>
      </c>
      <c r="N2367" t="str">
        <f t="shared" si="51"/>
        <v>United Kingdom</v>
      </c>
      <c r="O2367" s="8">
        <f>IF(K2367&gt;=1,K2367,K2367*1000)</f>
        <v>520</v>
      </c>
      <c r="P2367">
        <f>ABS(H2367)</f>
        <v>1</v>
      </c>
      <c r="R2367"/>
    </row>
    <row r="2368" spans="1:18" x14ac:dyDescent="0.35">
      <c r="A2368" t="s">
        <v>3863</v>
      </c>
      <c r="B2368" s="2">
        <v>46180</v>
      </c>
      <c r="C2368" t="s">
        <v>3517</v>
      </c>
      <c r="D2368" s="3" t="s">
        <v>66</v>
      </c>
      <c r="E2368" t="s">
        <v>41</v>
      </c>
      <c r="F2368" t="s">
        <v>26</v>
      </c>
      <c r="G2368" t="s">
        <v>27</v>
      </c>
      <c r="H2368" s="8">
        <v>3</v>
      </c>
      <c r="I2368" s="10">
        <v>71.099999999999994</v>
      </c>
      <c r="J2368" s="14">
        <f>P2368*I2368</f>
        <v>213.29999999999998</v>
      </c>
      <c r="K2368" s="16">
        <v>0.52</v>
      </c>
      <c r="L2368" s="1" t="s">
        <v>21</v>
      </c>
      <c r="M2368" t="s">
        <v>22</v>
      </c>
      <c r="N2368" t="str">
        <f t="shared" si="51"/>
        <v>Gb</v>
      </c>
      <c r="O2368" s="8">
        <f>IF(K2368&gt;=1,K2368,K2368*1000)</f>
        <v>520</v>
      </c>
      <c r="P2368">
        <f>ABS(H2368)</f>
        <v>3</v>
      </c>
      <c r="R2368"/>
    </row>
    <row r="2369" spans="1:18" x14ac:dyDescent="0.35">
      <c r="A2369" t="s">
        <v>3864</v>
      </c>
      <c r="B2369" s="2">
        <v>46164</v>
      </c>
      <c r="C2369" t="s">
        <v>340</v>
      </c>
      <c r="D2369" s="3" t="s">
        <v>99</v>
      </c>
      <c r="E2369" t="s">
        <v>34</v>
      </c>
      <c r="F2369" t="s">
        <v>83</v>
      </c>
      <c r="G2369" t="s">
        <v>84</v>
      </c>
      <c r="H2369" s="8">
        <v>2</v>
      </c>
      <c r="I2369" s="10">
        <v>149</v>
      </c>
      <c r="J2369" s="14">
        <f>P2369*I2369</f>
        <v>298</v>
      </c>
      <c r="K2369" s="16">
        <v>0.34</v>
      </c>
      <c r="L2369" s="1" t="s">
        <v>30</v>
      </c>
      <c r="M2369" t="s">
        <v>22</v>
      </c>
      <c r="N2369" t="str">
        <f t="shared" si="51"/>
        <v>United Kingdom</v>
      </c>
      <c r="O2369" s="8">
        <f>IF(K2369&gt;=1,K2369,K2369*1000)</f>
        <v>340</v>
      </c>
      <c r="P2369">
        <f>ABS(H2369)</f>
        <v>2</v>
      </c>
      <c r="R2369"/>
    </row>
    <row r="2370" spans="1:18" x14ac:dyDescent="0.35">
      <c r="A2370" t="s">
        <v>3865</v>
      </c>
      <c r="B2370" s="2" t="s">
        <v>3360</v>
      </c>
      <c r="C2370" t="s">
        <v>892</v>
      </c>
      <c r="D2370" s="3" t="s">
        <v>99</v>
      </c>
      <c r="E2370" t="s">
        <v>25</v>
      </c>
      <c r="F2370" t="s">
        <v>17</v>
      </c>
      <c r="G2370" t="s">
        <v>18</v>
      </c>
      <c r="H2370" s="8">
        <v>1</v>
      </c>
      <c r="I2370" s="10">
        <v>45</v>
      </c>
      <c r="J2370" s="14">
        <f>P2370*I2370</f>
        <v>45</v>
      </c>
      <c r="K2370" s="16">
        <v>0.52</v>
      </c>
      <c r="L2370" s="1" t="s">
        <v>30</v>
      </c>
      <c r="M2370" t="s">
        <v>22</v>
      </c>
      <c r="N2370" t="str">
        <f t="shared" si="51"/>
        <v>United Kingdom</v>
      </c>
      <c r="O2370" s="8">
        <f>IF(K2370&gt;=1,K2370,K2370*1000)</f>
        <v>520</v>
      </c>
      <c r="P2370">
        <f>ABS(H2370)</f>
        <v>1</v>
      </c>
      <c r="R2370"/>
    </row>
    <row r="2371" spans="1:18" x14ac:dyDescent="0.35">
      <c r="A2371" t="s">
        <v>3866</v>
      </c>
      <c r="B2371" s="2">
        <v>46076</v>
      </c>
      <c r="C2371" t="s">
        <v>790</v>
      </c>
      <c r="D2371" s="3" t="s">
        <v>99</v>
      </c>
      <c r="E2371" t="s">
        <v>34</v>
      </c>
      <c r="F2371" t="s">
        <v>83</v>
      </c>
      <c r="G2371" t="s">
        <v>84</v>
      </c>
      <c r="H2371" s="8">
        <v>3</v>
      </c>
      <c r="I2371" s="10">
        <v>45</v>
      </c>
      <c r="J2371" s="14">
        <f>P2371*I2371</f>
        <v>135</v>
      </c>
      <c r="K2371" s="16">
        <v>340</v>
      </c>
      <c r="L2371" s="1" t="s">
        <v>30</v>
      </c>
      <c r="M2371" t="s">
        <v>58</v>
      </c>
      <c r="N2371" t="str">
        <f t="shared" ref="N2371:N2434" si="55">PROPER(TRIM(D2371))</f>
        <v>United Kingdom</v>
      </c>
      <c r="O2371" s="8">
        <f>IF(K2371&gt;=1,K2371,K2371*1000)</f>
        <v>340</v>
      </c>
      <c r="P2371">
        <f>ABS(H2371)</f>
        <v>3</v>
      </c>
      <c r="R2371"/>
    </row>
    <row r="2372" spans="1:18" x14ac:dyDescent="0.35">
      <c r="A2372" t="s">
        <v>3867</v>
      </c>
      <c r="B2372" s="2">
        <v>46104</v>
      </c>
      <c r="C2372" t="s">
        <v>451</v>
      </c>
      <c r="D2372" s="3" t="s">
        <v>4612</v>
      </c>
      <c r="E2372" t="s">
        <v>41</v>
      </c>
      <c r="F2372" t="s">
        <v>26</v>
      </c>
      <c r="G2372" t="s">
        <v>27</v>
      </c>
      <c r="H2372" s="8">
        <v>2</v>
      </c>
      <c r="I2372" s="10">
        <v>89</v>
      </c>
      <c r="J2372" s="14">
        <f>P2372*I2372</f>
        <v>178</v>
      </c>
      <c r="K2372" s="16">
        <v>520</v>
      </c>
      <c r="L2372" s="1" t="s">
        <v>30</v>
      </c>
      <c r="M2372" t="s">
        <v>22</v>
      </c>
      <c r="N2372" t="str">
        <f t="shared" si="55"/>
        <v>United Kingdom</v>
      </c>
      <c r="O2372" s="8">
        <f>IF(K2372&gt;=1,K2372,K2372*1000)</f>
        <v>520</v>
      </c>
      <c r="P2372">
        <f>ABS(H2372)</f>
        <v>2</v>
      </c>
      <c r="R2372"/>
    </row>
    <row r="2373" spans="1:18" x14ac:dyDescent="0.35">
      <c r="A2373" t="s">
        <v>3868</v>
      </c>
      <c r="B2373" s="2">
        <v>46163</v>
      </c>
      <c r="C2373" t="s">
        <v>3869</v>
      </c>
      <c r="D2373" s="3" t="s">
        <v>46</v>
      </c>
      <c r="E2373" t="s">
        <v>34</v>
      </c>
      <c r="F2373" t="s">
        <v>83</v>
      </c>
      <c r="G2373" t="s">
        <v>84</v>
      </c>
      <c r="H2373" s="8">
        <v>1</v>
      </c>
      <c r="I2373" s="10">
        <v>45</v>
      </c>
      <c r="J2373" s="14">
        <f>P2373*I2373</f>
        <v>45</v>
      </c>
      <c r="K2373" s="16">
        <v>0.34</v>
      </c>
      <c r="L2373" s="1" t="s">
        <v>30</v>
      </c>
      <c r="M2373" t="s">
        <v>22</v>
      </c>
      <c r="N2373" t="str">
        <f t="shared" si="55"/>
        <v>Ireland</v>
      </c>
      <c r="O2373" s="8">
        <f>IF(K2373&gt;=1,K2373,K2373*1000)</f>
        <v>340</v>
      </c>
      <c r="P2373">
        <f>ABS(H2373)</f>
        <v>1</v>
      </c>
      <c r="R2373"/>
    </row>
    <row r="2374" spans="1:18" x14ac:dyDescent="0.35">
      <c r="A2374" t="s">
        <v>3870</v>
      </c>
      <c r="B2374" s="2">
        <v>46115</v>
      </c>
      <c r="C2374" t="s">
        <v>1792</v>
      </c>
      <c r="D2374" s="3" t="s">
        <v>116</v>
      </c>
      <c r="E2374" t="s">
        <v>16</v>
      </c>
      <c r="F2374" t="s">
        <v>26</v>
      </c>
      <c r="G2374" t="s">
        <v>27</v>
      </c>
      <c r="H2374" s="8">
        <v>3</v>
      </c>
      <c r="I2374" s="10">
        <v>71.099999999999994</v>
      </c>
      <c r="J2374" s="14">
        <f>P2374*I2374</f>
        <v>213.29999999999998</v>
      </c>
      <c r="K2374" s="16">
        <v>520</v>
      </c>
      <c r="L2374" s="1" t="s">
        <v>30</v>
      </c>
      <c r="M2374" t="s">
        <v>22</v>
      </c>
      <c r="N2374" t="str">
        <f t="shared" si="55"/>
        <v>Germany</v>
      </c>
      <c r="O2374" s="8">
        <f>IF(K2374&gt;=1,K2374,K2374*1000)</f>
        <v>520</v>
      </c>
      <c r="P2374">
        <f>ABS(H2374)</f>
        <v>3</v>
      </c>
      <c r="R2374"/>
    </row>
    <row r="2375" spans="1:18" x14ac:dyDescent="0.35">
      <c r="A2375" t="s">
        <v>3871</v>
      </c>
      <c r="B2375" s="2">
        <v>46044</v>
      </c>
      <c r="C2375" t="s">
        <v>1682</v>
      </c>
      <c r="D2375" s="3" t="s">
        <v>4613</v>
      </c>
      <c r="E2375" t="s">
        <v>16</v>
      </c>
      <c r="F2375" t="s">
        <v>89</v>
      </c>
      <c r="G2375" t="s">
        <v>90</v>
      </c>
      <c r="H2375" s="8">
        <v>1</v>
      </c>
      <c r="I2375" s="10">
        <v>79</v>
      </c>
      <c r="J2375" s="14">
        <f>P2375*I2375</f>
        <v>79</v>
      </c>
      <c r="K2375" s="16">
        <v>640</v>
      </c>
      <c r="L2375" s="1" t="s">
        <v>21</v>
      </c>
      <c r="M2375" t="s">
        <v>22</v>
      </c>
      <c r="N2375" t="str">
        <f t="shared" si="55"/>
        <v>United Kingdom</v>
      </c>
      <c r="O2375" s="8">
        <f>IF(K2375&gt;=1,K2375,K2375*1000)</f>
        <v>640</v>
      </c>
      <c r="P2375">
        <f>ABS(H2375)</f>
        <v>1</v>
      </c>
      <c r="R2375"/>
    </row>
    <row r="2376" spans="1:18" x14ac:dyDescent="0.35">
      <c r="A2376" t="s">
        <v>3872</v>
      </c>
      <c r="B2376" s="2">
        <v>46085</v>
      </c>
      <c r="C2376" t="s">
        <v>3873</v>
      </c>
      <c r="D2376" s="3" t="s">
        <v>46</v>
      </c>
      <c r="E2376" t="s">
        <v>41</v>
      </c>
      <c r="F2376" t="s">
        <v>47</v>
      </c>
      <c r="G2376" t="s">
        <v>48</v>
      </c>
      <c r="H2376" s="8">
        <v>1</v>
      </c>
      <c r="I2376" s="10">
        <v>21.6</v>
      </c>
      <c r="J2376" s="14">
        <f>P2376*I2376</f>
        <v>21.6</v>
      </c>
      <c r="K2376" s="16">
        <v>380</v>
      </c>
      <c r="L2376" s="1" t="s">
        <v>30</v>
      </c>
      <c r="M2376" t="s">
        <v>58</v>
      </c>
      <c r="N2376" t="str">
        <f t="shared" si="55"/>
        <v>Ireland</v>
      </c>
      <c r="O2376" s="8">
        <f>IF(K2376&gt;=1,K2376,K2376*1000)</f>
        <v>380</v>
      </c>
      <c r="P2376">
        <f>ABS(H2376)</f>
        <v>1</v>
      </c>
      <c r="R2376"/>
    </row>
    <row r="2377" spans="1:18" x14ac:dyDescent="0.35">
      <c r="A2377" t="s">
        <v>3874</v>
      </c>
      <c r="B2377" s="2">
        <v>46071</v>
      </c>
      <c r="C2377" t="s">
        <v>3875</v>
      </c>
      <c r="D2377" s="3" t="s">
        <v>61</v>
      </c>
      <c r="E2377" t="s">
        <v>34</v>
      </c>
      <c r="F2377" t="s">
        <v>47</v>
      </c>
      <c r="G2377" t="s">
        <v>48</v>
      </c>
      <c r="H2377" s="8">
        <v>1</v>
      </c>
      <c r="I2377" s="10">
        <v>11.25</v>
      </c>
      <c r="J2377" s="14">
        <f>P2377*I2377</f>
        <v>11.25</v>
      </c>
      <c r="K2377" s="16">
        <v>380</v>
      </c>
      <c r="L2377" s="1" t="s">
        <v>30</v>
      </c>
      <c r="M2377" t="s">
        <v>22</v>
      </c>
      <c r="N2377" t="str">
        <f t="shared" si="55"/>
        <v>Ireland</v>
      </c>
      <c r="O2377" s="8">
        <f>IF(K2377&gt;=1,K2377,K2377*1000)</f>
        <v>380</v>
      </c>
      <c r="P2377">
        <f>ABS(H2377)</f>
        <v>1</v>
      </c>
      <c r="R2377"/>
    </row>
    <row r="2378" spans="1:18" x14ac:dyDescent="0.35">
      <c r="A2378" t="s">
        <v>3876</v>
      </c>
      <c r="B2378" s="2">
        <v>46138</v>
      </c>
      <c r="C2378" t="s">
        <v>2534</v>
      </c>
      <c r="D2378" s="3" t="s">
        <v>53</v>
      </c>
      <c r="E2378" t="s">
        <v>16</v>
      </c>
      <c r="F2378" t="s">
        <v>26</v>
      </c>
      <c r="G2378" t="s">
        <v>27</v>
      </c>
      <c r="H2378" s="8">
        <v>3</v>
      </c>
      <c r="I2378" s="10">
        <v>129</v>
      </c>
      <c r="J2378" s="14">
        <f>P2378*I2378</f>
        <v>387</v>
      </c>
      <c r="K2378" s="16">
        <v>0.52</v>
      </c>
      <c r="L2378" s="1" t="s">
        <v>30</v>
      </c>
      <c r="M2378" t="s">
        <v>22</v>
      </c>
      <c r="N2378" t="str">
        <f t="shared" si="55"/>
        <v>Gb</v>
      </c>
      <c r="O2378" s="8">
        <f>IF(K2378&gt;=1,K2378,K2378*1000)</f>
        <v>520</v>
      </c>
      <c r="P2378">
        <f>ABS(H2378)</f>
        <v>3</v>
      </c>
      <c r="R2378"/>
    </row>
    <row r="2379" spans="1:18" x14ac:dyDescent="0.35">
      <c r="A2379" t="s">
        <v>3877</v>
      </c>
      <c r="B2379" s="2">
        <v>46080</v>
      </c>
      <c r="C2379" t="s">
        <v>2153</v>
      </c>
      <c r="D2379" s="3" t="s">
        <v>46</v>
      </c>
      <c r="E2379" t="s">
        <v>41</v>
      </c>
      <c r="F2379" t="s">
        <v>17</v>
      </c>
      <c r="G2379" t="s">
        <v>18</v>
      </c>
      <c r="H2379" s="8">
        <v>1</v>
      </c>
      <c r="I2379" s="10">
        <v>149</v>
      </c>
      <c r="J2379" s="14">
        <f>P2379*I2379</f>
        <v>149</v>
      </c>
      <c r="K2379" s="16">
        <v>520</v>
      </c>
      <c r="L2379" s="1" t="s">
        <v>21</v>
      </c>
      <c r="M2379" t="s">
        <v>22</v>
      </c>
      <c r="N2379" t="str">
        <f t="shared" si="55"/>
        <v>Ireland</v>
      </c>
      <c r="O2379" s="8">
        <f>IF(K2379&gt;=1,K2379,K2379*1000)</f>
        <v>520</v>
      </c>
      <c r="P2379">
        <f>ABS(H2379)</f>
        <v>1</v>
      </c>
      <c r="R2379"/>
    </row>
    <row r="2380" spans="1:18" x14ac:dyDescent="0.35">
      <c r="A2380" t="s">
        <v>3878</v>
      </c>
      <c r="B2380" s="2">
        <v>46116</v>
      </c>
      <c r="C2380" t="s">
        <v>3123</v>
      </c>
      <c r="D2380" s="3" t="s">
        <v>61</v>
      </c>
      <c r="E2380" t="s">
        <v>34</v>
      </c>
      <c r="F2380" t="s">
        <v>83</v>
      </c>
      <c r="G2380" t="s">
        <v>84</v>
      </c>
      <c r="H2380" s="8">
        <v>1</v>
      </c>
      <c r="I2380" s="10">
        <v>12.5</v>
      </c>
      <c r="J2380" s="14">
        <f>P2380*I2380</f>
        <v>12.5</v>
      </c>
      <c r="K2380" s="16">
        <v>340</v>
      </c>
      <c r="L2380" s="1" t="s">
        <v>30</v>
      </c>
      <c r="M2380" t="s">
        <v>22</v>
      </c>
      <c r="N2380" t="str">
        <f t="shared" si="55"/>
        <v>Ireland</v>
      </c>
      <c r="O2380" s="8">
        <f>IF(K2380&gt;=1,K2380,K2380*1000)</f>
        <v>340</v>
      </c>
      <c r="P2380">
        <f>ABS(H2380)</f>
        <v>1</v>
      </c>
      <c r="R2380"/>
    </row>
    <row r="2381" spans="1:18" x14ac:dyDescent="0.35">
      <c r="A2381" t="s">
        <v>3879</v>
      </c>
      <c r="B2381" s="2">
        <v>46083</v>
      </c>
      <c r="C2381" t="s">
        <v>739</v>
      </c>
      <c r="D2381" s="3" t="s">
        <v>99</v>
      </c>
      <c r="E2381" t="s">
        <v>16</v>
      </c>
      <c r="F2381" t="s">
        <v>35</v>
      </c>
      <c r="G2381" t="s">
        <v>36</v>
      </c>
      <c r="H2381" s="8">
        <v>3</v>
      </c>
      <c r="I2381" s="10">
        <v>134.1</v>
      </c>
      <c r="J2381" s="14">
        <f>P2381*I2381</f>
        <v>402.29999999999995</v>
      </c>
      <c r="K2381" s="16">
        <v>85</v>
      </c>
      <c r="L2381" s="1" t="s">
        <v>30</v>
      </c>
      <c r="M2381" t="s">
        <v>22</v>
      </c>
      <c r="N2381" t="str">
        <f t="shared" si="55"/>
        <v>United Kingdom</v>
      </c>
      <c r="O2381" s="8">
        <f>IF(K2381&gt;=1,K2381,K2381*1000)</f>
        <v>85</v>
      </c>
      <c r="P2381">
        <f>ABS(H2381)</f>
        <v>3</v>
      </c>
      <c r="R2381"/>
    </row>
    <row r="2382" spans="1:18" x14ac:dyDescent="0.35">
      <c r="A2382" t="s">
        <v>3880</v>
      </c>
      <c r="B2382" s="2">
        <v>46053</v>
      </c>
      <c r="C2382" t="s">
        <v>1407</v>
      </c>
      <c r="D2382" s="3" t="s">
        <v>116</v>
      </c>
      <c r="E2382" t="s">
        <v>34</v>
      </c>
      <c r="F2382" t="s">
        <v>17</v>
      </c>
      <c r="G2382" t="s">
        <v>18</v>
      </c>
      <c r="H2382" s="8">
        <v>3</v>
      </c>
      <c r="I2382" s="10">
        <v>79</v>
      </c>
      <c r="J2382" s="14">
        <f>P2382*I2382</f>
        <v>237</v>
      </c>
      <c r="K2382" s="16">
        <v>520</v>
      </c>
      <c r="L2382" s="1" t="s">
        <v>30</v>
      </c>
      <c r="M2382" t="s">
        <v>22</v>
      </c>
      <c r="N2382" t="str">
        <f t="shared" si="55"/>
        <v>Germany</v>
      </c>
      <c r="O2382" s="8">
        <f>IF(K2382&gt;=1,K2382,K2382*1000)</f>
        <v>520</v>
      </c>
      <c r="P2382">
        <f>ABS(H2382)</f>
        <v>3</v>
      </c>
      <c r="R2382"/>
    </row>
    <row r="2383" spans="1:18" x14ac:dyDescent="0.35">
      <c r="A2383" t="s">
        <v>3881</v>
      </c>
      <c r="B2383" s="2">
        <v>46085</v>
      </c>
      <c r="C2383" t="s">
        <v>3882</v>
      </c>
      <c r="D2383" s="3" t="s">
        <v>4612</v>
      </c>
      <c r="E2383" t="s">
        <v>16</v>
      </c>
      <c r="F2383" t="s">
        <v>17</v>
      </c>
      <c r="G2383" t="s">
        <v>18</v>
      </c>
      <c r="H2383" s="8">
        <v>1</v>
      </c>
      <c r="I2383" s="10">
        <v>79</v>
      </c>
      <c r="J2383" s="14">
        <f>P2383*I2383</f>
        <v>79</v>
      </c>
      <c r="K2383" s="16">
        <v>520</v>
      </c>
      <c r="L2383" s="1" t="s">
        <v>30</v>
      </c>
      <c r="M2383" t="s">
        <v>22</v>
      </c>
      <c r="N2383" t="str">
        <f t="shared" si="55"/>
        <v>United Kingdom</v>
      </c>
      <c r="O2383" s="8">
        <f>IF(K2383&gt;=1,K2383,K2383*1000)</f>
        <v>520</v>
      </c>
      <c r="P2383">
        <f>ABS(H2383)</f>
        <v>1</v>
      </c>
      <c r="R2383"/>
    </row>
    <row r="2384" spans="1:18" x14ac:dyDescent="0.35">
      <c r="A2384" t="s">
        <v>3883</v>
      </c>
      <c r="B2384" s="2">
        <v>46106</v>
      </c>
      <c r="C2384" t="s">
        <v>694</v>
      </c>
      <c r="D2384" s="3" t="s">
        <v>4612</v>
      </c>
      <c r="E2384" t="s">
        <v>25</v>
      </c>
      <c r="F2384" t="s">
        <v>47</v>
      </c>
      <c r="G2384" t="s">
        <v>48</v>
      </c>
      <c r="H2384" s="8">
        <v>3</v>
      </c>
      <c r="I2384" s="10">
        <v>24</v>
      </c>
      <c r="J2384" s="14">
        <f>P2384*I2384</f>
        <v>72</v>
      </c>
      <c r="K2384" s="16">
        <v>380</v>
      </c>
      <c r="L2384" s="1" t="s">
        <v>30</v>
      </c>
      <c r="M2384" t="s">
        <v>58</v>
      </c>
      <c r="N2384" t="str">
        <f t="shared" si="55"/>
        <v>United Kingdom</v>
      </c>
      <c r="O2384" s="8">
        <f>IF(K2384&gt;=1,K2384,K2384*1000)</f>
        <v>380</v>
      </c>
      <c r="P2384">
        <f>ABS(H2384)</f>
        <v>3</v>
      </c>
      <c r="R2384"/>
    </row>
    <row r="2385" spans="1:18" x14ac:dyDescent="0.35">
      <c r="A2385" t="s">
        <v>3884</v>
      </c>
      <c r="B2385" s="2">
        <v>46131</v>
      </c>
      <c r="C2385" t="s">
        <v>344</v>
      </c>
      <c r="D2385" s="3" t="s">
        <v>66</v>
      </c>
      <c r="E2385" t="s">
        <v>67</v>
      </c>
      <c r="F2385" t="s">
        <v>35</v>
      </c>
      <c r="G2385" t="s">
        <v>36</v>
      </c>
      <c r="H2385" s="8">
        <v>2</v>
      </c>
      <c r="I2385" s="10">
        <v>95</v>
      </c>
      <c r="J2385" s="14">
        <f>P2385*I2385</f>
        <v>190</v>
      </c>
      <c r="K2385" s="16">
        <v>85</v>
      </c>
      <c r="L2385" s="1" t="s">
        <v>21</v>
      </c>
      <c r="M2385" t="s">
        <v>22</v>
      </c>
      <c r="N2385" t="str">
        <f t="shared" si="55"/>
        <v>Gb</v>
      </c>
      <c r="O2385" s="8">
        <f>IF(K2385&gt;=1,K2385,K2385*1000)</f>
        <v>85</v>
      </c>
      <c r="P2385">
        <f>ABS(H2385)</f>
        <v>2</v>
      </c>
      <c r="R2385"/>
    </row>
    <row r="2386" spans="1:18" x14ac:dyDescent="0.35">
      <c r="A2386" t="s">
        <v>3885</v>
      </c>
      <c r="B2386" s="2">
        <v>46177</v>
      </c>
      <c r="C2386" t="s">
        <v>3886</v>
      </c>
      <c r="D2386" s="3" t="s">
        <v>46</v>
      </c>
      <c r="E2386" t="s">
        <v>41</v>
      </c>
      <c r="F2386" t="s">
        <v>47</v>
      </c>
      <c r="G2386" t="s">
        <v>48</v>
      </c>
      <c r="H2386" s="8">
        <v>2</v>
      </c>
      <c r="I2386" s="10">
        <v>40.5</v>
      </c>
      <c r="J2386" s="14">
        <f>P2386*I2386</f>
        <v>81</v>
      </c>
      <c r="K2386" s="16">
        <v>0.38</v>
      </c>
      <c r="L2386" s="1" t="s">
        <v>30</v>
      </c>
      <c r="M2386" t="s">
        <v>22</v>
      </c>
      <c r="N2386" t="str">
        <f t="shared" si="55"/>
        <v>Ireland</v>
      </c>
      <c r="O2386" s="8">
        <f>IF(K2386&gt;=1,K2386,K2386*1000)</f>
        <v>380</v>
      </c>
      <c r="P2386">
        <f>ABS(H2386)</f>
        <v>2</v>
      </c>
      <c r="R2386"/>
    </row>
    <row r="2387" spans="1:18" x14ac:dyDescent="0.35">
      <c r="A2387" t="s">
        <v>3887</v>
      </c>
      <c r="B2387" s="2">
        <v>46152</v>
      </c>
      <c r="C2387" t="s">
        <v>3888</v>
      </c>
      <c r="D2387" s="3" t="s">
        <v>53</v>
      </c>
      <c r="E2387" t="s">
        <v>34</v>
      </c>
      <c r="F2387" t="s">
        <v>74</v>
      </c>
      <c r="G2387" t="s">
        <v>75</v>
      </c>
      <c r="H2387" s="8">
        <v>1</v>
      </c>
      <c r="I2387" s="10">
        <v>79</v>
      </c>
      <c r="J2387" s="14">
        <f>P2387*I2387</f>
        <v>79</v>
      </c>
      <c r="K2387" s="16">
        <v>0.41</v>
      </c>
      <c r="L2387" s="1" t="s">
        <v>30</v>
      </c>
      <c r="M2387" t="s">
        <v>58</v>
      </c>
      <c r="N2387" t="str">
        <f t="shared" si="55"/>
        <v>Gb</v>
      </c>
      <c r="O2387" s="8">
        <f>IF(K2387&gt;=1,K2387,K2387*1000)</f>
        <v>410</v>
      </c>
      <c r="P2387">
        <f>ABS(H2387)</f>
        <v>1</v>
      </c>
      <c r="R2387"/>
    </row>
    <row r="2388" spans="1:18" x14ac:dyDescent="0.35">
      <c r="A2388" t="s">
        <v>3889</v>
      </c>
      <c r="B2388" s="2">
        <v>46144</v>
      </c>
      <c r="C2388" t="s">
        <v>204</v>
      </c>
      <c r="D2388" s="3" t="s">
        <v>116</v>
      </c>
      <c r="E2388" t="s">
        <v>25</v>
      </c>
      <c r="F2388" t="s">
        <v>89</v>
      </c>
      <c r="G2388" t="s">
        <v>90</v>
      </c>
      <c r="H2388" s="8">
        <v>2</v>
      </c>
      <c r="I2388" s="10">
        <v>89</v>
      </c>
      <c r="J2388" s="14">
        <f>P2388*I2388</f>
        <v>178</v>
      </c>
      <c r="K2388" s="16">
        <v>0.64</v>
      </c>
      <c r="L2388" s="1" t="s">
        <v>21</v>
      </c>
      <c r="M2388" t="s">
        <v>22</v>
      </c>
      <c r="N2388" t="str">
        <f t="shared" si="55"/>
        <v>Germany</v>
      </c>
      <c r="O2388" s="8">
        <f>IF(K2388&gt;=1,K2388,K2388*1000)</f>
        <v>640</v>
      </c>
      <c r="P2388">
        <f>ABS(H2388)</f>
        <v>2</v>
      </c>
      <c r="R2388"/>
    </row>
    <row r="2389" spans="1:18" x14ac:dyDescent="0.35">
      <c r="A2389" t="s">
        <v>3890</v>
      </c>
      <c r="B2389" s="2">
        <v>46033</v>
      </c>
      <c r="C2389" t="s">
        <v>483</v>
      </c>
      <c r="D2389" s="3" t="s">
        <v>99</v>
      </c>
      <c r="E2389" t="s">
        <v>34</v>
      </c>
      <c r="F2389" t="s">
        <v>47</v>
      </c>
      <c r="G2389" t="s">
        <v>48</v>
      </c>
      <c r="H2389" s="8">
        <v>2</v>
      </c>
      <c r="I2389" s="10">
        <v>24</v>
      </c>
      <c r="J2389" s="14">
        <f>P2389*I2389</f>
        <v>48</v>
      </c>
      <c r="K2389" s="16">
        <v>380</v>
      </c>
      <c r="L2389" s="1" t="s">
        <v>30</v>
      </c>
      <c r="M2389" t="s">
        <v>58</v>
      </c>
      <c r="N2389" t="str">
        <f t="shared" si="55"/>
        <v>United Kingdom</v>
      </c>
      <c r="O2389" s="8">
        <f>IF(K2389&gt;=1,K2389,K2389*1000)</f>
        <v>380</v>
      </c>
      <c r="P2389">
        <f>ABS(H2389)</f>
        <v>2</v>
      </c>
      <c r="R2389"/>
    </row>
    <row r="2390" spans="1:18" x14ac:dyDescent="0.35">
      <c r="A2390" t="s">
        <v>3891</v>
      </c>
      <c r="B2390" s="2">
        <v>46087</v>
      </c>
      <c r="C2390" t="s">
        <v>1191</v>
      </c>
      <c r="D2390" s="3" t="s">
        <v>99</v>
      </c>
      <c r="E2390" t="s">
        <v>67</v>
      </c>
      <c r="F2390" t="s">
        <v>42</v>
      </c>
      <c r="G2390" t="s">
        <v>43</v>
      </c>
      <c r="H2390" s="8">
        <v>2</v>
      </c>
      <c r="I2390" s="10">
        <v>80.099999999999994</v>
      </c>
      <c r="J2390" s="14">
        <f>P2390*I2390</f>
        <v>160.19999999999999</v>
      </c>
      <c r="K2390" s="16">
        <v>190</v>
      </c>
      <c r="L2390" s="1" t="s">
        <v>30</v>
      </c>
      <c r="M2390" t="s">
        <v>58</v>
      </c>
      <c r="N2390" t="str">
        <f t="shared" si="55"/>
        <v>United Kingdom</v>
      </c>
      <c r="O2390" s="8">
        <f>IF(K2390&gt;=1,K2390,K2390*1000)</f>
        <v>190</v>
      </c>
      <c r="P2390">
        <f>ABS(H2390)</f>
        <v>2</v>
      </c>
      <c r="R2390"/>
    </row>
    <row r="2391" spans="1:18" x14ac:dyDescent="0.35">
      <c r="A2391" t="s">
        <v>3892</v>
      </c>
      <c r="B2391" s="2">
        <v>46125</v>
      </c>
      <c r="C2391" t="s">
        <v>2602</v>
      </c>
      <c r="D2391" s="3" t="s">
        <v>99</v>
      </c>
      <c r="E2391" t="s">
        <v>41</v>
      </c>
      <c r="F2391" t="s">
        <v>35</v>
      </c>
      <c r="G2391" t="s">
        <v>36</v>
      </c>
      <c r="H2391" s="8">
        <v>2</v>
      </c>
      <c r="I2391" s="10">
        <v>11.25</v>
      </c>
      <c r="J2391" s="14">
        <f>P2391*I2391</f>
        <v>22.5</v>
      </c>
      <c r="K2391" s="16">
        <v>85</v>
      </c>
      <c r="L2391" s="1" t="s">
        <v>30</v>
      </c>
      <c r="M2391" t="s">
        <v>58</v>
      </c>
      <c r="N2391" t="str">
        <f t="shared" si="55"/>
        <v>United Kingdom</v>
      </c>
      <c r="O2391" s="8">
        <f>IF(K2391&gt;=1,K2391,K2391*1000)</f>
        <v>85</v>
      </c>
      <c r="P2391">
        <f>ABS(H2391)</f>
        <v>2</v>
      </c>
      <c r="R2391"/>
    </row>
    <row r="2392" spans="1:18" x14ac:dyDescent="0.35">
      <c r="A2392" t="s">
        <v>3893</v>
      </c>
      <c r="B2392" s="2" t="s">
        <v>582</v>
      </c>
      <c r="C2392" t="s">
        <v>3164</v>
      </c>
      <c r="D2392" s="3" t="s">
        <v>61</v>
      </c>
      <c r="E2392" t="s">
        <v>41</v>
      </c>
      <c r="F2392" t="s">
        <v>42</v>
      </c>
      <c r="G2392" t="s">
        <v>43</v>
      </c>
      <c r="H2392" s="8">
        <v>3</v>
      </c>
      <c r="I2392" s="10">
        <v>129</v>
      </c>
      <c r="J2392" s="14">
        <f>P2392*I2392</f>
        <v>387</v>
      </c>
      <c r="K2392" s="16">
        <v>0.19</v>
      </c>
      <c r="L2392" s="1" t="s">
        <v>30</v>
      </c>
      <c r="M2392" t="s">
        <v>22</v>
      </c>
      <c r="N2392" t="str">
        <f t="shared" si="55"/>
        <v>Ireland</v>
      </c>
      <c r="O2392" s="8">
        <f>IF(K2392&gt;=1,K2392,K2392*1000)</f>
        <v>190</v>
      </c>
      <c r="P2392">
        <f>ABS(H2392)</f>
        <v>3</v>
      </c>
      <c r="R2392"/>
    </row>
    <row r="2393" spans="1:18" x14ac:dyDescent="0.35">
      <c r="A2393" t="s">
        <v>3894</v>
      </c>
      <c r="B2393" s="2">
        <v>46192</v>
      </c>
      <c r="C2393" t="s">
        <v>337</v>
      </c>
      <c r="D2393" s="3" t="s">
        <v>46</v>
      </c>
      <c r="E2393" t="s">
        <v>34</v>
      </c>
      <c r="F2393" t="s">
        <v>35</v>
      </c>
      <c r="G2393" t="s">
        <v>36</v>
      </c>
      <c r="H2393" s="8">
        <v>1</v>
      </c>
      <c r="I2393" s="10">
        <v>129</v>
      </c>
      <c r="J2393" s="14">
        <f>P2393*I2393</f>
        <v>129</v>
      </c>
      <c r="K2393" s="16">
        <v>8.5000000000000006E-2</v>
      </c>
      <c r="L2393" s="1" t="s">
        <v>30</v>
      </c>
      <c r="M2393" t="s">
        <v>22</v>
      </c>
      <c r="N2393" t="str">
        <f t="shared" si="55"/>
        <v>Ireland</v>
      </c>
      <c r="O2393" s="8">
        <f>IF(K2393&gt;=1,K2393,K2393*1000)</f>
        <v>85</v>
      </c>
      <c r="P2393">
        <f>ABS(H2393)</f>
        <v>1</v>
      </c>
      <c r="R2393"/>
    </row>
    <row r="2394" spans="1:18" x14ac:dyDescent="0.35">
      <c r="A2394" t="s">
        <v>3895</v>
      </c>
      <c r="B2394" s="2">
        <v>46200</v>
      </c>
      <c r="C2394" t="s">
        <v>1570</v>
      </c>
      <c r="D2394" s="3" t="s">
        <v>99</v>
      </c>
      <c r="E2394" t="s">
        <v>25</v>
      </c>
      <c r="F2394" t="s">
        <v>89</v>
      </c>
      <c r="G2394" t="s">
        <v>90</v>
      </c>
      <c r="H2394" s="8">
        <v>1</v>
      </c>
      <c r="I2394" s="10">
        <v>45</v>
      </c>
      <c r="J2394" s="14">
        <f>P2394*I2394</f>
        <v>45</v>
      </c>
      <c r="K2394" s="16">
        <v>0.64</v>
      </c>
      <c r="L2394" s="1" t="s">
        <v>30</v>
      </c>
      <c r="M2394" t="s">
        <v>22</v>
      </c>
      <c r="N2394" t="str">
        <f t="shared" si="55"/>
        <v>United Kingdom</v>
      </c>
      <c r="O2394" s="8">
        <f>IF(K2394&gt;=1,K2394,K2394*1000)</f>
        <v>640</v>
      </c>
      <c r="P2394">
        <f>ABS(H2394)</f>
        <v>1</v>
      </c>
      <c r="R2394"/>
    </row>
    <row r="2395" spans="1:18" x14ac:dyDescent="0.35">
      <c r="A2395" t="s">
        <v>3896</v>
      </c>
      <c r="B2395" s="2">
        <v>46155</v>
      </c>
      <c r="C2395" t="s">
        <v>354</v>
      </c>
      <c r="D2395" s="3" t="s">
        <v>4613</v>
      </c>
      <c r="E2395" t="s">
        <v>41</v>
      </c>
      <c r="F2395" t="s">
        <v>35</v>
      </c>
      <c r="G2395" t="s">
        <v>36</v>
      </c>
      <c r="H2395" s="8">
        <v>2</v>
      </c>
      <c r="I2395" s="10">
        <v>134.1</v>
      </c>
      <c r="J2395" s="14">
        <f>P2395*I2395</f>
        <v>268.2</v>
      </c>
      <c r="K2395" s="16">
        <v>8.5000000000000006E-2</v>
      </c>
      <c r="L2395" s="1" t="s">
        <v>30</v>
      </c>
      <c r="M2395" t="s">
        <v>58</v>
      </c>
      <c r="N2395" t="str">
        <f t="shared" si="55"/>
        <v>United Kingdom</v>
      </c>
      <c r="O2395" s="8">
        <f>IF(K2395&gt;=1,K2395,K2395*1000)</f>
        <v>85</v>
      </c>
      <c r="P2395">
        <f>ABS(H2395)</f>
        <v>2</v>
      </c>
      <c r="R2395"/>
    </row>
    <row r="2396" spans="1:18" x14ac:dyDescent="0.35">
      <c r="A2396" t="s">
        <v>3897</v>
      </c>
      <c r="B2396" s="2" t="s">
        <v>322</v>
      </c>
      <c r="C2396" t="s">
        <v>2374</v>
      </c>
      <c r="D2396" s="3" t="s">
        <v>61</v>
      </c>
      <c r="E2396" t="s">
        <v>67</v>
      </c>
      <c r="F2396" t="s">
        <v>74</v>
      </c>
      <c r="G2396" t="s">
        <v>75</v>
      </c>
      <c r="H2396" s="8">
        <v>1</v>
      </c>
      <c r="I2396" s="12" t="s">
        <v>4638</v>
      </c>
      <c r="J2396" s="14">
        <f>P2396*R2396</f>
        <v>21.6</v>
      </c>
      <c r="K2396" s="16">
        <v>410</v>
      </c>
      <c r="L2396" s="1" t="s">
        <v>21</v>
      </c>
      <c r="M2396" t="s">
        <v>22</v>
      </c>
      <c r="N2396" t="str">
        <f t="shared" si="55"/>
        <v>Ireland</v>
      </c>
      <c r="O2396" s="8">
        <f>IF(K2396&gt;=1,K2396,K2396*1000)</f>
        <v>410</v>
      </c>
      <c r="P2396">
        <f>ABS(H2396)</f>
        <v>1</v>
      </c>
      <c r="Q2396" t="str">
        <f>LEFT(I2396,2)</f>
        <v>Â£</v>
      </c>
      <c r="R2396" t="str">
        <f>RIGHT(I2396,5)</f>
        <v>21,60</v>
      </c>
    </row>
    <row r="2397" spans="1:18" x14ac:dyDescent="0.35">
      <c r="A2397" t="s">
        <v>3898</v>
      </c>
      <c r="B2397" s="2">
        <v>46115</v>
      </c>
      <c r="C2397" t="s">
        <v>3899</v>
      </c>
      <c r="D2397" s="3" t="s">
        <v>4612</v>
      </c>
      <c r="E2397" t="s">
        <v>16</v>
      </c>
      <c r="F2397" t="s">
        <v>47</v>
      </c>
      <c r="G2397" t="s">
        <v>48</v>
      </c>
      <c r="H2397" s="8">
        <v>2</v>
      </c>
      <c r="I2397" s="10">
        <v>24</v>
      </c>
      <c r="J2397" s="14">
        <f>P2397*I2397</f>
        <v>48</v>
      </c>
      <c r="K2397" s="16">
        <v>380</v>
      </c>
      <c r="L2397" s="1" t="s">
        <v>30</v>
      </c>
      <c r="M2397" t="s">
        <v>22</v>
      </c>
      <c r="N2397" t="str">
        <f t="shared" si="55"/>
        <v>United Kingdom</v>
      </c>
      <c r="O2397" s="8">
        <f>IF(K2397&gt;=1,K2397,K2397*1000)</f>
        <v>380</v>
      </c>
      <c r="P2397">
        <f>ABS(H2397)</f>
        <v>2</v>
      </c>
      <c r="R2397"/>
    </row>
    <row r="2398" spans="1:18" x14ac:dyDescent="0.35">
      <c r="A2398" t="s">
        <v>3900</v>
      </c>
      <c r="B2398" s="2">
        <v>46297</v>
      </c>
      <c r="C2398" t="s">
        <v>459</v>
      </c>
      <c r="D2398" s="3" t="s">
        <v>46</v>
      </c>
      <c r="E2398" t="s">
        <v>41</v>
      </c>
      <c r="F2398" t="s">
        <v>74</v>
      </c>
      <c r="G2398" t="s">
        <v>75</v>
      </c>
      <c r="H2398" s="8">
        <v>2</v>
      </c>
      <c r="I2398" s="10">
        <v>149</v>
      </c>
      <c r="J2398" s="14">
        <f>P2398*I2398</f>
        <v>298</v>
      </c>
      <c r="K2398" s="16">
        <v>410</v>
      </c>
      <c r="L2398" s="1" t="s">
        <v>30</v>
      </c>
      <c r="M2398" t="s">
        <v>58</v>
      </c>
      <c r="N2398" t="str">
        <f t="shared" si="55"/>
        <v>Ireland</v>
      </c>
      <c r="O2398" s="8">
        <f>IF(K2398&gt;=1,K2398,K2398*1000)</f>
        <v>410</v>
      </c>
      <c r="P2398">
        <f>ABS(H2398)</f>
        <v>2</v>
      </c>
      <c r="R2398"/>
    </row>
    <row r="2399" spans="1:18" x14ac:dyDescent="0.35">
      <c r="A2399" t="s">
        <v>3901</v>
      </c>
      <c r="B2399" s="2">
        <v>46329</v>
      </c>
      <c r="C2399" t="s">
        <v>3902</v>
      </c>
      <c r="D2399" s="3" t="s">
        <v>99</v>
      </c>
      <c r="E2399" t="s">
        <v>34</v>
      </c>
      <c r="F2399" t="s">
        <v>47</v>
      </c>
      <c r="G2399" t="s">
        <v>48</v>
      </c>
      <c r="H2399" s="8">
        <v>2</v>
      </c>
      <c r="I2399" s="10">
        <v>80.099999999999994</v>
      </c>
      <c r="J2399" s="14">
        <f>P2399*I2399</f>
        <v>160.19999999999999</v>
      </c>
      <c r="K2399" s="16">
        <v>380</v>
      </c>
      <c r="L2399" s="1" t="s">
        <v>30</v>
      </c>
      <c r="M2399" t="s">
        <v>22</v>
      </c>
      <c r="N2399" t="str">
        <f t="shared" si="55"/>
        <v>United Kingdom</v>
      </c>
      <c r="O2399" s="8">
        <f>IF(K2399&gt;=1,K2399,K2399*1000)</f>
        <v>380</v>
      </c>
      <c r="P2399">
        <f>ABS(H2399)</f>
        <v>2</v>
      </c>
      <c r="R2399"/>
    </row>
    <row r="2400" spans="1:18" x14ac:dyDescent="0.35">
      <c r="A2400" t="s">
        <v>3903</v>
      </c>
      <c r="B2400" s="2">
        <v>46204</v>
      </c>
      <c r="C2400" t="s">
        <v>1042</v>
      </c>
      <c r="D2400" s="3" t="s">
        <v>61</v>
      </c>
      <c r="E2400" t="s">
        <v>67</v>
      </c>
      <c r="F2400" t="s">
        <v>42</v>
      </c>
      <c r="G2400" t="s">
        <v>43</v>
      </c>
      <c r="H2400" s="8">
        <v>1</v>
      </c>
      <c r="I2400" s="10">
        <v>129</v>
      </c>
      <c r="J2400" s="14">
        <f>P2400*I2400</f>
        <v>129</v>
      </c>
      <c r="K2400" s="16">
        <v>0.19</v>
      </c>
      <c r="L2400" s="1" t="s">
        <v>30</v>
      </c>
      <c r="M2400" t="s">
        <v>22</v>
      </c>
      <c r="N2400" t="str">
        <f t="shared" si="55"/>
        <v>Ireland</v>
      </c>
      <c r="O2400" s="8">
        <f>IF(K2400&gt;=1,K2400,K2400*1000)</f>
        <v>190</v>
      </c>
      <c r="P2400">
        <f>ABS(H2400)</f>
        <v>1</v>
      </c>
      <c r="R2400"/>
    </row>
    <row r="2401" spans="1:18" x14ac:dyDescent="0.35">
      <c r="A2401" t="s">
        <v>3904</v>
      </c>
      <c r="B2401" s="2">
        <v>46093</v>
      </c>
      <c r="C2401" t="s">
        <v>3014</v>
      </c>
      <c r="D2401" s="3" t="s">
        <v>4613</v>
      </c>
      <c r="E2401" t="s">
        <v>34</v>
      </c>
      <c r="F2401" t="s">
        <v>17</v>
      </c>
      <c r="G2401" t="s">
        <v>18</v>
      </c>
      <c r="H2401" s="8">
        <v>1</v>
      </c>
      <c r="I2401" s="10">
        <v>79</v>
      </c>
      <c r="J2401" s="14">
        <f>P2401*I2401</f>
        <v>79</v>
      </c>
      <c r="K2401" s="16">
        <v>520</v>
      </c>
      <c r="L2401" s="1" t="s">
        <v>30</v>
      </c>
      <c r="M2401" t="s">
        <v>22</v>
      </c>
      <c r="N2401" t="str">
        <f t="shared" si="55"/>
        <v>United Kingdom</v>
      </c>
      <c r="O2401" s="8">
        <f>IF(K2401&gt;=1,K2401,K2401*1000)</f>
        <v>520</v>
      </c>
      <c r="P2401">
        <f>ABS(H2401)</f>
        <v>1</v>
      </c>
      <c r="R2401"/>
    </row>
    <row r="2402" spans="1:18" x14ac:dyDescent="0.35">
      <c r="A2402" t="s">
        <v>3905</v>
      </c>
      <c r="B2402" s="2">
        <v>46299</v>
      </c>
      <c r="C2402" t="s">
        <v>288</v>
      </c>
      <c r="D2402" s="3" t="s">
        <v>53</v>
      </c>
      <c r="E2402" t="s">
        <v>16</v>
      </c>
      <c r="F2402" t="s">
        <v>74</v>
      </c>
      <c r="G2402" t="s">
        <v>75</v>
      </c>
      <c r="H2402" s="8">
        <v>1</v>
      </c>
      <c r="I2402" s="10">
        <v>95</v>
      </c>
      <c r="J2402" s="14">
        <f>P2402*I2402</f>
        <v>95</v>
      </c>
      <c r="K2402" s="16">
        <v>410</v>
      </c>
      <c r="L2402" s="1" t="s">
        <v>30</v>
      </c>
      <c r="M2402" t="s">
        <v>22</v>
      </c>
      <c r="N2402" t="str">
        <f t="shared" si="55"/>
        <v>Gb</v>
      </c>
      <c r="O2402" s="8">
        <f>IF(K2402&gt;=1,K2402,K2402*1000)</f>
        <v>410</v>
      </c>
      <c r="P2402">
        <f>ABS(H2402)</f>
        <v>1</v>
      </c>
      <c r="R2402"/>
    </row>
    <row r="2403" spans="1:18" x14ac:dyDescent="0.35">
      <c r="A2403" t="s">
        <v>3906</v>
      </c>
      <c r="B2403" s="2" t="s">
        <v>2586</v>
      </c>
      <c r="C2403" t="s">
        <v>788</v>
      </c>
      <c r="D2403" s="3" t="s">
        <v>46</v>
      </c>
      <c r="E2403" t="s">
        <v>16</v>
      </c>
      <c r="F2403" t="s">
        <v>89</v>
      </c>
      <c r="G2403" t="s">
        <v>90</v>
      </c>
      <c r="H2403" s="8">
        <v>1</v>
      </c>
      <c r="I2403" s="10">
        <v>134.1</v>
      </c>
      <c r="J2403" s="14">
        <f>P2403*I2403</f>
        <v>134.1</v>
      </c>
      <c r="K2403" s="16">
        <v>640</v>
      </c>
      <c r="L2403" s="1" t="s">
        <v>21</v>
      </c>
      <c r="M2403" t="s">
        <v>22</v>
      </c>
      <c r="N2403" t="str">
        <f t="shared" si="55"/>
        <v>Ireland</v>
      </c>
      <c r="O2403" s="8">
        <f>IF(K2403&gt;=1,K2403,K2403*1000)</f>
        <v>640</v>
      </c>
      <c r="P2403">
        <f>ABS(H2403)</f>
        <v>1</v>
      </c>
      <c r="R2403"/>
    </row>
    <row r="2404" spans="1:18" x14ac:dyDescent="0.35">
      <c r="A2404" t="s">
        <v>3907</v>
      </c>
      <c r="B2404" s="2">
        <v>46070</v>
      </c>
      <c r="C2404" t="s">
        <v>2214</v>
      </c>
      <c r="D2404" s="3" t="s">
        <v>66</v>
      </c>
      <c r="E2404" t="s">
        <v>41</v>
      </c>
      <c r="F2404" t="s">
        <v>83</v>
      </c>
      <c r="G2404" t="s">
        <v>84</v>
      </c>
      <c r="H2404" s="8">
        <v>2</v>
      </c>
      <c r="I2404" s="10">
        <v>95</v>
      </c>
      <c r="J2404" s="14">
        <f>P2404*I2404</f>
        <v>190</v>
      </c>
      <c r="K2404" s="16">
        <v>340</v>
      </c>
      <c r="L2404" s="1" t="s">
        <v>30</v>
      </c>
      <c r="M2404" t="s">
        <v>22</v>
      </c>
      <c r="N2404" t="str">
        <f t="shared" si="55"/>
        <v>Gb</v>
      </c>
      <c r="O2404" s="8">
        <f>IF(K2404&gt;=1,K2404,K2404*1000)</f>
        <v>340</v>
      </c>
      <c r="P2404">
        <f>ABS(H2404)</f>
        <v>2</v>
      </c>
      <c r="R2404"/>
    </row>
    <row r="2405" spans="1:18" x14ac:dyDescent="0.35">
      <c r="A2405" t="s">
        <v>3908</v>
      </c>
      <c r="B2405" s="2" t="s">
        <v>582</v>
      </c>
      <c r="C2405" t="s">
        <v>741</v>
      </c>
      <c r="D2405" s="3" t="s">
        <v>4612</v>
      </c>
      <c r="E2405" t="s">
        <v>16</v>
      </c>
      <c r="F2405" t="s">
        <v>47</v>
      </c>
      <c r="G2405" t="s">
        <v>48</v>
      </c>
      <c r="H2405" s="8">
        <v>3</v>
      </c>
      <c r="I2405" s="10">
        <v>21.6</v>
      </c>
      <c r="J2405" s="14">
        <f>P2405*I2405</f>
        <v>64.800000000000011</v>
      </c>
      <c r="K2405" s="16">
        <v>0.38</v>
      </c>
      <c r="L2405" s="1" t="s">
        <v>30</v>
      </c>
      <c r="M2405" t="s">
        <v>22</v>
      </c>
      <c r="N2405" t="str">
        <f t="shared" si="55"/>
        <v>United Kingdom</v>
      </c>
      <c r="O2405" s="8">
        <f>IF(K2405&gt;=1,K2405,K2405*1000)</f>
        <v>380</v>
      </c>
      <c r="P2405">
        <f>ABS(H2405)</f>
        <v>3</v>
      </c>
      <c r="R2405"/>
    </row>
    <row r="2406" spans="1:18" x14ac:dyDescent="0.35">
      <c r="A2406" t="s">
        <v>3909</v>
      </c>
      <c r="B2406" s="2">
        <v>46093</v>
      </c>
      <c r="C2406" t="s">
        <v>531</v>
      </c>
      <c r="D2406" s="3" t="s">
        <v>66</v>
      </c>
      <c r="E2406" t="s">
        <v>25</v>
      </c>
      <c r="F2406" t="s">
        <v>89</v>
      </c>
      <c r="G2406" t="s">
        <v>90</v>
      </c>
      <c r="H2406" s="8">
        <v>1</v>
      </c>
      <c r="I2406" s="10">
        <v>89</v>
      </c>
      <c r="J2406" s="14">
        <f>P2406*I2406</f>
        <v>89</v>
      </c>
      <c r="K2406" s="16">
        <v>640</v>
      </c>
      <c r="L2406" s="1" t="s">
        <v>21</v>
      </c>
      <c r="M2406" t="s">
        <v>22</v>
      </c>
      <c r="N2406" t="str">
        <f t="shared" si="55"/>
        <v>Gb</v>
      </c>
      <c r="O2406" s="8">
        <f>IF(K2406&gt;=1,K2406,K2406*1000)</f>
        <v>640</v>
      </c>
      <c r="P2406">
        <f>ABS(H2406)</f>
        <v>1</v>
      </c>
      <c r="R2406"/>
    </row>
    <row r="2407" spans="1:18" x14ac:dyDescent="0.35">
      <c r="A2407" t="s">
        <v>3910</v>
      </c>
      <c r="B2407" s="2">
        <v>46101</v>
      </c>
      <c r="C2407" t="s">
        <v>1597</v>
      </c>
      <c r="D2407" s="3" t="s">
        <v>99</v>
      </c>
      <c r="E2407" t="s">
        <v>34</v>
      </c>
      <c r="F2407" t="s">
        <v>26</v>
      </c>
      <c r="G2407" t="s">
        <v>27</v>
      </c>
      <c r="H2407" s="8">
        <v>1</v>
      </c>
      <c r="I2407" s="10">
        <v>80.099999999999994</v>
      </c>
      <c r="J2407" s="14">
        <f>P2407*I2407</f>
        <v>80.099999999999994</v>
      </c>
      <c r="K2407" s="16">
        <v>520</v>
      </c>
      <c r="L2407" s="1" t="s">
        <v>30</v>
      </c>
      <c r="M2407" t="s">
        <v>22</v>
      </c>
      <c r="N2407" t="str">
        <f t="shared" si="55"/>
        <v>United Kingdom</v>
      </c>
      <c r="O2407" s="8">
        <f>IF(K2407&gt;=1,K2407,K2407*1000)</f>
        <v>520</v>
      </c>
      <c r="P2407">
        <f>ABS(H2407)</f>
        <v>1</v>
      </c>
      <c r="R2407"/>
    </row>
    <row r="2408" spans="1:18" x14ac:dyDescent="0.35">
      <c r="A2408" t="s">
        <v>3911</v>
      </c>
      <c r="B2408" s="2">
        <v>46179</v>
      </c>
      <c r="C2408" t="s">
        <v>3912</v>
      </c>
      <c r="D2408" s="3" t="s">
        <v>15</v>
      </c>
      <c r="E2408" t="s">
        <v>16</v>
      </c>
      <c r="F2408" t="s">
        <v>26</v>
      </c>
      <c r="G2408" t="s">
        <v>27</v>
      </c>
      <c r="H2408" s="8">
        <v>3</v>
      </c>
      <c r="I2408" s="10">
        <v>12.5</v>
      </c>
      <c r="J2408" s="14">
        <f>P2408*I2408</f>
        <v>37.5</v>
      </c>
      <c r="K2408" s="16">
        <v>0.52</v>
      </c>
      <c r="L2408" s="1" t="s">
        <v>30</v>
      </c>
      <c r="M2408" t="s">
        <v>22</v>
      </c>
      <c r="N2408" t="str">
        <f t="shared" si="55"/>
        <v>France</v>
      </c>
      <c r="O2408" s="8">
        <f>IF(K2408&gt;=1,K2408,K2408*1000)</f>
        <v>520</v>
      </c>
      <c r="P2408">
        <f>ABS(H2408)</f>
        <v>3</v>
      </c>
      <c r="R2408"/>
    </row>
    <row r="2409" spans="1:18" x14ac:dyDescent="0.35">
      <c r="A2409" t="s">
        <v>3913</v>
      </c>
      <c r="B2409" s="2">
        <v>46067</v>
      </c>
      <c r="C2409" t="s">
        <v>1557</v>
      </c>
      <c r="D2409" s="3" t="s">
        <v>15</v>
      </c>
      <c r="E2409" t="s">
        <v>16</v>
      </c>
      <c r="F2409" t="s">
        <v>26</v>
      </c>
      <c r="G2409" t="s">
        <v>27</v>
      </c>
      <c r="H2409" s="8">
        <v>2</v>
      </c>
      <c r="I2409" s="12" t="s">
        <v>4648</v>
      </c>
      <c r="J2409" s="14">
        <f>P2409*R2409</f>
        <v>90</v>
      </c>
      <c r="K2409" s="16">
        <v>520</v>
      </c>
      <c r="L2409" s="1" t="s">
        <v>30</v>
      </c>
      <c r="M2409" t="s">
        <v>22</v>
      </c>
      <c r="N2409" t="str">
        <f t="shared" si="55"/>
        <v>France</v>
      </c>
      <c r="O2409" s="8">
        <f>IF(K2409&gt;=1,K2409,K2409*1000)</f>
        <v>520</v>
      </c>
      <c r="P2409">
        <f>ABS(H2409)</f>
        <v>2</v>
      </c>
      <c r="Q2409" t="str">
        <f>LEFT(I2409,2)</f>
        <v>Â£</v>
      </c>
      <c r="R2409" t="str">
        <f>RIGHT(I2409,5)</f>
        <v>45,00</v>
      </c>
    </row>
    <row r="2410" spans="1:18" x14ac:dyDescent="0.35">
      <c r="A2410" t="s">
        <v>3914</v>
      </c>
      <c r="B2410" s="2">
        <v>46118</v>
      </c>
      <c r="C2410" t="s">
        <v>3915</v>
      </c>
      <c r="D2410" s="3" t="s">
        <v>53</v>
      </c>
      <c r="E2410" t="s">
        <v>16</v>
      </c>
      <c r="F2410" t="s">
        <v>89</v>
      </c>
      <c r="G2410" t="s">
        <v>90</v>
      </c>
      <c r="H2410" s="8">
        <v>1</v>
      </c>
      <c r="I2410" s="10">
        <v>129</v>
      </c>
      <c r="J2410" s="14">
        <f>P2410*I2410</f>
        <v>129</v>
      </c>
      <c r="K2410" s="16">
        <v>640</v>
      </c>
      <c r="L2410" s="1" t="s">
        <v>30</v>
      </c>
      <c r="M2410" t="s">
        <v>22</v>
      </c>
      <c r="N2410" t="str">
        <f t="shared" si="55"/>
        <v>Gb</v>
      </c>
      <c r="O2410" s="8">
        <f>IF(K2410&gt;=1,K2410,K2410*1000)</f>
        <v>640</v>
      </c>
      <c r="P2410">
        <f>ABS(H2410)</f>
        <v>1</v>
      </c>
      <c r="R2410"/>
    </row>
    <row r="2411" spans="1:18" x14ac:dyDescent="0.35">
      <c r="A2411" t="s">
        <v>3916</v>
      </c>
      <c r="B2411" s="2">
        <v>46050</v>
      </c>
      <c r="C2411" t="s">
        <v>3917</v>
      </c>
      <c r="D2411" s="3" t="s">
        <v>66</v>
      </c>
      <c r="E2411" t="s">
        <v>16</v>
      </c>
      <c r="F2411" t="s">
        <v>83</v>
      </c>
      <c r="G2411" t="s">
        <v>84</v>
      </c>
      <c r="H2411" s="8">
        <v>1</v>
      </c>
      <c r="I2411" s="10">
        <v>45</v>
      </c>
      <c r="J2411" s="14">
        <f>P2411*I2411</f>
        <v>45</v>
      </c>
      <c r="K2411" s="16">
        <v>340</v>
      </c>
      <c r="L2411" s="1" t="s">
        <v>30</v>
      </c>
      <c r="M2411" t="s">
        <v>22</v>
      </c>
      <c r="N2411" t="str">
        <f t="shared" si="55"/>
        <v>Gb</v>
      </c>
      <c r="O2411" s="8">
        <f>IF(K2411&gt;=1,K2411,K2411*1000)</f>
        <v>340</v>
      </c>
      <c r="P2411">
        <f>ABS(H2411)</f>
        <v>1</v>
      </c>
      <c r="R2411"/>
    </row>
    <row r="2412" spans="1:18" x14ac:dyDescent="0.35">
      <c r="A2412" t="s">
        <v>3918</v>
      </c>
      <c r="B2412" s="2">
        <v>46030</v>
      </c>
      <c r="C2412" t="s">
        <v>513</v>
      </c>
      <c r="D2412" s="3" t="s">
        <v>15</v>
      </c>
      <c r="E2412" t="s">
        <v>67</v>
      </c>
      <c r="F2412" t="s">
        <v>26</v>
      </c>
      <c r="G2412" t="s">
        <v>27</v>
      </c>
      <c r="H2412" s="8">
        <v>2</v>
      </c>
      <c r="I2412" s="10">
        <v>40.5</v>
      </c>
      <c r="J2412" s="14">
        <f>P2412*I2412</f>
        <v>81</v>
      </c>
      <c r="K2412" s="16">
        <v>520</v>
      </c>
      <c r="L2412" s="1" t="s">
        <v>21</v>
      </c>
      <c r="M2412" t="s">
        <v>22</v>
      </c>
      <c r="N2412" t="str">
        <f t="shared" si="55"/>
        <v>France</v>
      </c>
      <c r="O2412" s="8">
        <f>IF(K2412&gt;=1,K2412,K2412*1000)</f>
        <v>520</v>
      </c>
      <c r="P2412">
        <f>ABS(H2412)</f>
        <v>2</v>
      </c>
      <c r="R2412"/>
    </row>
    <row r="2413" spans="1:18" x14ac:dyDescent="0.35">
      <c r="A2413" t="s">
        <v>3919</v>
      </c>
      <c r="B2413" s="2">
        <v>46059</v>
      </c>
      <c r="C2413" t="s">
        <v>2604</v>
      </c>
      <c r="D2413" s="3" t="s">
        <v>99</v>
      </c>
      <c r="E2413" t="s">
        <v>41</v>
      </c>
      <c r="F2413" t="s">
        <v>17</v>
      </c>
      <c r="G2413" t="s">
        <v>18</v>
      </c>
      <c r="H2413" s="8">
        <v>1</v>
      </c>
      <c r="I2413" s="10">
        <v>45</v>
      </c>
      <c r="J2413" s="14">
        <f>P2413*I2413</f>
        <v>45</v>
      </c>
      <c r="K2413" s="16">
        <v>520</v>
      </c>
      <c r="L2413" s="1" t="s">
        <v>30</v>
      </c>
      <c r="M2413" t="s">
        <v>22</v>
      </c>
      <c r="N2413" t="str">
        <f t="shared" si="55"/>
        <v>United Kingdom</v>
      </c>
      <c r="O2413" s="8">
        <f>IF(K2413&gt;=1,K2413,K2413*1000)</f>
        <v>520</v>
      </c>
      <c r="P2413">
        <f>ABS(H2413)</f>
        <v>1</v>
      </c>
      <c r="R2413"/>
    </row>
    <row r="2414" spans="1:18" x14ac:dyDescent="0.35">
      <c r="A2414" t="s">
        <v>3920</v>
      </c>
      <c r="B2414" s="2">
        <v>46065</v>
      </c>
      <c r="C2414" t="s">
        <v>2983</v>
      </c>
      <c r="D2414" s="3" t="s">
        <v>46</v>
      </c>
      <c r="E2414" t="s">
        <v>67</v>
      </c>
      <c r="F2414" t="s">
        <v>47</v>
      </c>
      <c r="G2414" t="s">
        <v>48</v>
      </c>
      <c r="H2414" s="8">
        <v>1</v>
      </c>
      <c r="I2414" s="10">
        <v>149</v>
      </c>
      <c r="J2414" s="14">
        <f>P2414*I2414</f>
        <v>149</v>
      </c>
      <c r="K2414" s="16">
        <v>380</v>
      </c>
      <c r="L2414" s="1" t="s">
        <v>30</v>
      </c>
      <c r="M2414" t="s">
        <v>22</v>
      </c>
      <c r="N2414" t="str">
        <f t="shared" si="55"/>
        <v>Ireland</v>
      </c>
      <c r="O2414" s="8">
        <f>IF(K2414&gt;=1,K2414,K2414*1000)</f>
        <v>380</v>
      </c>
      <c r="P2414">
        <f>ABS(H2414)</f>
        <v>1</v>
      </c>
      <c r="R2414"/>
    </row>
    <row r="2415" spans="1:18" x14ac:dyDescent="0.35">
      <c r="A2415" t="s">
        <v>3921</v>
      </c>
      <c r="B2415" s="2">
        <v>46076</v>
      </c>
      <c r="C2415" t="s">
        <v>1500</v>
      </c>
      <c r="D2415" s="3" t="s">
        <v>61</v>
      </c>
      <c r="E2415" t="s">
        <v>25</v>
      </c>
      <c r="F2415" t="s">
        <v>42</v>
      </c>
      <c r="G2415" t="s">
        <v>43</v>
      </c>
      <c r="H2415" s="8">
        <v>1</v>
      </c>
      <c r="I2415" s="10">
        <v>149</v>
      </c>
      <c r="J2415" s="14">
        <f>P2415*I2415</f>
        <v>149</v>
      </c>
      <c r="K2415" s="16">
        <v>190</v>
      </c>
      <c r="L2415" s="1" t="s">
        <v>30</v>
      </c>
      <c r="M2415" t="s">
        <v>22</v>
      </c>
      <c r="N2415" t="str">
        <f t="shared" si="55"/>
        <v>Ireland</v>
      </c>
      <c r="O2415" s="8">
        <f>IF(K2415&gt;=1,K2415,K2415*1000)</f>
        <v>190</v>
      </c>
      <c r="P2415">
        <f>ABS(H2415)</f>
        <v>1</v>
      </c>
      <c r="R2415"/>
    </row>
    <row r="2416" spans="1:18" x14ac:dyDescent="0.35">
      <c r="A2416" t="s">
        <v>3922</v>
      </c>
      <c r="B2416" s="2">
        <v>46055</v>
      </c>
      <c r="C2416" t="s">
        <v>2908</v>
      </c>
      <c r="D2416" s="3" t="s">
        <v>116</v>
      </c>
      <c r="E2416" t="s">
        <v>67</v>
      </c>
      <c r="F2416" t="s">
        <v>74</v>
      </c>
      <c r="G2416" t="s">
        <v>75</v>
      </c>
      <c r="H2416" s="8">
        <v>2</v>
      </c>
      <c r="I2416" s="10">
        <v>79</v>
      </c>
      <c r="J2416" s="14">
        <f>P2416*I2416</f>
        <v>158</v>
      </c>
      <c r="K2416" s="16">
        <v>410</v>
      </c>
      <c r="L2416" s="1" t="s">
        <v>30</v>
      </c>
      <c r="M2416" t="s">
        <v>58</v>
      </c>
      <c r="N2416" t="str">
        <f t="shared" si="55"/>
        <v>Germany</v>
      </c>
      <c r="O2416" s="8">
        <f>IF(K2416&gt;=1,K2416,K2416*1000)</f>
        <v>410</v>
      </c>
      <c r="P2416">
        <f>ABS(H2416)</f>
        <v>2</v>
      </c>
      <c r="R2416"/>
    </row>
    <row r="2417" spans="1:18" x14ac:dyDescent="0.35">
      <c r="A2417" t="s">
        <v>3923</v>
      </c>
      <c r="B2417" s="2">
        <v>46038</v>
      </c>
      <c r="C2417" t="s">
        <v>2330</v>
      </c>
      <c r="D2417" s="3" t="s">
        <v>116</v>
      </c>
      <c r="E2417" t="s">
        <v>34</v>
      </c>
      <c r="F2417" t="s">
        <v>17</v>
      </c>
      <c r="G2417" t="s">
        <v>18</v>
      </c>
      <c r="H2417" s="8">
        <v>2</v>
      </c>
      <c r="I2417" s="10">
        <v>21.6</v>
      </c>
      <c r="J2417" s="14">
        <f>P2417*I2417</f>
        <v>43.2</v>
      </c>
      <c r="K2417" s="16">
        <v>520</v>
      </c>
      <c r="L2417" s="1" t="s">
        <v>30</v>
      </c>
      <c r="M2417" t="s">
        <v>22</v>
      </c>
      <c r="N2417" t="str">
        <f t="shared" si="55"/>
        <v>Germany</v>
      </c>
      <c r="O2417" s="8">
        <f>IF(K2417&gt;=1,K2417,K2417*1000)</f>
        <v>520</v>
      </c>
      <c r="P2417">
        <f>ABS(H2417)</f>
        <v>2</v>
      </c>
      <c r="R2417"/>
    </row>
    <row r="2418" spans="1:18" x14ac:dyDescent="0.35">
      <c r="A2418" t="s">
        <v>3924</v>
      </c>
      <c r="B2418" s="2">
        <v>46199</v>
      </c>
      <c r="C2418" t="s">
        <v>1940</v>
      </c>
      <c r="D2418" s="3" t="s">
        <v>99</v>
      </c>
      <c r="E2418" t="s">
        <v>16</v>
      </c>
      <c r="F2418" t="s">
        <v>17</v>
      </c>
      <c r="G2418" t="s">
        <v>18</v>
      </c>
      <c r="H2418" s="8">
        <v>1</v>
      </c>
      <c r="I2418" s="10">
        <v>149</v>
      </c>
      <c r="J2418" s="14">
        <f>P2418*I2418</f>
        <v>149</v>
      </c>
      <c r="K2418" s="16">
        <v>0.52</v>
      </c>
      <c r="L2418" s="1" t="s">
        <v>30</v>
      </c>
      <c r="M2418" t="s">
        <v>22</v>
      </c>
      <c r="N2418" t="str">
        <f t="shared" si="55"/>
        <v>United Kingdom</v>
      </c>
      <c r="O2418" s="8">
        <f>IF(K2418&gt;=1,K2418,K2418*1000)</f>
        <v>520</v>
      </c>
      <c r="P2418">
        <f>ABS(H2418)</f>
        <v>1</v>
      </c>
      <c r="R2418"/>
    </row>
    <row r="2419" spans="1:18" x14ac:dyDescent="0.35">
      <c r="A2419" t="s">
        <v>3925</v>
      </c>
      <c r="B2419" s="2">
        <v>46183</v>
      </c>
      <c r="C2419" t="s">
        <v>3926</v>
      </c>
      <c r="D2419" s="3" t="s">
        <v>15</v>
      </c>
      <c r="E2419" t="s">
        <v>67</v>
      </c>
      <c r="F2419" t="s">
        <v>35</v>
      </c>
      <c r="G2419" t="s">
        <v>36</v>
      </c>
      <c r="H2419" s="8">
        <v>2</v>
      </c>
      <c r="I2419" s="10">
        <v>79</v>
      </c>
      <c r="J2419" s="14">
        <f>P2419*I2419</f>
        <v>158</v>
      </c>
      <c r="K2419" s="16">
        <v>8.5000000000000006E-2</v>
      </c>
      <c r="L2419" s="1" t="s">
        <v>30</v>
      </c>
      <c r="M2419" t="s">
        <v>58</v>
      </c>
      <c r="N2419" t="str">
        <f t="shared" si="55"/>
        <v>France</v>
      </c>
      <c r="O2419" s="8">
        <f>IF(K2419&gt;=1,K2419,K2419*1000)</f>
        <v>85</v>
      </c>
      <c r="P2419">
        <f>ABS(H2419)</f>
        <v>2</v>
      </c>
      <c r="R2419"/>
    </row>
    <row r="2420" spans="1:18" x14ac:dyDescent="0.35">
      <c r="A2420" t="s">
        <v>3927</v>
      </c>
      <c r="B2420" s="2">
        <v>46079</v>
      </c>
      <c r="C2420" t="s">
        <v>3928</v>
      </c>
      <c r="D2420" s="3" t="s">
        <v>15</v>
      </c>
      <c r="E2420" t="s">
        <v>16</v>
      </c>
      <c r="F2420" t="s">
        <v>89</v>
      </c>
      <c r="G2420" t="s">
        <v>90</v>
      </c>
      <c r="H2420" s="8">
        <v>1</v>
      </c>
      <c r="I2420" s="10">
        <v>85.5</v>
      </c>
      <c r="J2420" s="14">
        <f>P2420*I2420</f>
        <v>85.5</v>
      </c>
      <c r="K2420" s="16">
        <v>640</v>
      </c>
      <c r="L2420" s="1" t="s">
        <v>30</v>
      </c>
      <c r="M2420" t="s">
        <v>22</v>
      </c>
      <c r="N2420" t="str">
        <f t="shared" si="55"/>
        <v>France</v>
      </c>
      <c r="O2420" s="8">
        <f>IF(K2420&gt;=1,K2420,K2420*1000)</f>
        <v>640</v>
      </c>
      <c r="P2420">
        <f>ABS(H2420)</f>
        <v>1</v>
      </c>
      <c r="R2420"/>
    </row>
    <row r="2421" spans="1:18" x14ac:dyDescent="0.35">
      <c r="A2421" t="s">
        <v>3929</v>
      </c>
      <c r="B2421" s="2">
        <v>46119</v>
      </c>
      <c r="C2421" t="s">
        <v>1564</v>
      </c>
      <c r="D2421" s="3" t="s">
        <v>4612</v>
      </c>
      <c r="E2421" t="s">
        <v>16</v>
      </c>
      <c r="F2421" t="s">
        <v>17</v>
      </c>
      <c r="G2421" t="s">
        <v>18</v>
      </c>
      <c r="H2421" s="8">
        <v>2</v>
      </c>
      <c r="I2421" s="10">
        <v>149</v>
      </c>
      <c r="J2421" s="14">
        <f>P2421*I2421</f>
        <v>298</v>
      </c>
      <c r="K2421" s="16">
        <v>0.52</v>
      </c>
      <c r="L2421" s="1" t="s">
        <v>30</v>
      </c>
      <c r="M2421" t="s">
        <v>22</v>
      </c>
      <c r="N2421" t="str">
        <f t="shared" si="55"/>
        <v>United Kingdom</v>
      </c>
      <c r="O2421" s="8">
        <f>IF(K2421&gt;=1,K2421,K2421*1000)</f>
        <v>520</v>
      </c>
      <c r="P2421">
        <f>ABS(H2421)</f>
        <v>2</v>
      </c>
      <c r="R2421"/>
    </row>
    <row r="2422" spans="1:18" x14ac:dyDescent="0.35">
      <c r="A2422" t="s">
        <v>3930</v>
      </c>
      <c r="B2422" s="2">
        <v>46126</v>
      </c>
      <c r="C2422" t="s">
        <v>3931</v>
      </c>
      <c r="D2422" s="3" t="s">
        <v>53</v>
      </c>
      <c r="E2422" t="s">
        <v>16</v>
      </c>
      <c r="F2422" t="s">
        <v>89</v>
      </c>
      <c r="G2422" t="s">
        <v>90</v>
      </c>
      <c r="H2422" s="8">
        <v>1</v>
      </c>
      <c r="I2422" s="10">
        <v>129</v>
      </c>
      <c r="J2422" s="14">
        <f>P2422*I2422</f>
        <v>129</v>
      </c>
      <c r="K2422" s="16">
        <v>640</v>
      </c>
      <c r="L2422" s="1" t="s">
        <v>30</v>
      </c>
      <c r="M2422" t="s">
        <v>22</v>
      </c>
      <c r="N2422" t="str">
        <f t="shared" si="55"/>
        <v>Gb</v>
      </c>
      <c r="O2422" s="8">
        <f>IF(K2422&gt;=1,K2422,K2422*1000)</f>
        <v>640</v>
      </c>
      <c r="P2422">
        <f>ABS(H2422)</f>
        <v>1</v>
      </c>
      <c r="R2422"/>
    </row>
    <row r="2423" spans="1:18" x14ac:dyDescent="0.35">
      <c r="A2423" t="s">
        <v>3932</v>
      </c>
      <c r="B2423" s="2">
        <v>46081</v>
      </c>
      <c r="C2423" t="s">
        <v>858</v>
      </c>
      <c r="D2423" s="3" t="s">
        <v>4613</v>
      </c>
      <c r="E2423" t="s">
        <v>25</v>
      </c>
      <c r="F2423" t="s">
        <v>17</v>
      </c>
      <c r="G2423" t="s">
        <v>18</v>
      </c>
      <c r="H2423" s="8">
        <v>2</v>
      </c>
      <c r="I2423" s="10">
        <v>129</v>
      </c>
      <c r="J2423" s="14">
        <f>P2423*I2423</f>
        <v>258</v>
      </c>
      <c r="K2423" s="16">
        <v>520</v>
      </c>
      <c r="L2423" s="1" t="s">
        <v>30</v>
      </c>
      <c r="M2423" t="s">
        <v>58</v>
      </c>
      <c r="N2423" t="str">
        <f t="shared" si="55"/>
        <v>United Kingdom</v>
      </c>
      <c r="O2423" s="8">
        <f>IF(K2423&gt;=1,K2423,K2423*1000)</f>
        <v>520</v>
      </c>
      <c r="P2423">
        <f>ABS(H2423)</f>
        <v>2</v>
      </c>
      <c r="R2423"/>
    </row>
    <row r="2424" spans="1:18" x14ac:dyDescent="0.35">
      <c r="A2424" t="s">
        <v>3933</v>
      </c>
      <c r="B2424" s="2">
        <v>46146</v>
      </c>
      <c r="C2424" t="s">
        <v>3560</v>
      </c>
      <c r="D2424" s="3" t="s">
        <v>66</v>
      </c>
      <c r="E2424" t="s">
        <v>67</v>
      </c>
      <c r="F2424" t="s">
        <v>26</v>
      </c>
      <c r="G2424" t="s">
        <v>27</v>
      </c>
      <c r="H2424" s="8">
        <v>1</v>
      </c>
      <c r="I2424" s="10">
        <v>116.1</v>
      </c>
      <c r="J2424" s="14">
        <f>P2424*I2424</f>
        <v>116.1</v>
      </c>
      <c r="K2424" s="16">
        <v>520</v>
      </c>
      <c r="L2424" s="1" t="s">
        <v>30</v>
      </c>
      <c r="M2424" t="s">
        <v>22</v>
      </c>
      <c r="N2424" t="str">
        <f t="shared" si="55"/>
        <v>Gb</v>
      </c>
      <c r="O2424" s="8">
        <f>IF(K2424&gt;=1,K2424,K2424*1000)</f>
        <v>520</v>
      </c>
      <c r="P2424">
        <f>ABS(H2424)</f>
        <v>1</v>
      </c>
      <c r="R2424"/>
    </row>
    <row r="2425" spans="1:18" x14ac:dyDescent="0.35">
      <c r="A2425" t="s">
        <v>3934</v>
      </c>
      <c r="B2425" s="2">
        <v>46066</v>
      </c>
      <c r="C2425" t="s">
        <v>1859</v>
      </c>
      <c r="D2425" s="3" t="s">
        <v>4612</v>
      </c>
      <c r="E2425" t="s">
        <v>67</v>
      </c>
      <c r="F2425" t="s">
        <v>35</v>
      </c>
      <c r="G2425" t="s">
        <v>36</v>
      </c>
      <c r="H2425" s="8">
        <v>1</v>
      </c>
      <c r="I2425" s="10">
        <v>116.1</v>
      </c>
      <c r="J2425" s="14">
        <f>P2425*I2425</f>
        <v>116.1</v>
      </c>
      <c r="K2425" s="16">
        <v>85</v>
      </c>
      <c r="L2425" s="1" t="s">
        <v>30</v>
      </c>
      <c r="M2425" t="s">
        <v>22</v>
      </c>
      <c r="N2425" t="str">
        <f t="shared" si="55"/>
        <v>United Kingdom</v>
      </c>
      <c r="O2425" s="8">
        <f>IF(K2425&gt;=1,K2425,K2425*1000)</f>
        <v>85</v>
      </c>
      <c r="P2425">
        <f>ABS(H2425)</f>
        <v>1</v>
      </c>
      <c r="R2425"/>
    </row>
    <row r="2426" spans="1:18" x14ac:dyDescent="0.35">
      <c r="A2426" t="s">
        <v>3935</v>
      </c>
      <c r="B2426" s="2">
        <v>46064</v>
      </c>
      <c r="C2426" t="s">
        <v>3936</v>
      </c>
      <c r="D2426" s="3" t="s">
        <v>4613</v>
      </c>
      <c r="E2426" t="s">
        <v>16</v>
      </c>
      <c r="F2426" t="s">
        <v>74</v>
      </c>
      <c r="G2426" t="s">
        <v>75</v>
      </c>
      <c r="H2426" s="8">
        <v>2</v>
      </c>
      <c r="I2426" s="10">
        <v>95</v>
      </c>
      <c r="J2426" s="14">
        <f>P2426*I2426</f>
        <v>190</v>
      </c>
      <c r="K2426" s="16">
        <v>410</v>
      </c>
      <c r="L2426" s="1" t="s">
        <v>30</v>
      </c>
      <c r="M2426" t="s">
        <v>22</v>
      </c>
      <c r="N2426" t="str">
        <f t="shared" si="55"/>
        <v>United Kingdom</v>
      </c>
      <c r="O2426" s="8">
        <f>IF(K2426&gt;=1,K2426,K2426*1000)</f>
        <v>410</v>
      </c>
      <c r="P2426">
        <f>ABS(H2426)</f>
        <v>2</v>
      </c>
      <c r="R2426"/>
    </row>
    <row r="2427" spans="1:18" x14ac:dyDescent="0.35">
      <c r="A2427" t="s">
        <v>3937</v>
      </c>
      <c r="B2427" s="2">
        <v>46198</v>
      </c>
      <c r="C2427" t="s">
        <v>724</v>
      </c>
      <c r="D2427" s="3" t="s">
        <v>99</v>
      </c>
      <c r="E2427" t="s">
        <v>16</v>
      </c>
      <c r="F2427" t="s">
        <v>89</v>
      </c>
      <c r="G2427" t="s">
        <v>90</v>
      </c>
      <c r="H2427" s="8">
        <v>3</v>
      </c>
      <c r="I2427" s="10">
        <v>24</v>
      </c>
      <c r="J2427" s="14">
        <f>P2427*I2427</f>
        <v>72</v>
      </c>
      <c r="K2427" s="16">
        <v>0.64</v>
      </c>
      <c r="L2427" s="1" t="s">
        <v>30</v>
      </c>
      <c r="M2427" t="s">
        <v>22</v>
      </c>
      <c r="N2427" t="str">
        <f t="shared" si="55"/>
        <v>United Kingdom</v>
      </c>
      <c r="O2427" s="8">
        <f>IF(K2427&gt;=1,K2427,K2427*1000)</f>
        <v>640</v>
      </c>
      <c r="P2427">
        <f>ABS(H2427)</f>
        <v>3</v>
      </c>
      <c r="R2427"/>
    </row>
    <row r="2428" spans="1:18" x14ac:dyDescent="0.35">
      <c r="A2428" t="s">
        <v>3938</v>
      </c>
      <c r="B2428" s="2">
        <v>46092</v>
      </c>
      <c r="C2428" t="s">
        <v>2452</v>
      </c>
      <c r="D2428" s="3" t="s">
        <v>4613</v>
      </c>
      <c r="E2428" t="s">
        <v>16</v>
      </c>
      <c r="F2428" t="s">
        <v>83</v>
      </c>
      <c r="G2428" t="s">
        <v>84</v>
      </c>
      <c r="H2428" s="8">
        <v>3</v>
      </c>
      <c r="I2428" s="10">
        <v>79</v>
      </c>
      <c r="J2428" s="14">
        <f>P2428*I2428</f>
        <v>237</v>
      </c>
      <c r="K2428" s="16">
        <v>340</v>
      </c>
      <c r="L2428" s="1" t="s">
        <v>21</v>
      </c>
      <c r="M2428" t="s">
        <v>22</v>
      </c>
      <c r="N2428" t="str">
        <f t="shared" si="55"/>
        <v>United Kingdom</v>
      </c>
      <c r="O2428" s="8">
        <f>IF(K2428&gt;=1,K2428,K2428*1000)</f>
        <v>340</v>
      </c>
      <c r="P2428">
        <f>ABS(H2428)</f>
        <v>3</v>
      </c>
      <c r="R2428"/>
    </row>
    <row r="2429" spans="1:18" x14ac:dyDescent="0.35">
      <c r="A2429" t="s">
        <v>3939</v>
      </c>
      <c r="B2429" s="2">
        <v>46097</v>
      </c>
      <c r="C2429" t="s">
        <v>2128</v>
      </c>
      <c r="D2429" s="3" t="s">
        <v>4613</v>
      </c>
      <c r="E2429" t="s">
        <v>34</v>
      </c>
      <c r="F2429" t="s">
        <v>26</v>
      </c>
      <c r="G2429" t="s">
        <v>27</v>
      </c>
      <c r="H2429" s="8">
        <v>2</v>
      </c>
      <c r="I2429" s="10">
        <v>24</v>
      </c>
      <c r="J2429" s="14">
        <f>P2429*I2429</f>
        <v>48</v>
      </c>
      <c r="K2429" s="16">
        <v>520</v>
      </c>
      <c r="L2429" s="1" t="s">
        <v>30</v>
      </c>
      <c r="M2429" t="s">
        <v>22</v>
      </c>
      <c r="N2429" t="str">
        <f t="shared" si="55"/>
        <v>United Kingdom</v>
      </c>
      <c r="O2429" s="8">
        <f>IF(K2429&gt;=1,K2429,K2429*1000)</f>
        <v>520</v>
      </c>
      <c r="P2429">
        <f>ABS(H2429)</f>
        <v>2</v>
      </c>
      <c r="R2429"/>
    </row>
    <row r="2430" spans="1:18" x14ac:dyDescent="0.35">
      <c r="A2430" t="s">
        <v>3940</v>
      </c>
      <c r="B2430" s="2">
        <v>46137</v>
      </c>
      <c r="C2430" t="s">
        <v>3737</v>
      </c>
      <c r="D2430" s="3" t="s">
        <v>61</v>
      </c>
      <c r="E2430" t="s">
        <v>34</v>
      </c>
      <c r="F2430" t="s">
        <v>35</v>
      </c>
      <c r="G2430" t="s">
        <v>36</v>
      </c>
      <c r="H2430" s="8">
        <v>3</v>
      </c>
      <c r="I2430" s="10">
        <v>12.5</v>
      </c>
      <c r="J2430" s="14">
        <f>P2430*I2430</f>
        <v>37.5</v>
      </c>
      <c r="K2430" s="16">
        <v>8.5000000000000006E-2</v>
      </c>
      <c r="L2430" s="1" t="s">
        <v>30</v>
      </c>
      <c r="M2430" t="s">
        <v>22</v>
      </c>
      <c r="N2430" t="str">
        <f t="shared" si="55"/>
        <v>Ireland</v>
      </c>
      <c r="O2430" s="8">
        <f>IF(K2430&gt;=1,K2430,K2430*1000)</f>
        <v>85</v>
      </c>
      <c r="P2430">
        <f>ABS(H2430)</f>
        <v>3</v>
      </c>
      <c r="R2430"/>
    </row>
    <row r="2431" spans="1:18" x14ac:dyDescent="0.35">
      <c r="A2431" t="s">
        <v>3941</v>
      </c>
      <c r="B2431" s="2">
        <v>46132</v>
      </c>
      <c r="C2431" t="s">
        <v>3251</v>
      </c>
      <c r="D2431" s="3" t="s">
        <v>99</v>
      </c>
      <c r="E2431" t="s">
        <v>41</v>
      </c>
      <c r="F2431" t="s">
        <v>74</v>
      </c>
      <c r="G2431" t="s">
        <v>75</v>
      </c>
      <c r="H2431" s="8">
        <v>1</v>
      </c>
      <c r="I2431" s="10">
        <v>95</v>
      </c>
      <c r="J2431" s="14">
        <f>P2431*I2431</f>
        <v>95</v>
      </c>
      <c r="K2431" s="16">
        <v>0.41</v>
      </c>
      <c r="L2431" s="1" t="s">
        <v>30</v>
      </c>
      <c r="M2431" t="s">
        <v>58</v>
      </c>
      <c r="N2431" t="str">
        <f t="shared" si="55"/>
        <v>United Kingdom</v>
      </c>
      <c r="O2431" s="8">
        <f>IF(K2431&gt;=1,K2431,K2431*1000)</f>
        <v>410</v>
      </c>
      <c r="P2431">
        <f>ABS(H2431)</f>
        <v>1</v>
      </c>
      <c r="R2431"/>
    </row>
    <row r="2432" spans="1:18" x14ac:dyDescent="0.35">
      <c r="A2432" t="s">
        <v>3942</v>
      </c>
      <c r="B2432" s="2">
        <v>46208</v>
      </c>
      <c r="C2432" t="s">
        <v>3729</v>
      </c>
      <c r="D2432" s="3" t="s">
        <v>15</v>
      </c>
      <c r="E2432" t="s">
        <v>16</v>
      </c>
      <c r="F2432" t="s">
        <v>26</v>
      </c>
      <c r="G2432" t="s">
        <v>27</v>
      </c>
      <c r="H2432" s="8">
        <v>1</v>
      </c>
      <c r="I2432" s="10">
        <v>85.5</v>
      </c>
      <c r="J2432" s="14">
        <f>P2432*I2432</f>
        <v>85.5</v>
      </c>
      <c r="K2432" s="16">
        <v>0.52</v>
      </c>
      <c r="L2432" s="1" t="s">
        <v>30</v>
      </c>
      <c r="M2432" t="s">
        <v>58</v>
      </c>
      <c r="N2432" t="str">
        <f t="shared" si="55"/>
        <v>France</v>
      </c>
      <c r="O2432" s="8">
        <f>IF(K2432&gt;=1,K2432,K2432*1000)</f>
        <v>520</v>
      </c>
      <c r="P2432">
        <f>ABS(H2432)</f>
        <v>1</v>
      </c>
      <c r="R2432"/>
    </row>
    <row r="2433" spans="1:18" x14ac:dyDescent="0.35">
      <c r="A2433" t="s">
        <v>3943</v>
      </c>
      <c r="B2433" s="2">
        <v>46187</v>
      </c>
      <c r="C2433" t="s">
        <v>2056</v>
      </c>
      <c r="D2433" s="3" t="s">
        <v>99</v>
      </c>
      <c r="E2433" t="s">
        <v>16</v>
      </c>
      <c r="F2433" t="s">
        <v>47</v>
      </c>
      <c r="G2433" t="s">
        <v>48</v>
      </c>
      <c r="H2433" s="8">
        <v>2</v>
      </c>
      <c r="I2433" s="10">
        <v>11.25</v>
      </c>
      <c r="J2433" s="14">
        <f>P2433*I2433</f>
        <v>22.5</v>
      </c>
      <c r="K2433" s="16">
        <v>0.38</v>
      </c>
      <c r="L2433" s="1" t="s">
        <v>30</v>
      </c>
      <c r="M2433" t="s">
        <v>22</v>
      </c>
      <c r="N2433" t="str">
        <f t="shared" si="55"/>
        <v>United Kingdom</v>
      </c>
      <c r="O2433" s="8">
        <f>IF(K2433&gt;=1,K2433,K2433*1000)</f>
        <v>380</v>
      </c>
      <c r="P2433">
        <f>ABS(H2433)</f>
        <v>2</v>
      </c>
      <c r="R2433"/>
    </row>
    <row r="2434" spans="1:18" x14ac:dyDescent="0.35">
      <c r="A2434" t="s">
        <v>3944</v>
      </c>
      <c r="B2434" s="2">
        <v>46200</v>
      </c>
      <c r="C2434" t="s">
        <v>2847</v>
      </c>
      <c r="D2434" s="3" t="s">
        <v>66</v>
      </c>
      <c r="E2434" t="s">
        <v>25</v>
      </c>
      <c r="F2434" t="s">
        <v>35</v>
      </c>
      <c r="G2434" t="s">
        <v>36</v>
      </c>
      <c r="H2434" s="8">
        <v>1</v>
      </c>
      <c r="I2434" s="10">
        <v>11.25</v>
      </c>
      <c r="J2434" s="14">
        <f>P2434*I2434</f>
        <v>11.25</v>
      </c>
      <c r="K2434" s="16">
        <v>8.5000000000000006E-2</v>
      </c>
      <c r="L2434" s="1" t="s">
        <v>30</v>
      </c>
      <c r="M2434" t="s">
        <v>22</v>
      </c>
      <c r="N2434" t="str">
        <f t="shared" si="55"/>
        <v>Gb</v>
      </c>
      <c r="O2434" s="8">
        <f>IF(K2434&gt;=1,K2434,K2434*1000)</f>
        <v>85</v>
      </c>
      <c r="P2434">
        <f>ABS(H2434)</f>
        <v>1</v>
      </c>
      <c r="R2434"/>
    </row>
    <row r="2435" spans="1:18" x14ac:dyDescent="0.35">
      <c r="A2435" t="s">
        <v>3945</v>
      </c>
      <c r="B2435" s="2">
        <v>46075</v>
      </c>
      <c r="C2435" t="s">
        <v>1369</v>
      </c>
      <c r="D2435" s="3" t="s">
        <v>99</v>
      </c>
      <c r="E2435" t="s">
        <v>25</v>
      </c>
      <c r="F2435" t="s">
        <v>17</v>
      </c>
      <c r="G2435" t="s">
        <v>18</v>
      </c>
      <c r="H2435" s="8">
        <v>2</v>
      </c>
      <c r="I2435" s="10">
        <v>95</v>
      </c>
      <c r="J2435" s="14">
        <f>P2435*I2435</f>
        <v>190</v>
      </c>
      <c r="K2435" s="16">
        <v>520</v>
      </c>
      <c r="L2435" s="1" t="s">
        <v>21</v>
      </c>
      <c r="M2435" t="s">
        <v>58</v>
      </c>
      <c r="N2435" t="str">
        <f t="shared" ref="N2435:N2498" si="56">PROPER(TRIM(D2435))</f>
        <v>United Kingdom</v>
      </c>
      <c r="O2435" s="8">
        <f>IF(K2435&gt;=1,K2435,K2435*1000)</f>
        <v>520</v>
      </c>
      <c r="P2435">
        <f>ABS(H2435)</f>
        <v>2</v>
      </c>
      <c r="R2435"/>
    </row>
    <row r="2436" spans="1:18" x14ac:dyDescent="0.35">
      <c r="A2436" t="s">
        <v>3946</v>
      </c>
      <c r="B2436" s="2">
        <v>46106</v>
      </c>
      <c r="C2436" t="s">
        <v>700</v>
      </c>
      <c r="D2436" s="3" t="s">
        <v>99</v>
      </c>
      <c r="E2436" t="s">
        <v>67</v>
      </c>
      <c r="F2436" t="s">
        <v>17</v>
      </c>
      <c r="G2436" t="s">
        <v>18</v>
      </c>
      <c r="H2436" s="8">
        <v>2</v>
      </c>
      <c r="I2436" s="10">
        <v>24</v>
      </c>
      <c r="J2436" s="14">
        <f>P2436*I2436</f>
        <v>48</v>
      </c>
      <c r="K2436" s="16">
        <v>520</v>
      </c>
      <c r="L2436" s="1" t="s">
        <v>30</v>
      </c>
      <c r="M2436" t="s">
        <v>22</v>
      </c>
      <c r="N2436" t="str">
        <f t="shared" si="56"/>
        <v>United Kingdom</v>
      </c>
      <c r="O2436" s="8">
        <f>IF(K2436&gt;=1,K2436,K2436*1000)</f>
        <v>520</v>
      </c>
      <c r="P2436">
        <f>ABS(H2436)</f>
        <v>2</v>
      </c>
      <c r="R2436"/>
    </row>
    <row r="2437" spans="1:18" x14ac:dyDescent="0.35">
      <c r="A2437" t="s">
        <v>3947</v>
      </c>
      <c r="B2437" s="2">
        <v>46029</v>
      </c>
      <c r="C2437" t="s">
        <v>187</v>
      </c>
      <c r="D2437" s="3" t="s">
        <v>4613</v>
      </c>
      <c r="E2437" t="s">
        <v>34</v>
      </c>
      <c r="F2437" t="s">
        <v>74</v>
      </c>
      <c r="G2437" t="s">
        <v>75</v>
      </c>
      <c r="H2437" s="8">
        <v>2</v>
      </c>
      <c r="I2437" s="10">
        <v>24</v>
      </c>
      <c r="J2437" s="14">
        <f>P2437*I2437</f>
        <v>48</v>
      </c>
      <c r="K2437" s="16">
        <v>410</v>
      </c>
      <c r="L2437" s="1" t="s">
        <v>30</v>
      </c>
      <c r="M2437" t="s">
        <v>22</v>
      </c>
      <c r="N2437" t="str">
        <f t="shared" si="56"/>
        <v>United Kingdom</v>
      </c>
      <c r="O2437" s="8">
        <f>IF(K2437&gt;=1,K2437,K2437*1000)</f>
        <v>410</v>
      </c>
      <c r="P2437">
        <f>ABS(H2437)</f>
        <v>2</v>
      </c>
      <c r="R2437"/>
    </row>
    <row r="2438" spans="1:18" x14ac:dyDescent="0.35">
      <c r="A2438" t="s">
        <v>3948</v>
      </c>
      <c r="B2438" s="2">
        <v>46156</v>
      </c>
      <c r="C2438" t="s">
        <v>3949</v>
      </c>
      <c r="D2438" s="3" t="s">
        <v>61</v>
      </c>
      <c r="E2438" t="s">
        <v>16</v>
      </c>
      <c r="F2438" t="s">
        <v>42</v>
      </c>
      <c r="G2438" t="s">
        <v>43</v>
      </c>
      <c r="H2438" s="8">
        <v>2</v>
      </c>
      <c r="I2438" s="10">
        <v>71.099999999999994</v>
      </c>
      <c r="J2438" s="14">
        <f>P2438*I2438</f>
        <v>142.19999999999999</v>
      </c>
      <c r="K2438" s="16">
        <v>0.19</v>
      </c>
      <c r="L2438" s="1" t="s">
        <v>30</v>
      </c>
      <c r="M2438" t="s">
        <v>58</v>
      </c>
      <c r="N2438" t="str">
        <f t="shared" si="56"/>
        <v>Ireland</v>
      </c>
      <c r="O2438" s="8">
        <f>IF(K2438&gt;=1,K2438,K2438*1000)</f>
        <v>190</v>
      </c>
      <c r="P2438">
        <f>ABS(H2438)</f>
        <v>2</v>
      </c>
      <c r="R2438"/>
    </row>
    <row r="2439" spans="1:18" x14ac:dyDescent="0.35">
      <c r="A2439" t="s">
        <v>3950</v>
      </c>
      <c r="B2439" s="2">
        <v>46114</v>
      </c>
      <c r="C2439" t="s">
        <v>2393</v>
      </c>
      <c r="D2439" s="3" t="s">
        <v>4613</v>
      </c>
      <c r="E2439" t="s">
        <v>41</v>
      </c>
      <c r="F2439" t="s">
        <v>89</v>
      </c>
      <c r="G2439" t="s">
        <v>90</v>
      </c>
      <c r="H2439" s="8">
        <v>-1</v>
      </c>
      <c r="I2439" s="12" t="s">
        <v>4627</v>
      </c>
      <c r="J2439" s="14">
        <f>P2439*R2439</f>
        <v>95</v>
      </c>
      <c r="K2439" s="16">
        <v>640</v>
      </c>
      <c r="L2439" s="1" t="s">
        <v>21</v>
      </c>
      <c r="M2439" t="s">
        <v>22</v>
      </c>
      <c r="N2439" t="str">
        <f t="shared" si="56"/>
        <v>United Kingdom</v>
      </c>
      <c r="O2439" s="8">
        <f>IF(K2439&gt;=1,K2439,K2439*1000)</f>
        <v>640</v>
      </c>
      <c r="P2439">
        <f>ABS(H2439)</f>
        <v>1</v>
      </c>
      <c r="Q2439" t="str">
        <f>LEFT(I2439,3)</f>
        <v>GBP</v>
      </c>
      <c r="R2439" s="10" t="str">
        <f>RIGHT(I2439,5)</f>
        <v>95,00</v>
      </c>
    </row>
    <row r="2440" spans="1:18" x14ac:dyDescent="0.35">
      <c r="A2440" t="s">
        <v>3951</v>
      </c>
      <c r="B2440" s="2">
        <v>46204</v>
      </c>
      <c r="C2440" t="s">
        <v>481</v>
      </c>
      <c r="D2440" s="3" t="s">
        <v>4612</v>
      </c>
      <c r="E2440" t="s">
        <v>16</v>
      </c>
      <c r="F2440" t="s">
        <v>74</v>
      </c>
      <c r="G2440" t="s">
        <v>75</v>
      </c>
      <c r="H2440" s="8">
        <v>1</v>
      </c>
      <c r="I2440" s="10">
        <v>12.5</v>
      </c>
      <c r="J2440" s="14">
        <f>P2440*I2440</f>
        <v>12.5</v>
      </c>
      <c r="K2440" s="16">
        <v>410</v>
      </c>
      <c r="L2440" s="1" t="s">
        <v>30</v>
      </c>
      <c r="M2440" t="s">
        <v>22</v>
      </c>
      <c r="N2440" t="str">
        <f t="shared" si="56"/>
        <v>United Kingdom</v>
      </c>
      <c r="O2440" s="8">
        <f>IF(K2440&gt;=1,K2440,K2440*1000)</f>
        <v>410</v>
      </c>
      <c r="P2440">
        <f>ABS(H2440)</f>
        <v>1</v>
      </c>
      <c r="R2440"/>
    </row>
    <row r="2441" spans="1:18" x14ac:dyDescent="0.35">
      <c r="A2441" t="s">
        <v>3952</v>
      </c>
      <c r="B2441" s="2">
        <v>46069</v>
      </c>
      <c r="C2441" t="s">
        <v>3953</v>
      </c>
      <c r="D2441" s="3" t="s">
        <v>66</v>
      </c>
      <c r="E2441" t="s">
        <v>34</v>
      </c>
      <c r="F2441" t="s">
        <v>74</v>
      </c>
      <c r="G2441" t="s">
        <v>75</v>
      </c>
      <c r="H2441" s="8">
        <v>2</v>
      </c>
      <c r="I2441" s="10">
        <v>45</v>
      </c>
      <c r="J2441" s="14">
        <f>P2441*I2441</f>
        <v>90</v>
      </c>
      <c r="K2441" s="16">
        <v>410</v>
      </c>
      <c r="L2441" s="1" t="s">
        <v>30</v>
      </c>
      <c r="M2441" t="s">
        <v>22</v>
      </c>
      <c r="N2441" t="str">
        <f t="shared" si="56"/>
        <v>Gb</v>
      </c>
      <c r="O2441" s="8">
        <f>IF(K2441&gt;=1,K2441,K2441*1000)</f>
        <v>410</v>
      </c>
      <c r="P2441">
        <f>ABS(H2441)</f>
        <v>2</v>
      </c>
      <c r="R2441"/>
    </row>
    <row r="2442" spans="1:18" x14ac:dyDescent="0.35">
      <c r="A2442" t="s">
        <v>3954</v>
      </c>
      <c r="B2442" s="2">
        <v>46171</v>
      </c>
      <c r="C2442" t="s">
        <v>2825</v>
      </c>
      <c r="D2442" s="3" t="s">
        <v>4613</v>
      </c>
      <c r="E2442" t="s">
        <v>25</v>
      </c>
      <c r="F2442" t="s">
        <v>35</v>
      </c>
      <c r="G2442" t="s">
        <v>36</v>
      </c>
      <c r="H2442" s="8">
        <v>1</v>
      </c>
      <c r="I2442" s="10">
        <v>45</v>
      </c>
      <c r="J2442" s="14">
        <f>P2442*I2442</f>
        <v>45</v>
      </c>
      <c r="K2442" s="16">
        <v>8.5000000000000006E-2</v>
      </c>
      <c r="L2442" s="1" t="s">
        <v>30</v>
      </c>
      <c r="M2442" t="s">
        <v>22</v>
      </c>
      <c r="N2442" t="str">
        <f t="shared" si="56"/>
        <v>United Kingdom</v>
      </c>
      <c r="O2442" s="8">
        <f>IF(K2442&gt;=1,K2442,K2442*1000)</f>
        <v>85</v>
      </c>
      <c r="P2442">
        <f>ABS(H2442)</f>
        <v>1</v>
      </c>
      <c r="R2442"/>
    </row>
    <row r="2443" spans="1:18" x14ac:dyDescent="0.35">
      <c r="A2443" t="s">
        <v>3955</v>
      </c>
      <c r="B2443" s="2">
        <v>46135</v>
      </c>
      <c r="C2443" t="s">
        <v>139</v>
      </c>
      <c r="D2443" s="3" t="s">
        <v>4612</v>
      </c>
      <c r="E2443" t="s">
        <v>67</v>
      </c>
      <c r="F2443" t="s">
        <v>74</v>
      </c>
      <c r="G2443" t="s">
        <v>75</v>
      </c>
      <c r="H2443" s="8">
        <v>3</v>
      </c>
      <c r="I2443" s="10">
        <v>95</v>
      </c>
      <c r="J2443" s="14">
        <f>P2443*I2443</f>
        <v>285</v>
      </c>
      <c r="K2443" s="16">
        <v>0.41</v>
      </c>
      <c r="L2443" s="1" t="s">
        <v>30</v>
      </c>
      <c r="M2443" t="s">
        <v>22</v>
      </c>
      <c r="N2443" t="str">
        <f t="shared" si="56"/>
        <v>United Kingdom</v>
      </c>
      <c r="O2443" s="8">
        <f>IF(K2443&gt;=1,K2443,K2443*1000)</f>
        <v>410</v>
      </c>
      <c r="P2443">
        <f>ABS(H2443)</f>
        <v>3</v>
      </c>
      <c r="R2443"/>
    </row>
    <row r="2444" spans="1:18" x14ac:dyDescent="0.35">
      <c r="A2444" t="s">
        <v>3956</v>
      </c>
      <c r="B2444" s="2">
        <v>46088</v>
      </c>
      <c r="C2444" t="s">
        <v>2542</v>
      </c>
      <c r="D2444" s="3" t="s">
        <v>99</v>
      </c>
      <c r="E2444" t="s">
        <v>67</v>
      </c>
      <c r="F2444" t="s">
        <v>35</v>
      </c>
      <c r="G2444" t="s">
        <v>36</v>
      </c>
      <c r="H2444" s="8">
        <v>1</v>
      </c>
      <c r="I2444" s="10">
        <v>129</v>
      </c>
      <c r="J2444" s="14">
        <f>P2444*I2444</f>
        <v>129</v>
      </c>
      <c r="K2444" s="16">
        <v>8.5000000000000006E-2</v>
      </c>
      <c r="L2444" s="1" t="s">
        <v>21</v>
      </c>
      <c r="M2444" t="s">
        <v>22</v>
      </c>
      <c r="N2444" t="str">
        <f t="shared" si="56"/>
        <v>United Kingdom</v>
      </c>
      <c r="O2444" s="8">
        <f>IF(K2444&gt;=1,K2444,K2444*1000)</f>
        <v>85</v>
      </c>
      <c r="P2444">
        <f>ABS(H2444)</f>
        <v>1</v>
      </c>
      <c r="R2444"/>
    </row>
    <row r="2445" spans="1:18" x14ac:dyDescent="0.35">
      <c r="A2445" t="s">
        <v>3957</v>
      </c>
      <c r="B2445" s="2">
        <v>46114</v>
      </c>
      <c r="C2445" t="s">
        <v>1526</v>
      </c>
      <c r="D2445" s="3" t="s">
        <v>4613</v>
      </c>
      <c r="E2445" t="s">
        <v>41</v>
      </c>
      <c r="F2445" t="s">
        <v>42</v>
      </c>
      <c r="G2445" t="s">
        <v>43</v>
      </c>
      <c r="H2445" s="8">
        <v>2</v>
      </c>
      <c r="I2445" s="10">
        <v>149</v>
      </c>
      <c r="J2445" s="14">
        <f>P2445*I2445</f>
        <v>298</v>
      </c>
      <c r="K2445" s="16">
        <v>190</v>
      </c>
      <c r="L2445" s="1" t="s">
        <v>30</v>
      </c>
      <c r="M2445" t="s">
        <v>22</v>
      </c>
      <c r="N2445" t="str">
        <f t="shared" si="56"/>
        <v>United Kingdom</v>
      </c>
      <c r="O2445" s="8">
        <f>IF(K2445&gt;=1,K2445,K2445*1000)</f>
        <v>190</v>
      </c>
      <c r="P2445">
        <f>ABS(H2445)</f>
        <v>2</v>
      </c>
      <c r="R2445"/>
    </row>
    <row r="2446" spans="1:18" x14ac:dyDescent="0.35">
      <c r="A2446" t="s">
        <v>3958</v>
      </c>
      <c r="B2446" s="2">
        <v>46153</v>
      </c>
      <c r="C2446" t="s">
        <v>425</v>
      </c>
      <c r="D2446" s="3" t="s">
        <v>99</v>
      </c>
      <c r="E2446" t="s">
        <v>41</v>
      </c>
      <c r="F2446" t="s">
        <v>26</v>
      </c>
      <c r="G2446" t="s">
        <v>27</v>
      </c>
      <c r="H2446" s="8">
        <v>-3</v>
      </c>
      <c r="I2446" s="10">
        <v>89</v>
      </c>
      <c r="J2446" s="14">
        <f>P2446*I2446</f>
        <v>267</v>
      </c>
      <c r="K2446" s="16">
        <v>0.52</v>
      </c>
      <c r="L2446" s="1" t="s">
        <v>30</v>
      </c>
      <c r="M2446" t="s">
        <v>58</v>
      </c>
      <c r="N2446" t="str">
        <f t="shared" si="56"/>
        <v>United Kingdom</v>
      </c>
      <c r="O2446" s="8">
        <f>IF(K2446&gt;=1,K2446,K2446*1000)</f>
        <v>520</v>
      </c>
      <c r="P2446">
        <f>ABS(H2446)</f>
        <v>3</v>
      </c>
      <c r="R2446"/>
    </row>
    <row r="2447" spans="1:18" x14ac:dyDescent="0.35">
      <c r="A2447" t="s">
        <v>3959</v>
      </c>
      <c r="B2447" s="2">
        <v>46204</v>
      </c>
      <c r="C2447" t="s">
        <v>3875</v>
      </c>
      <c r="D2447" s="3" t="s">
        <v>4613</v>
      </c>
      <c r="E2447" t="s">
        <v>67</v>
      </c>
      <c r="F2447" t="s">
        <v>17</v>
      </c>
      <c r="G2447" t="s">
        <v>18</v>
      </c>
      <c r="H2447" s="8">
        <v>1</v>
      </c>
      <c r="I2447" s="10">
        <v>149</v>
      </c>
      <c r="J2447" s="14">
        <f>P2447*I2447</f>
        <v>149</v>
      </c>
      <c r="K2447" s="16">
        <v>0.52</v>
      </c>
      <c r="L2447" s="1" t="s">
        <v>30</v>
      </c>
      <c r="M2447" t="s">
        <v>58</v>
      </c>
      <c r="N2447" t="str">
        <f t="shared" si="56"/>
        <v>United Kingdom</v>
      </c>
      <c r="O2447" s="8">
        <f>IF(K2447&gt;=1,K2447,K2447*1000)</f>
        <v>520</v>
      </c>
      <c r="P2447">
        <f>ABS(H2447)</f>
        <v>1</v>
      </c>
      <c r="R2447"/>
    </row>
    <row r="2448" spans="1:18" x14ac:dyDescent="0.35">
      <c r="A2448" t="s">
        <v>3960</v>
      </c>
      <c r="B2448" s="2">
        <v>46158</v>
      </c>
      <c r="C2448" t="s">
        <v>2160</v>
      </c>
      <c r="D2448" s="3" t="s">
        <v>4613</v>
      </c>
      <c r="E2448" t="s">
        <v>16</v>
      </c>
      <c r="F2448" t="s">
        <v>26</v>
      </c>
      <c r="G2448" t="s">
        <v>27</v>
      </c>
      <c r="H2448" s="8">
        <v>2</v>
      </c>
      <c r="I2448" s="10">
        <v>116.1</v>
      </c>
      <c r="J2448" s="14">
        <f>P2448*I2448</f>
        <v>232.2</v>
      </c>
      <c r="K2448" s="16">
        <v>0.52</v>
      </c>
      <c r="L2448" s="1" t="s">
        <v>30</v>
      </c>
      <c r="M2448" t="s">
        <v>58</v>
      </c>
      <c r="N2448" t="str">
        <f t="shared" si="56"/>
        <v>United Kingdom</v>
      </c>
      <c r="O2448" s="8">
        <f>IF(K2448&gt;=1,K2448,K2448*1000)</f>
        <v>520</v>
      </c>
      <c r="P2448">
        <f>ABS(H2448)</f>
        <v>2</v>
      </c>
      <c r="R2448"/>
    </row>
    <row r="2449" spans="1:18" x14ac:dyDescent="0.35">
      <c r="A2449" t="s">
        <v>3961</v>
      </c>
      <c r="B2449" s="2">
        <v>46090</v>
      </c>
      <c r="C2449" t="s">
        <v>263</v>
      </c>
      <c r="D2449" s="3" t="s">
        <v>46</v>
      </c>
      <c r="E2449" t="s">
        <v>34</v>
      </c>
      <c r="F2449" t="s">
        <v>47</v>
      </c>
      <c r="G2449" t="s">
        <v>48</v>
      </c>
      <c r="H2449" s="8">
        <v>2</v>
      </c>
      <c r="I2449" s="10">
        <v>24</v>
      </c>
      <c r="J2449" s="14">
        <f>P2449*I2449</f>
        <v>48</v>
      </c>
      <c r="K2449" s="16">
        <v>380</v>
      </c>
      <c r="L2449" s="1" t="s">
        <v>30</v>
      </c>
      <c r="M2449" t="s">
        <v>22</v>
      </c>
      <c r="N2449" t="str">
        <f t="shared" si="56"/>
        <v>Ireland</v>
      </c>
      <c r="O2449" s="8">
        <f>IF(K2449&gt;=1,K2449,K2449*1000)</f>
        <v>380</v>
      </c>
      <c r="P2449">
        <f>ABS(H2449)</f>
        <v>2</v>
      </c>
      <c r="R2449"/>
    </row>
    <row r="2450" spans="1:18" x14ac:dyDescent="0.35">
      <c r="A2450" t="s">
        <v>3962</v>
      </c>
      <c r="B2450" s="2">
        <v>46028</v>
      </c>
      <c r="C2450" t="s">
        <v>2102</v>
      </c>
      <c r="D2450" s="3" t="s">
        <v>66</v>
      </c>
      <c r="E2450" t="s">
        <v>16</v>
      </c>
      <c r="F2450" t="s">
        <v>35</v>
      </c>
      <c r="G2450" t="s">
        <v>36</v>
      </c>
      <c r="H2450" s="8">
        <v>1</v>
      </c>
      <c r="I2450" s="10">
        <v>149</v>
      </c>
      <c r="J2450" s="14">
        <f>P2450*I2450</f>
        <v>149</v>
      </c>
      <c r="K2450" s="16">
        <v>85</v>
      </c>
      <c r="L2450" s="1" t="s">
        <v>30</v>
      </c>
      <c r="M2450" t="s">
        <v>22</v>
      </c>
      <c r="N2450" t="str">
        <f t="shared" si="56"/>
        <v>Gb</v>
      </c>
      <c r="O2450" s="8">
        <f>IF(K2450&gt;=1,K2450,K2450*1000)</f>
        <v>85</v>
      </c>
      <c r="P2450">
        <f>ABS(H2450)</f>
        <v>1</v>
      </c>
      <c r="R2450"/>
    </row>
    <row r="2451" spans="1:18" x14ac:dyDescent="0.35">
      <c r="A2451" t="s">
        <v>3963</v>
      </c>
      <c r="B2451" s="2">
        <v>46044</v>
      </c>
      <c r="C2451" t="s">
        <v>3454</v>
      </c>
      <c r="D2451" s="3" t="s">
        <v>99</v>
      </c>
      <c r="E2451" t="s">
        <v>34</v>
      </c>
      <c r="F2451" t="s">
        <v>42</v>
      </c>
      <c r="G2451" t="s">
        <v>43</v>
      </c>
      <c r="H2451" s="8">
        <v>1</v>
      </c>
      <c r="I2451" s="10">
        <v>95</v>
      </c>
      <c r="J2451" s="14">
        <f>P2451*I2451</f>
        <v>95</v>
      </c>
      <c r="K2451" s="16">
        <v>190</v>
      </c>
      <c r="L2451" s="1" t="s">
        <v>30</v>
      </c>
      <c r="M2451" t="s">
        <v>22</v>
      </c>
      <c r="N2451" t="str">
        <f t="shared" si="56"/>
        <v>United Kingdom</v>
      </c>
      <c r="O2451" s="8">
        <f>IF(K2451&gt;=1,K2451,K2451*1000)</f>
        <v>190</v>
      </c>
      <c r="P2451">
        <f>ABS(H2451)</f>
        <v>1</v>
      </c>
      <c r="R2451"/>
    </row>
    <row r="2452" spans="1:18" x14ac:dyDescent="0.35">
      <c r="A2452" t="s">
        <v>3964</v>
      </c>
      <c r="B2452" s="2">
        <v>46081</v>
      </c>
      <c r="C2452" t="s">
        <v>1072</v>
      </c>
      <c r="D2452" s="3" t="s">
        <v>99</v>
      </c>
      <c r="E2452" t="s">
        <v>34</v>
      </c>
      <c r="F2452" t="s">
        <v>74</v>
      </c>
      <c r="G2452" t="s">
        <v>75</v>
      </c>
      <c r="H2452" s="8">
        <v>1</v>
      </c>
      <c r="I2452" s="10">
        <v>12.5</v>
      </c>
      <c r="J2452" s="14">
        <f>P2452*I2452</f>
        <v>12.5</v>
      </c>
      <c r="K2452" s="16">
        <v>410</v>
      </c>
      <c r="L2452" s="1" t="s">
        <v>21</v>
      </c>
      <c r="M2452" t="s">
        <v>58</v>
      </c>
      <c r="N2452" t="str">
        <f t="shared" si="56"/>
        <v>United Kingdom</v>
      </c>
      <c r="O2452" s="8">
        <f>IF(K2452&gt;=1,K2452,K2452*1000)</f>
        <v>410</v>
      </c>
      <c r="P2452">
        <f>ABS(H2452)</f>
        <v>1</v>
      </c>
      <c r="R2452"/>
    </row>
    <row r="2453" spans="1:18" x14ac:dyDescent="0.35">
      <c r="A2453" t="s">
        <v>3965</v>
      </c>
      <c r="B2453" s="2">
        <v>46106</v>
      </c>
      <c r="C2453" t="s">
        <v>3966</v>
      </c>
      <c r="D2453" s="3" t="s">
        <v>15</v>
      </c>
      <c r="E2453" t="s">
        <v>16</v>
      </c>
      <c r="F2453" t="s">
        <v>26</v>
      </c>
      <c r="G2453" t="s">
        <v>27</v>
      </c>
      <c r="H2453" s="8">
        <v>2</v>
      </c>
      <c r="I2453" s="10">
        <v>45</v>
      </c>
      <c r="J2453" s="14">
        <f>P2453*I2453</f>
        <v>90</v>
      </c>
      <c r="K2453" s="16">
        <v>520</v>
      </c>
      <c r="L2453" s="1" t="s">
        <v>30</v>
      </c>
      <c r="M2453" t="s">
        <v>22</v>
      </c>
      <c r="N2453" t="str">
        <f t="shared" si="56"/>
        <v>France</v>
      </c>
      <c r="O2453" s="8">
        <f>IF(K2453&gt;=1,K2453,K2453*1000)</f>
        <v>520</v>
      </c>
      <c r="P2453">
        <f>ABS(H2453)</f>
        <v>2</v>
      </c>
      <c r="R2453"/>
    </row>
    <row r="2454" spans="1:18" x14ac:dyDescent="0.35">
      <c r="A2454" t="s">
        <v>3967</v>
      </c>
      <c r="B2454" s="2">
        <v>46179</v>
      </c>
      <c r="C2454" t="s">
        <v>3968</v>
      </c>
      <c r="D2454" s="3" t="s">
        <v>46</v>
      </c>
      <c r="E2454" t="s">
        <v>41</v>
      </c>
      <c r="F2454" t="s">
        <v>74</v>
      </c>
      <c r="G2454" t="s">
        <v>75</v>
      </c>
      <c r="H2454" s="8">
        <v>3</v>
      </c>
      <c r="I2454" s="10">
        <v>79</v>
      </c>
      <c r="J2454" s="14">
        <f>P2454*I2454</f>
        <v>237</v>
      </c>
      <c r="K2454" s="16">
        <v>0.41</v>
      </c>
      <c r="L2454" s="1" t="s">
        <v>21</v>
      </c>
      <c r="M2454" t="s">
        <v>22</v>
      </c>
      <c r="N2454" t="str">
        <f t="shared" si="56"/>
        <v>Ireland</v>
      </c>
      <c r="O2454" s="8">
        <f>IF(K2454&gt;=1,K2454,K2454*1000)</f>
        <v>410</v>
      </c>
      <c r="P2454">
        <f>ABS(H2454)</f>
        <v>3</v>
      </c>
      <c r="R2454"/>
    </row>
    <row r="2455" spans="1:18" x14ac:dyDescent="0.35">
      <c r="A2455" t="s">
        <v>3969</v>
      </c>
      <c r="B2455" s="2">
        <v>46152</v>
      </c>
      <c r="C2455" t="s">
        <v>1126</v>
      </c>
      <c r="D2455" s="3" t="s">
        <v>99</v>
      </c>
      <c r="E2455" t="s">
        <v>41</v>
      </c>
      <c r="F2455" t="s">
        <v>35</v>
      </c>
      <c r="G2455" t="s">
        <v>36</v>
      </c>
      <c r="H2455" s="8">
        <v>2</v>
      </c>
      <c r="I2455" s="10">
        <v>24</v>
      </c>
      <c r="J2455" s="14">
        <f>P2455*I2455</f>
        <v>48</v>
      </c>
      <c r="K2455" s="16">
        <v>8.5000000000000006E-2</v>
      </c>
      <c r="L2455" s="1" t="s">
        <v>30</v>
      </c>
      <c r="M2455" t="s">
        <v>22</v>
      </c>
      <c r="N2455" t="str">
        <f t="shared" si="56"/>
        <v>United Kingdom</v>
      </c>
      <c r="O2455" s="8">
        <f>IF(K2455&gt;=1,K2455,K2455*1000)</f>
        <v>85</v>
      </c>
      <c r="P2455">
        <f>ABS(H2455)</f>
        <v>2</v>
      </c>
      <c r="R2455"/>
    </row>
    <row r="2456" spans="1:18" x14ac:dyDescent="0.35">
      <c r="A2456" t="s">
        <v>3970</v>
      </c>
      <c r="B2456" s="2">
        <v>46177</v>
      </c>
      <c r="C2456" t="s">
        <v>3971</v>
      </c>
      <c r="D2456" s="3" t="s">
        <v>53</v>
      </c>
      <c r="E2456" t="s">
        <v>25</v>
      </c>
      <c r="F2456" t="s">
        <v>47</v>
      </c>
      <c r="G2456" t="s">
        <v>48</v>
      </c>
      <c r="H2456" s="8">
        <v>2</v>
      </c>
      <c r="I2456" s="12" t="s">
        <v>4627</v>
      </c>
      <c r="J2456" s="14">
        <f>P2456*R2456</f>
        <v>190</v>
      </c>
      <c r="K2456" s="16">
        <v>0.38</v>
      </c>
      <c r="L2456" s="1" t="s">
        <v>30</v>
      </c>
      <c r="M2456" t="s">
        <v>22</v>
      </c>
      <c r="N2456" t="str">
        <f t="shared" si="56"/>
        <v>Gb</v>
      </c>
      <c r="O2456" s="8">
        <f>IF(K2456&gt;=1,K2456,K2456*1000)</f>
        <v>380</v>
      </c>
      <c r="P2456">
        <f>ABS(H2456)</f>
        <v>2</v>
      </c>
      <c r="Q2456" t="str">
        <f>LEFT(I2456,3)</f>
        <v>GBP</v>
      </c>
      <c r="R2456" s="10" t="str">
        <f>RIGHT(I2456,5)</f>
        <v>95,00</v>
      </c>
    </row>
    <row r="2457" spans="1:18" x14ac:dyDescent="0.35">
      <c r="A2457" t="s">
        <v>3972</v>
      </c>
      <c r="B2457" s="2">
        <v>46141</v>
      </c>
      <c r="C2457" t="s">
        <v>459</v>
      </c>
      <c r="D2457" s="3" t="s">
        <v>4613</v>
      </c>
      <c r="E2457" t="s">
        <v>34</v>
      </c>
      <c r="F2457" t="s">
        <v>83</v>
      </c>
      <c r="G2457" t="s">
        <v>84</v>
      </c>
      <c r="H2457" s="8">
        <v>2</v>
      </c>
      <c r="I2457" s="10">
        <v>95</v>
      </c>
      <c r="J2457" s="14">
        <f>P2457*I2457</f>
        <v>190</v>
      </c>
      <c r="K2457" s="16">
        <v>0.34</v>
      </c>
      <c r="L2457" s="1" t="s">
        <v>30</v>
      </c>
      <c r="M2457" t="s">
        <v>22</v>
      </c>
      <c r="N2457" t="str">
        <f t="shared" si="56"/>
        <v>United Kingdom</v>
      </c>
      <c r="O2457" s="8">
        <f>IF(K2457&gt;=1,K2457,K2457*1000)</f>
        <v>340</v>
      </c>
      <c r="P2457">
        <f>ABS(H2457)</f>
        <v>2</v>
      </c>
      <c r="R2457"/>
    </row>
    <row r="2458" spans="1:18" x14ac:dyDescent="0.35">
      <c r="A2458" t="s">
        <v>3973</v>
      </c>
      <c r="B2458" s="2">
        <v>46199</v>
      </c>
      <c r="C2458" t="s">
        <v>760</v>
      </c>
      <c r="D2458" s="3" t="s">
        <v>99</v>
      </c>
      <c r="E2458" t="s">
        <v>34</v>
      </c>
      <c r="F2458" t="s">
        <v>83</v>
      </c>
      <c r="G2458" t="s">
        <v>84</v>
      </c>
      <c r="H2458" s="8">
        <v>1</v>
      </c>
      <c r="I2458" s="10">
        <v>45</v>
      </c>
      <c r="J2458" s="14">
        <f>P2458*I2458</f>
        <v>45</v>
      </c>
      <c r="K2458" s="16">
        <v>0.34</v>
      </c>
      <c r="L2458" s="1" t="s">
        <v>30</v>
      </c>
      <c r="M2458" t="s">
        <v>58</v>
      </c>
      <c r="N2458" t="str">
        <f t="shared" si="56"/>
        <v>United Kingdom</v>
      </c>
      <c r="O2458" s="8">
        <f>IF(K2458&gt;=1,K2458,K2458*1000)</f>
        <v>340</v>
      </c>
      <c r="P2458">
        <f>ABS(H2458)</f>
        <v>1</v>
      </c>
      <c r="R2458"/>
    </row>
    <row r="2459" spans="1:18" x14ac:dyDescent="0.35">
      <c r="A2459" t="s">
        <v>3974</v>
      </c>
      <c r="B2459" s="2">
        <v>46134</v>
      </c>
      <c r="C2459" t="s">
        <v>425</v>
      </c>
      <c r="D2459" s="3" t="s">
        <v>15</v>
      </c>
      <c r="E2459" t="s">
        <v>25</v>
      </c>
      <c r="F2459" t="s">
        <v>26</v>
      </c>
      <c r="G2459" t="s">
        <v>27</v>
      </c>
      <c r="H2459" s="8">
        <v>1</v>
      </c>
      <c r="I2459" s="10">
        <v>45</v>
      </c>
      <c r="J2459" s="14">
        <f>P2459*I2459</f>
        <v>45</v>
      </c>
      <c r="K2459" s="16">
        <v>0.52</v>
      </c>
      <c r="L2459" s="1" t="s">
        <v>21</v>
      </c>
      <c r="M2459" t="s">
        <v>58</v>
      </c>
      <c r="N2459" t="str">
        <f t="shared" si="56"/>
        <v>France</v>
      </c>
      <c r="O2459" s="8">
        <f>IF(K2459&gt;=1,K2459,K2459*1000)</f>
        <v>520</v>
      </c>
      <c r="P2459">
        <f>ABS(H2459)</f>
        <v>1</v>
      </c>
      <c r="R2459"/>
    </row>
    <row r="2460" spans="1:18" x14ac:dyDescent="0.35">
      <c r="A2460" t="s">
        <v>3975</v>
      </c>
      <c r="B2460" s="2">
        <v>46119</v>
      </c>
      <c r="C2460" t="s">
        <v>1409</v>
      </c>
      <c r="D2460" s="3" t="s">
        <v>4612</v>
      </c>
      <c r="E2460" t="s">
        <v>34</v>
      </c>
      <c r="F2460" t="s">
        <v>35</v>
      </c>
      <c r="G2460" t="s">
        <v>36</v>
      </c>
      <c r="H2460" s="8">
        <v>-1</v>
      </c>
      <c r="I2460" s="10">
        <v>21.6</v>
      </c>
      <c r="J2460" s="14">
        <f>P2460*I2460</f>
        <v>21.6</v>
      </c>
      <c r="K2460" s="16">
        <v>85</v>
      </c>
      <c r="L2460" s="1" t="s">
        <v>30</v>
      </c>
      <c r="M2460" t="s">
        <v>22</v>
      </c>
      <c r="N2460" t="str">
        <f t="shared" si="56"/>
        <v>United Kingdom</v>
      </c>
      <c r="O2460" s="8">
        <f>IF(K2460&gt;=1,K2460,K2460*1000)</f>
        <v>85</v>
      </c>
      <c r="P2460">
        <f>ABS(H2460)</f>
        <v>1</v>
      </c>
      <c r="R2460"/>
    </row>
    <row r="2461" spans="1:18" x14ac:dyDescent="0.35">
      <c r="A2461" t="s">
        <v>3976</v>
      </c>
      <c r="B2461" s="2">
        <v>46104</v>
      </c>
      <c r="C2461" t="s">
        <v>3977</v>
      </c>
      <c r="D2461" s="3" t="s">
        <v>4613</v>
      </c>
      <c r="E2461" t="s">
        <v>67</v>
      </c>
      <c r="F2461" t="s">
        <v>35</v>
      </c>
      <c r="G2461" t="s">
        <v>36</v>
      </c>
      <c r="H2461" s="8">
        <v>2</v>
      </c>
      <c r="I2461" s="10">
        <v>89</v>
      </c>
      <c r="J2461" s="14">
        <f>P2461*I2461</f>
        <v>178</v>
      </c>
      <c r="K2461" s="16">
        <v>85</v>
      </c>
      <c r="L2461" s="1" t="s">
        <v>30</v>
      </c>
      <c r="M2461" t="s">
        <v>22</v>
      </c>
      <c r="N2461" t="str">
        <f t="shared" si="56"/>
        <v>United Kingdom</v>
      </c>
      <c r="O2461" s="8">
        <f>IF(K2461&gt;=1,K2461,K2461*1000)</f>
        <v>85</v>
      </c>
      <c r="P2461">
        <f>ABS(H2461)</f>
        <v>2</v>
      </c>
      <c r="R2461"/>
    </row>
    <row r="2462" spans="1:18" x14ac:dyDescent="0.35">
      <c r="A2462" t="s">
        <v>3978</v>
      </c>
      <c r="B2462" s="2">
        <v>46152</v>
      </c>
      <c r="C2462" t="s">
        <v>3344</v>
      </c>
      <c r="D2462" s="3" t="s">
        <v>53</v>
      </c>
      <c r="E2462" t="s">
        <v>41</v>
      </c>
      <c r="F2462" t="s">
        <v>42</v>
      </c>
      <c r="G2462" t="s">
        <v>43</v>
      </c>
      <c r="H2462" s="8">
        <v>1</v>
      </c>
      <c r="I2462" s="10">
        <v>45</v>
      </c>
      <c r="J2462" s="14">
        <f>P2462*I2462</f>
        <v>45</v>
      </c>
      <c r="K2462" s="16">
        <v>0.19</v>
      </c>
      <c r="L2462" s="1" t="s">
        <v>30</v>
      </c>
      <c r="M2462" t="s">
        <v>22</v>
      </c>
      <c r="N2462" t="str">
        <f t="shared" si="56"/>
        <v>Gb</v>
      </c>
      <c r="O2462" s="8">
        <f>IF(K2462&gt;=1,K2462,K2462*1000)</f>
        <v>190</v>
      </c>
      <c r="P2462">
        <f>ABS(H2462)</f>
        <v>1</v>
      </c>
      <c r="R2462"/>
    </row>
    <row r="2463" spans="1:18" x14ac:dyDescent="0.35">
      <c r="A2463" t="s">
        <v>3979</v>
      </c>
      <c r="B2463" s="2">
        <v>46208</v>
      </c>
      <c r="C2463" t="s">
        <v>3953</v>
      </c>
      <c r="D2463" s="3" t="s">
        <v>15</v>
      </c>
      <c r="E2463" t="s">
        <v>16</v>
      </c>
      <c r="F2463" t="s">
        <v>26</v>
      </c>
      <c r="G2463" t="s">
        <v>27</v>
      </c>
      <c r="H2463" s="8">
        <v>3</v>
      </c>
      <c r="I2463" s="10">
        <v>85.5</v>
      </c>
      <c r="J2463" s="14">
        <f>P2463*I2463</f>
        <v>256.5</v>
      </c>
      <c r="K2463" s="16">
        <v>0.52</v>
      </c>
      <c r="L2463" s="1" t="s">
        <v>30</v>
      </c>
      <c r="M2463" t="s">
        <v>22</v>
      </c>
      <c r="N2463" t="str">
        <f t="shared" si="56"/>
        <v>France</v>
      </c>
      <c r="O2463" s="8">
        <f>IF(K2463&gt;=1,K2463,K2463*1000)</f>
        <v>520</v>
      </c>
      <c r="P2463">
        <f>ABS(H2463)</f>
        <v>3</v>
      </c>
      <c r="R2463"/>
    </row>
    <row r="2464" spans="1:18" x14ac:dyDescent="0.35">
      <c r="A2464" t="s">
        <v>3980</v>
      </c>
      <c r="B2464" s="2">
        <v>46202</v>
      </c>
      <c r="C2464" t="s">
        <v>1217</v>
      </c>
      <c r="D2464" s="3" t="s">
        <v>61</v>
      </c>
      <c r="E2464" t="s">
        <v>25</v>
      </c>
      <c r="F2464" t="s">
        <v>35</v>
      </c>
      <c r="G2464" t="s">
        <v>36</v>
      </c>
      <c r="H2464" s="8">
        <v>1</v>
      </c>
      <c r="I2464" s="10">
        <v>116.1</v>
      </c>
      <c r="J2464" s="14">
        <f>P2464*I2464</f>
        <v>116.1</v>
      </c>
      <c r="K2464" s="16">
        <v>8.5000000000000006E-2</v>
      </c>
      <c r="L2464" s="1" t="s">
        <v>30</v>
      </c>
      <c r="M2464" t="s">
        <v>22</v>
      </c>
      <c r="N2464" t="str">
        <f t="shared" si="56"/>
        <v>Ireland</v>
      </c>
      <c r="O2464" s="8">
        <f>IF(K2464&gt;=1,K2464,K2464*1000)</f>
        <v>85</v>
      </c>
      <c r="P2464">
        <f>ABS(H2464)</f>
        <v>1</v>
      </c>
      <c r="R2464"/>
    </row>
    <row r="2465" spans="1:18" x14ac:dyDescent="0.35">
      <c r="A2465" t="s">
        <v>3981</v>
      </c>
      <c r="B2465" s="2">
        <v>46079</v>
      </c>
      <c r="C2465" t="s">
        <v>1059</v>
      </c>
      <c r="D2465" s="3" t="s">
        <v>46</v>
      </c>
      <c r="E2465" t="s">
        <v>41</v>
      </c>
      <c r="F2465" t="s">
        <v>89</v>
      </c>
      <c r="G2465" t="s">
        <v>90</v>
      </c>
      <c r="H2465" s="8">
        <v>3</v>
      </c>
      <c r="I2465" s="10">
        <v>149</v>
      </c>
      <c r="J2465" s="14">
        <f>P2465*I2465</f>
        <v>447</v>
      </c>
      <c r="K2465" s="16">
        <v>640</v>
      </c>
      <c r="L2465" s="1" t="s">
        <v>30</v>
      </c>
      <c r="M2465" t="s">
        <v>22</v>
      </c>
      <c r="N2465" t="str">
        <f t="shared" si="56"/>
        <v>Ireland</v>
      </c>
      <c r="O2465" s="8">
        <f>IF(K2465&gt;=1,K2465,K2465*1000)</f>
        <v>640</v>
      </c>
      <c r="P2465">
        <f>ABS(H2465)</f>
        <v>3</v>
      </c>
      <c r="R2465"/>
    </row>
    <row r="2466" spans="1:18" x14ac:dyDescent="0.35">
      <c r="A2466" t="s">
        <v>3982</v>
      </c>
      <c r="B2466" s="2">
        <v>46144</v>
      </c>
      <c r="C2466" t="s">
        <v>2742</v>
      </c>
      <c r="D2466" s="3" t="s">
        <v>99</v>
      </c>
      <c r="E2466" t="s">
        <v>16</v>
      </c>
      <c r="F2466" t="s">
        <v>47</v>
      </c>
      <c r="G2466" t="s">
        <v>48</v>
      </c>
      <c r="H2466" s="8">
        <v>3</v>
      </c>
      <c r="I2466" s="10">
        <v>149</v>
      </c>
      <c r="J2466" s="14">
        <f>P2466*I2466</f>
        <v>447</v>
      </c>
      <c r="K2466" s="16">
        <v>0.38</v>
      </c>
      <c r="L2466" s="1" t="s">
        <v>30</v>
      </c>
      <c r="M2466" t="s">
        <v>58</v>
      </c>
      <c r="N2466" t="str">
        <f t="shared" si="56"/>
        <v>United Kingdom</v>
      </c>
      <c r="O2466" s="8">
        <f>IF(K2466&gt;=1,K2466,K2466*1000)</f>
        <v>380</v>
      </c>
      <c r="P2466">
        <f>ABS(H2466)</f>
        <v>3</v>
      </c>
      <c r="R2466"/>
    </row>
    <row r="2467" spans="1:18" x14ac:dyDescent="0.35">
      <c r="A2467" t="s">
        <v>3983</v>
      </c>
      <c r="B2467" s="2">
        <v>46034</v>
      </c>
      <c r="C2467" t="s">
        <v>559</v>
      </c>
      <c r="D2467" s="3" t="s">
        <v>66</v>
      </c>
      <c r="E2467" t="s">
        <v>41</v>
      </c>
      <c r="F2467" t="s">
        <v>47</v>
      </c>
      <c r="G2467" t="s">
        <v>48</v>
      </c>
      <c r="H2467" s="8">
        <v>3</v>
      </c>
      <c r="I2467" s="10">
        <v>12.5</v>
      </c>
      <c r="J2467" s="14">
        <f>P2467*I2467</f>
        <v>37.5</v>
      </c>
      <c r="K2467" s="16">
        <v>380</v>
      </c>
      <c r="L2467" s="1" t="s">
        <v>30</v>
      </c>
      <c r="M2467" t="s">
        <v>22</v>
      </c>
      <c r="N2467" t="str">
        <f t="shared" si="56"/>
        <v>Gb</v>
      </c>
      <c r="O2467" s="8">
        <f>IF(K2467&gt;=1,K2467,K2467*1000)</f>
        <v>380</v>
      </c>
      <c r="P2467">
        <f>ABS(H2467)</f>
        <v>3</v>
      </c>
      <c r="R2467"/>
    </row>
    <row r="2468" spans="1:18" x14ac:dyDescent="0.35">
      <c r="A2468" t="s">
        <v>3984</v>
      </c>
      <c r="B2468" s="2">
        <v>46127</v>
      </c>
      <c r="C2468" t="s">
        <v>2759</v>
      </c>
      <c r="D2468" s="3" t="s">
        <v>99</v>
      </c>
      <c r="E2468" t="s">
        <v>16</v>
      </c>
      <c r="F2468" t="s">
        <v>83</v>
      </c>
      <c r="G2468" t="s">
        <v>84</v>
      </c>
      <c r="H2468" s="8">
        <v>1</v>
      </c>
      <c r="I2468" s="10">
        <v>12.5</v>
      </c>
      <c r="J2468" s="14">
        <f>P2468*I2468</f>
        <v>12.5</v>
      </c>
      <c r="K2468" s="16">
        <v>340</v>
      </c>
      <c r="L2468" s="1" t="s">
        <v>30</v>
      </c>
      <c r="M2468" t="s">
        <v>22</v>
      </c>
      <c r="N2468" t="str">
        <f t="shared" si="56"/>
        <v>United Kingdom</v>
      </c>
      <c r="O2468" s="8">
        <f>IF(K2468&gt;=1,K2468,K2468*1000)</f>
        <v>340</v>
      </c>
      <c r="P2468">
        <f>ABS(H2468)</f>
        <v>1</v>
      </c>
      <c r="R2468"/>
    </row>
    <row r="2469" spans="1:18" x14ac:dyDescent="0.35">
      <c r="A2469" t="s">
        <v>3985</v>
      </c>
      <c r="B2469" s="2">
        <v>46044</v>
      </c>
      <c r="C2469" t="s">
        <v>539</v>
      </c>
      <c r="D2469" s="3" t="s">
        <v>66</v>
      </c>
      <c r="E2469" t="s">
        <v>16</v>
      </c>
      <c r="F2469" t="s">
        <v>42</v>
      </c>
      <c r="G2469" t="s">
        <v>43</v>
      </c>
      <c r="H2469" s="8">
        <v>1</v>
      </c>
      <c r="I2469" s="10">
        <v>12.5</v>
      </c>
      <c r="J2469" s="14">
        <f>P2469*I2469</f>
        <v>12.5</v>
      </c>
      <c r="K2469" s="16">
        <v>190</v>
      </c>
      <c r="L2469" s="1" t="s">
        <v>30</v>
      </c>
      <c r="M2469" t="s">
        <v>22</v>
      </c>
      <c r="N2469" t="str">
        <f t="shared" si="56"/>
        <v>Gb</v>
      </c>
      <c r="O2469" s="8">
        <f>IF(K2469&gt;=1,K2469,K2469*1000)</f>
        <v>190</v>
      </c>
      <c r="P2469">
        <f>ABS(H2469)</f>
        <v>1</v>
      </c>
      <c r="R2469"/>
    </row>
    <row r="2470" spans="1:18" x14ac:dyDescent="0.35">
      <c r="A2470" t="s">
        <v>3986</v>
      </c>
      <c r="B2470" s="2">
        <v>46045</v>
      </c>
      <c r="C2470" t="s">
        <v>3987</v>
      </c>
      <c r="D2470" s="3" t="s">
        <v>61</v>
      </c>
      <c r="E2470" t="s">
        <v>67</v>
      </c>
      <c r="F2470" t="s">
        <v>42</v>
      </c>
      <c r="G2470" t="s">
        <v>43</v>
      </c>
      <c r="H2470" s="8">
        <v>1</v>
      </c>
      <c r="I2470" s="10">
        <v>129</v>
      </c>
      <c r="J2470" s="14">
        <f>P2470*I2470</f>
        <v>129</v>
      </c>
      <c r="K2470" s="16">
        <v>190</v>
      </c>
      <c r="L2470" s="1" t="s">
        <v>30</v>
      </c>
      <c r="M2470" t="s">
        <v>22</v>
      </c>
      <c r="N2470" t="str">
        <f t="shared" si="56"/>
        <v>Ireland</v>
      </c>
      <c r="O2470" s="8">
        <f>IF(K2470&gt;=1,K2470,K2470*1000)</f>
        <v>190</v>
      </c>
      <c r="P2470">
        <f>ABS(H2470)</f>
        <v>1</v>
      </c>
      <c r="R2470"/>
    </row>
    <row r="2471" spans="1:18" x14ac:dyDescent="0.35">
      <c r="A2471" t="s">
        <v>3988</v>
      </c>
      <c r="B2471" s="2">
        <v>46175</v>
      </c>
      <c r="C2471" t="s">
        <v>1918</v>
      </c>
      <c r="D2471" s="3" t="s">
        <v>99</v>
      </c>
      <c r="E2471" t="s">
        <v>34</v>
      </c>
      <c r="F2471" t="s">
        <v>42</v>
      </c>
      <c r="G2471" t="s">
        <v>43</v>
      </c>
      <c r="H2471" s="8">
        <v>1</v>
      </c>
      <c r="I2471" s="10">
        <v>21.6</v>
      </c>
      <c r="J2471" s="14">
        <f>P2471*I2471</f>
        <v>21.6</v>
      </c>
      <c r="K2471" s="16">
        <v>0.19</v>
      </c>
      <c r="L2471" s="1" t="s">
        <v>30</v>
      </c>
      <c r="M2471" t="s">
        <v>58</v>
      </c>
      <c r="N2471" t="str">
        <f t="shared" si="56"/>
        <v>United Kingdom</v>
      </c>
      <c r="O2471" s="8">
        <f>IF(K2471&gt;=1,K2471,K2471*1000)</f>
        <v>190</v>
      </c>
      <c r="P2471">
        <f>ABS(H2471)</f>
        <v>1</v>
      </c>
      <c r="R2471"/>
    </row>
    <row r="2472" spans="1:18" x14ac:dyDescent="0.35">
      <c r="A2472" t="s">
        <v>3989</v>
      </c>
      <c r="B2472" s="2">
        <v>46180</v>
      </c>
      <c r="C2472" t="s">
        <v>1488</v>
      </c>
      <c r="D2472" s="3" t="s">
        <v>15</v>
      </c>
      <c r="E2472" t="s">
        <v>41</v>
      </c>
      <c r="F2472" t="s">
        <v>17</v>
      </c>
      <c r="G2472" t="s">
        <v>18</v>
      </c>
      <c r="H2472" s="8">
        <v>3</v>
      </c>
      <c r="I2472" s="10">
        <v>89</v>
      </c>
      <c r="J2472" s="14">
        <f>P2472*I2472</f>
        <v>267</v>
      </c>
      <c r="K2472" s="16">
        <v>0.52</v>
      </c>
      <c r="L2472" s="1" t="s">
        <v>30</v>
      </c>
      <c r="M2472" t="s">
        <v>22</v>
      </c>
      <c r="N2472" t="str">
        <f t="shared" si="56"/>
        <v>France</v>
      </c>
      <c r="O2472" s="8">
        <f>IF(K2472&gt;=1,K2472,K2472*1000)</f>
        <v>520</v>
      </c>
      <c r="P2472">
        <f>ABS(H2472)</f>
        <v>3</v>
      </c>
      <c r="R2472"/>
    </row>
    <row r="2473" spans="1:18" x14ac:dyDescent="0.35">
      <c r="A2473" t="s">
        <v>3990</v>
      </c>
      <c r="B2473" s="2">
        <v>46040</v>
      </c>
      <c r="C2473" t="s">
        <v>1878</v>
      </c>
      <c r="D2473" s="3" t="s">
        <v>61</v>
      </c>
      <c r="E2473" t="s">
        <v>67</v>
      </c>
      <c r="F2473" t="s">
        <v>26</v>
      </c>
      <c r="G2473" t="s">
        <v>27</v>
      </c>
      <c r="H2473" s="8">
        <v>1</v>
      </c>
      <c r="I2473" s="10">
        <v>21.6</v>
      </c>
      <c r="J2473" s="14">
        <f>P2473*I2473</f>
        <v>21.6</v>
      </c>
      <c r="K2473" s="16">
        <v>520</v>
      </c>
      <c r="L2473" s="1" t="s">
        <v>30</v>
      </c>
      <c r="M2473" t="s">
        <v>22</v>
      </c>
      <c r="N2473" t="str">
        <f t="shared" si="56"/>
        <v>Ireland</v>
      </c>
      <c r="O2473" s="8">
        <f>IF(K2473&gt;=1,K2473,K2473*1000)</f>
        <v>520</v>
      </c>
      <c r="P2473">
        <f>ABS(H2473)</f>
        <v>1</v>
      </c>
      <c r="R2473"/>
    </row>
    <row r="2474" spans="1:18" x14ac:dyDescent="0.35">
      <c r="A2474" t="s">
        <v>3991</v>
      </c>
      <c r="B2474" s="2">
        <v>46062</v>
      </c>
      <c r="C2474" t="s">
        <v>3427</v>
      </c>
      <c r="D2474" s="3" t="s">
        <v>4613</v>
      </c>
      <c r="E2474" t="s">
        <v>67</v>
      </c>
      <c r="F2474" t="s">
        <v>74</v>
      </c>
      <c r="G2474" t="s">
        <v>75</v>
      </c>
      <c r="H2474" s="8">
        <v>2</v>
      </c>
      <c r="I2474" s="10">
        <v>79</v>
      </c>
      <c r="J2474" s="14">
        <f>P2474*I2474</f>
        <v>158</v>
      </c>
      <c r="K2474" s="16">
        <v>410</v>
      </c>
      <c r="L2474" s="1" t="s">
        <v>30</v>
      </c>
      <c r="M2474" t="s">
        <v>22</v>
      </c>
      <c r="N2474" t="str">
        <f t="shared" si="56"/>
        <v>United Kingdom</v>
      </c>
      <c r="O2474" s="8">
        <f>IF(K2474&gt;=1,K2474,K2474*1000)</f>
        <v>410</v>
      </c>
      <c r="P2474">
        <f>ABS(H2474)</f>
        <v>2</v>
      </c>
      <c r="R2474"/>
    </row>
    <row r="2475" spans="1:18" x14ac:dyDescent="0.35">
      <c r="A2475" t="s">
        <v>3992</v>
      </c>
      <c r="B2475" s="2">
        <v>46100</v>
      </c>
      <c r="C2475" t="s">
        <v>2759</v>
      </c>
      <c r="D2475" s="3" t="s">
        <v>53</v>
      </c>
      <c r="E2475" t="s">
        <v>34</v>
      </c>
      <c r="F2475" t="s">
        <v>35</v>
      </c>
      <c r="G2475" t="s">
        <v>36</v>
      </c>
      <c r="H2475" s="8">
        <v>1</v>
      </c>
      <c r="I2475" s="10">
        <v>71.099999999999994</v>
      </c>
      <c r="J2475" s="14">
        <f>P2475*I2475</f>
        <v>71.099999999999994</v>
      </c>
      <c r="K2475" s="16">
        <v>85</v>
      </c>
      <c r="L2475" s="1" t="s">
        <v>21</v>
      </c>
      <c r="M2475" t="s">
        <v>58</v>
      </c>
      <c r="N2475" t="str">
        <f t="shared" si="56"/>
        <v>Gb</v>
      </c>
      <c r="O2475" s="8">
        <f>IF(K2475&gt;=1,K2475,K2475*1000)</f>
        <v>85</v>
      </c>
      <c r="P2475">
        <f>ABS(H2475)</f>
        <v>1</v>
      </c>
      <c r="R2475"/>
    </row>
    <row r="2476" spans="1:18" x14ac:dyDescent="0.35">
      <c r="A2476" t="s">
        <v>3993</v>
      </c>
      <c r="B2476" s="2">
        <v>46079</v>
      </c>
      <c r="C2476" t="s">
        <v>1128</v>
      </c>
      <c r="D2476" s="3" t="s">
        <v>99</v>
      </c>
      <c r="E2476" t="s">
        <v>16</v>
      </c>
      <c r="F2476" t="s">
        <v>74</v>
      </c>
      <c r="G2476" t="s">
        <v>75</v>
      </c>
      <c r="H2476" s="8">
        <v>1</v>
      </c>
      <c r="I2476" s="10">
        <v>89</v>
      </c>
      <c r="J2476" s="14">
        <f>P2476*I2476</f>
        <v>89</v>
      </c>
      <c r="K2476" s="16">
        <v>410</v>
      </c>
      <c r="L2476" s="1" t="s">
        <v>21</v>
      </c>
      <c r="M2476" t="s">
        <v>22</v>
      </c>
      <c r="N2476" t="str">
        <f t="shared" si="56"/>
        <v>United Kingdom</v>
      </c>
      <c r="O2476" s="8">
        <f>IF(K2476&gt;=1,K2476,K2476*1000)</f>
        <v>410</v>
      </c>
      <c r="P2476">
        <f>ABS(H2476)</f>
        <v>1</v>
      </c>
      <c r="R2476"/>
    </row>
    <row r="2477" spans="1:18" x14ac:dyDescent="0.35">
      <c r="A2477" t="s">
        <v>3994</v>
      </c>
      <c r="B2477" s="2">
        <v>46056</v>
      </c>
      <c r="C2477" t="s">
        <v>2838</v>
      </c>
      <c r="D2477" s="3" t="s">
        <v>99</v>
      </c>
      <c r="E2477" t="s">
        <v>67</v>
      </c>
      <c r="F2477" t="s">
        <v>35</v>
      </c>
      <c r="G2477" t="s">
        <v>36</v>
      </c>
      <c r="H2477" s="8">
        <v>1</v>
      </c>
      <c r="I2477" s="10">
        <v>24</v>
      </c>
      <c r="J2477" s="14">
        <f>P2477*I2477</f>
        <v>24</v>
      </c>
      <c r="K2477" s="16">
        <v>85</v>
      </c>
      <c r="L2477" s="1" t="s">
        <v>30</v>
      </c>
      <c r="M2477" t="s">
        <v>22</v>
      </c>
      <c r="N2477" t="str">
        <f t="shared" si="56"/>
        <v>United Kingdom</v>
      </c>
      <c r="O2477" s="8">
        <f>IF(K2477&gt;=1,K2477,K2477*1000)</f>
        <v>85</v>
      </c>
      <c r="P2477">
        <f>ABS(H2477)</f>
        <v>1</v>
      </c>
      <c r="R2477"/>
    </row>
    <row r="2478" spans="1:18" x14ac:dyDescent="0.35">
      <c r="A2478" t="s">
        <v>3995</v>
      </c>
      <c r="B2478" s="2">
        <v>46181</v>
      </c>
      <c r="C2478" t="s">
        <v>24</v>
      </c>
      <c r="D2478" s="3" t="s">
        <v>4613</v>
      </c>
      <c r="E2478" t="s">
        <v>67</v>
      </c>
      <c r="F2478" t="s">
        <v>47</v>
      </c>
      <c r="G2478" t="s">
        <v>48</v>
      </c>
      <c r="H2478" s="8">
        <v>2</v>
      </c>
      <c r="I2478" s="10">
        <v>134.1</v>
      </c>
      <c r="J2478" s="14">
        <f>P2478*I2478</f>
        <v>268.2</v>
      </c>
      <c r="K2478" s="16">
        <v>0.38</v>
      </c>
      <c r="L2478" s="1" t="s">
        <v>30</v>
      </c>
      <c r="M2478" t="s">
        <v>22</v>
      </c>
      <c r="N2478" t="str">
        <f t="shared" si="56"/>
        <v>United Kingdom</v>
      </c>
      <c r="O2478" s="8">
        <f>IF(K2478&gt;=1,K2478,K2478*1000)</f>
        <v>380</v>
      </c>
      <c r="P2478">
        <f>ABS(H2478)</f>
        <v>2</v>
      </c>
      <c r="R2478"/>
    </row>
    <row r="2479" spans="1:18" x14ac:dyDescent="0.35">
      <c r="A2479" t="s">
        <v>3996</v>
      </c>
      <c r="B2479" s="2">
        <v>46093</v>
      </c>
      <c r="C2479" t="s">
        <v>3949</v>
      </c>
      <c r="D2479" s="3" t="s">
        <v>66</v>
      </c>
      <c r="E2479" t="s">
        <v>25</v>
      </c>
      <c r="F2479" t="s">
        <v>83</v>
      </c>
      <c r="G2479" t="s">
        <v>84</v>
      </c>
      <c r="H2479" s="8">
        <v>2</v>
      </c>
      <c r="I2479" s="10">
        <v>79</v>
      </c>
      <c r="J2479" s="14">
        <f>P2479*I2479</f>
        <v>158</v>
      </c>
      <c r="K2479" s="16">
        <v>340</v>
      </c>
      <c r="L2479" s="1" t="s">
        <v>30</v>
      </c>
      <c r="M2479" t="s">
        <v>22</v>
      </c>
      <c r="N2479" t="str">
        <f t="shared" si="56"/>
        <v>Gb</v>
      </c>
      <c r="O2479" s="8">
        <f>IF(K2479&gt;=1,K2479,K2479*1000)</f>
        <v>340</v>
      </c>
      <c r="P2479">
        <f>ABS(H2479)</f>
        <v>2</v>
      </c>
      <c r="R2479"/>
    </row>
    <row r="2480" spans="1:18" x14ac:dyDescent="0.35">
      <c r="A2480" t="s">
        <v>3997</v>
      </c>
      <c r="B2480" s="2">
        <v>46122</v>
      </c>
      <c r="C2480" t="s">
        <v>3998</v>
      </c>
      <c r="D2480" s="3" t="s">
        <v>116</v>
      </c>
      <c r="E2480" t="s">
        <v>16</v>
      </c>
      <c r="F2480" t="s">
        <v>35</v>
      </c>
      <c r="G2480" t="s">
        <v>36</v>
      </c>
      <c r="H2480" s="8">
        <v>3</v>
      </c>
      <c r="I2480" s="10">
        <v>79</v>
      </c>
      <c r="J2480" s="14">
        <f>P2480*I2480</f>
        <v>237</v>
      </c>
      <c r="K2480" s="16">
        <v>85</v>
      </c>
      <c r="L2480" s="1" t="s">
        <v>30</v>
      </c>
      <c r="M2480" t="s">
        <v>22</v>
      </c>
      <c r="N2480" t="str">
        <f t="shared" si="56"/>
        <v>Germany</v>
      </c>
      <c r="O2480" s="8">
        <f>IF(K2480&gt;=1,K2480,K2480*1000)</f>
        <v>85</v>
      </c>
      <c r="P2480">
        <f>ABS(H2480)</f>
        <v>3</v>
      </c>
      <c r="R2480"/>
    </row>
    <row r="2481" spans="1:18" x14ac:dyDescent="0.35">
      <c r="A2481" t="s">
        <v>3999</v>
      </c>
      <c r="B2481" s="2">
        <v>46075</v>
      </c>
      <c r="C2481" t="s">
        <v>3207</v>
      </c>
      <c r="D2481" s="3" t="s">
        <v>4613</v>
      </c>
      <c r="E2481" t="s">
        <v>25</v>
      </c>
      <c r="F2481" t="s">
        <v>17</v>
      </c>
      <c r="G2481" t="s">
        <v>18</v>
      </c>
      <c r="H2481" s="8">
        <v>-3</v>
      </c>
      <c r="I2481" s="12" t="s">
        <v>4639</v>
      </c>
      <c r="J2481" s="14">
        <f>P2481*R2481</f>
        <v>37.5</v>
      </c>
      <c r="K2481" s="16">
        <v>520</v>
      </c>
      <c r="L2481" s="1" t="s">
        <v>30</v>
      </c>
      <c r="M2481" t="s">
        <v>22</v>
      </c>
      <c r="N2481" t="str">
        <f t="shared" si="56"/>
        <v>United Kingdom</v>
      </c>
      <c r="O2481" s="8">
        <f>IF(K2481&gt;=1,K2481,K2481*1000)</f>
        <v>520</v>
      </c>
      <c r="P2481">
        <f>ABS(H2481)</f>
        <v>3</v>
      </c>
      <c r="Q2481" t="str">
        <f>LEFT(I2481,2)</f>
        <v>Â£</v>
      </c>
      <c r="R2481" t="str">
        <f>RIGHT(I2481,5)</f>
        <v>12,50</v>
      </c>
    </row>
    <row r="2482" spans="1:18" x14ac:dyDescent="0.35">
      <c r="A2482" t="s">
        <v>4000</v>
      </c>
      <c r="B2482" s="2">
        <v>46186</v>
      </c>
      <c r="C2482" t="s">
        <v>1557</v>
      </c>
      <c r="D2482" s="3" t="s">
        <v>15</v>
      </c>
      <c r="E2482" t="s">
        <v>41</v>
      </c>
      <c r="F2482" t="s">
        <v>89</v>
      </c>
      <c r="G2482" t="s">
        <v>90</v>
      </c>
      <c r="H2482" s="8">
        <v>2</v>
      </c>
      <c r="I2482" s="10">
        <v>79</v>
      </c>
      <c r="J2482" s="14">
        <f>P2482*I2482</f>
        <v>158</v>
      </c>
      <c r="K2482" s="16">
        <v>0.64</v>
      </c>
      <c r="L2482" s="1" t="s">
        <v>30</v>
      </c>
      <c r="M2482" t="s">
        <v>22</v>
      </c>
      <c r="N2482" t="str">
        <f t="shared" si="56"/>
        <v>France</v>
      </c>
      <c r="O2482" s="8">
        <f>IF(K2482&gt;=1,K2482,K2482*1000)</f>
        <v>640</v>
      </c>
      <c r="P2482">
        <f>ABS(H2482)</f>
        <v>2</v>
      </c>
      <c r="R2482"/>
    </row>
    <row r="2483" spans="1:18" x14ac:dyDescent="0.35">
      <c r="A2483" t="s">
        <v>4001</v>
      </c>
      <c r="B2483" s="2">
        <v>46044</v>
      </c>
      <c r="C2483" t="s">
        <v>1044</v>
      </c>
      <c r="D2483" s="3" t="s">
        <v>15</v>
      </c>
      <c r="E2483" t="s">
        <v>41</v>
      </c>
      <c r="F2483" t="s">
        <v>89</v>
      </c>
      <c r="G2483" t="s">
        <v>90</v>
      </c>
      <c r="H2483" s="8">
        <v>1</v>
      </c>
      <c r="I2483" s="10">
        <v>40.5</v>
      </c>
      <c r="J2483" s="14">
        <f>P2483*I2483</f>
        <v>40.5</v>
      </c>
      <c r="K2483" s="16">
        <v>640</v>
      </c>
      <c r="L2483" s="1" t="s">
        <v>30</v>
      </c>
      <c r="M2483" t="s">
        <v>22</v>
      </c>
      <c r="N2483" t="str">
        <f t="shared" si="56"/>
        <v>France</v>
      </c>
      <c r="O2483" s="8">
        <f>IF(K2483&gt;=1,K2483,K2483*1000)</f>
        <v>640</v>
      </c>
      <c r="P2483">
        <f>ABS(H2483)</f>
        <v>1</v>
      </c>
      <c r="R2483"/>
    </row>
    <row r="2484" spans="1:18" x14ac:dyDescent="0.35">
      <c r="A2484" t="s">
        <v>4002</v>
      </c>
      <c r="B2484" s="2">
        <v>46031</v>
      </c>
      <c r="C2484" t="s">
        <v>4003</v>
      </c>
      <c r="D2484" s="3" t="s">
        <v>15</v>
      </c>
      <c r="E2484" t="s">
        <v>41</v>
      </c>
      <c r="F2484" t="s">
        <v>26</v>
      </c>
      <c r="G2484" t="s">
        <v>27</v>
      </c>
      <c r="H2484" s="8">
        <v>2</v>
      </c>
      <c r="I2484" s="10">
        <v>129</v>
      </c>
      <c r="J2484" s="14">
        <f>P2484*I2484</f>
        <v>258</v>
      </c>
      <c r="K2484" s="16">
        <v>520</v>
      </c>
      <c r="L2484" s="1" t="s">
        <v>21</v>
      </c>
      <c r="M2484" t="s">
        <v>22</v>
      </c>
      <c r="N2484" t="str">
        <f t="shared" si="56"/>
        <v>France</v>
      </c>
      <c r="O2484" s="8">
        <f>IF(K2484&gt;=1,K2484,K2484*1000)</f>
        <v>520</v>
      </c>
      <c r="P2484">
        <f>ABS(H2484)</f>
        <v>2</v>
      </c>
      <c r="R2484"/>
    </row>
    <row r="2485" spans="1:18" x14ac:dyDescent="0.35">
      <c r="A2485" t="s">
        <v>4004</v>
      </c>
      <c r="B2485" s="2">
        <v>46120</v>
      </c>
      <c r="C2485" t="s">
        <v>2706</v>
      </c>
      <c r="D2485" s="3" t="s">
        <v>61</v>
      </c>
      <c r="E2485" t="s">
        <v>16</v>
      </c>
      <c r="F2485" t="s">
        <v>42</v>
      </c>
      <c r="G2485" t="s">
        <v>43</v>
      </c>
      <c r="H2485" s="8">
        <v>3</v>
      </c>
      <c r="I2485" s="10">
        <v>134.1</v>
      </c>
      <c r="J2485" s="14">
        <f>P2485*I2485</f>
        <v>402.29999999999995</v>
      </c>
      <c r="K2485" s="16">
        <v>190</v>
      </c>
      <c r="L2485" s="1" t="s">
        <v>30</v>
      </c>
      <c r="M2485" t="s">
        <v>22</v>
      </c>
      <c r="N2485" t="str">
        <f t="shared" si="56"/>
        <v>Ireland</v>
      </c>
      <c r="O2485" s="8">
        <f>IF(K2485&gt;=1,K2485,K2485*1000)</f>
        <v>190</v>
      </c>
      <c r="P2485">
        <f>ABS(H2485)</f>
        <v>3</v>
      </c>
      <c r="R2485"/>
    </row>
    <row r="2486" spans="1:18" x14ac:dyDescent="0.35">
      <c r="A2486" t="s">
        <v>4005</v>
      </c>
      <c r="B2486" s="2">
        <v>46066</v>
      </c>
      <c r="C2486" t="s">
        <v>4006</v>
      </c>
      <c r="D2486" s="3" t="s">
        <v>116</v>
      </c>
      <c r="E2486" t="s">
        <v>67</v>
      </c>
      <c r="F2486" t="s">
        <v>89</v>
      </c>
      <c r="G2486" t="s">
        <v>90</v>
      </c>
      <c r="H2486" s="8">
        <v>1</v>
      </c>
      <c r="I2486" s="10">
        <v>149</v>
      </c>
      <c r="J2486" s="14">
        <f>P2486*I2486</f>
        <v>149</v>
      </c>
      <c r="K2486" s="16">
        <v>640</v>
      </c>
      <c r="L2486" s="1" t="s">
        <v>30</v>
      </c>
      <c r="M2486" t="s">
        <v>22</v>
      </c>
      <c r="N2486" t="str">
        <f t="shared" si="56"/>
        <v>Germany</v>
      </c>
      <c r="O2486" s="8">
        <f>IF(K2486&gt;=1,K2486,K2486*1000)</f>
        <v>640</v>
      </c>
      <c r="P2486">
        <f>ABS(H2486)</f>
        <v>1</v>
      </c>
      <c r="R2486"/>
    </row>
    <row r="2487" spans="1:18" x14ac:dyDescent="0.35">
      <c r="A2487" t="s">
        <v>4007</v>
      </c>
      <c r="B2487" s="2">
        <v>46119</v>
      </c>
      <c r="C2487" t="s">
        <v>163</v>
      </c>
      <c r="D2487" s="3" t="s">
        <v>61</v>
      </c>
      <c r="E2487" t="s">
        <v>41</v>
      </c>
      <c r="F2487" t="s">
        <v>89</v>
      </c>
      <c r="G2487" t="s">
        <v>90</v>
      </c>
      <c r="H2487" s="8">
        <v>1</v>
      </c>
      <c r="I2487" s="10">
        <v>12.5</v>
      </c>
      <c r="J2487" s="14">
        <f>P2487*I2487</f>
        <v>12.5</v>
      </c>
      <c r="K2487" s="16">
        <v>0.64</v>
      </c>
      <c r="L2487" s="1" t="s">
        <v>30</v>
      </c>
      <c r="M2487" t="s">
        <v>22</v>
      </c>
      <c r="N2487" t="str">
        <f t="shared" si="56"/>
        <v>Ireland</v>
      </c>
      <c r="O2487" s="8">
        <f>IF(K2487&gt;=1,K2487,K2487*1000)</f>
        <v>640</v>
      </c>
      <c r="P2487">
        <f>ABS(H2487)</f>
        <v>1</v>
      </c>
      <c r="R2487"/>
    </row>
    <row r="2488" spans="1:18" x14ac:dyDescent="0.35">
      <c r="A2488" t="s">
        <v>4008</v>
      </c>
      <c r="B2488" s="2" t="s">
        <v>470</v>
      </c>
      <c r="C2488" t="s">
        <v>1196</v>
      </c>
      <c r="D2488" s="3" t="s">
        <v>4612</v>
      </c>
      <c r="E2488" t="s">
        <v>25</v>
      </c>
      <c r="F2488" t="s">
        <v>74</v>
      </c>
      <c r="G2488" t="s">
        <v>75</v>
      </c>
      <c r="H2488" s="8">
        <v>3</v>
      </c>
      <c r="I2488" s="10">
        <v>79</v>
      </c>
      <c r="J2488" s="14">
        <f>P2488*I2488</f>
        <v>237</v>
      </c>
      <c r="K2488" s="16">
        <v>410</v>
      </c>
      <c r="L2488" s="1" t="s">
        <v>30</v>
      </c>
      <c r="M2488" t="s">
        <v>22</v>
      </c>
      <c r="N2488" t="str">
        <f t="shared" si="56"/>
        <v>United Kingdom</v>
      </c>
      <c r="O2488" s="8">
        <f>IF(K2488&gt;=1,K2488,K2488*1000)</f>
        <v>410</v>
      </c>
      <c r="P2488">
        <f>ABS(H2488)</f>
        <v>3</v>
      </c>
      <c r="R2488"/>
    </row>
    <row r="2489" spans="1:18" x14ac:dyDescent="0.35">
      <c r="A2489" t="s">
        <v>4009</v>
      </c>
      <c r="B2489" s="2">
        <v>46090</v>
      </c>
      <c r="C2489" t="s">
        <v>2218</v>
      </c>
      <c r="D2489" s="3" t="s">
        <v>99</v>
      </c>
      <c r="E2489" t="s">
        <v>16</v>
      </c>
      <c r="F2489" t="s">
        <v>74</v>
      </c>
      <c r="G2489" t="s">
        <v>75</v>
      </c>
      <c r="H2489" s="8">
        <v>2</v>
      </c>
      <c r="I2489" s="10">
        <v>12.5</v>
      </c>
      <c r="J2489" s="14">
        <f>P2489*I2489</f>
        <v>25</v>
      </c>
      <c r="K2489" s="16">
        <v>410</v>
      </c>
      <c r="L2489" s="1" t="s">
        <v>30</v>
      </c>
      <c r="M2489" t="s">
        <v>22</v>
      </c>
      <c r="N2489" t="str">
        <f t="shared" si="56"/>
        <v>United Kingdom</v>
      </c>
      <c r="O2489" s="8">
        <f>IF(K2489&gt;=1,K2489,K2489*1000)</f>
        <v>410</v>
      </c>
      <c r="P2489">
        <f>ABS(H2489)</f>
        <v>2</v>
      </c>
      <c r="R2489"/>
    </row>
    <row r="2490" spans="1:18" x14ac:dyDescent="0.35">
      <c r="A2490" t="s">
        <v>4010</v>
      </c>
      <c r="B2490" s="2">
        <v>46152</v>
      </c>
      <c r="C2490" t="s">
        <v>4011</v>
      </c>
      <c r="D2490" s="3" t="s">
        <v>99</v>
      </c>
      <c r="E2490" t="s">
        <v>25</v>
      </c>
      <c r="F2490" t="s">
        <v>83</v>
      </c>
      <c r="G2490" t="s">
        <v>84</v>
      </c>
      <c r="H2490" s="8">
        <v>1</v>
      </c>
      <c r="I2490" s="10">
        <v>40.5</v>
      </c>
      <c r="J2490" s="14">
        <f>P2490*I2490</f>
        <v>40.5</v>
      </c>
      <c r="K2490" s="16">
        <v>0.34</v>
      </c>
      <c r="L2490" s="1" t="s">
        <v>30</v>
      </c>
      <c r="M2490" t="s">
        <v>22</v>
      </c>
      <c r="N2490" t="str">
        <f t="shared" si="56"/>
        <v>United Kingdom</v>
      </c>
      <c r="O2490" s="8">
        <f>IF(K2490&gt;=1,K2490,K2490*1000)</f>
        <v>340</v>
      </c>
      <c r="P2490">
        <f>ABS(H2490)</f>
        <v>1</v>
      </c>
      <c r="R2490"/>
    </row>
    <row r="2491" spans="1:18" x14ac:dyDescent="0.35">
      <c r="A2491" t="s">
        <v>4012</v>
      </c>
      <c r="B2491" s="2">
        <v>46086</v>
      </c>
      <c r="C2491" t="s">
        <v>1896</v>
      </c>
      <c r="D2491" s="3" t="s">
        <v>116</v>
      </c>
      <c r="E2491" t="s">
        <v>67</v>
      </c>
      <c r="F2491" t="s">
        <v>26</v>
      </c>
      <c r="G2491" t="s">
        <v>27</v>
      </c>
      <c r="H2491" s="8">
        <v>1</v>
      </c>
      <c r="I2491" s="10">
        <v>149</v>
      </c>
      <c r="J2491" s="14">
        <f>P2491*I2491</f>
        <v>149</v>
      </c>
      <c r="K2491" s="16">
        <v>520</v>
      </c>
      <c r="L2491" s="1" t="s">
        <v>21</v>
      </c>
      <c r="M2491" t="s">
        <v>22</v>
      </c>
      <c r="N2491" t="str">
        <f t="shared" si="56"/>
        <v>Germany</v>
      </c>
      <c r="O2491" s="8">
        <f>IF(K2491&gt;=1,K2491,K2491*1000)</f>
        <v>520</v>
      </c>
      <c r="P2491">
        <f>ABS(H2491)</f>
        <v>1</v>
      </c>
      <c r="R2491"/>
    </row>
    <row r="2492" spans="1:18" x14ac:dyDescent="0.35">
      <c r="A2492" t="s">
        <v>4013</v>
      </c>
      <c r="B2492" s="2">
        <v>46055</v>
      </c>
      <c r="C2492" t="s">
        <v>3917</v>
      </c>
      <c r="D2492" s="3" t="s">
        <v>66</v>
      </c>
      <c r="E2492" t="s">
        <v>34</v>
      </c>
      <c r="F2492" t="s">
        <v>42</v>
      </c>
      <c r="G2492" t="s">
        <v>43</v>
      </c>
      <c r="H2492" s="8">
        <v>2</v>
      </c>
      <c r="I2492" s="10">
        <v>21.6</v>
      </c>
      <c r="J2492" s="14">
        <f>P2492*I2492</f>
        <v>43.2</v>
      </c>
      <c r="K2492" s="16">
        <v>190</v>
      </c>
      <c r="L2492" s="1" t="s">
        <v>21</v>
      </c>
      <c r="M2492" t="s">
        <v>58</v>
      </c>
      <c r="N2492" t="str">
        <f t="shared" si="56"/>
        <v>Gb</v>
      </c>
      <c r="O2492" s="8">
        <f>IF(K2492&gt;=1,K2492,K2492*1000)</f>
        <v>190</v>
      </c>
      <c r="P2492">
        <f>ABS(H2492)</f>
        <v>2</v>
      </c>
      <c r="R2492"/>
    </row>
    <row r="2493" spans="1:18" x14ac:dyDescent="0.35">
      <c r="A2493" t="s">
        <v>4014</v>
      </c>
      <c r="B2493" s="2">
        <v>46036</v>
      </c>
      <c r="C2493" t="s">
        <v>4015</v>
      </c>
      <c r="D2493" s="3" t="s">
        <v>4612</v>
      </c>
      <c r="E2493" t="s">
        <v>16</v>
      </c>
      <c r="F2493" t="s">
        <v>26</v>
      </c>
      <c r="G2493" t="s">
        <v>27</v>
      </c>
      <c r="H2493" s="8">
        <v>1</v>
      </c>
      <c r="I2493" s="10">
        <v>116.1</v>
      </c>
      <c r="J2493" s="14">
        <f>P2493*I2493</f>
        <v>116.1</v>
      </c>
      <c r="K2493" s="16">
        <v>520</v>
      </c>
      <c r="L2493" s="1" t="s">
        <v>21</v>
      </c>
      <c r="M2493" t="s">
        <v>22</v>
      </c>
      <c r="N2493" t="str">
        <f t="shared" si="56"/>
        <v>United Kingdom</v>
      </c>
      <c r="O2493" s="8">
        <f>IF(K2493&gt;=1,K2493,K2493*1000)</f>
        <v>520</v>
      </c>
      <c r="P2493">
        <f>ABS(H2493)</f>
        <v>1</v>
      </c>
      <c r="R2493"/>
    </row>
    <row r="2494" spans="1:18" x14ac:dyDescent="0.35">
      <c r="A2494" t="s">
        <v>4016</v>
      </c>
      <c r="B2494" s="2">
        <v>46167</v>
      </c>
      <c r="C2494" t="s">
        <v>1189</v>
      </c>
      <c r="D2494" s="3" t="s">
        <v>4612</v>
      </c>
      <c r="E2494" t="s">
        <v>34</v>
      </c>
      <c r="F2494" t="s">
        <v>74</v>
      </c>
      <c r="G2494" t="s">
        <v>75</v>
      </c>
      <c r="H2494" s="8">
        <v>2</v>
      </c>
      <c r="I2494" s="10">
        <v>149</v>
      </c>
      <c r="J2494" s="14">
        <f>P2494*I2494</f>
        <v>298</v>
      </c>
      <c r="K2494" s="16">
        <v>0.41</v>
      </c>
      <c r="L2494" s="1" t="s">
        <v>30</v>
      </c>
      <c r="M2494" t="s">
        <v>58</v>
      </c>
      <c r="N2494" t="str">
        <f t="shared" si="56"/>
        <v>United Kingdom</v>
      </c>
      <c r="O2494" s="8">
        <f>IF(K2494&gt;=1,K2494,K2494*1000)</f>
        <v>410</v>
      </c>
      <c r="P2494">
        <f>ABS(H2494)</f>
        <v>2</v>
      </c>
      <c r="R2494"/>
    </row>
    <row r="2495" spans="1:18" x14ac:dyDescent="0.35">
      <c r="A2495" t="s">
        <v>4017</v>
      </c>
      <c r="B2495" s="2">
        <v>46157</v>
      </c>
      <c r="C2495" t="s">
        <v>4018</v>
      </c>
      <c r="D2495" s="3" t="s">
        <v>99</v>
      </c>
      <c r="E2495" t="s">
        <v>34</v>
      </c>
      <c r="F2495" t="s">
        <v>89</v>
      </c>
      <c r="G2495" t="s">
        <v>90</v>
      </c>
      <c r="H2495" s="8">
        <v>1</v>
      </c>
      <c r="I2495" s="10">
        <v>12.5</v>
      </c>
      <c r="J2495" s="14">
        <f>P2495*I2495</f>
        <v>12.5</v>
      </c>
      <c r="K2495" s="16">
        <v>0.64</v>
      </c>
      <c r="L2495" s="1" t="s">
        <v>30</v>
      </c>
      <c r="M2495" t="s">
        <v>22</v>
      </c>
      <c r="N2495" t="str">
        <f t="shared" si="56"/>
        <v>United Kingdom</v>
      </c>
      <c r="O2495" s="8">
        <f>IF(K2495&gt;=1,K2495,K2495*1000)</f>
        <v>640</v>
      </c>
      <c r="P2495">
        <f>ABS(H2495)</f>
        <v>1</v>
      </c>
      <c r="R2495"/>
    </row>
    <row r="2496" spans="1:18" x14ac:dyDescent="0.35">
      <c r="A2496" t="s">
        <v>4019</v>
      </c>
      <c r="B2496" s="2">
        <v>46208</v>
      </c>
      <c r="C2496" t="s">
        <v>1144</v>
      </c>
      <c r="D2496" s="3" t="s">
        <v>99</v>
      </c>
      <c r="E2496" t="s">
        <v>67</v>
      </c>
      <c r="F2496" t="s">
        <v>42</v>
      </c>
      <c r="G2496" t="s">
        <v>43</v>
      </c>
      <c r="H2496" s="8">
        <v>3</v>
      </c>
      <c r="I2496" s="10">
        <v>116.1</v>
      </c>
      <c r="J2496" s="14">
        <f>P2496*I2496</f>
        <v>348.29999999999995</v>
      </c>
      <c r="K2496" s="16">
        <v>0.19</v>
      </c>
      <c r="L2496" s="1" t="s">
        <v>30</v>
      </c>
      <c r="M2496" t="s">
        <v>58</v>
      </c>
      <c r="N2496" t="str">
        <f t="shared" si="56"/>
        <v>United Kingdom</v>
      </c>
      <c r="O2496" s="8">
        <f>IF(K2496&gt;=1,K2496,K2496*1000)</f>
        <v>190</v>
      </c>
      <c r="P2496">
        <f>ABS(H2496)</f>
        <v>3</v>
      </c>
      <c r="R2496"/>
    </row>
    <row r="2497" spans="1:18" x14ac:dyDescent="0.35">
      <c r="A2497" t="s">
        <v>4020</v>
      </c>
      <c r="B2497" s="2">
        <v>46190</v>
      </c>
      <c r="C2497" t="s">
        <v>269</v>
      </c>
      <c r="D2497" s="3" t="s">
        <v>61</v>
      </c>
      <c r="E2497" t="s">
        <v>41</v>
      </c>
      <c r="F2497" t="s">
        <v>42</v>
      </c>
      <c r="G2497" t="s">
        <v>43</v>
      </c>
      <c r="H2497" s="8">
        <v>1</v>
      </c>
      <c r="I2497" s="10">
        <v>149</v>
      </c>
      <c r="J2497" s="14">
        <f>P2497*I2497</f>
        <v>149</v>
      </c>
      <c r="K2497" s="16">
        <v>0.19</v>
      </c>
      <c r="L2497" s="1" t="s">
        <v>30</v>
      </c>
      <c r="M2497" t="s">
        <v>22</v>
      </c>
      <c r="N2497" t="str">
        <f t="shared" si="56"/>
        <v>Ireland</v>
      </c>
      <c r="O2497" s="8">
        <f>IF(K2497&gt;=1,K2497,K2497*1000)</f>
        <v>190</v>
      </c>
      <c r="P2497">
        <f>ABS(H2497)</f>
        <v>1</v>
      </c>
      <c r="R2497"/>
    </row>
    <row r="2498" spans="1:18" x14ac:dyDescent="0.35">
      <c r="A2498" t="s">
        <v>4021</v>
      </c>
      <c r="B2498" s="2">
        <v>46157</v>
      </c>
      <c r="C2498" t="s">
        <v>1702</v>
      </c>
      <c r="D2498" s="3" t="s">
        <v>99</v>
      </c>
      <c r="E2498" t="s">
        <v>41</v>
      </c>
      <c r="F2498" t="s">
        <v>42</v>
      </c>
      <c r="G2498" t="s">
        <v>43</v>
      </c>
      <c r="H2498" s="8">
        <v>1</v>
      </c>
      <c r="I2498" s="10">
        <v>45</v>
      </c>
      <c r="J2498" s="14">
        <f>P2498*I2498</f>
        <v>45</v>
      </c>
      <c r="K2498" s="16">
        <v>0.19</v>
      </c>
      <c r="L2498" s="1" t="s">
        <v>21</v>
      </c>
      <c r="M2498" t="s">
        <v>22</v>
      </c>
      <c r="N2498" t="str">
        <f t="shared" si="56"/>
        <v>United Kingdom</v>
      </c>
      <c r="O2498" s="8">
        <f>IF(K2498&gt;=1,K2498,K2498*1000)</f>
        <v>190</v>
      </c>
      <c r="P2498">
        <f>ABS(H2498)</f>
        <v>1</v>
      </c>
      <c r="R2498"/>
    </row>
    <row r="2499" spans="1:18" x14ac:dyDescent="0.35">
      <c r="A2499" t="s">
        <v>4022</v>
      </c>
      <c r="B2499" s="2">
        <v>46030</v>
      </c>
      <c r="C2499" t="s">
        <v>3857</v>
      </c>
      <c r="D2499" s="3" t="s">
        <v>99</v>
      </c>
      <c r="E2499" t="s">
        <v>67</v>
      </c>
      <c r="F2499" t="s">
        <v>89</v>
      </c>
      <c r="G2499" t="s">
        <v>90</v>
      </c>
      <c r="H2499" s="8">
        <v>1</v>
      </c>
      <c r="I2499" s="10">
        <v>79</v>
      </c>
      <c r="J2499" s="14">
        <f>P2499*I2499</f>
        <v>79</v>
      </c>
      <c r="K2499" s="16">
        <v>640</v>
      </c>
      <c r="L2499" s="1" t="s">
        <v>30</v>
      </c>
      <c r="M2499" t="s">
        <v>22</v>
      </c>
      <c r="N2499" t="str">
        <f t="shared" ref="N2499:N2562" si="57">PROPER(TRIM(D2499))</f>
        <v>United Kingdom</v>
      </c>
      <c r="O2499" s="8">
        <f>IF(K2499&gt;=1,K2499,K2499*1000)</f>
        <v>640</v>
      </c>
      <c r="P2499">
        <f>ABS(H2499)</f>
        <v>1</v>
      </c>
      <c r="R2499"/>
    </row>
    <row r="2500" spans="1:18" x14ac:dyDescent="0.35">
      <c r="A2500" t="s">
        <v>4023</v>
      </c>
      <c r="B2500" s="2">
        <v>46149</v>
      </c>
      <c r="C2500" t="s">
        <v>975</v>
      </c>
      <c r="D2500" s="3" t="s">
        <v>99</v>
      </c>
      <c r="E2500" t="s">
        <v>41</v>
      </c>
      <c r="F2500" t="s">
        <v>42</v>
      </c>
      <c r="G2500" t="s">
        <v>43</v>
      </c>
      <c r="H2500" s="8">
        <v>1</v>
      </c>
      <c r="I2500" s="10">
        <v>12.5</v>
      </c>
      <c r="J2500" s="14">
        <f>P2500*I2500</f>
        <v>12.5</v>
      </c>
      <c r="K2500" s="16">
        <v>0.19</v>
      </c>
      <c r="L2500" s="1" t="s">
        <v>30</v>
      </c>
      <c r="M2500" t="s">
        <v>22</v>
      </c>
      <c r="N2500" t="str">
        <f t="shared" si="57"/>
        <v>United Kingdom</v>
      </c>
      <c r="O2500" s="8">
        <f>IF(K2500&gt;=1,K2500,K2500*1000)</f>
        <v>190</v>
      </c>
      <c r="P2500">
        <f>ABS(H2500)</f>
        <v>1</v>
      </c>
      <c r="R2500"/>
    </row>
    <row r="2501" spans="1:18" x14ac:dyDescent="0.35">
      <c r="A2501" t="s">
        <v>4024</v>
      </c>
      <c r="B2501" s="2">
        <v>46208</v>
      </c>
      <c r="C2501" t="s">
        <v>3899</v>
      </c>
      <c r="D2501" s="3" t="s">
        <v>99</v>
      </c>
      <c r="E2501" t="s">
        <v>25</v>
      </c>
      <c r="F2501" t="s">
        <v>42</v>
      </c>
      <c r="G2501" t="s">
        <v>43</v>
      </c>
      <c r="H2501" s="8">
        <v>1</v>
      </c>
      <c r="I2501" s="10">
        <v>71.099999999999994</v>
      </c>
      <c r="J2501" s="14">
        <f>P2501*I2501</f>
        <v>71.099999999999994</v>
      </c>
      <c r="K2501" s="16">
        <v>0.19</v>
      </c>
      <c r="L2501" s="1" t="s">
        <v>30</v>
      </c>
      <c r="M2501" t="s">
        <v>22</v>
      </c>
      <c r="N2501" t="str">
        <f t="shared" si="57"/>
        <v>United Kingdom</v>
      </c>
      <c r="O2501" s="8">
        <f>IF(K2501&gt;=1,K2501,K2501*1000)</f>
        <v>190</v>
      </c>
      <c r="P2501">
        <f>ABS(H2501)</f>
        <v>1</v>
      </c>
      <c r="R2501"/>
    </row>
    <row r="2502" spans="1:18" x14ac:dyDescent="0.35">
      <c r="A2502" t="s">
        <v>4025</v>
      </c>
      <c r="B2502" s="2">
        <v>46163</v>
      </c>
      <c r="C2502" t="s">
        <v>1496</v>
      </c>
      <c r="D2502" s="3" t="s">
        <v>61</v>
      </c>
      <c r="E2502" t="s">
        <v>41</v>
      </c>
      <c r="F2502" t="s">
        <v>83</v>
      </c>
      <c r="G2502" t="s">
        <v>84</v>
      </c>
      <c r="H2502" s="8">
        <v>1</v>
      </c>
      <c r="I2502" s="10">
        <v>45</v>
      </c>
      <c r="J2502" s="14">
        <f>P2502*I2502</f>
        <v>45</v>
      </c>
      <c r="K2502" s="16">
        <v>0.34</v>
      </c>
      <c r="L2502" s="1" t="s">
        <v>30</v>
      </c>
      <c r="M2502" t="s">
        <v>22</v>
      </c>
      <c r="N2502" t="str">
        <f t="shared" si="57"/>
        <v>Ireland</v>
      </c>
      <c r="O2502" s="8">
        <f>IF(K2502&gt;=1,K2502,K2502*1000)</f>
        <v>340</v>
      </c>
      <c r="P2502">
        <f>ABS(H2502)</f>
        <v>1</v>
      </c>
      <c r="R2502"/>
    </row>
    <row r="2503" spans="1:18" x14ac:dyDescent="0.35">
      <c r="A2503" t="s">
        <v>4026</v>
      </c>
      <c r="B2503" s="2">
        <v>46074</v>
      </c>
      <c r="C2503" t="s">
        <v>4027</v>
      </c>
      <c r="D2503" s="3" t="s">
        <v>15</v>
      </c>
      <c r="E2503" t="s">
        <v>41</v>
      </c>
      <c r="F2503" t="s">
        <v>83</v>
      </c>
      <c r="G2503" t="s">
        <v>84</v>
      </c>
      <c r="H2503" s="8">
        <v>3</v>
      </c>
      <c r="I2503" s="12" t="s">
        <v>4634</v>
      </c>
      <c r="J2503" s="14">
        <f>P2503*R2503</f>
        <v>213.29999999999998</v>
      </c>
      <c r="K2503" s="16">
        <v>340</v>
      </c>
      <c r="L2503" s="1" t="s">
        <v>30</v>
      </c>
      <c r="M2503" t="s">
        <v>22</v>
      </c>
      <c r="N2503" t="str">
        <f t="shared" si="57"/>
        <v>France</v>
      </c>
      <c r="O2503" s="8">
        <f>IF(K2503&gt;=1,K2503,K2503*1000)</f>
        <v>340</v>
      </c>
      <c r="P2503">
        <f>ABS(H2503)</f>
        <v>3</v>
      </c>
      <c r="Q2503" t="str">
        <f>LEFT(I2503,3)</f>
        <v>GBP</v>
      </c>
      <c r="R2503" s="10" t="str">
        <f>RIGHT(I2503,5)</f>
        <v>71,10</v>
      </c>
    </row>
    <row r="2504" spans="1:18" x14ac:dyDescent="0.35">
      <c r="A2504" t="s">
        <v>4028</v>
      </c>
      <c r="B2504" s="2">
        <v>46047</v>
      </c>
      <c r="C2504" t="s">
        <v>150</v>
      </c>
      <c r="D2504" s="3" t="s">
        <v>4612</v>
      </c>
      <c r="E2504" t="s">
        <v>41</v>
      </c>
      <c r="F2504" t="s">
        <v>35</v>
      </c>
      <c r="G2504" t="s">
        <v>36</v>
      </c>
      <c r="H2504" s="8">
        <v>2</v>
      </c>
      <c r="I2504" s="10">
        <v>129</v>
      </c>
      <c r="J2504" s="14">
        <f>P2504*I2504</f>
        <v>258</v>
      </c>
      <c r="K2504" s="16">
        <v>85</v>
      </c>
      <c r="L2504" s="1" t="s">
        <v>21</v>
      </c>
      <c r="M2504" t="s">
        <v>22</v>
      </c>
      <c r="N2504" t="str">
        <f t="shared" si="57"/>
        <v>United Kingdom</v>
      </c>
      <c r="O2504" s="8">
        <f>IF(K2504&gt;=1,K2504,K2504*1000)</f>
        <v>85</v>
      </c>
      <c r="P2504">
        <f>ABS(H2504)</f>
        <v>2</v>
      </c>
      <c r="R2504"/>
    </row>
    <row r="2505" spans="1:18" x14ac:dyDescent="0.35">
      <c r="A2505" t="s">
        <v>4029</v>
      </c>
      <c r="B2505" s="2">
        <v>46143</v>
      </c>
      <c r="C2505" t="s">
        <v>3664</v>
      </c>
      <c r="D2505" s="3" t="s">
        <v>4612</v>
      </c>
      <c r="E2505" t="s">
        <v>25</v>
      </c>
      <c r="F2505" t="s">
        <v>35</v>
      </c>
      <c r="G2505" t="s">
        <v>36</v>
      </c>
      <c r="H2505" s="8">
        <v>3</v>
      </c>
      <c r="I2505" s="10">
        <v>85.5</v>
      </c>
      <c r="J2505" s="14">
        <f>P2505*I2505</f>
        <v>256.5</v>
      </c>
      <c r="K2505" s="16">
        <v>8.5000000000000006E-2</v>
      </c>
      <c r="L2505" s="1" t="s">
        <v>30</v>
      </c>
      <c r="M2505" t="s">
        <v>58</v>
      </c>
      <c r="N2505" t="str">
        <f t="shared" si="57"/>
        <v>United Kingdom</v>
      </c>
      <c r="O2505" s="8">
        <f>IF(K2505&gt;=1,K2505,K2505*1000)</f>
        <v>85</v>
      </c>
      <c r="P2505">
        <f>ABS(H2505)</f>
        <v>3</v>
      </c>
      <c r="R2505"/>
    </row>
    <row r="2506" spans="1:18" x14ac:dyDescent="0.35">
      <c r="A2506" t="s">
        <v>4030</v>
      </c>
      <c r="B2506" s="2">
        <v>46128</v>
      </c>
      <c r="C2506" t="s">
        <v>4031</v>
      </c>
      <c r="D2506" s="3" t="s">
        <v>53</v>
      </c>
      <c r="E2506" t="s">
        <v>16</v>
      </c>
      <c r="F2506" t="s">
        <v>35</v>
      </c>
      <c r="G2506" t="s">
        <v>36</v>
      </c>
      <c r="H2506" s="8">
        <v>2</v>
      </c>
      <c r="I2506" s="10">
        <v>45</v>
      </c>
      <c r="J2506" s="14">
        <f>P2506*I2506</f>
        <v>90</v>
      </c>
      <c r="K2506" s="16">
        <v>85</v>
      </c>
      <c r="L2506" s="1" t="s">
        <v>30</v>
      </c>
      <c r="M2506" t="s">
        <v>22</v>
      </c>
      <c r="N2506" t="str">
        <f t="shared" si="57"/>
        <v>Gb</v>
      </c>
      <c r="O2506" s="8">
        <f>IF(K2506&gt;=1,K2506,K2506*1000)</f>
        <v>85</v>
      </c>
      <c r="P2506">
        <f>ABS(H2506)</f>
        <v>2</v>
      </c>
      <c r="R2506"/>
    </row>
    <row r="2507" spans="1:18" x14ac:dyDescent="0.35">
      <c r="A2507" t="s">
        <v>4032</v>
      </c>
      <c r="B2507" s="2">
        <v>46049</v>
      </c>
      <c r="C2507" t="s">
        <v>1866</v>
      </c>
      <c r="D2507" s="3" t="s">
        <v>99</v>
      </c>
      <c r="E2507" t="s">
        <v>34</v>
      </c>
      <c r="F2507" t="s">
        <v>42</v>
      </c>
      <c r="G2507" t="s">
        <v>43</v>
      </c>
      <c r="H2507" s="8">
        <v>1</v>
      </c>
      <c r="I2507" s="10">
        <v>89</v>
      </c>
      <c r="J2507" s="14">
        <f>P2507*I2507</f>
        <v>89</v>
      </c>
      <c r="K2507" s="16">
        <v>190</v>
      </c>
      <c r="L2507" s="1" t="s">
        <v>21</v>
      </c>
      <c r="M2507" t="s">
        <v>22</v>
      </c>
      <c r="N2507" t="str">
        <f t="shared" si="57"/>
        <v>United Kingdom</v>
      </c>
      <c r="O2507" s="8">
        <f>IF(K2507&gt;=1,K2507,K2507*1000)</f>
        <v>190</v>
      </c>
      <c r="P2507">
        <f>ABS(H2507)</f>
        <v>1</v>
      </c>
      <c r="R2507"/>
    </row>
    <row r="2508" spans="1:18" x14ac:dyDescent="0.35">
      <c r="A2508" t="s">
        <v>4033</v>
      </c>
      <c r="B2508" s="2">
        <v>46176</v>
      </c>
      <c r="C2508" t="s">
        <v>1957</v>
      </c>
      <c r="D2508" s="3" t="s">
        <v>99</v>
      </c>
      <c r="E2508" t="s">
        <v>34</v>
      </c>
      <c r="F2508" t="s">
        <v>35</v>
      </c>
      <c r="G2508" t="s">
        <v>36</v>
      </c>
      <c r="H2508" s="8">
        <v>3</v>
      </c>
      <c r="I2508" s="10">
        <v>12.5</v>
      </c>
      <c r="J2508" s="14">
        <f>P2508*I2508</f>
        <v>37.5</v>
      </c>
      <c r="K2508" s="16">
        <v>8.5000000000000006E-2</v>
      </c>
      <c r="L2508" s="1" t="s">
        <v>30</v>
      </c>
      <c r="M2508" t="s">
        <v>22</v>
      </c>
      <c r="N2508" t="str">
        <f t="shared" si="57"/>
        <v>United Kingdom</v>
      </c>
      <c r="O2508" s="8">
        <f>IF(K2508&gt;=1,K2508,K2508*1000)</f>
        <v>85</v>
      </c>
      <c r="P2508">
        <f>ABS(H2508)</f>
        <v>3</v>
      </c>
      <c r="R2508"/>
    </row>
    <row r="2509" spans="1:18" x14ac:dyDescent="0.35">
      <c r="A2509" t="s">
        <v>4034</v>
      </c>
      <c r="B2509" s="2">
        <v>46064</v>
      </c>
      <c r="C2509" t="s">
        <v>537</v>
      </c>
      <c r="D2509" s="3" t="s">
        <v>61</v>
      </c>
      <c r="E2509" t="s">
        <v>25</v>
      </c>
      <c r="F2509" t="s">
        <v>47</v>
      </c>
      <c r="G2509" t="s">
        <v>48</v>
      </c>
      <c r="H2509" s="8">
        <v>1</v>
      </c>
      <c r="I2509" s="10">
        <v>24</v>
      </c>
      <c r="J2509" s="14">
        <f>P2509*I2509</f>
        <v>24</v>
      </c>
      <c r="K2509" s="16">
        <v>380</v>
      </c>
      <c r="L2509" s="1" t="s">
        <v>30</v>
      </c>
      <c r="M2509" t="s">
        <v>22</v>
      </c>
      <c r="N2509" t="str">
        <f t="shared" si="57"/>
        <v>Ireland</v>
      </c>
      <c r="O2509" s="8">
        <f>IF(K2509&gt;=1,K2509,K2509*1000)</f>
        <v>380</v>
      </c>
      <c r="P2509">
        <f>ABS(H2509)</f>
        <v>1</v>
      </c>
      <c r="R2509"/>
    </row>
    <row r="2510" spans="1:18" x14ac:dyDescent="0.35">
      <c r="A2510" t="s">
        <v>4035</v>
      </c>
      <c r="B2510" s="2">
        <v>46149</v>
      </c>
      <c r="C2510" t="s">
        <v>2477</v>
      </c>
      <c r="D2510" s="3" t="s">
        <v>53</v>
      </c>
      <c r="E2510" t="s">
        <v>41</v>
      </c>
      <c r="F2510" t="s">
        <v>17</v>
      </c>
      <c r="G2510" t="s">
        <v>18</v>
      </c>
      <c r="H2510" s="8">
        <v>2</v>
      </c>
      <c r="I2510" s="10">
        <v>45</v>
      </c>
      <c r="J2510" s="14">
        <f>P2510*I2510</f>
        <v>90</v>
      </c>
      <c r="K2510" s="16">
        <v>0.52</v>
      </c>
      <c r="L2510" s="1" t="s">
        <v>21</v>
      </c>
      <c r="M2510" t="s">
        <v>22</v>
      </c>
      <c r="N2510" t="str">
        <f t="shared" si="57"/>
        <v>Gb</v>
      </c>
      <c r="O2510" s="8">
        <f>IF(K2510&gt;=1,K2510,K2510*1000)</f>
        <v>520</v>
      </c>
      <c r="P2510">
        <f>ABS(H2510)</f>
        <v>2</v>
      </c>
      <c r="R2510"/>
    </row>
    <row r="2511" spans="1:18" x14ac:dyDescent="0.35">
      <c r="A2511" t="s">
        <v>4036</v>
      </c>
      <c r="B2511" s="2">
        <v>46129</v>
      </c>
      <c r="C2511" t="s">
        <v>3392</v>
      </c>
      <c r="D2511" s="3" t="s">
        <v>4613</v>
      </c>
      <c r="E2511" t="s">
        <v>67</v>
      </c>
      <c r="F2511" t="s">
        <v>26</v>
      </c>
      <c r="G2511" t="s">
        <v>27</v>
      </c>
      <c r="H2511" s="8">
        <v>2</v>
      </c>
      <c r="I2511" s="10">
        <v>89</v>
      </c>
      <c r="J2511" s="14">
        <f>P2511*I2511</f>
        <v>178</v>
      </c>
      <c r="K2511" s="16">
        <v>520</v>
      </c>
      <c r="L2511" s="1" t="s">
        <v>30</v>
      </c>
      <c r="M2511" t="s">
        <v>22</v>
      </c>
      <c r="N2511" t="str">
        <f t="shared" si="57"/>
        <v>United Kingdom</v>
      </c>
      <c r="O2511" s="8">
        <f>IF(K2511&gt;=1,K2511,K2511*1000)</f>
        <v>520</v>
      </c>
      <c r="P2511">
        <f>ABS(H2511)</f>
        <v>2</v>
      </c>
      <c r="R2511"/>
    </row>
    <row r="2512" spans="1:18" x14ac:dyDescent="0.35">
      <c r="A2512" t="s">
        <v>4037</v>
      </c>
      <c r="B2512" s="2" t="s">
        <v>1666</v>
      </c>
      <c r="C2512" t="s">
        <v>983</v>
      </c>
      <c r="D2512" s="3" t="s">
        <v>4613</v>
      </c>
      <c r="E2512" t="s">
        <v>67</v>
      </c>
      <c r="F2512" t="s">
        <v>74</v>
      </c>
      <c r="G2512" t="s">
        <v>75</v>
      </c>
      <c r="H2512" s="8">
        <v>1</v>
      </c>
      <c r="I2512" s="10">
        <v>12.5</v>
      </c>
      <c r="J2512" s="14">
        <f>P2512*I2512</f>
        <v>12.5</v>
      </c>
      <c r="K2512" s="16">
        <v>0.41</v>
      </c>
      <c r="L2512" s="1" t="s">
        <v>21</v>
      </c>
      <c r="M2512" t="s">
        <v>58</v>
      </c>
      <c r="N2512" t="str">
        <f t="shared" si="57"/>
        <v>United Kingdom</v>
      </c>
      <c r="O2512" s="8">
        <f>IF(K2512&gt;=1,K2512,K2512*1000)</f>
        <v>410</v>
      </c>
      <c r="P2512">
        <f>ABS(H2512)</f>
        <v>1</v>
      </c>
      <c r="R2512"/>
    </row>
    <row r="2513" spans="1:18" x14ac:dyDescent="0.35">
      <c r="A2513" t="s">
        <v>4038</v>
      </c>
      <c r="B2513" s="2">
        <v>46203</v>
      </c>
      <c r="C2513" t="s">
        <v>1128</v>
      </c>
      <c r="D2513" s="3" t="s">
        <v>61</v>
      </c>
      <c r="E2513" t="s">
        <v>41</v>
      </c>
      <c r="F2513" t="s">
        <v>89</v>
      </c>
      <c r="G2513" t="s">
        <v>90</v>
      </c>
      <c r="H2513" s="8">
        <v>3</v>
      </c>
      <c r="I2513" s="10">
        <v>45</v>
      </c>
      <c r="J2513" s="14">
        <f>P2513*I2513</f>
        <v>135</v>
      </c>
      <c r="K2513" s="16">
        <v>0.64</v>
      </c>
      <c r="L2513" s="1" t="s">
        <v>30</v>
      </c>
      <c r="M2513" t="s">
        <v>22</v>
      </c>
      <c r="N2513" t="str">
        <f t="shared" si="57"/>
        <v>Ireland</v>
      </c>
      <c r="O2513" s="8">
        <f>IF(K2513&gt;=1,K2513,K2513*1000)</f>
        <v>640</v>
      </c>
      <c r="P2513">
        <f>ABS(H2513)</f>
        <v>3</v>
      </c>
      <c r="R2513"/>
    </row>
    <row r="2514" spans="1:18" x14ac:dyDescent="0.35">
      <c r="A2514" t="s">
        <v>4039</v>
      </c>
      <c r="B2514" s="2">
        <v>46097</v>
      </c>
      <c r="C2514" t="s">
        <v>996</v>
      </c>
      <c r="D2514" s="3" t="s">
        <v>4613</v>
      </c>
      <c r="E2514" t="s">
        <v>25</v>
      </c>
      <c r="F2514" t="s">
        <v>42</v>
      </c>
      <c r="G2514" t="s">
        <v>43</v>
      </c>
      <c r="H2514" s="8">
        <v>2</v>
      </c>
      <c r="I2514" s="10">
        <v>21.6</v>
      </c>
      <c r="J2514" s="14">
        <f>P2514*I2514</f>
        <v>43.2</v>
      </c>
      <c r="K2514" s="16">
        <v>190</v>
      </c>
      <c r="L2514" s="1" t="s">
        <v>30</v>
      </c>
      <c r="M2514" t="s">
        <v>22</v>
      </c>
      <c r="N2514" t="str">
        <f t="shared" si="57"/>
        <v>United Kingdom</v>
      </c>
      <c r="O2514" s="8">
        <f>IF(K2514&gt;=1,K2514,K2514*1000)</f>
        <v>190</v>
      </c>
      <c r="P2514">
        <f>ABS(H2514)</f>
        <v>2</v>
      </c>
      <c r="R2514"/>
    </row>
    <row r="2515" spans="1:18" x14ac:dyDescent="0.35">
      <c r="A2515" t="s">
        <v>4040</v>
      </c>
      <c r="B2515" s="2">
        <v>46199</v>
      </c>
      <c r="C2515" t="s">
        <v>615</v>
      </c>
      <c r="D2515" s="3" t="s">
        <v>61</v>
      </c>
      <c r="E2515" t="s">
        <v>25</v>
      </c>
      <c r="F2515" t="s">
        <v>26</v>
      </c>
      <c r="G2515" t="s">
        <v>27</v>
      </c>
      <c r="H2515" s="8">
        <v>3</v>
      </c>
      <c r="I2515" s="12" t="s">
        <v>4648</v>
      </c>
      <c r="J2515" s="14">
        <f>P2515*R2515</f>
        <v>135</v>
      </c>
      <c r="K2515" s="16">
        <v>0.52</v>
      </c>
      <c r="L2515" s="1" t="s">
        <v>30</v>
      </c>
      <c r="M2515" t="s">
        <v>22</v>
      </c>
      <c r="N2515" t="str">
        <f t="shared" si="57"/>
        <v>Ireland</v>
      </c>
      <c r="O2515" s="8">
        <f>IF(K2515&gt;=1,K2515,K2515*1000)</f>
        <v>520</v>
      </c>
      <c r="P2515">
        <f>ABS(H2515)</f>
        <v>3</v>
      </c>
      <c r="Q2515" t="str">
        <f>LEFT(I2515,2)</f>
        <v>Â£</v>
      </c>
      <c r="R2515" t="str">
        <f>RIGHT(I2515,5)</f>
        <v>45,00</v>
      </c>
    </row>
    <row r="2516" spans="1:18" x14ac:dyDescent="0.35">
      <c r="A2516" t="s">
        <v>4041</v>
      </c>
      <c r="B2516" s="2">
        <v>46062</v>
      </c>
      <c r="C2516" t="s">
        <v>385</v>
      </c>
      <c r="D2516" s="3" t="s">
        <v>66</v>
      </c>
      <c r="E2516" t="s">
        <v>16</v>
      </c>
      <c r="F2516" t="s">
        <v>47</v>
      </c>
      <c r="G2516" t="s">
        <v>48</v>
      </c>
      <c r="H2516" s="8">
        <v>1</v>
      </c>
      <c r="I2516" s="10">
        <v>149</v>
      </c>
      <c r="J2516" s="14">
        <f>P2516*I2516</f>
        <v>149</v>
      </c>
      <c r="K2516" s="16">
        <v>380</v>
      </c>
      <c r="L2516" s="1" t="s">
        <v>30</v>
      </c>
      <c r="M2516" t="s">
        <v>58</v>
      </c>
      <c r="N2516" t="str">
        <f t="shared" si="57"/>
        <v>Gb</v>
      </c>
      <c r="O2516" s="8">
        <f>IF(K2516&gt;=1,K2516,K2516*1000)</f>
        <v>380</v>
      </c>
      <c r="P2516">
        <f>ABS(H2516)</f>
        <v>1</v>
      </c>
      <c r="R2516"/>
    </row>
    <row r="2517" spans="1:18" x14ac:dyDescent="0.35">
      <c r="A2517" t="s">
        <v>4042</v>
      </c>
      <c r="B2517" s="2">
        <v>46053</v>
      </c>
      <c r="C2517" t="s">
        <v>376</v>
      </c>
      <c r="D2517" s="3" t="s">
        <v>4612</v>
      </c>
      <c r="E2517" t="s">
        <v>25</v>
      </c>
      <c r="F2517" t="s">
        <v>47</v>
      </c>
      <c r="G2517" t="s">
        <v>48</v>
      </c>
      <c r="H2517" s="8">
        <v>3</v>
      </c>
      <c r="I2517" s="10">
        <v>79</v>
      </c>
      <c r="J2517" s="14">
        <f>P2517*I2517</f>
        <v>237</v>
      </c>
      <c r="K2517" s="16">
        <v>380</v>
      </c>
      <c r="L2517" s="1" t="s">
        <v>30</v>
      </c>
      <c r="M2517" t="s">
        <v>22</v>
      </c>
      <c r="N2517" t="str">
        <f t="shared" si="57"/>
        <v>United Kingdom</v>
      </c>
      <c r="O2517" s="8">
        <f>IF(K2517&gt;=1,K2517,K2517*1000)</f>
        <v>380</v>
      </c>
      <c r="P2517">
        <f>ABS(H2517)</f>
        <v>3</v>
      </c>
      <c r="R2517"/>
    </row>
    <row r="2518" spans="1:18" x14ac:dyDescent="0.35">
      <c r="A2518" t="s">
        <v>4043</v>
      </c>
      <c r="B2518" s="2">
        <v>46161</v>
      </c>
      <c r="C2518" t="s">
        <v>234</v>
      </c>
      <c r="D2518" s="3" t="s">
        <v>4612</v>
      </c>
      <c r="E2518" t="s">
        <v>41</v>
      </c>
      <c r="F2518" t="s">
        <v>35</v>
      </c>
      <c r="G2518" t="s">
        <v>36</v>
      </c>
      <c r="H2518" s="8">
        <v>2</v>
      </c>
      <c r="I2518" s="10">
        <v>71.099999999999994</v>
      </c>
      <c r="J2518" s="14">
        <f>P2518*I2518</f>
        <v>142.19999999999999</v>
      </c>
      <c r="K2518" s="16">
        <v>8.5000000000000006E-2</v>
      </c>
      <c r="L2518" s="1" t="s">
        <v>21</v>
      </c>
      <c r="M2518" t="s">
        <v>58</v>
      </c>
      <c r="N2518" t="str">
        <f t="shared" si="57"/>
        <v>United Kingdom</v>
      </c>
      <c r="O2518" s="8">
        <f>IF(K2518&gt;=1,K2518,K2518*1000)</f>
        <v>85</v>
      </c>
      <c r="P2518">
        <f>ABS(H2518)</f>
        <v>2</v>
      </c>
      <c r="R2518"/>
    </row>
    <row r="2519" spans="1:18" x14ac:dyDescent="0.35">
      <c r="A2519" t="s">
        <v>4044</v>
      </c>
      <c r="B2519" s="2">
        <v>46057</v>
      </c>
      <c r="C2519" t="s">
        <v>2428</v>
      </c>
      <c r="D2519" s="3" t="s">
        <v>116</v>
      </c>
      <c r="E2519" t="s">
        <v>41</v>
      </c>
      <c r="F2519" t="s">
        <v>74</v>
      </c>
      <c r="G2519" t="s">
        <v>75</v>
      </c>
      <c r="H2519" s="8">
        <v>2</v>
      </c>
      <c r="I2519" s="12" t="s">
        <v>4619</v>
      </c>
      <c r="J2519" s="14">
        <f>P2519*R2519</f>
        <v>25</v>
      </c>
      <c r="K2519" s="16">
        <v>410</v>
      </c>
      <c r="L2519" s="1" t="s">
        <v>30</v>
      </c>
      <c r="M2519" t="s">
        <v>22</v>
      </c>
      <c r="N2519" t="str">
        <f t="shared" si="57"/>
        <v>Germany</v>
      </c>
      <c r="O2519" s="8">
        <f>IF(K2519&gt;=1,K2519,K2519*1000)</f>
        <v>410</v>
      </c>
      <c r="P2519">
        <f>ABS(H2519)</f>
        <v>2</v>
      </c>
      <c r="Q2519" t="str">
        <f>LEFT(I2519,3)</f>
        <v>GBP</v>
      </c>
      <c r="R2519" s="10" t="str">
        <f>RIGHT(I2519,5)</f>
        <v>12,50</v>
      </c>
    </row>
    <row r="2520" spans="1:18" x14ac:dyDescent="0.35">
      <c r="A2520" t="s">
        <v>4045</v>
      </c>
      <c r="B2520" s="2">
        <v>46177</v>
      </c>
      <c r="C2520" t="s">
        <v>1287</v>
      </c>
      <c r="D2520" s="3" t="s">
        <v>53</v>
      </c>
      <c r="E2520" t="s">
        <v>34</v>
      </c>
      <c r="F2520" t="s">
        <v>47</v>
      </c>
      <c r="G2520" t="s">
        <v>48</v>
      </c>
      <c r="H2520" s="8">
        <v>2</v>
      </c>
      <c r="I2520" s="10">
        <v>129</v>
      </c>
      <c r="J2520" s="14">
        <f>P2520*I2520</f>
        <v>258</v>
      </c>
      <c r="K2520" s="16">
        <v>0.38</v>
      </c>
      <c r="L2520" s="1" t="s">
        <v>30</v>
      </c>
      <c r="M2520" t="s">
        <v>22</v>
      </c>
      <c r="N2520" t="str">
        <f t="shared" si="57"/>
        <v>Gb</v>
      </c>
      <c r="O2520" s="8">
        <f>IF(K2520&gt;=1,K2520,K2520*1000)</f>
        <v>380</v>
      </c>
      <c r="P2520">
        <f>ABS(H2520)</f>
        <v>2</v>
      </c>
      <c r="R2520"/>
    </row>
    <row r="2521" spans="1:18" x14ac:dyDescent="0.35">
      <c r="A2521" t="s">
        <v>4046</v>
      </c>
      <c r="B2521" s="2">
        <v>46072</v>
      </c>
      <c r="C2521" t="s">
        <v>1655</v>
      </c>
      <c r="D2521" s="3" t="s">
        <v>46</v>
      </c>
      <c r="E2521" t="s">
        <v>16</v>
      </c>
      <c r="F2521" t="s">
        <v>83</v>
      </c>
      <c r="G2521" t="s">
        <v>84</v>
      </c>
      <c r="H2521" s="8">
        <v>1</v>
      </c>
      <c r="I2521" s="10">
        <v>24</v>
      </c>
      <c r="J2521" s="14">
        <f>P2521*I2521</f>
        <v>24</v>
      </c>
      <c r="K2521" s="16">
        <v>340</v>
      </c>
      <c r="L2521" s="1" t="s">
        <v>30</v>
      </c>
      <c r="M2521" t="s">
        <v>58</v>
      </c>
      <c r="N2521" t="str">
        <f t="shared" si="57"/>
        <v>Ireland</v>
      </c>
      <c r="O2521" s="8">
        <f>IF(K2521&gt;=1,K2521,K2521*1000)</f>
        <v>340</v>
      </c>
      <c r="P2521">
        <f>ABS(H2521)</f>
        <v>1</v>
      </c>
      <c r="R2521"/>
    </row>
    <row r="2522" spans="1:18" x14ac:dyDescent="0.35">
      <c r="A2522" t="s">
        <v>4047</v>
      </c>
      <c r="B2522" s="2" t="s">
        <v>2122</v>
      </c>
      <c r="C2522" t="s">
        <v>537</v>
      </c>
      <c r="D2522" s="3" t="s">
        <v>4612</v>
      </c>
      <c r="E2522" t="s">
        <v>16</v>
      </c>
      <c r="F2522" t="s">
        <v>42</v>
      </c>
      <c r="G2522" t="s">
        <v>43</v>
      </c>
      <c r="H2522" s="8">
        <v>2</v>
      </c>
      <c r="I2522" s="10">
        <v>89</v>
      </c>
      <c r="J2522" s="14">
        <f>P2522*I2522</f>
        <v>178</v>
      </c>
      <c r="K2522" s="16">
        <v>190</v>
      </c>
      <c r="L2522" s="1" t="s">
        <v>30</v>
      </c>
      <c r="M2522" t="s">
        <v>22</v>
      </c>
      <c r="N2522" t="str">
        <f t="shared" si="57"/>
        <v>United Kingdom</v>
      </c>
      <c r="O2522" s="8">
        <f>IF(K2522&gt;=1,K2522,K2522*1000)</f>
        <v>190</v>
      </c>
      <c r="P2522">
        <f>ABS(H2522)</f>
        <v>2</v>
      </c>
      <c r="R2522"/>
    </row>
    <row r="2523" spans="1:18" x14ac:dyDescent="0.35">
      <c r="A2523" t="s">
        <v>4048</v>
      </c>
      <c r="B2523" s="2">
        <v>46144</v>
      </c>
      <c r="C2523" t="s">
        <v>519</v>
      </c>
      <c r="D2523" s="3" t="s">
        <v>116</v>
      </c>
      <c r="E2523" t="s">
        <v>16</v>
      </c>
      <c r="F2523" t="s">
        <v>17</v>
      </c>
      <c r="G2523" t="s">
        <v>18</v>
      </c>
      <c r="H2523" s="8">
        <v>2</v>
      </c>
      <c r="I2523" s="10">
        <v>79</v>
      </c>
      <c r="J2523" s="14">
        <f>P2523*I2523</f>
        <v>158</v>
      </c>
      <c r="K2523" s="16">
        <v>520</v>
      </c>
      <c r="L2523" s="1" t="s">
        <v>30</v>
      </c>
      <c r="M2523" t="s">
        <v>58</v>
      </c>
      <c r="N2523" t="str">
        <f t="shared" si="57"/>
        <v>Germany</v>
      </c>
      <c r="O2523" s="8">
        <f>IF(K2523&gt;=1,K2523,K2523*1000)</f>
        <v>520</v>
      </c>
      <c r="P2523">
        <f>ABS(H2523)</f>
        <v>2</v>
      </c>
      <c r="R2523"/>
    </row>
    <row r="2524" spans="1:18" x14ac:dyDescent="0.35">
      <c r="A2524" t="s">
        <v>4049</v>
      </c>
      <c r="B2524" s="2" t="s">
        <v>1414</v>
      </c>
      <c r="C2524" t="s">
        <v>4050</v>
      </c>
      <c r="D2524" s="3" t="s">
        <v>99</v>
      </c>
      <c r="E2524" t="s">
        <v>25</v>
      </c>
      <c r="F2524" t="s">
        <v>47</v>
      </c>
      <c r="G2524" t="s">
        <v>48</v>
      </c>
      <c r="H2524" s="8">
        <v>3</v>
      </c>
      <c r="I2524" s="10">
        <v>134.1</v>
      </c>
      <c r="J2524" s="14">
        <f>P2524*I2524</f>
        <v>402.29999999999995</v>
      </c>
      <c r="K2524" s="16">
        <v>0.38</v>
      </c>
      <c r="L2524" s="1" t="s">
        <v>21</v>
      </c>
      <c r="M2524" t="s">
        <v>22</v>
      </c>
      <c r="N2524" t="str">
        <f t="shared" si="57"/>
        <v>United Kingdom</v>
      </c>
      <c r="O2524" s="8">
        <f>IF(K2524&gt;=1,K2524,K2524*1000)</f>
        <v>380</v>
      </c>
      <c r="P2524">
        <f>ABS(H2524)</f>
        <v>3</v>
      </c>
      <c r="R2524"/>
    </row>
    <row r="2525" spans="1:18" x14ac:dyDescent="0.35">
      <c r="A2525" t="s">
        <v>4051</v>
      </c>
      <c r="B2525" s="2">
        <v>46112</v>
      </c>
      <c r="C2525" t="s">
        <v>4052</v>
      </c>
      <c r="D2525" s="3" t="s">
        <v>99</v>
      </c>
      <c r="E2525" t="s">
        <v>41</v>
      </c>
      <c r="F2525" t="s">
        <v>83</v>
      </c>
      <c r="G2525" t="s">
        <v>84</v>
      </c>
      <c r="H2525" s="8">
        <v>3</v>
      </c>
      <c r="I2525" s="10">
        <v>116.1</v>
      </c>
      <c r="J2525" s="14">
        <f>P2525*I2525</f>
        <v>348.29999999999995</v>
      </c>
      <c r="K2525" s="16">
        <v>340</v>
      </c>
      <c r="L2525" s="1" t="s">
        <v>21</v>
      </c>
      <c r="M2525" t="s">
        <v>58</v>
      </c>
      <c r="N2525" t="str">
        <f t="shared" si="57"/>
        <v>United Kingdom</v>
      </c>
      <c r="O2525" s="8">
        <f>IF(K2525&gt;=1,K2525,K2525*1000)</f>
        <v>340</v>
      </c>
      <c r="P2525">
        <f>ABS(H2525)</f>
        <v>3</v>
      </c>
      <c r="R2525"/>
    </row>
    <row r="2526" spans="1:18" x14ac:dyDescent="0.35">
      <c r="A2526" t="s">
        <v>4053</v>
      </c>
      <c r="B2526" s="2" t="s">
        <v>778</v>
      </c>
      <c r="C2526" t="s">
        <v>2542</v>
      </c>
      <c r="D2526" s="3" t="s">
        <v>4612</v>
      </c>
      <c r="E2526" t="s">
        <v>67</v>
      </c>
      <c r="F2526" t="s">
        <v>17</v>
      </c>
      <c r="G2526" t="s">
        <v>18</v>
      </c>
      <c r="H2526" s="8">
        <v>1</v>
      </c>
      <c r="I2526" s="12" t="s">
        <v>4620</v>
      </c>
      <c r="J2526" s="14">
        <f>P2526*R2526</f>
        <v>80.099999999999994</v>
      </c>
      <c r="K2526" s="16">
        <v>0.52</v>
      </c>
      <c r="L2526" s="1" t="s">
        <v>30</v>
      </c>
      <c r="M2526" t="s">
        <v>22</v>
      </c>
      <c r="N2526" t="str">
        <f t="shared" si="57"/>
        <v>United Kingdom</v>
      </c>
      <c r="O2526" s="8">
        <f>IF(K2526&gt;=1,K2526,K2526*1000)</f>
        <v>520</v>
      </c>
      <c r="P2526">
        <f>ABS(H2526)</f>
        <v>1</v>
      </c>
      <c r="Q2526" t="str">
        <f>LEFT(I2526,3)</f>
        <v>GBP</v>
      </c>
      <c r="R2526" s="10" t="str">
        <f>RIGHT(I2526,5)</f>
        <v>80,10</v>
      </c>
    </row>
    <row r="2527" spans="1:18" x14ac:dyDescent="0.35">
      <c r="A2527" t="s">
        <v>4054</v>
      </c>
      <c r="B2527" s="2" t="s">
        <v>2586</v>
      </c>
      <c r="C2527" t="s">
        <v>4055</v>
      </c>
      <c r="D2527" s="3" t="s">
        <v>61</v>
      </c>
      <c r="E2527" t="s">
        <v>67</v>
      </c>
      <c r="F2527" t="s">
        <v>47</v>
      </c>
      <c r="G2527" t="s">
        <v>48</v>
      </c>
      <c r="H2527" s="8">
        <v>2</v>
      </c>
      <c r="I2527" s="10">
        <v>89</v>
      </c>
      <c r="J2527" s="14">
        <f>P2527*I2527</f>
        <v>178</v>
      </c>
      <c r="K2527" s="16">
        <v>380</v>
      </c>
      <c r="L2527" s="1" t="s">
        <v>30</v>
      </c>
      <c r="M2527" t="s">
        <v>58</v>
      </c>
      <c r="N2527" t="str">
        <f t="shared" si="57"/>
        <v>Ireland</v>
      </c>
      <c r="O2527" s="8">
        <f>IF(K2527&gt;=1,K2527,K2527*1000)</f>
        <v>380</v>
      </c>
      <c r="P2527">
        <f>ABS(H2527)</f>
        <v>2</v>
      </c>
      <c r="R2527"/>
    </row>
    <row r="2528" spans="1:18" x14ac:dyDescent="0.35">
      <c r="A2528" t="s">
        <v>4056</v>
      </c>
      <c r="B2528" s="2">
        <v>46064</v>
      </c>
      <c r="C2528" t="s">
        <v>2530</v>
      </c>
      <c r="D2528" s="3" t="s">
        <v>61</v>
      </c>
      <c r="E2528" t="s">
        <v>16</v>
      </c>
      <c r="F2528" t="s">
        <v>83</v>
      </c>
      <c r="G2528" t="s">
        <v>84</v>
      </c>
      <c r="H2528" s="8">
        <v>2</v>
      </c>
      <c r="I2528" s="10">
        <v>89</v>
      </c>
      <c r="J2528" s="14">
        <f>P2528*I2528</f>
        <v>178</v>
      </c>
      <c r="K2528" s="16">
        <v>340</v>
      </c>
      <c r="L2528" s="1" t="s">
        <v>30</v>
      </c>
      <c r="M2528" t="s">
        <v>58</v>
      </c>
      <c r="N2528" t="str">
        <f t="shared" si="57"/>
        <v>Ireland</v>
      </c>
      <c r="O2528" s="8">
        <f>IF(K2528&gt;=1,K2528,K2528*1000)</f>
        <v>340</v>
      </c>
      <c r="P2528">
        <f>ABS(H2528)</f>
        <v>2</v>
      </c>
      <c r="R2528"/>
    </row>
    <row r="2529" spans="1:18" x14ac:dyDescent="0.35">
      <c r="A2529" t="s">
        <v>4057</v>
      </c>
      <c r="B2529" s="2">
        <v>46175</v>
      </c>
      <c r="C2529" t="s">
        <v>3129</v>
      </c>
      <c r="D2529" s="3" t="s">
        <v>66</v>
      </c>
      <c r="E2529" t="s">
        <v>41</v>
      </c>
      <c r="F2529" t="s">
        <v>26</v>
      </c>
      <c r="G2529" t="s">
        <v>27</v>
      </c>
      <c r="H2529" s="8">
        <v>1</v>
      </c>
      <c r="I2529" s="10">
        <v>95</v>
      </c>
      <c r="J2529" s="14">
        <f>P2529*I2529</f>
        <v>95</v>
      </c>
      <c r="K2529" s="16">
        <v>520</v>
      </c>
      <c r="L2529" s="1" t="s">
        <v>21</v>
      </c>
      <c r="M2529" t="s">
        <v>58</v>
      </c>
      <c r="N2529" t="str">
        <f t="shared" si="57"/>
        <v>Gb</v>
      </c>
      <c r="O2529" s="8">
        <f>IF(K2529&gt;=1,K2529,K2529*1000)</f>
        <v>520</v>
      </c>
      <c r="P2529">
        <f>ABS(H2529)</f>
        <v>1</v>
      </c>
      <c r="R2529"/>
    </row>
    <row r="2530" spans="1:18" x14ac:dyDescent="0.35">
      <c r="A2530" t="s">
        <v>4058</v>
      </c>
      <c r="B2530" s="2">
        <v>46116</v>
      </c>
      <c r="C2530" t="s">
        <v>668</v>
      </c>
      <c r="D2530" s="3" t="s">
        <v>4612</v>
      </c>
      <c r="E2530" t="s">
        <v>41</v>
      </c>
      <c r="F2530" t="s">
        <v>74</v>
      </c>
      <c r="G2530" t="s">
        <v>75</v>
      </c>
      <c r="H2530" s="8">
        <v>2</v>
      </c>
      <c r="I2530" s="10">
        <v>85.5</v>
      </c>
      <c r="J2530" s="14">
        <f>P2530*I2530</f>
        <v>171</v>
      </c>
      <c r="K2530" s="16">
        <v>410</v>
      </c>
      <c r="L2530" s="1" t="s">
        <v>30</v>
      </c>
      <c r="M2530" t="s">
        <v>22</v>
      </c>
      <c r="N2530" t="str">
        <f t="shared" si="57"/>
        <v>United Kingdom</v>
      </c>
      <c r="O2530" s="8">
        <f>IF(K2530&gt;=1,K2530,K2530*1000)</f>
        <v>410</v>
      </c>
      <c r="P2530">
        <f>ABS(H2530)</f>
        <v>2</v>
      </c>
      <c r="R2530"/>
    </row>
    <row r="2531" spans="1:18" x14ac:dyDescent="0.35">
      <c r="A2531" t="s">
        <v>4059</v>
      </c>
      <c r="B2531" s="2">
        <v>46200</v>
      </c>
      <c r="C2531" t="s">
        <v>4060</v>
      </c>
      <c r="D2531" s="3" t="s">
        <v>99</v>
      </c>
      <c r="E2531" t="s">
        <v>67</v>
      </c>
      <c r="F2531" t="s">
        <v>74</v>
      </c>
      <c r="G2531" t="s">
        <v>75</v>
      </c>
      <c r="H2531" s="8">
        <v>2</v>
      </c>
      <c r="I2531" s="10">
        <v>116.1</v>
      </c>
      <c r="J2531" s="14">
        <f>P2531*I2531</f>
        <v>232.2</v>
      </c>
      <c r="K2531" s="16">
        <v>0.41</v>
      </c>
      <c r="L2531" s="1" t="s">
        <v>30</v>
      </c>
      <c r="M2531" t="s">
        <v>22</v>
      </c>
      <c r="N2531" t="str">
        <f t="shared" si="57"/>
        <v>United Kingdom</v>
      </c>
      <c r="O2531" s="8">
        <f>IF(K2531&gt;=1,K2531,K2531*1000)</f>
        <v>410</v>
      </c>
      <c r="P2531">
        <f>ABS(H2531)</f>
        <v>2</v>
      </c>
      <c r="R2531"/>
    </row>
    <row r="2532" spans="1:18" x14ac:dyDescent="0.35">
      <c r="A2532" t="s">
        <v>4061</v>
      </c>
      <c r="B2532" s="2" t="s">
        <v>3353</v>
      </c>
      <c r="C2532" t="s">
        <v>3444</v>
      </c>
      <c r="D2532" s="3" t="s">
        <v>116</v>
      </c>
      <c r="E2532" t="s">
        <v>34</v>
      </c>
      <c r="F2532" t="s">
        <v>26</v>
      </c>
      <c r="G2532" t="s">
        <v>27</v>
      </c>
      <c r="H2532" s="8">
        <v>1</v>
      </c>
      <c r="I2532" s="10">
        <v>95</v>
      </c>
      <c r="J2532" s="14">
        <f>P2532*I2532</f>
        <v>95</v>
      </c>
      <c r="K2532" s="16">
        <v>520</v>
      </c>
      <c r="L2532" s="1" t="s">
        <v>30</v>
      </c>
      <c r="M2532" t="s">
        <v>22</v>
      </c>
      <c r="N2532" t="str">
        <f t="shared" si="57"/>
        <v>Germany</v>
      </c>
      <c r="O2532" s="8">
        <f>IF(K2532&gt;=1,K2532,K2532*1000)</f>
        <v>520</v>
      </c>
      <c r="P2532">
        <f>ABS(H2532)</f>
        <v>1</v>
      </c>
      <c r="R2532"/>
    </row>
    <row r="2533" spans="1:18" x14ac:dyDescent="0.35">
      <c r="A2533" t="s">
        <v>4062</v>
      </c>
      <c r="B2533" s="2">
        <v>46031</v>
      </c>
      <c r="C2533" t="s">
        <v>1437</v>
      </c>
      <c r="D2533" s="3" t="s">
        <v>15</v>
      </c>
      <c r="E2533" t="s">
        <v>25</v>
      </c>
      <c r="F2533" t="s">
        <v>42</v>
      </c>
      <c r="G2533" t="s">
        <v>43</v>
      </c>
      <c r="H2533" s="8">
        <v>2</v>
      </c>
      <c r="I2533" s="10">
        <v>11.25</v>
      </c>
      <c r="J2533" s="14">
        <f>P2533*I2533</f>
        <v>22.5</v>
      </c>
      <c r="K2533" s="16">
        <v>190</v>
      </c>
      <c r="L2533" s="1" t="s">
        <v>30</v>
      </c>
      <c r="M2533" t="s">
        <v>22</v>
      </c>
      <c r="N2533" t="str">
        <f t="shared" si="57"/>
        <v>France</v>
      </c>
      <c r="O2533" s="8">
        <f>IF(K2533&gt;=1,K2533,K2533*1000)</f>
        <v>190</v>
      </c>
      <c r="P2533">
        <f>ABS(H2533)</f>
        <v>2</v>
      </c>
      <c r="R2533"/>
    </row>
    <row r="2534" spans="1:18" x14ac:dyDescent="0.35">
      <c r="A2534" t="s">
        <v>4063</v>
      </c>
      <c r="B2534" s="2">
        <v>46038</v>
      </c>
      <c r="C2534" t="s">
        <v>696</v>
      </c>
      <c r="D2534" s="3" t="s">
        <v>66</v>
      </c>
      <c r="E2534" t="s">
        <v>25</v>
      </c>
      <c r="F2534" t="s">
        <v>35</v>
      </c>
      <c r="G2534" t="s">
        <v>36</v>
      </c>
      <c r="H2534" s="8">
        <v>2</v>
      </c>
      <c r="I2534" s="10">
        <v>149</v>
      </c>
      <c r="J2534" s="14">
        <f>P2534*I2534</f>
        <v>298</v>
      </c>
      <c r="K2534" s="16">
        <v>85</v>
      </c>
      <c r="L2534" s="1" t="s">
        <v>21</v>
      </c>
      <c r="M2534" t="s">
        <v>22</v>
      </c>
      <c r="N2534" t="str">
        <f t="shared" si="57"/>
        <v>Gb</v>
      </c>
      <c r="O2534" s="8">
        <f>IF(K2534&gt;=1,K2534,K2534*1000)</f>
        <v>85</v>
      </c>
      <c r="P2534">
        <f>ABS(H2534)</f>
        <v>2</v>
      </c>
      <c r="R2534"/>
    </row>
    <row r="2535" spans="1:18" x14ac:dyDescent="0.35">
      <c r="A2535" t="s">
        <v>4064</v>
      </c>
      <c r="B2535" s="2">
        <v>46161</v>
      </c>
      <c r="C2535" t="s">
        <v>1144</v>
      </c>
      <c r="D2535" s="3" t="s">
        <v>53</v>
      </c>
      <c r="E2535" t="s">
        <v>25</v>
      </c>
      <c r="F2535" t="s">
        <v>42</v>
      </c>
      <c r="G2535" t="s">
        <v>43</v>
      </c>
      <c r="H2535" s="8">
        <v>2</v>
      </c>
      <c r="I2535" s="10">
        <v>129</v>
      </c>
      <c r="J2535" s="14">
        <f>P2535*I2535</f>
        <v>258</v>
      </c>
      <c r="K2535" s="16">
        <v>0.19</v>
      </c>
      <c r="L2535" s="1" t="s">
        <v>30</v>
      </c>
      <c r="M2535" t="s">
        <v>22</v>
      </c>
      <c r="N2535" t="str">
        <f t="shared" si="57"/>
        <v>Gb</v>
      </c>
      <c r="O2535" s="8">
        <f>IF(K2535&gt;=1,K2535,K2535*1000)</f>
        <v>190</v>
      </c>
      <c r="P2535">
        <f>ABS(H2535)</f>
        <v>2</v>
      </c>
      <c r="R2535"/>
    </row>
    <row r="2536" spans="1:18" x14ac:dyDescent="0.35">
      <c r="A2536" t="s">
        <v>4065</v>
      </c>
      <c r="B2536" s="2" t="s">
        <v>2018</v>
      </c>
      <c r="C2536" t="s">
        <v>836</v>
      </c>
      <c r="D2536" s="3" t="s">
        <v>53</v>
      </c>
      <c r="E2536" t="s">
        <v>25</v>
      </c>
      <c r="F2536" t="s">
        <v>42</v>
      </c>
      <c r="G2536" t="s">
        <v>43</v>
      </c>
      <c r="H2536" s="8">
        <v>2</v>
      </c>
      <c r="I2536" s="10">
        <v>149</v>
      </c>
      <c r="J2536" s="14">
        <f>P2536*I2536</f>
        <v>298</v>
      </c>
      <c r="K2536" s="16">
        <v>190</v>
      </c>
      <c r="L2536" s="1" t="s">
        <v>30</v>
      </c>
      <c r="M2536" t="s">
        <v>22</v>
      </c>
      <c r="N2536" t="str">
        <f t="shared" si="57"/>
        <v>Gb</v>
      </c>
      <c r="O2536" s="8">
        <f>IF(K2536&gt;=1,K2536,K2536*1000)</f>
        <v>190</v>
      </c>
      <c r="P2536">
        <f>ABS(H2536)</f>
        <v>2</v>
      </c>
      <c r="R2536"/>
    </row>
    <row r="2537" spans="1:18" x14ac:dyDescent="0.35">
      <c r="A2537" t="s">
        <v>4066</v>
      </c>
      <c r="B2537" s="2">
        <v>46094</v>
      </c>
      <c r="C2537" t="s">
        <v>4067</v>
      </c>
      <c r="D2537" s="3" t="s">
        <v>99</v>
      </c>
      <c r="E2537" t="s">
        <v>16</v>
      </c>
      <c r="F2537" t="s">
        <v>89</v>
      </c>
      <c r="G2537" t="s">
        <v>90</v>
      </c>
      <c r="H2537" s="8">
        <v>1</v>
      </c>
      <c r="I2537" s="10">
        <v>12.5</v>
      </c>
      <c r="J2537" s="14">
        <f>P2537*I2537</f>
        <v>12.5</v>
      </c>
      <c r="K2537" s="16">
        <v>640</v>
      </c>
      <c r="L2537" s="1" t="s">
        <v>21</v>
      </c>
      <c r="M2537" t="s">
        <v>58</v>
      </c>
      <c r="N2537" t="str">
        <f t="shared" si="57"/>
        <v>United Kingdom</v>
      </c>
      <c r="O2537" s="8">
        <f>IF(K2537&gt;=1,K2537,K2537*1000)</f>
        <v>640</v>
      </c>
      <c r="P2537">
        <f>ABS(H2537)</f>
        <v>1</v>
      </c>
      <c r="R2537"/>
    </row>
    <row r="2538" spans="1:18" x14ac:dyDescent="0.35">
      <c r="A2538" t="s">
        <v>4068</v>
      </c>
      <c r="B2538" s="2">
        <v>46140</v>
      </c>
      <c r="C2538" t="s">
        <v>2070</v>
      </c>
      <c r="D2538" s="3" t="s">
        <v>15</v>
      </c>
      <c r="E2538" t="s">
        <v>41</v>
      </c>
      <c r="F2538" t="s">
        <v>42</v>
      </c>
      <c r="G2538" t="s">
        <v>43</v>
      </c>
      <c r="H2538" s="8">
        <v>2</v>
      </c>
      <c r="I2538" s="10">
        <v>79</v>
      </c>
      <c r="J2538" s="14">
        <f>P2538*I2538</f>
        <v>158</v>
      </c>
      <c r="K2538" s="16">
        <v>0.19</v>
      </c>
      <c r="L2538" s="1" t="s">
        <v>30</v>
      </c>
      <c r="M2538" t="s">
        <v>22</v>
      </c>
      <c r="N2538" t="str">
        <f t="shared" si="57"/>
        <v>France</v>
      </c>
      <c r="O2538" s="8">
        <f>IF(K2538&gt;=1,K2538,K2538*1000)</f>
        <v>190</v>
      </c>
      <c r="P2538">
        <f>ABS(H2538)</f>
        <v>2</v>
      </c>
      <c r="R2538"/>
    </row>
    <row r="2539" spans="1:18" x14ac:dyDescent="0.35">
      <c r="A2539" t="s">
        <v>4069</v>
      </c>
      <c r="B2539" s="2">
        <v>46166</v>
      </c>
      <c r="C2539" t="s">
        <v>709</v>
      </c>
      <c r="D2539" s="3" t="s">
        <v>66</v>
      </c>
      <c r="E2539" t="s">
        <v>67</v>
      </c>
      <c r="F2539" t="s">
        <v>35</v>
      </c>
      <c r="G2539" t="s">
        <v>36</v>
      </c>
      <c r="H2539" s="8">
        <v>2</v>
      </c>
      <c r="I2539" s="10">
        <v>80.099999999999994</v>
      </c>
      <c r="J2539" s="14">
        <f>P2539*I2539</f>
        <v>160.19999999999999</v>
      </c>
      <c r="K2539" s="16">
        <v>8.5000000000000006E-2</v>
      </c>
      <c r="L2539" s="1" t="s">
        <v>30</v>
      </c>
      <c r="M2539" t="s">
        <v>58</v>
      </c>
      <c r="N2539" t="str">
        <f t="shared" si="57"/>
        <v>Gb</v>
      </c>
      <c r="O2539" s="8">
        <f>IF(K2539&gt;=1,K2539,K2539*1000)</f>
        <v>85</v>
      </c>
      <c r="P2539">
        <f>ABS(H2539)</f>
        <v>2</v>
      </c>
      <c r="R2539"/>
    </row>
    <row r="2540" spans="1:18" x14ac:dyDescent="0.35">
      <c r="A2540" t="s">
        <v>4070</v>
      </c>
      <c r="B2540" s="2">
        <v>46202</v>
      </c>
      <c r="C2540" t="s">
        <v>1091</v>
      </c>
      <c r="D2540" s="3" t="s">
        <v>46</v>
      </c>
      <c r="E2540" t="s">
        <v>67</v>
      </c>
      <c r="F2540" t="s">
        <v>42</v>
      </c>
      <c r="G2540" t="s">
        <v>43</v>
      </c>
      <c r="H2540" s="8">
        <v>2</v>
      </c>
      <c r="I2540" s="10">
        <v>24</v>
      </c>
      <c r="J2540" s="14">
        <f>P2540*I2540</f>
        <v>48</v>
      </c>
      <c r="K2540" s="16">
        <v>0.19</v>
      </c>
      <c r="L2540" s="1" t="s">
        <v>30</v>
      </c>
      <c r="M2540" t="s">
        <v>58</v>
      </c>
      <c r="N2540" t="str">
        <f t="shared" si="57"/>
        <v>Ireland</v>
      </c>
      <c r="O2540" s="8">
        <f>IF(K2540&gt;=1,K2540,K2540*1000)</f>
        <v>190</v>
      </c>
      <c r="P2540">
        <f>ABS(H2540)</f>
        <v>2</v>
      </c>
      <c r="R2540"/>
    </row>
    <row r="2541" spans="1:18" x14ac:dyDescent="0.35">
      <c r="A2541" t="s">
        <v>4071</v>
      </c>
      <c r="B2541" s="2">
        <v>46034</v>
      </c>
      <c r="C2541" t="s">
        <v>2199</v>
      </c>
      <c r="D2541" s="3" t="s">
        <v>99</v>
      </c>
      <c r="E2541" t="s">
        <v>41</v>
      </c>
      <c r="F2541" t="s">
        <v>17</v>
      </c>
      <c r="G2541" t="s">
        <v>18</v>
      </c>
      <c r="H2541" s="8">
        <v>2</v>
      </c>
      <c r="I2541" s="10">
        <v>134.1</v>
      </c>
      <c r="J2541" s="14">
        <f>P2541*I2541</f>
        <v>268.2</v>
      </c>
      <c r="K2541" s="16">
        <v>520</v>
      </c>
      <c r="L2541" s="1" t="s">
        <v>30</v>
      </c>
      <c r="M2541" t="s">
        <v>22</v>
      </c>
      <c r="N2541" t="str">
        <f t="shared" si="57"/>
        <v>United Kingdom</v>
      </c>
      <c r="O2541" s="8">
        <f>IF(K2541&gt;=1,K2541,K2541*1000)</f>
        <v>520</v>
      </c>
      <c r="P2541">
        <f>ABS(H2541)</f>
        <v>2</v>
      </c>
      <c r="R2541"/>
    </row>
    <row r="2542" spans="1:18" x14ac:dyDescent="0.35">
      <c r="A2542" t="s">
        <v>4072</v>
      </c>
      <c r="B2542" s="2">
        <v>46127</v>
      </c>
      <c r="C2542" t="s">
        <v>208</v>
      </c>
      <c r="D2542" s="3" t="s">
        <v>15</v>
      </c>
      <c r="E2542" t="s">
        <v>67</v>
      </c>
      <c r="F2542" t="s">
        <v>17</v>
      </c>
      <c r="G2542" t="s">
        <v>18</v>
      </c>
      <c r="H2542" s="8">
        <v>1</v>
      </c>
      <c r="I2542" s="10">
        <v>149</v>
      </c>
      <c r="J2542" s="14">
        <f>P2542*I2542</f>
        <v>149</v>
      </c>
      <c r="K2542" s="16">
        <v>520</v>
      </c>
      <c r="L2542" s="1" t="s">
        <v>30</v>
      </c>
      <c r="M2542" t="s">
        <v>58</v>
      </c>
      <c r="N2542" t="str">
        <f t="shared" si="57"/>
        <v>France</v>
      </c>
      <c r="O2542" s="8">
        <f>IF(K2542&gt;=1,K2542,K2542*1000)</f>
        <v>520</v>
      </c>
      <c r="P2542">
        <f>ABS(H2542)</f>
        <v>1</v>
      </c>
      <c r="R2542"/>
    </row>
    <row r="2543" spans="1:18" x14ac:dyDescent="0.35">
      <c r="A2543" t="s">
        <v>4073</v>
      </c>
      <c r="B2543" s="2">
        <v>46144</v>
      </c>
      <c r="C2543" t="s">
        <v>757</v>
      </c>
      <c r="D2543" s="3" t="s">
        <v>99</v>
      </c>
      <c r="E2543" t="s">
        <v>41</v>
      </c>
      <c r="F2543" t="s">
        <v>89</v>
      </c>
      <c r="G2543" t="s">
        <v>90</v>
      </c>
      <c r="H2543" s="8">
        <v>3</v>
      </c>
      <c r="I2543" s="10">
        <v>45</v>
      </c>
      <c r="J2543" s="14">
        <f>P2543*I2543</f>
        <v>135</v>
      </c>
      <c r="K2543" s="16">
        <v>0.64</v>
      </c>
      <c r="L2543" s="1" t="s">
        <v>30</v>
      </c>
      <c r="M2543" t="s">
        <v>22</v>
      </c>
      <c r="N2543" t="str">
        <f t="shared" si="57"/>
        <v>United Kingdom</v>
      </c>
      <c r="O2543" s="8">
        <f>IF(K2543&gt;=1,K2543,K2543*1000)</f>
        <v>640</v>
      </c>
      <c r="P2543">
        <f>ABS(H2543)</f>
        <v>3</v>
      </c>
      <c r="R2543"/>
    </row>
    <row r="2544" spans="1:18" x14ac:dyDescent="0.35">
      <c r="A2544" t="s">
        <v>4074</v>
      </c>
      <c r="B2544" s="2">
        <v>46186</v>
      </c>
      <c r="C2544" t="s">
        <v>1269</v>
      </c>
      <c r="D2544" s="3" t="s">
        <v>46</v>
      </c>
      <c r="E2544" t="s">
        <v>25</v>
      </c>
      <c r="F2544" t="s">
        <v>83</v>
      </c>
      <c r="G2544" t="s">
        <v>84</v>
      </c>
      <c r="H2544" s="8">
        <v>2</v>
      </c>
      <c r="I2544" s="12" t="s">
        <v>4632</v>
      </c>
      <c r="J2544" s="14">
        <f>P2544*R2544</f>
        <v>178</v>
      </c>
      <c r="K2544" s="16">
        <v>0.34</v>
      </c>
      <c r="L2544" s="1" t="s">
        <v>30</v>
      </c>
      <c r="M2544" t="s">
        <v>22</v>
      </c>
      <c r="N2544" t="str">
        <f t="shared" si="57"/>
        <v>Ireland</v>
      </c>
      <c r="O2544" s="8">
        <f>IF(K2544&gt;=1,K2544,K2544*1000)</f>
        <v>340</v>
      </c>
      <c r="P2544">
        <f>ABS(H2544)</f>
        <v>2</v>
      </c>
      <c r="Q2544" t="str">
        <f>LEFT(I2544,3)</f>
        <v>GBP</v>
      </c>
      <c r="R2544" s="10" t="str">
        <f>RIGHT(I2544,5)</f>
        <v>89,00</v>
      </c>
    </row>
    <row r="2545" spans="1:18" x14ac:dyDescent="0.35">
      <c r="A2545" t="s">
        <v>4075</v>
      </c>
      <c r="B2545" s="2" t="s">
        <v>1666</v>
      </c>
      <c r="C2545" t="s">
        <v>2898</v>
      </c>
      <c r="D2545" s="3" t="s">
        <v>99</v>
      </c>
      <c r="E2545" t="s">
        <v>16</v>
      </c>
      <c r="F2545" t="s">
        <v>47</v>
      </c>
      <c r="G2545" t="s">
        <v>48</v>
      </c>
      <c r="H2545" s="8">
        <v>1</v>
      </c>
      <c r="I2545" s="10">
        <v>12.5</v>
      </c>
      <c r="J2545" s="14">
        <f>P2545*I2545</f>
        <v>12.5</v>
      </c>
      <c r="K2545" s="16">
        <v>0.38</v>
      </c>
      <c r="L2545" s="1" t="s">
        <v>30</v>
      </c>
      <c r="M2545" t="s">
        <v>22</v>
      </c>
      <c r="N2545" t="str">
        <f t="shared" si="57"/>
        <v>United Kingdom</v>
      </c>
      <c r="O2545" s="8">
        <f>IF(K2545&gt;=1,K2545,K2545*1000)</f>
        <v>380</v>
      </c>
      <c r="P2545">
        <f>ABS(H2545)</f>
        <v>1</v>
      </c>
      <c r="R2545"/>
    </row>
    <row r="2546" spans="1:18" x14ac:dyDescent="0.35">
      <c r="A2546" t="s">
        <v>4076</v>
      </c>
      <c r="B2546" s="2">
        <v>46054</v>
      </c>
      <c r="C2546" t="s">
        <v>2098</v>
      </c>
      <c r="D2546" s="3" t="s">
        <v>4612</v>
      </c>
      <c r="E2546" t="s">
        <v>34</v>
      </c>
      <c r="F2546" t="s">
        <v>74</v>
      </c>
      <c r="G2546" t="s">
        <v>75</v>
      </c>
      <c r="H2546" s="8">
        <v>2</v>
      </c>
      <c r="I2546" s="10">
        <v>95</v>
      </c>
      <c r="J2546" s="14">
        <f>P2546*I2546</f>
        <v>190</v>
      </c>
      <c r="K2546" s="16">
        <v>410</v>
      </c>
      <c r="L2546" s="1" t="s">
        <v>30</v>
      </c>
      <c r="M2546" t="s">
        <v>58</v>
      </c>
      <c r="N2546" t="str">
        <f t="shared" si="57"/>
        <v>United Kingdom</v>
      </c>
      <c r="O2546" s="8">
        <f>IF(K2546&gt;=1,K2546,K2546*1000)</f>
        <v>410</v>
      </c>
      <c r="P2546">
        <f>ABS(H2546)</f>
        <v>2</v>
      </c>
      <c r="R2546"/>
    </row>
    <row r="2547" spans="1:18" x14ac:dyDescent="0.35">
      <c r="A2547" t="s">
        <v>4077</v>
      </c>
      <c r="B2547" s="2">
        <v>46115</v>
      </c>
      <c r="C2547" t="s">
        <v>3099</v>
      </c>
      <c r="D2547" s="3" t="s">
        <v>66</v>
      </c>
      <c r="E2547" t="s">
        <v>67</v>
      </c>
      <c r="F2547" t="s">
        <v>17</v>
      </c>
      <c r="G2547" t="s">
        <v>18</v>
      </c>
      <c r="H2547" s="8">
        <v>3</v>
      </c>
      <c r="I2547" s="10">
        <v>24</v>
      </c>
      <c r="J2547" s="14">
        <f>P2547*I2547</f>
        <v>72</v>
      </c>
      <c r="K2547" s="16">
        <v>520</v>
      </c>
      <c r="L2547" s="1" t="s">
        <v>30</v>
      </c>
      <c r="M2547" t="s">
        <v>58</v>
      </c>
      <c r="N2547" t="str">
        <f t="shared" si="57"/>
        <v>Gb</v>
      </c>
      <c r="O2547" s="8">
        <f>IF(K2547&gt;=1,K2547,K2547*1000)</f>
        <v>520</v>
      </c>
      <c r="P2547">
        <f>ABS(H2547)</f>
        <v>3</v>
      </c>
      <c r="R2547"/>
    </row>
    <row r="2548" spans="1:18" x14ac:dyDescent="0.35">
      <c r="A2548" t="s">
        <v>4078</v>
      </c>
      <c r="B2548" s="2">
        <v>46200</v>
      </c>
      <c r="C2548" t="s">
        <v>1078</v>
      </c>
      <c r="D2548" s="3" t="s">
        <v>46</v>
      </c>
      <c r="E2548" t="s">
        <v>41</v>
      </c>
      <c r="F2548" t="s">
        <v>26</v>
      </c>
      <c r="G2548" t="s">
        <v>27</v>
      </c>
      <c r="H2548" s="8">
        <v>1</v>
      </c>
      <c r="I2548" s="10">
        <v>79</v>
      </c>
      <c r="J2548" s="14">
        <f>P2548*I2548</f>
        <v>79</v>
      </c>
      <c r="K2548" s="16">
        <v>0.52</v>
      </c>
      <c r="L2548" s="1" t="s">
        <v>30</v>
      </c>
      <c r="M2548" t="s">
        <v>22</v>
      </c>
      <c r="N2548" t="str">
        <f t="shared" si="57"/>
        <v>Ireland</v>
      </c>
      <c r="O2548" s="8">
        <f>IF(K2548&gt;=1,K2548,K2548*1000)</f>
        <v>520</v>
      </c>
      <c r="P2548">
        <f>ABS(H2548)</f>
        <v>1</v>
      </c>
      <c r="R2548"/>
    </row>
    <row r="2549" spans="1:18" x14ac:dyDescent="0.35">
      <c r="A2549" t="s">
        <v>4079</v>
      </c>
      <c r="B2549" s="2">
        <v>46088</v>
      </c>
      <c r="C2549" t="s">
        <v>2696</v>
      </c>
      <c r="D2549" s="3" t="s">
        <v>53</v>
      </c>
      <c r="E2549" t="s">
        <v>25</v>
      </c>
      <c r="F2549" t="s">
        <v>35</v>
      </c>
      <c r="G2549" t="s">
        <v>36</v>
      </c>
      <c r="H2549" s="8">
        <v>3</v>
      </c>
      <c r="I2549" s="10">
        <v>12.5</v>
      </c>
      <c r="J2549" s="14">
        <f>P2549*I2549</f>
        <v>37.5</v>
      </c>
      <c r="K2549" s="16">
        <v>85</v>
      </c>
      <c r="L2549" s="1" t="s">
        <v>30</v>
      </c>
      <c r="M2549" t="s">
        <v>22</v>
      </c>
      <c r="N2549" t="str">
        <f t="shared" si="57"/>
        <v>Gb</v>
      </c>
      <c r="O2549" s="8">
        <f>IF(K2549&gt;=1,K2549,K2549*1000)</f>
        <v>85</v>
      </c>
      <c r="P2549">
        <f>ABS(H2549)</f>
        <v>3</v>
      </c>
      <c r="R2549"/>
    </row>
    <row r="2550" spans="1:18" x14ac:dyDescent="0.35">
      <c r="A2550" t="s">
        <v>4080</v>
      </c>
      <c r="B2550" s="2">
        <v>46090</v>
      </c>
      <c r="C2550" t="s">
        <v>3429</v>
      </c>
      <c r="D2550" s="3" t="s">
        <v>61</v>
      </c>
      <c r="E2550" t="s">
        <v>16</v>
      </c>
      <c r="F2550" t="s">
        <v>17</v>
      </c>
      <c r="G2550" t="s">
        <v>18</v>
      </c>
      <c r="H2550" s="8">
        <v>1</v>
      </c>
      <c r="I2550" s="12" t="s">
        <v>4627</v>
      </c>
      <c r="J2550" s="14">
        <f>P2550*R2550</f>
        <v>95</v>
      </c>
      <c r="K2550" s="16">
        <v>520</v>
      </c>
      <c r="L2550" s="1" t="s">
        <v>21</v>
      </c>
      <c r="M2550" t="s">
        <v>22</v>
      </c>
      <c r="N2550" t="str">
        <f t="shared" si="57"/>
        <v>Ireland</v>
      </c>
      <c r="O2550" s="8">
        <f>IF(K2550&gt;=1,K2550,K2550*1000)</f>
        <v>520</v>
      </c>
      <c r="P2550">
        <f>ABS(H2550)</f>
        <v>1</v>
      </c>
      <c r="Q2550" t="str">
        <f>LEFT(I2550,3)</f>
        <v>GBP</v>
      </c>
      <c r="R2550" s="10" t="str">
        <f>RIGHT(I2550,5)</f>
        <v>95,00</v>
      </c>
    </row>
    <row r="2551" spans="1:18" x14ac:dyDescent="0.35">
      <c r="A2551" t="s">
        <v>4081</v>
      </c>
      <c r="B2551" s="2">
        <v>46163</v>
      </c>
      <c r="C2551" t="s">
        <v>1984</v>
      </c>
      <c r="D2551" s="3" t="s">
        <v>99</v>
      </c>
      <c r="E2551" t="s">
        <v>41</v>
      </c>
      <c r="F2551" t="s">
        <v>17</v>
      </c>
      <c r="G2551" t="s">
        <v>18</v>
      </c>
      <c r="H2551" s="8">
        <v>1</v>
      </c>
      <c r="I2551" s="10">
        <v>40.5</v>
      </c>
      <c r="J2551" s="14">
        <f>P2551*I2551</f>
        <v>40.5</v>
      </c>
      <c r="K2551" s="16">
        <v>0.52</v>
      </c>
      <c r="L2551" s="1" t="s">
        <v>30</v>
      </c>
      <c r="M2551" t="s">
        <v>22</v>
      </c>
      <c r="N2551" t="str">
        <f t="shared" si="57"/>
        <v>United Kingdom</v>
      </c>
      <c r="O2551" s="8">
        <f>IF(K2551&gt;=1,K2551,K2551*1000)</f>
        <v>520</v>
      </c>
      <c r="P2551">
        <f>ABS(H2551)</f>
        <v>1</v>
      </c>
      <c r="R2551"/>
    </row>
    <row r="2552" spans="1:18" x14ac:dyDescent="0.35">
      <c r="A2552" t="s">
        <v>4082</v>
      </c>
      <c r="B2552" s="2">
        <v>46107</v>
      </c>
      <c r="C2552" t="s">
        <v>4083</v>
      </c>
      <c r="D2552" s="3" t="s">
        <v>46</v>
      </c>
      <c r="E2552" t="s">
        <v>25</v>
      </c>
      <c r="F2552" t="s">
        <v>47</v>
      </c>
      <c r="G2552" t="s">
        <v>48</v>
      </c>
      <c r="H2552" s="8">
        <v>1</v>
      </c>
      <c r="I2552" s="10">
        <v>79</v>
      </c>
      <c r="J2552" s="14">
        <f>P2552*I2552</f>
        <v>79</v>
      </c>
      <c r="K2552" s="16">
        <v>380</v>
      </c>
      <c r="L2552" s="1" t="s">
        <v>21</v>
      </c>
      <c r="M2552" t="s">
        <v>22</v>
      </c>
      <c r="N2552" t="str">
        <f t="shared" si="57"/>
        <v>Ireland</v>
      </c>
      <c r="O2552" s="8">
        <f>IF(K2552&gt;=1,K2552,K2552*1000)</f>
        <v>380</v>
      </c>
      <c r="P2552">
        <f>ABS(H2552)</f>
        <v>1</v>
      </c>
      <c r="R2552"/>
    </row>
    <row r="2553" spans="1:18" x14ac:dyDescent="0.35">
      <c r="A2553" t="s">
        <v>4084</v>
      </c>
      <c r="B2553" s="2">
        <v>46200</v>
      </c>
      <c r="C2553" t="s">
        <v>529</v>
      </c>
      <c r="D2553" s="3" t="s">
        <v>61</v>
      </c>
      <c r="E2553" t="s">
        <v>25</v>
      </c>
      <c r="F2553" t="s">
        <v>47</v>
      </c>
      <c r="G2553" t="s">
        <v>48</v>
      </c>
      <c r="H2553" s="8">
        <v>2</v>
      </c>
      <c r="I2553" s="10">
        <v>24</v>
      </c>
      <c r="J2553" s="14">
        <f>P2553*I2553</f>
        <v>48</v>
      </c>
      <c r="K2553" s="16">
        <v>0.38</v>
      </c>
      <c r="L2553" s="1" t="s">
        <v>30</v>
      </c>
      <c r="M2553" t="s">
        <v>58</v>
      </c>
      <c r="N2553" t="str">
        <f t="shared" si="57"/>
        <v>Ireland</v>
      </c>
      <c r="O2553" s="8">
        <f>IF(K2553&gt;=1,K2553,K2553*1000)</f>
        <v>380</v>
      </c>
      <c r="P2553">
        <f>ABS(H2553)</f>
        <v>2</v>
      </c>
      <c r="R2553"/>
    </row>
    <row r="2554" spans="1:18" x14ac:dyDescent="0.35">
      <c r="A2554" t="s">
        <v>4085</v>
      </c>
      <c r="B2554" s="2">
        <v>46045</v>
      </c>
      <c r="C2554" t="s">
        <v>2182</v>
      </c>
      <c r="D2554" s="3" t="s">
        <v>66</v>
      </c>
      <c r="E2554" t="s">
        <v>67</v>
      </c>
      <c r="F2554" t="s">
        <v>17</v>
      </c>
      <c r="G2554" t="s">
        <v>18</v>
      </c>
      <c r="H2554" s="8">
        <v>3</v>
      </c>
      <c r="I2554" s="10">
        <v>89</v>
      </c>
      <c r="J2554" s="14">
        <f>P2554*I2554</f>
        <v>267</v>
      </c>
      <c r="K2554" s="16">
        <v>520</v>
      </c>
      <c r="L2554" s="1" t="s">
        <v>21</v>
      </c>
      <c r="M2554" t="s">
        <v>22</v>
      </c>
      <c r="N2554" t="str">
        <f t="shared" si="57"/>
        <v>Gb</v>
      </c>
      <c r="O2554" s="8">
        <f>IF(K2554&gt;=1,K2554,K2554*1000)</f>
        <v>520</v>
      </c>
      <c r="P2554">
        <f>ABS(H2554)</f>
        <v>3</v>
      </c>
      <c r="R2554"/>
    </row>
    <row r="2555" spans="1:18" x14ac:dyDescent="0.35">
      <c r="A2555" t="s">
        <v>4086</v>
      </c>
      <c r="B2555" s="2">
        <v>46028</v>
      </c>
      <c r="C2555" t="s">
        <v>1872</v>
      </c>
      <c r="D2555" s="3" t="s">
        <v>66</v>
      </c>
      <c r="E2555" t="s">
        <v>34</v>
      </c>
      <c r="F2555" t="s">
        <v>26</v>
      </c>
      <c r="G2555" t="s">
        <v>27</v>
      </c>
      <c r="H2555" s="8">
        <v>3</v>
      </c>
      <c r="I2555" s="10">
        <v>71.099999999999994</v>
      </c>
      <c r="J2555" s="14">
        <f>P2555*I2555</f>
        <v>213.29999999999998</v>
      </c>
      <c r="K2555" s="16">
        <v>520</v>
      </c>
      <c r="L2555" s="1" t="s">
        <v>21</v>
      </c>
      <c r="M2555" t="s">
        <v>22</v>
      </c>
      <c r="N2555" t="str">
        <f t="shared" si="57"/>
        <v>Gb</v>
      </c>
      <c r="O2555" s="8">
        <f>IF(K2555&gt;=1,K2555,K2555*1000)</f>
        <v>520</v>
      </c>
      <c r="P2555">
        <f>ABS(H2555)</f>
        <v>3</v>
      </c>
      <c r="R2555"/>
    </row>
    <row r="2556" spans="1:18" x14ac:dyDescent="0.35">
      <c r="A2556" t="s">
        <v>4087</v>
      </c>
      <c r="B2556" s="2">
        <v>46184</v>
      </c>
      <c r="C2556" t="s">
        <v>1310</v>
      </c>
      <c r="D2556" s="3" t="s">
        <v>66</v>
      </c>
      <c r="E2556" t="s">
        <v>67</v>
      </c>
      <c r="F2556" t="s">
        <v>74</v>
      </c>
      <c r="G2556" t="s">
        <v>75</v>
      </c>
      <c r="H2556" s="8">
        <v>1</v>
      </c>
      <c r="I2556" s="10">
        <v>89</v>
      </c>
      <c r="J2556" s="14">
        <f>P2556*I2556</f>
        <v>89</v>
      </c>
      <c r="K2556" s="16">
        <v>0.41</v>
      </c>
      <c r="L2556" s="1" t="s">
        <v>30</v>
      </c>
      <c r="M2556" t="s">
        <v>22</v>
      </c>
      <c r="N2556" t="str">
        <f t="shared" si="57"/>
        <v>Gb</v>
      </c>
      <c r="O2556" s="8">
        <f>IF(K2556&gt;=1,K2556,K2556*1000)</f>
        <v>410</v>
      </c>
      <c r="P2556">
        <f>ABS(H2556)</f>
        <v>1</v>
      </c>
      <c r="R2556"/>
    </row>
    <row r="2557" spans="1:18" x14ac:dyDescent="0.35">
      <c r="A2557" t="s">
        <v>4088</v>
      </c>
      <c r="B2557" s="2">
        <v>46060</v>
      </c>
      <c r="C2557" t="s">
        <v>1725</v>
      </c>
      <c r="D2557" s="3" t="s">
        <v>4612</v>
      </c>
      <c r="E2557" t="s">
        <v>25</v>
      </c>
      <c r="F2557" t="s">
        <v>42</v>
      </c>
      <c r="G2557" t="s">
        <v>43</v>
      </c>
      <c r="H2557" s="8">
        <v>1</v>
      </c>
      <c r="I2557" s="10">
        <v>116.1</v>
      </c>
      <c r="J2557" s="14">
        <f>P2557*I2557</f>
        <v>116.1</v>
      </c>
      <c r="K2557" s="16">
        <v>190</v>
      </c>
      <c r="L2557" s="1" t="s">
        <v>30</v>
      </c>
      <c r="M2557" t="s">
        <v>22</v>
      </c>
      <c r="N2557" t="str">
        <f t="shared" si="57"/>
        <v>United Kingdom</v>
      </c>
      <c r="O2557" s="8">
        <f>IF(K2557&gt;=1,K2557,K2557*1000)</f>
        <v>190</v>
      </c>
      <c r="P2557">
        <f>ABS(H2557)</f>
        <v>1</v>
      </c>
      <c r="R2557"/>
    </row>
    <row r="2558" spans="1:18" x14ac:dyDescent="0.35">
      <c r="A2558" t="s">
        <v>4089</v>
      </c>
      <c r="B2558" s="2">
        <v>46025</v>
      </c>
      <c r="C2558" t="s">
        <v>4090</v>
      </c>
      <c r="D2558" s="3" t="s">
        <v>46</v>
      </c>
      <c r="E2558" t="s">
        <v>67</v>
      </c>
      <c r="F2558" t="s">
        <v>47</v>
      </c>
      <c r="G2558" t="s">
        <v>48</v>
      </c>
      <c r="H2558" s="8">
        <v>2</v>
      </c>
      <c r="I2558" s="10">
        <v>89</v>
      </c>
      <c r="J2558" s="14">
        <f>P2558*I2558</f>
        <v>178</v>
      </c>
      <c r="K2558" s="16">
        <v>380</v>
      </c>
      <c r="L2558" s="1" t="s">
        <v>30</v>
      </c>
      <c r="M2558" t="s">
        <v>22</v>
      </c>
      <c r="N2558" t="str">
        <f t="shared" si="57"/>
        <v>Ireland</v>
      </c>
      <c r="O2558" s="8">
        <f>IF(K2558&gt;=1,K2558,K2558*1000)</f>
        <v>380</v>
      </c>
      <c r="P2558">
        <f>ABS(H2558)</f>
        <v>2</v>
      </c>
      <c r="R2558"/>
    </row>
    <row r="2559" spans="1:18" x14ac:dyDescent="0.35">
      <c r="A2559" t="s">
        <v>4091</v>
      </c>
      <c r="B2559" s="2">
        <v>46074</v>
      </c>
      <c r="C2559" t="s">
        <v>1312</v>
      </c>
      <c r="D2559" s="3" t="s">
        <v>116</v>
      </c>
      <c r="E2559" t="s">
        <v>34</v>
      </c>
      <c r="F2559" t="s">
        <v>83</v>
      </c>
      <c r="G2559" t="s">
        <v>84</v>
      </c>
      <c r="H2559" s="8">
        <v>2</v>
      </c>
      <c r="I2559" s="10">
        <v>129</v>
      </c>
      <c r="J2559" s="14">
        <f>P2559*I2559</f>
        <v>258</v>
      </c>
      <c r="K2559" s="16">
        <v>340</v>
      </c>
      <c r="L2559" s="1" t="s">
        <v>30</v>
      </c>
      <c r="M2559" t="s">
        <v>58</v>
      </c>
      <c r="N2559" t="str">
        <f t="shared" si="57"/>
        <v>Germany</v>
      </c>
      <c r="O2559" s="8">
        <f>IF(K2559&gt;=1,K2559,K2559*1000)</f>
        <v>340</v>
      </c>
      <c r="P2559">
        <f>ABS(H2559)</f>
        <v>2</v>
      </c>
      <c r="R2559"/>
    </row>
    <row r="2560" spans="1:18" x14ac:dyDescent="0.35">
      <c r="A2560" t="s">
        <v>4092</v>
      </c>
      <c r="B2560" s="2">
        <v>46159</v>
      </c>
      <c r="C2560" t="s">
        <v>3277</v>
      </c>
      <c r="D2560" s="3" t="s">
        <v>53</v>
      </c>
      <c r="E2560" t="s">
        <v>25</v>
      </c>
      <c r="F2560" t="s">
        <v>17</v>
      </c>
      <c r="G2560" t="s">
        <v>18</v>
      </c>
      <c r="H2560" s="8">
        <v>1</v>
      </c>
      <c r="I2560" s="10">
        <v>12.5</v>
      </c>
      <c r="J2560" s="14">
        <f>P2560*I2560</f>
        <v>12.5</v>
      </c>
      <c r="K2560" s="16">
        <v>0.52</v>
      </c>
      <c r="L2560" s="1" t="s">
        <v>30</v>
      </c>
      <c r="M2560" t="s">
        <v>58</v>
      </c>
      <c r="N2560" t="str">
        <f t="shared" si="57"/>
        <v>Gb</v>
      </c>
      <c r="O2560" s="8">
        <f>IF(K2560&gt;=1,K2560,K2560*1000)</f>
        <v>520</v>
      </c>
      <c r="P2560">
        <f>ABS(H2560)</f>
        <v>1</v>
      </c>
      <c r="R2560"/>
    </row>
    <row r="2561" spans="1:18" x14ac:dyDescent="0.35">
      <c r="A2561" t="s">
        <v>4093</v>
      </c>
      <c r="B2561" s="2">
        <v>46124</v>
      </c>
      <c r="C2561" t="s">
        <v>3849</v>
      </c>
      <c r="D2561" s="3" t="s">
        <v>4612</v>
      </c>
      <c r="E2561" t="s">
        <v>16</v>
      </c>
      <c r="F2561" t="s">
        <v>83</v>
      </c>
      <c r="G2561" t="s">
        <v>84</v>
      </c>
      <c r="H2561" s="8">
        <v>1</v>
      </c>
      <c r="I2561" s="10">
        <v>95</v>
      </c>
      <c r="J2561" s="14">
        <f>P2561*I2561</f>
        <v>95</v>
      </c>
      <c r="K2561" s="16">
        <v>340</v>
      </c>
      <c r="L2561" s="1" t="s">
        <v>21</v>
      </c>
      <c r="M2561" t="s">
        <v>58</v>
      </c>
      <c r="N2561" t="str">
        <f t="shared" si="57"/>
        <v>United Kingdom</v>
      </c>
      <c r="O2561" s="8">
        <f>IF(K2561&gt;=1,K2561,K2561*1000)</f>
        <v>340</v>
      </c>
      <c r="P2561">
        <f>ABS(H2561)</f>
        <v>1</v>
      </c>
      <c r="R2561"/>
    </row>
    <row r="2562" spans="1:18" x14ac:dyDescent="0.35">
      <c r="A2562" t="s">
        <v>4094</v>
      </c>
      <c r="B2562" s="2" t="s">
        <v>582</v>
      </c>
      <c r="C2562" t="s">
        <v>435</v>
      </c>
      <c r="D2562" s="3" t="s">
        <v>53</v>
      </c>
      <c r="E2562" t="s">
        <v>16</v>
      </c>
      <c r="F2562" t="s">
        <v>89</v>
      </c>
      <c r="G2562" t="s">
        <v>90</v>
      </c>
      <c r="H2562" s="8">
        <v>1</v>
      </c>
      <c r="I2562" s="10">
        <v>89</v>
      </c>
      <c r="J2562" s="14">
        <f>P2562*I2562</f>
        <v>89</v>
      </c>
      <c r="K2562" s="16">
        <v>0.64</v>
      </c>
      <c r="L2562" s="1" t="s">
        <v>30</v>
      </c>
      <c r="M2562" t="s">
        <v>58</v>
      </c>
      <c r="N2562" t="str">
        <f t="shared" si="57"/>
        <v>Gb</v>
      </c>
      <c r="O2562" s="8">
        <f>IF(K2562&gt;=1,K2562,K2562*1000)</f>
        <v>640</v>
      </c>
      <c r="P2562">
        <f>ABS(H2562)</f>
        <v>1</v>
      </c>
      <c r="R2562"/>
    </row>
    <row r="2563" spans="1:18" x14ac:dyDescent="0.35">
      <c r="A2563" t="s">
        <v>4095</v>
      </c>
      <c r="B2563" s="2">
        <v>46114</v>
      </c>
      <c r="C2563" t="s">
        <v>425</v>
      </c>
      <c r="D2563" s="3" t="s">
        <v>53</v>
      </c>
      <c r="E2563" t="s">
        <v>25</v>
      </c>
      <c r="F2563" t="s">
        <v>89</v>
      </c>
      <c r="G2563" t="s">
        <v>90</v>
      </c>
      <c r="H2563" s="8">
        <v>3</v>
      </c>
      <c r="I2563" s="10">
        <v>129</v>
      </c>
      <c r="J2563" s="14">
        <f>P2563*I2563</f>
        <v>387</v>
      </c>
      <c r="K2563" s="16">
        <v>640</v>
      </c>
      <c r="L2563" s="1" t="s">
        <v>30</v>
      </c>
      <c r="M2563" t="s">
        <v>58</v>
      </c>
      <c r="N2563" t="str">
        <f t="shared" ref="N2563:N2626" si="58">PROPER(TRIM(D2563))</f>
        <v>Gb</v>
      </c>
      <c r="O2563" s="8">
        <f>IF(K2563&gt;=1,K2563,K2563*1000)</f>
        <v>640</v>
      </c>
      <c r="P2563">
        <f>ABS(H2563)</f>
        <v>3</v>
      </c>
      <c r="R2563"/>
    </row>
    <row r="2564" spans="1:18" x14ac:dyDescent="0.35">
      <c r="A2564" t="s">
        <v>4096</v>
      </c>
      <c r="B2564" s="2">
        <v>46199</v>
      </c>
      <c r="C2564" t="s">
        <v>1196</v>
      </c>
      <c r="D2564" s="3" t="s">
        <v>46</v>
      </c>
      <c r="E2564" t="s">
        <v>25</v>
      </c>
      <c r="F2564" t="s">
        <v>42</v>
      </c>
      <c r="G2564" t="s">
        <v>43</v>
      </c>
      <c r="H2564" s="8">
        <v>1</v>
      </c>
      <c r="I2564" s="10">
        <v>134.1</v>
      </c>
      <c r="J2564" s="14">
        <f>P2564*I2564</f>
        <v>134.1</v>
      </c>
      <c r="K2564" s="16">
        <v>0.19</v>
      </c>
      <c r="L2564" s="1" t="s">
        <v>30</v>
      </c>
      <c r="M2564" t="s">
        <v>22</v>
      </c>
      <c r="N2564" t="str">
        <f t="shared" si="58"/>
        <v>Ireland</v>
      </c>
      <c r="O2564" s="8">
        <f>IF(K2564&gt;=1,K2564,K2564*1000)</f>
        <v>190</v>
      </c>
      <c r="P2564">
        <f>ABS(H2564)</f>
        <v>1</v>
      </c>
      <c r="R2564"/>
    </row>
    <row r="2565" spans="1:18" x14ac:dyDescent="0.35">
      <c r="A2565" t="s">
        <v>4097</v>
      </c>
      <c r="B2565" s="2">
        <v>46129</v>
      </c>
      <c r="C2565" t="s">
        <v>1289</v>
      </c>
      <c r="D2565" s="3" t="s">
        <v>53</v>
      </c>
      <c r="E2565" t="s">
        <v>67</v>
      </c>
      <c r="F2565" t="s">
        <v>26</v>
      </c>
      <c r="G2565" t="s">
        <v>27</v>
      </c>
      <c r="H2565" s="8">
        <v>1</v>
      </c>
      <c r="I2565" s="10">
        <v>129</v>
      </c>
      <c r="J2565" s="14">
        <f>P2565*I2565</f>
        <v>129</v>
      </c>
      <c r="K2565" s="16">
        <v>520</v>
      </c>
      <c r="L2565" s="1" t="s">
        <v>30</v>
      </c>
      <c r="M2565" t="s">
        <v>22</v>
      </c>
      <c r="N2565" t="str">
        <f t="shared" si="58"/>
        <v>Gb</v>
      </c>
      <c r="O2565" s="8">
        <f>IF(K2565&gt;=1,K2565,K2565*1000)</f>
        <v>520</v>
      </c>
      <c r="P2565">
        <f>ABS(H2565)</f>
        <v>1</v>
      </c>
      <c r="R2565"/>
    </row>
    <row r="2566" spans="1:18" x14ac:dyDescent="0.35">
      <c r="A2566" t="s">
        <v>4098</v>
      </c>
      <c r="B2566" s="2">
        <v>46163</v>
      </c>
      <c r="C2566" t="s">
        <v>2086</v>
      </c>
      <c r="D2566" s="3" t="s">
        <v>99</v>
      </c>
      <c r="E2566" t="s">
        <v>16</v>
      </c>
      <c r="F2566" t="s">
        <v>47</v>
      </c>
      <c r="G2566" t="s">
        <v>48</v>
      </c>
      <c r="H2566" s="8">
        <v>1</v>
      </c>
      <c r="I2566" s="10">
        <v>129</v>
      </c>
      <c r="J2566" s="14">
        <f>P2566*I2566</f>
        <v>129</v>
      </c>
      <c r="K2566" s="16">
        <v>0.38</v>
      </c>
      <c r="L2566" s="1" t="s">
        <v>30</v>
      </c>
      <c r="M2566" t="s">
        <v>22</v>
      </c>
      <c r="N2566" t="str">
        <f t="shared" si="58"/>
        <v>United Kingdom</v>
      </c>
      <c r="O2566" s="8">
        <f>IF(K2566&gt;=1,K2566,K2566*1000)</f>
        <v>380</v>
      </c>
      <c r="P2566">
        <f>ABS(H2566)</f>
        <v>1</v>
      </c>
      <c r="R2566"/>
    </row>
    <row r="2567" spans="1:18" x14ac:dyDescent="0.35">
      <c r="A2567" t="s">
        <v>4099</v>
      </c>
      <c r="B2567" s="2">
        <v>46151</v>
      </c>
      <c r="C2567" t="s">
        <v>2715</v>
      </c>
      <c r="D2567" s="3" t="s">
        <v>4613</v>
      </c>
      <c r="E2567" t="s">
        <v>41</v>
      </c>
      <c r="F2567" t="s">
        <v>42</v>
      </c>
      <c r="G2567" t="s">
        <v>43</v>
      </c>
      <c r="H2567" s="8">
        <v>2</v>
      </c>
      <c r="I2567" s="10">
        <v>89</v>
      </c>
      <c r="J2567" s="14">
        <f>P2567*I2567</f>
        <v>178</v>
      </c>
      <c r="K2567" s="16">
        <v>0.19</v>
      </c>
      <c r="L2567" s="1" t="s">
        <v>30</v>
      </c>
      <c r="M2567" t="s">
        <v>22</v>
      </c>
      <c r="N2567" t="str">
        <f t="shared" si="58"/>
        <v>United Kingdom</v>
      </c>
      <c r="O2567" s="8">
        <f>IF(K2567&gt;=1,K2567,K2567*1000)</f>
        <v>190</v>
      </c>
      <c r="P2567">
        <f>ABS(H2567)</f>
        <v>2</v>
      </c>
      <c r="R2567"/>
    </row>
    <row r="2568" spans="1:18" x14ac:dyDescent="0.35">
      <c r="A2568" t="s">
        <v>4100</v>
      </c>
      <c r="B2568" s="2">
        <v>46126</v>
      </c>
      <c r="C2568" t="s">
        <v>2534</v>
      </c>
      <c r="D2568" s="3" t="s">
        <v>116</v>
      </c>
      <c r="E2568" t="s">
        <v>67</v>
      </c>
      <c r="F2568" t="s">
        <v>35</v>
      </c>
      <c r="G2568" t="s">
        <v>36</v>
      </c>
      <c r="H2568" s="8">
        <v>2</v>
      </c>
      <c r="I2568" s="10">
        <v>116.1</v>
      </c>
      <c r="J2568" s="14">
        <f>P2568*I2568</f>
        <v>232.2</v>
      </c>
      <c r="K2568" s="16">
        <v>85</v>
      </c>
      <c r="L2568" s="1" t="s">
        <v>30</v>
      </c>
      <c r="M2568" t="s">
        <v>22</v>
      </c>
      <c r="N2568" t="str">
        <f t="shared" si="58"/>
        <v>Germany</v>
      </c>
      <c r="O2568" s="8">
        <f>IF(K2568&gt;=1,K2568,K2568*1000)</f>
        <v>85</v>
      </c>
      <c r="P2568">
        <f>ABS(H2568)</f>
        <v>2</v>
      </c>
      <c r="R2568"/>
    </row>
    <row r="2569" spans="1:18" x14ac:dyDescent="0.35">
      <c r="A2569" t="s">
        <v>4101</v>
      </c>
      <c r="B2569" s="2" t="s">
        <v>1294</v>
      </c>
      <c r="C2569" t="s">
        <v>147</v>
      </c>
      <c r="D2569" s="3" t="s">
        <v>4613</v>
      </c>
      <c r="E2569" t="s">
        <v>41</v>
      </c>
      <c r="F2569" t="s">
        <v>89</v>
      </c>
      <c r="G2569" t="s">
        <v>90</v>
      </c>
      <c r="H2569" s="8">
        <v>1</v>
      </c>
      <c r="I2569" s="10">
        <v>40.5</v>
      </c>
      <c r="J2569" s="14">
        <f>P2569*I2569</f>
        <v>40.5</v>
      </c>
      <c r="K2569" s="16">
        <v>0.64</v>
      </c>
      <c r="L2569" s="1" t="s">
        <v>30</v>
      </c>
      <c r="M2569" t="s">
        <v>22</v>
      </c>
      <c r="N2569" t="str">
        <f t="shared" si="58"/>
        <v>United Kingdom</v>
      </c>
      <c r="O2569" s="8">
        <f>IF(K2569&gt;=1,K2569,K2569*1000)</f>
        <v>640</v>
      </c>
      <c r="P2569">
        <f>ABS(H2569)</f>
        <v>1</v>
      </c>
      <c r="R2569"/>
    </row>
    <row r="2570" spans="1:18" x14ac:dyDescent="0.35">
      <c r="A2570" t="s">
        <v>4102</v>
      </c>
      <c r="B2570" s="2">
        <v>46141</v>
      </c>
      <c r="C2570" t="s">
        <v>1335</v>
      </c>
      <c r="D2570" s="3" t="s">
        <v>4613</v>
      </c>
      <c r="E2570" t="s">
        <v>25</v>
      </c>
      <c r="F2570" t="s">
        <v>35</v>
      </c>
      <c r="G2570" t="s">
        <v>36</v>
      </c>
      <c r="H2570" s="8">
        <v>1</v>
      </c>
      <c r="I2570" s="12" t="s">
        <v>4624</v>
      </c>
      <c r="J2570" s="14">
        <f>P2570*R2570</f>
        <v>24</v>
      </c>
      <c r="K2570" s="16">
        <v>8.5000000000000006E-2</v>
      </c>
      <c r="L2570" s="1" t="s">
        <v>30</v>
      </c>
      <c r="M2570" t="s">
        <v>22</v>
      </c>
      <c r="N2570" t="str">
        <f t="shared" si="58"/>
        <v>United Kingdom</v>
      </c>
      <c r="O2570" s="8">
        <f>IF(K2570&gt;=1,K2570,K2570*1000)</f>
        <v>85</v>
      </c>
      <c r="P2570">
        <f>ABS(H2570)</f>
        <v>1</v>
      </c>
      <c r="Q2570" t="str">
        <f>LEFT(I2570,2)</f>
        <v>Â£</v>
      </c>
      <c r="R2570" t="str">
        <f>RIGHT(I2570,5)</f>
        <v>24,00</v>
      </c>
    </row>
    <row r="2571" spans="1:18" x14ac:dyDescent="0.35">
      <c r="A2571" t="s">
        <v>4103</v>
      </c>
      <c r="B2571" s="2">
        <v>46126</v>
      </c>
      <c r="C2571" t="s">
        <v>1608</v>
      </c>
      <c r="D2571" s="3" t="s">
        <v>4613</v>
      </c>
      <c r="E2571" t="s">
        <v>41</v>
      </c>
      <c r="F2571" t="s">
        <v>83</v>
      </c>
      <c r="G2571" t="s">
        <v>84</v>
      </c>
      <c r="H2571" s="8">
        <v>1</v>
      </c>
      <c r="I2571" s="10">
        <v>79</v>
      </c>
      <c r="J2571" s="14">
        <f>P2571*I2571</f>
        <v>79</v>
      </c>
      <c r="K2571" s="16">
        <v>340</v>
      </c>
      <c r="L2571" s="1" t="s">
        <v>21</v>
      </c>
      <c r="M2571" t="s">
        <v>22</v>
      </c>
      <c r="N2571" t="str">
        <f t="shared" si="58"/>
        <v>United Kingdom</v>
      </c>
      <c r="O2571" s="8">
        <f>IF(K2571&gt;=1,K2571,K2571*1000)</f>
        <v>340</v>
      </c>
      <c r="P2571">
        <f>ABS(H2571)</f>
        <v>1</v>
      </c>
      <c r="R2571"/>
    </row>
    <row r="2572" spans="1:18" x14ac:dyDescent="0.35">
      <c r="A2572" t="s">
        <v>4104</v>
      </c>
      <c r="B2572" s="2">
        <v>46084</v>
      </c>
      <c r="C2572" t="s">
        <v>940</v>
      </c>
      <c r="D2572" s="3" t="s">
        <v>99</v>
      </c>
      <c r="E2572" t="s">
        <v>67</v>
      </c>
      <c r="F2572" t="s">
        <v>83</v>
      </c>
      <c r="G2572" t="s">
        <v>84</v>
      </c>
      <c r="H2572" s="8">
        <v>1</v>
      </c>
      <c r="I2572" s="10">
        <v>24</v>
      </c>
      <c r="J2572" s="14">
        <f>P2572*I2572</f>
        <v>24</v>
      </c>
      <c r="K2572" s="16">
        <v>340</v>
      </c>
      <c r="L2572" s="1" t="s">
        <v>30</v>
      </c>
      <c r="M2572" t="s">
        <v>22</v>
      </c>
      <c r="N2572" t="str">
        <f t="shared" si="58"/>
        <v>United Kingdom</v>
      </c>
      <c r="O2572" s="8">
        <f>IF(K2572&gt;=1,K2572,K2572*1000)</f>
        <v>340</v>
      </c>
      <c r="P2572">
        <f>ABS(H2572)</f>
        <v>1</v>
      </c>
      <c r="R2572"/>
    </row>
    <row r="2573" spans="1:18" x14ac:dyDescent="0.35">
      <c r="A2573" t="s">
        <v>4105</v>
      </c>
      <c r="B2573" s="2">
        <v>46104</v>
      </c>
      <c r="C2573" t="s">
        <v>283</v>
      </c>
      <c r="D2573" s="3" t="s">
        <v>99</v>
      </c>
      <c r="E2573" t="s">
        <v>25</v>
      </c>
      <c r="F2573" t="s">
        <v>89</v>
      </c>
      <c r="G2573" t="s">
        <v>90</v>
      </c>
      <c r="H2573" s="8">
        <v>1</v>
      </c>
      <c r="I2573" s="10">
        <v>129</v>
      </c>
      <c r="J2573" s="14">
        <f>P2573*I2573</f>
        <v>129</v>
      </c>
      <c r="K2573" s="16">
        <v>640</v>
      </c>
      <c r="L2573" s="1" t="s">
        <v>30</v>
      </c>
      <c r="M2573" t="s">
        <v>22</v>
      </c>
      <c r="N2573" t="str">
        <f t="shared" si="58"/>
        <v>United Kingdom</v>
      </c>
      <c r="O2573" s="8">
        <f>IF(K2573&gt;=1,K2573,K2573*1000)</f>
        <v>640</v>
      </c>
      <c r="P2573">
        <f>ABS(H2573)</f>
        <v>1</v>
      </c>
      <c r="R2573"/>
    </row>
    <row r="2574" spans="1:18" x14ac:dyDescent="0.35">
      <c r="A2574" t="s">
        <v>4106</v>
      </c>
      <c r="B2574" s="2">
        <v>46156</v>
      </c>
      <c r="C2574" t="s">
        <v>4107</v>
      </c>
      <c r="D2574" s="3" t="s">
        <v>61</v>
      </c>
      <c r="E2574" t="s">
        <v>41</v>
      </c>
      <c r="F2574" t="s">
        <v>83</v>
      </c>
      <c r="G2574" t="s">
        <v>84</v>
      </c>
      <c r="H2574" s="8">
        <v>2</v>
      </c>
      <c r="I2574" s="10">
        <v>24</v>
      </c>
      <c r="J2574" s="14">
        <f>P2574*I2574</f>
        <v>48</v>
      </c>
      <c r="K2574" s="16">
        <v>0.34</v>
      </c>
      <c r="L2574" s="1" t="s">
        <v>30</v>
      </c>
      <c r="M2574" t="s">
        <v>22</v>
      </c>
      <c r="N2574" t="str">
        <f t="shared" si="58"/>
        <v>Ireland</v>
      </c>
      <c r="O2574" s="8">
        <f>IF(K2574&gt;=1,K2574,K2574*1000)</f>
        <v>340</v>
      </c>
      <c r="P2574">
        <f>ABS(H2574)</f>
        <v>2</v>
      </c>
      <c r="R2574"/>
    </row>
    <row r="2575" spans="1:18" x14ac:dyDescent="0.35">
      <c r="A2575" t="s">
        <v>4108</v>
      </c>
      <c r="B2575" s="2" t="s">
        <v>1274</v>
      </c>
      <c r="C2575" t="s">
        <v>4109</v>
      </c>
      <c r="D2575" s="3" t="s">
        <v>61</v>
      </c>
      <c r="E2575" t="s">
        <v>41</v>
      </c>
      <c r="F2575" t="s">
        <v>47</v>
      </c>
      <c r="G2575" t="s">
        <v>48</v>
      </c>
      <c r="H2575" s="8">
        <v>2</v>
      </c>
      <c r="I2575" s="10">
        <v>79</v>
      </c>
      <c r="J2575" s="14">
        <f>P2575*I2575</f>
        <v>158</v>
      </c>
      <c r="K2575" s="16">
        <v>0.38</v>
      </c>
      <c r="L2575" s="1" t="s">
        <v>30</v>
      </c>
      <c r="M2575" t="s">
        <v>22</v>
      </c>
      <c r="N2575" t="str">
        <f t="shared" si="58"/>
        <v>Ireland</v>
      </c>
      <c r="O2575" s="8">
        <f>IF(K2575&gt;=1,K2575,K2575*1000)</f>
        <v>380</v>
      </c>
      <c r="P2575">
        <f>ABS(H2575)</f>
        <v>2</v>
      </c>
      <c r="R2575"/>
    </row>
    <row r="2576" spans="1:18" x14ac:dyDescent="0.35">
      <c r="A2576" t="s">
        <v>4110</v>
      </c>
      <c r="B2576" s="2">
        <v>46121</v>
      </c>
      <c r="C2576" t="s">
        <v>1387</v>
      </c>
      <c r="D2576" s="3" t="s">
        <v>99</v>
      </c>
      <c r="E2576" t="s">
        <v>25</v>
      </c>
      <c r="F2576" t="s">
        <v>47</v>
      </c>
      <c r="G2576" t="s">
        <v>48</v>
      </c>
      <c r="H2576" s="8">
        <v>1</v>
      </c>
      <c r="I2576" s="10">
        <v>12.5</v>
      </c>
      <c r="J2576" s="14">
        <f>P2576*I2576</f>
        <v>12.5</v>
      </c>
      <c r="K2576" s="16">
        <v>380</v>
      </c>
      <c r="L2576" s="1" t="s">
        <v>30</v>
      </c>
      <c r="M2576" t="s">
        <v>22</v>
      </c>
      <c r="N2576" t="str">
        <f t="shared" si="58"/>
        <v>United Kingdom</v>
      </c>
      <c r="O2576" s="8">
        <f>IF(K2576&gt;=1,K2576,K2576*1000)</f>
        <v>380</v>
      </c>
      <c r="P2576">
        <f>ABS(H2576)</f>
        <v>1</v>
      </c>
      <c r="R2576"/>
    </row>
    <row r="2577" spans="1:18" x14ac:dyDescent="0.35">
      <c r="A2577" t="s">
        <v>4111</v>
      </c>
      <c r="B2577" s="2">
        <v>46153</v>
      </c>
      <c r="C2577" t="s">
        <v>2701</v>
      </c>
      <c r="D2577" s="3" t="s">
        <v>99</v>
      </c>
      <c r="E2577" t="s">
        <v>41</v>
      </c>
      <c r="F2577" t="s">
        <v>47</v>
      </c>
      <c r="G2577" t="s">
        <v>48</v>
      </c>
      <c r="H2577" s="8">
        <v>3</v>
      </c>
      <c r="I2577" s="10">
        <v>129</v>
      </c>
      <c r="J2577" s="14">
        <f>P2577*I2577</f>
        <v>387</v>
      </c>
      <c r="K2577" s="16">
        <v>0.38</v>
      </c>
      <c r="L2577" s="1" t="s">
        <v>30</v>
      </c>
      <c r="M2577" t="s">
        <v>22</v>
      </c>
      <c r="N2577" t="str">
        <f t="shared" si="58"/>
        <v>United Kingdom</v>
      </c>
      <c r="O2577" s="8">
        <f>IF(K2577&gt;=1,K2577,K2577*1000)</f>
        <v>380</v>
      </c>
      <c r="P2577">
        <f>ABS(H2577)</f>
        <v>3</v>
      </c>
      <c r="R2577"/>
    </row>
    <row r="2578" spans="1:18" x14ac:dyDescent="0.35">
      <c r="A2578" t="s">
        <v>4112</v>
      </c>
      <c r="B2578" s="2">
        <v>46206</v>
      </c>
      <c r="C2578" t="s">
        <v>2056</v>
      </c>
      <c r="D2578" s="3" t="s">
        <v>99</v>
      </c>
      <c r="E2578" t="s">
        <v>16</v>
      </c>
      <c r="F2578" t="s">
        <v>35</v>
      </c>
      <c r="G2578" t="s">
        <v>36</v>
      </c>
      <c r="H2578" s="8">
        <v>2</v>
      </c>
      <c r="I2578" s="10">
        <v>129</v>
      </c>
      <c r="J2578" s="14">
        <f>P2578*I2578</f>
        <v>258</v>
      </c>
      <c r="K2578" s="16">
        <v>8.5000000000000006E-2</v>
      </c>
      <c r="L2578" s="1" t="s">
        <v>30</v>
      </c>
      <c r="M2578" t="s">
        <v>22</v>
      </c>
      <c r="N2578" t="str">
        <f t="shared" si="58"/>
        <v>United Kingdom</v>
      </c>
      <c r="O2578" s="8">
        <f>IF(K2578&gt;=1,K2578,K2578*1000)</f>
        <v>85</v>
      </c>
      <c r="P2578">
        <f>ABS(H2578)</f>
        <v>2</v>
      </c>
      <c r="R2578"/>
    </row>
    <row r="2579" spans="1:18" x14ac:dyDescent="0.35">
      <c r="A2579" t="s">
        <v>4113</v>
      </c>
      <c r="B2579" s="2">
        <v>46181</v>
      </c>
      <c r="C2579" t="s">
        <v>3633</v>
      </c>
      <c r="D2579" s="3" t="s">
        <v>15</v>
      </c>
      <c r="E2579" t="s">
        <v>41</v>
      </c>
      <c r="F2579" t="s">
        <v>83</v>
      </c>
      <c r="G2579" t="s">
        <v>84</v>
      </c>
      <c r="H2579" s="8">
        <v>3</v>
      </c>
      <c r="I2579" s="10">
        <v>24</v>
      </c>
      <c r="J2579" s="14">
        <f>P2579*I2579</f>
        <v>72</v>
      </c>
      <c r="K2579" s="16">
        <v>0.34</v>
      </c>
      <c r="L2579" s="1" t="s">
        <v>30</v>
      </c>
      <c r="M2579" t="s">
        <v>58</v>
      </c>
      <c r="N2579" t="str">
        <f t="shared" si="58"/>
        <v>France</v>
      </c>
      <c r="O2579" s="8">
        <f>IF(K2579&gt;=1,K2579,K2579*1000)</f>
        <v>340</v>
      </c>
      <c r="P2579">
        <f>ABS(H2579)</f>
        <v>3</v>
      </c>
      <c r="R2579"/>
    </row>
    <row r="2580" spans="1:18" x14ac:dyDescent="0.35">
      <c r="A2580" t="s">
        <v>4114</v>
      </c>
      <c r="B2580" s="2">
        <v>46086</v>
      </c>
      <c r="C2580" t="s">
        <v>2864</v>
      </c>
      <c r="D2580" s="3" t="s">
        <v>61</v>
      </c>
      <c r="E2580" t="s">
        <v>41</v>
      </c>
      <c r="F2580" t="s">
        <v>42</v>
      </c>
      <c r="G2580" t="s">
        <v>43</v>
      </c>
      <c r="H2580" s="8">
        <v>2</v>
      </c>
      <c r="I2580" s="10">
        <v>71.099999999999994</v>
      </c>
      <c r="J2580" s="14">
        <f>P2580*I2580</f>
        <v>142.19999999999999</v>
      </c>
      <c r="K2580" s="16">
        <v>190</v>
      </c>
      <c r="L2580" s="1" t="s">
        <v>21</v>
      </c>
      <c r="M2580" t="s">
        <v>22</v>
      </c>
      <c r="N2580" t="str">
        <f t="shared" si="58"/>
        <v>Ireland</v>
      </c>
      <c r="O2580" s="8">
        <f>IF(K2580&gt;=1,K2580,K2580*1000)</f>
        <v>190</v>
      </c>
      <c r="P2580">
        <f>ABS(H2580)</f>
        <v>2</v>
      </c>
      <c r="R2580"/>
    </row>
    <row r="2581" spans="1:18" x14ac:dyDescent="0.35">
      <c r="A2581" t="s">
        <v>4115</v>
      </c>
      <c r="B2581" s="2">
        <v>46161</v>
      </c>
      <c r="C2581" t="s">
        <v>1280</v>
      </c>
      <c r="D2581" s="3" t="s">
        <v>46</v>
      </c>
      <c r="E2581" t="s">
        <v>67</v>
      </c>
      <c r="F2581" t="s">
        <v>83</v>
      </c>
      <c r="G2581" t="s">
        <v>84</v>
      </c>
      <c r="H2581" s="8">
        <v>1</v>
      </c>
      <c r="I2581" s="10">
        <v>79</v>
      </c>
      <c r="J2581" s="14">
        <f>P2581*I2581</f>
        <v>79</v>
      </c>
      <c r="K2581" s="16">
        <v>0.34</v>
      </c>
      <c r="L2581" s="1" t="s">
        <v>30</v>
      </c>
      <c r="M2581" t="s">
        <v>22</v>
      </c>
      <c r="N2581" t="str">
        <f t="shared" si="58"/>
        <v>Ireland</v>
      </c>
      <c r="O2581" s="8">
        <f>IF(K2581&gt;=1,K2581,K2581*1000)</f>
        <v>340</v>
      </c>
      <c r="P2581">
        <f>ABS(H2581)</f>
        <v>1</v>
      </c>
      <c r="R2581"/>
    </row>
    <row r="2582" spans="1:18" x14ac:dyDescent="0.35">
      <c r="A2582" t="s">
        <v>4116</v>
      </c>
      <c r="B2582" s="2">
        <v>46057</v>
      </c>
      <c r="C2582" t="s">
        <v>1719</v>
      </c>
      <c r="D2582" s="3" t="s">
        <v>99</v>
      </c>
      <c r="E2582" t="s">
        <v>25</v>
      </c>
      <c r="F2582" t="s">
        <v>26</v>
      </c>
      <c r="G2582" t="s">
        <v>27</v>
      </c>
      <c r="H2582" s="8">
        <v>1</v>
      </c>
      <c r="I2582" s="10">
        <v>149</v>
      </c>
      <c r="J2582" s="14">
        <f>P2582*I2582</f>
        <v>149</v>
      </c>
      <c r="K2582" s="16">
        <v>520</v>
      </c>
      <c r="L2582" s="1" t="s">
        <v>30</v>
      </c>
      <c r="M2582" t="s">
        <v>22</v>
      </c>
      <c r="N2582" t="str">
        <f t="shared" si="58"/>
        <v>United Kingdom</v>
      </c>
      <c r="O2582" s="8">
        <f>IF(K2582&gt;=1,K2582,K2582*1000)</f>
        <v>520</v>
      </c>
      <c r="P2582">
        <f>ABS(H2582)</f>
        <v>1</v>
      </c>
      <c r="R2582"/>
    </row>
    <row r="2583" spans="1:18" x14ac:dyDescent="0.35">
      <c r="A2583" t="s">
        <v>4117</v>
      </c>
      <c r="B2583" s="2">
        <v>46102</v>
      </c>
      <c r="C2583" t="s">
        <v>4118</v>
      </c>
      <c r="D2583" s="3" t="s">
        <v>66</v>
      </c>
      <c r="E2583" t="s">
        <v>25</v>
      </c>
      <c r="F2583" t="s">
        <v>83</v>
      </c>
      <c r="G2583" t="s">
        <v>84</v>
      </c>
      <c r="H2583" s="8">
        <v>1</v>
      </c>
      <c r="I2583" s="10">
        <v>40.5</v>
      </c>
      <c r="J2583" s="14">
        <f>P2583*I2583</f>
        <v>40.5</v>
      </c>
      <c r="K2583" s="16">
        <v>340</v>
      </c>
      <c r="L2583" s="1" t="s">
        <v>30</v>
      </c>
      <c r="M2583" t="s">
        <v>22</v>
      </c>
      <c r="N2583" t="str">
        <f t="shared" si="58"/>
        <v>Gb</v>
      </c>
      <c r="O2583" s="8">
        <f>IF(K2583&gt;=1,K2583,K2583*1000)</f>
        <v>340</v>
      </c>
      <c r="P2583">
        <f>ABS(H2583)</f>
        <v>1</v>
      </c>
      <c r="R2583"/>
    </row>
    <row r="2584" spans="1:18" x14ac:dyDescent="0.35">
      <c r="A2584" t="s">
        <v>4119</v>
      </c>
      <c r="B2584" s="2">
        <v>46046</v>
      </c>
      <c r="C2584" t="s">
        <v>1010</v>
      </c>
      <c r="D2584" s="3" t="s">
        <v>99</v>
      </c>
      <c r="E2584" t="s">
        <v>16</v>
      </c>
      <c r="F2584" t="s">
        <v>35</v>
      </c>
      <c r="G2584" t="s">
        <v>36</v>
      </c>
      <c r="H2584" s="8">
        <v>3</v>
      </c>
      <c r="I2584" s="10">
        <v>129</v>
      </c>
      <c r="J2584" s="14">
        <f>P2584*I2584</f>
        <v>387</v>
      </c>
      <c r="K2584" s="16">
        <v>85</v>
      </c>
      <c r="L2584" s="1" t="s">
        <v>30</v>
      </c>
      <c r="M2584" t="s">
        <v>22</v>
      </c>
      <c r="N2584" t="str">
        <f t="shared" si="58"/>
        <v>United Kingdom</v>
      </c>
      <c r="O2584" s="8">
        <f>IF(K2584&gt;=1,K2584,K2584*1000)</f>
        <v>85</v>
      </c>
      <c r="P2584">
        <f>ABS(H2584)</f>
        <v>3</v>
      </c>
      <c r="R2584"/>
    </row>
    <row r="2585" spans="1:18" x14ac:dyDescent="0.35">
      <c r="A2585" t="s">
        <v>4120</v>
      </c>
      <c r="B2585" s="2">
        <v>46192</v>
      </c>
      <c r="C2585" t="s">
        <v>387</v>
      </c>
      <c r="D2585" s="3" t="s">
        <v>53</v>
      </c>
      <c r="E2585" t="s">
        <v>34</v>
      </c>
      <c r="F2585" t="s">
        <v>83</v>
      </c>
      <c r="G2585" t="s">
        <v>84</v>
      </c>
      <c r="H2585" s="8">
        <v>2</v>
      </c>
      <c r="I2585" s="10">
        <v>95</v>
      </c>
      <c r="J2585" s="14">
        <f>P2585*I2585</f>
        <v>190</v>
      </c>
      <c r="K2585" s="16">
        <v>0.34</v>
      </c>
      <c r="L2585" s="1" t="s">
        <v>30</v>
      </c>
      <c r="M2585" t="s">
        <v>22</v>
      </c>
      <c r="N2585" t="str">
        <f t="shared" si="58"/>
        <v>Gb</v>
      </c>
      <c r="O2585" s="8">
        <f>IF(K2585&gt;=1,K2585,K2585*1000)</f>
        <v>340</v>
      </c>
      <c r="P2585">
        <f>ABS(H2585)</f>
        <v>2</v>
      </c>
      <c r="R2585"/>
    </row>
    <row r="2586" spans="1:18" x14ac:dyDescent="0.35">
      <c r="A2586" t="s">
        <v>4121</v>
      </c>
      <c r="B2586" s="2">
        <v>46183</v>
      </c>
      <c r="C2586" t="s">
        <v>1324</v>
      </c>
      <c r="D2586" s="3" t="s">
        <v>66</v>
      </c>
      <c r="E2586" t="s">
        <v>34</v>
      </c>
      <c r="F2586" t="s">
        <v>42</v>
      </c>
      <c r="G2586" t="s">
        <v>43</v>
      </c>
      <c r="H2586" s="8">
        <v>1</v>
      </c>
      <c r="I2586" s="10">
        <v>129</v>
      </c>
      <c r="J2586" s="14">
        <f>P2586*I2586</f>
        <v>129</v>
      </c>
      <c r="K2586" s="16">
        <v>0.19</v>
      </c>
      <c r="L2586" s="1" t="s">
        <v>30</v>
      </c>
      <c r="M2586" t="s">
        <v>58</v>
      </c>
      <c r="N2586" t="str">
        <f t="shared" si="58"/>
        <v>Gb</v>
      </c>
      <c r="O2586" s="8">
        <f>IF(K2586&gt;=1,K2586,K2586*1000)</f>
        <v>190</v>
      </c>
      <c r="P2586">
        <f>ABS(H2586)</f>
        <v>1</v>
      </c>
      <c r="R2586"/>
    </row>
    <row r="2587" spans="1:18" x14ac:dyDescent="0.35">
      <c r="A2587" t="s">
        <v>4122</v>
      </c>
      <c r="B2587" s="2">
        <v>46040</v>
      </c>
      <c r="C2587" t="s">
        <v>3460</v>
      </c>
      <c r="D2587" s="3" t="s">
        <v>99</v>
      </c>
      <c r="E2587" t="s">
        <v>41</v>
      </c>
      <c r="F2587" t="s">
        <v>35</v>
      </c>
      <c r="G2587" t="s">
        <v>36</v>
      </c>
      <c r="H2587" s="8">
        <v>1</v>
      </c>
      <c r="I2587" s="10">
        <v>89</v>
      </c>
      <c r="J2587" s="14">
        <f>P2587*I2587</f>
        <v>89</v>
      </c>
      <c r="K2587" s="16">
        <v>85</v>
      </c>
      <c r="L2587" s="1" t="s">
        <v>30</v>
      </c>
      <c r="M2587" t="s">
        <v>58</v>
      </c>
      <c r="N2587" t="str">
        <f t="shared" si="58"/>
        <v>United Kingdom</v>
      </c>
      <c r="O2587" s="8">
        <f>IF(K2587&gt;=1,K2587,K2587*1000)</f>
        <v>85</v>
      </c>
      <c r="P2587">
        <f>ABS(H2587)</f>
        <v>1</v>
      </c>
      <c r="R2587"/>
    </row>
    <row r="2588" spans="1:18" x14ac:dyDescent="0.35">
      <c r="A2588" t="s">
        <v>4123</v>
      </c>
      <c r="B2588" s="2">
        <v>46033</v>
      </c>
      <c r="C2588" t="s">
        <v>129</v>
      </c>
      <c r="D2588" s="3" t="s">
        <v>15</v>
      </c>
      <c r="E2588" t="s">
        <v>41</v>
      </c>
      <c r="F2588" t="s">
        <v>17</v>
      </c>
      <c r="G2588" t="s">
        <v>18</v>
      </c>
      <c r="H2588" s="8">
        <v>1</v>
      </c>
      <c r="I2588" s="12" t="s">
        <v>4647</v>
      </c>
      <c r="J2588" s="14">
        <f>P2588*R2588</f>
        <v>85.5</v>
      </c>
      <c r="K2588" s="16">
        <v>520</v>
      </c>
      <c r="L2588" s="1" t="s">
        <v>21</v>
      </c>
      <c r="M2588" t="s">
        <v>22</v>
      </c>
      <c r="N2588" t="str">
        <f t="shared" si="58"/>
        <v>France</v>
      </c>
      <c r="O2588" s="8">
        <f>IF(K2588&gt;=1,K2588,K2588*1000)</f>
        <v>520</v>
      </c>
      <c r="P2588">
        <f>ABS(H2588)</f>
        <v>1</v>
      </c>
      <c r="Q2588" t="str">
        <f>LEFT(I2588,3)</f>
        <v>GBP</v>
      </c>
      <c r="R2588" s="10" t="str">
        <f>RIGHT(I2588,5)</f>
        <v>85,50</v>
      </c>
    </row>
    <row r="2589" spans="1:18" x14ac:dyDescent="0.35">
      <c r="A2589" t="s">
        <v>4124</v>
      </c>
      <c r="B2589" s="2">
        <v>46088</v>
      </c>
      <c r="C2589" t="s">
        <v>4125</v>
      </c>
      <c r="D2589" s="3" t="s">
        <v>15</v>
      </c>
      <c r="E2589" t="s">
        <v>25</v>
      </c>
      <c r="F2589" t="s">
        <v>17</v>
      </c>
      <c r="G2589" t="s">
        <v>18</v>
      </c>
      <c r="H2589" s="8">
        <v>1</v>
      </c>
      <c r="I2589" s="10">
        <v>24</v>
      </c>
      <c r="J2589" s="14">
        <f>P2589*I2589</f>
        <v>24</v>
      </c>
      <c r="K2589" s="16">
        <v>0.52</v>
      </c>
      <c r="L2589" s="1" t="s">
        <v>30</v>
      </c>
      <c r="M2589" t="s">
        <v>22</v>
      </c>
      <c r="N2589" t="str">
        <f t="shared" si="58"/>
        <v>France</v>
      </c>
      <c r="O2589" s="8">
        <f>IF(K2589&gt;=1,K2589,K2589*1000)</f>
        <v>520</v>
      </c>
      <c r="P2589">
        <f>ABS(H2589)</f>
        <v>1</v>
      </c>
      <c r="R2589"/>
    </row>
    <row r="2590" spans="1:18" x14ac:dyDescent="0.35">
      <c r="A2590" t="s">
        <v>4126</v>
      </c>
      <c r="B2590" s="2">
        <v>46079</v>
      </c>
      <c r="C2590" t="s">
        <v>4127</v>
      </c>
      <c r="D2590" s="3" t="s">
        <v>66</v>
      </c>
      <c r="E2590" t="s">
        <v>25</v>
      </c>
      <c r="F2590" t="s">
        <v>35</v>
      </c>
      <c r="G2590" t="s">
        <v>36</v>
      </c>
      <c r="H2590" s="8">
        <v>2</v>
      </c>
      <c r="I2590" s="10">
        <v>129</v>
      </c>
      <c r="J2590" s="14">
        <f>P2590*I2590</f>
        <v>258</v>
      </c>
      <c r="K2590" s="16">
        <v>85</v>
      </c>
      <c r="L2590" s="1" t="s">
        <v>30</v>
      </c>
      <c r="M2590" t="s">
        <v>58</v>
      </c>
      <c r="N2590" t="str">
        <f t="shared" si="58"/>
        <v>Gb</v>
      </c>
      <c r="O2590" s="8">
        <f>IF(K2590&gt;=1,K2590,K2590*1000)</f>
        <v>85</v>
      </c>
      <c r="P2590">
        <f>ABS(H2590)</f>
        <v>2</v>
      </c>
      <c r="R2590"/>
    </row>
    <row r="2591" spans="1:18" x14ac:dyDescent="0.35">
      <c r="A2591" t="s">
        <v>4128</v>
      </c>
      <c r="B2591" s="2">
        <v>46075</v>
      </c>
      <c r="C2591" t="s">
        <v>3212</v>
      </c>
      <c r="D2591" s="3" t="s">
        <v>116</v>
      </c>
      <c r="E2591" t="s">
        <v>34</v>
      </c>
      <c r="F2591" t="s">
        <v>35</v>
      </c>
      <c r="G2591" t="s">
        <v>36</v>
      </c>
      <c r="H2591" s="8">
        <v>1</v>
      </c>
      <c r="I2591" s="10">
        <v>45</v>
      </c>
      <c r="J2591" s="14">
        <f>P2591*I2591</f>
        <v>45</v>
      </c>
      <c r="K2591" s="16">
        <v>85</v>
      </c>
      <c r="L2591" s="1" t="s">
        <v>30</v>
      </c>
      <c r="M2591" t="s">
        <v>22</v>
      </c>
      <c r="N2591" t="str">
        <f t="shared" si="58"/>
        <v>Germany</v>
      </c>
      <c r="O2591" s="8">
        <f>IF(K2591&gt;=1,K2591,K2591*1000)</f>
        <v>85</v>
      </c>
      <c r="P2591">
        <f>ABS(H2591)</f>
        <v>1</v>
      </c>
      <c r="R2591"/>
    </row>
    <row r="2592" spans="1:18" x14ac:dyDescent="0.35">
      <c r="A2592" t="s">
        <v>4129</v>
      </c>
      <c r="B2592" s="2">
        <v>46089</v>
      </c>
      <c r="C2592" t="s">
        <v>513</v>
      </c>
      <c r="D2592" s="3" t="s">
        <v>4613</v>
      </c>
      <c r="E2592" t="s">
        <v>25</v>
      </c>
      <c r="F2592" t="s">
        <v>42</v>
      </c>
      <c r="G2592" t="s">
        <v>43</v>
      </c>
      <c r="H2592" s="8">
        <v>2</v>
      </c>
      <c r="I2592" s="10">
        <v>116.1</v>
      </c>
      <c r="J2592" s="14">
        <f>P2592*I2592</f>
        <v>232.2</v>
      </c>
      <c r="K2592" s="16">
        <v>190</v>
      </c>
      <c r="L2592" s="1" t="s">
        <v>30</v>
      </c>
      <c r="M2592" t="s">
        <v>22</v>
      </c>
      <c r="N2592" t="str">
        <f t="shared" si="58"/>
        <v>United Kingdom</v>
      </c>
      <c r="O2592" s="8">
        <f>IF(K2592&gt;=1,K2592,K2592*1000)</f>
        <v>190</v>
      </c>
      <c r="P2592">
        <f>ABS(H2592)</f>
        <v>2</v>
      </c>
      <c r="R2592"/>
    </row>
    <row r="2593" spans="1:18" x14ac:dyDescent="0.35">
      <c r="A2593" t="s">
        <v>4130</v>
      </c>
      <c r="B2593" s="2">
        <v>46108</v>
      </c>
      <c r="C2593" t="s">
        <v>1597</v>
      </c>
      <c r="D2593" s="3" t="s">
        <v>4612</v>
      </c>
      <c r="E2593" t="s">
        <v>67</v>
      </c>
      <c r="F2593" t="s">
        <v>35</v>
      </c>
      <c r="G2593" t="s">
        <v>36</v>
      </c>
      <c r="H2593" s="8">
        <v>2</v>
      </c>
      <c r="I2593" s="10">
        <v>45</v>
      </c>
      <c r="J2593" s="14">
        <f>P2593*I2593</f>
        <v>90</v>
      </c>
      <c r="K2593" s="16">
        <v>85</v>
      </c>
      <c r="L2593" s="1" t="s">
        <v>30</v>
      </c>
      <c r="M2593" t="s">
        <v>22</v>
      </c>
      <c r="N2593" t="str">
        <f t="shared" si="58"/>
        <v>United Kingdom</v>
      </c>
      <c r="O2593" s="8">
        <f>IF(K2593&gt;=1,K2593,K2593*1000)</f>
        <v>85</v>
      </c>
      <c r="P2593">
        <f>ABS(H2593)</f>
        <v>2</v>
      </c>
      <c r="R2593"/>
    </row>
    <row r="2594" spans="1:18" x14ac:dyDescent="0.35">
      <c r="A2594" t="s">
        <v>4131</v>
      </c>
      <c r="B2594" s="2">
        <v>46084</v>
      </c>
      <c r="C2594" t="s">
        <v>4132</v>
      </c>
      <c r="D2594" s="3" t="s">
        <v>66</v>
      </c>
      <c r="E2594" t="s">
        <v>41</v>
      </c>
      <c r="F2594" t="s">
        <v>74</v>
      </c>
      <c r="G2594" t="s">
        <v>75</v>
      </c>
      <c r="H2594" s="8">
        <v>2</v>
      </c>
      <c r="I2594" s="10">
        <v>24</v>
      </c>
      <c r="J2594" s="14">
        <f>P2594*I2594</f>
        <v>48</v>
      </c>
      <c r="K2594" s="16">
        <v>410</v>
      </c>
      <c r="L2594" s="1" t="s">
        <v>30</v>
      </c>
      <c r="M2594" t="s">
        <v>22</v>
      </c>
      <c r="N2594" t="str">
        <f t="shared" si="58"/>
        <v>Gb</v>
      </c>
      <c r="O2594" s="8">
        <f>IF(K2594&gt;=1,K2594,K2594*1000)</f>
        <v>410</v>
      </c>
      <c r="P2594">
        <f>ABS(H2594)</f>
        <v>2</v>
      </c>
      <c r="R2594"/>
    </row>
    <row r="2595" spans="1:18" x14ac:dyDescent="0.35">
      <c r="A2595" t="s">
        <v>4133</v>
      </c>
      <c r="B2595" s="2">
        <v>46190</v>
      </c>
      <c r="C2595" t="s">
        <v>387</v>
      </c>
      <c r="D2595" s="3" t="s">
        <v>116</v>
      </c>
      <c r="E2595" t="s">
        <v>16</v>
      </c>
      <c r="F2595" t="s">
        <v>17</v>
      </c>
      <c r="G2595" t="s">
        <v>18</v>
      </c>
      <c r="H2595" s="8">
        <v>3</v>
      </c>
      <c r="I2595" s="10">
        <v>79</v>
      </c>
      <c r="J2595" s="14">
        <f>P2595*I2595</f>
        <v>237</v>
      </c>
      <c r="K2595" s="16">
        <v>0.52</v>
      </c>
      <c r="L2595" s="1" t="s">
        <v>30</v>
      </c>
      <c r="M2595" t="s">
        <v>58</v>
      </c>
      <c r="N2595" t="str">
        <f t="shared" si="58"/>
        <v>Germany</v>
      </c>
      <c r="O2595" s="8">
        <f>IF(K2595&gt;=1,K2595,K2595*1000)</f>
        <v>520</v>
      </c>
      <c r="P2595">
        <f>ABS(H2595)</f>
        <v>3</v>
      </c>
      <c r="R2595"/>
    </row>
    <row r="2596" spans="1:18" x14ac:dyDescent="0.35">
      <c r="A2596" t="s">
        <v>4134</v>
      </c>
      <c r="B2596" s="2" t="s">
        <v>4135</v>
      </c>
      <c r="C2596" t="s">
        <v>1619</v>
      </c>
      <c r="D2596" s="3" t="s">
        <v>53</v>
      </c>
      <c r="E2596" t="s">
        <v>25</v>
      </c>
      <c r="F2596" t="s">
        <v>89</v>
      </c>
      <c r="G2596" t="s">
        <v>90</v>
      </c>
      <c r="H2596" s="8">
        <v>1</v>
      </c>
      <c r="I2596" s="10">
        <v>12.5</v>
      </c>
      <c r="J2596" s="14">
        <f>P2596*I2596</f>
        <v>12.5</v>
      </c>
      <c r="K2596" s="16">
        <v>0.64</v>
      </c>
      <c r="L2596" s="1" t="s">
        <v>30</v>
      </c>
      <c r="M2596" t="s">
        <v>58</v>
      </c>
      <c r="N2596" t="str">
        <f t="shared" si="58"/>
        <v>Gb</v>
      </c>
      <c r="O2596" s="8">
        <f>IF(K2596&gt;=1,K2596,K2596*1000)</f>
        <v>640</v>
      </c>
      <c r="P2596">
        <f>ABS(H2596)</f>
        <v>1</v>
      </c>
      <c r="R2596"/>
    </row>
    <row r="2597" spans="1:18" x14ac:dyDescent="0.35">
      <c r="A2597" t="s">
        <v>4136</v>
      </c>
      <c r="B2597" s="2">
        <v>46150</v>
      </c>
      <c r="C2597" t="s">
        <v>2369</v>
      </c>
      <c r="D2597" s="3" t="s">
        <v>99</v>
      </c>
      <c r="E2597" t="s">
        <v>25</v>
      </c>
      <c r="F2597" t="s">
        <v>17</v>
      </c>
      <c r="G2597" t="s">
        <v>18</v>
      </c>
      <c r="H2597" s="8">
        <v>2</v>
      </c>
      <c r="I2597" s="10">
        <v>45</v>
      </c>
      <c r="J2597" s="14">
        <f>P2597*I2597</f>
        <v>90</v>
      </c>
      <c r="K2597" s="16">
        <v>0.52</v>
      </c>
      <c r="L2597" s="1" t="s">
        <v>30</v>
      </c>
      <c r="M2597" t="s">
        <v>22</v>
      </c>
      <c r="N2597" t="str">
        <f t="shared" si="58"/>
        <v>United Kingdom</v>
      </c>
      <c r="O2597" s="8">
        <f>IF(K2597&gt;=1,K2597,K2597*1000)</f>
        <v>520</v>
      </c>
      <c r="P2597">
        <f>ABS(H2597)</f>
        <v>2</v>
      </c>
      <c r="R2597"/>
    </row>
    <row r="2598" spans="1:18" x14ac:dyDescent="0.35">
      <c r="A2598" t="s">
        <v>4137</v>
      </c>
      <c r="B2598" s="2">
        <v>46206</v>
      </c>
      <c r="C2598" t="s">
        <v>2076</v>
      </c>
      <c r="D2598" s="3" t="s">
        <v>4613</v>
      </c>
      <c r="E2598" t="s">
        <v>67</v>
      </c>
      <c r="F2598" t="s">
        <v>26</v>
      </c>
      <c r="G2598" t="s">
        <v>27</v>
      </c>
      <c r="H2598" s="8">
        <v>2</v>
      </c>
      <c r="I2598" s="10">
        <v>89</v>
      </c>
      <c r="J2598" s="14">
        <f>P2598*I2598</f>
        <v>178</v>
      </c>
      <c r="K2598" s="16">
        <v>0.52</v>
      </c>
      <c r="L2598" s="1" t="s">
        <v>30</v>
      </c>
      <c r="M2598" t="s">
        <v>22</v>
      </c>
      <c r="N2598" t="str">
        <f t="shared" si="58"/>
        <v>United Kingdom</v>
      </c>
      <c r="O2598" s="8">
        <f>IF(K2598&gt;=1,K2598,K2598*1000)</f>
        <v>520</v>
      </c>
      <c r="P2598">
        <f>ABS(H2598)</f>
        <v>2</v>
      </c>
      <c r="R2598"/>
    </row>
    <row r="2599" spans="1:18" x14ac:dyDescent="0.35">
      <c r="A2599" t="s">
        <v>4138</v>
      </c>
      <c r="B2599" s="2">
        <v>46148</v>
      </c>
      <c r="C2599" t="s">
        <v>88</v>
      </c>
      <c r="D2599" s="3" t="s">
        <v>46</v>
      </c>
      <c r="E2599" t="s">
        <v>25</v>
      </c>
      <c r="F2599" t="s">
        <v>74</v>
      </c>
      <c r="G2599" t="s">
        <v>75</v>
      </c>
      <c r="H2599" s="8">
        <v>1</v>
      </c>
      <c r="I2599" s="10">
        <v>85.5</v>
      </c>
      <c r="J2599" s="14">
        <f>P2599*I2599</f>
        <v>85.5</v>
      </c>
      <c r="K2599" s="16">
        <v>0.41</v>
      </c>
      <c r="L2599" s="1" t="s">
        <v>30</v>
      </c>
      <c r="M2599" t="s">
        <v>22</v>
      </c>
      <c r="N2599" t="str">
        <f t="shared" si="58"/>
        <v>Ireland</v>
      </c>
      <c r="O2599" s="8">
        <f>IF(K2599&gt;=1,K2599,K2599*1000)</f>
        <v>410</v>
      </c>
      <c r="P2599">
        <f>ABS(H2599)</f>
        <v>1</v>
      </c>
      <c r="R2599"/>
    </row>
    <row r="2600" spans="1:18" x14ac:dyDescent="0.35">
      <c r="A2600" t="s">
        <v>4139</v>
      </c>
      <c r="B2600" s="2">
        <v>46073</v>
      </c>
      <c r="C2600" t="s">
        <v>439</v>
      </c>
      <c r="D2600" s="3" t="s">
        <v>66</v>
      </c>
      <c r="E2600" t="s">
        <v>67</v>
      </c>
      <c r="F2600" t="s">
        <v>35</v>
      </c>
      <c r="G2600" t="s">
        <v>36</v>
      </c>
      <c r="H2600" s="8">
        <v>2</v>
      </c>
      <c r="I2600" s="10">
        <v>89</v>
      </c>
      <c r="J2600" s="14">
        <f>P2600*I2600</f>
        <v>178</v>
      </c>
      <c r="K2600" s="16">
        <v>85</v>
      </c>
      <c r="L2600" s="1" t="s">
        <v>21</v>
      </c>
      <c r="M2600" t="s">
        <v>22</v>
      </c>
      <c r="N2600" t="str">
        <f t="shared" si="58"/>
        <v>Gb</v>
      </c>
      <c r="O2600" s="8">
        <f>IF(K2600&gt;=1,K2600,K2600*1000)</f>
        <v>85</v>
      </c>
      <c r="P2600">
        <f>ABS(H2600)</f>
        <v>2</v>
      </c>
      <c r="R2600"/>
    </row>
    <row r="2601" spans="1:18" x14ac:dyDescent="0.35">
      <c r="A2601" t="s">
        <v>4140</v>
      </c>
      <c r="B2601" s="2">
        <v>46030</v>
      </c>
      <c r="C2601" t="s">
        <v>2933</v>
      </c>
      <c r="D2601" s="3" t="s">
        <v>66</v>
      </c>
      <c r="E2601" t="s">
        <v>25</v>
      </c>
      <c r="F2601" t="s">
        <v>83</v>
      </c>
      <c r="G2601" t="s">
        <v>84</v>
      </c>
      <c r="H2601" s="8">
        <v>3</v>
      </c>
      <c r="I2601" s="10">
        <v>21.6</v>
      </c>
      <c r="J2601" s="14">
        <f>P2601*I2601</f>
        <v>64.800000000000011</v>
      </c>
      <c r="K2601" s="16">
        <v>340</v>
      </c>
      <c r="L2601" s="1" t="s">
        <v>30</v>
      </c>
      <c r="M2601" t="s">
        <v>22</v>
      </c>
      <c r="N2601" t="str">
        <f t="shared" si="58"/>
        <v>Gb</v>
      </c>
      <c r="O2601" s="8">
        <f>IF(K2601&gt;=1,K2601,K2601*1000)</f>
        <v>340</v>
      </c>
      <c r="P2601">
        <f>ABS(H2601)</f>
        <v>3</v>
      </c>
      <c r="R2601"/>
    </row>
    <row r="2602" spans="1:18" x14ac:dyDescent="0.35">
      <c r="A2602" t="s">
        <v>4141</v>
      </c>
      <c r="B2602" s="2">
        <v>46085</v>
      </c>
      <c r="C2602" t="s">
        <v>1089</v>
      </c>
      <c r="D2602" s="3" t="s">
        <v>4613</v>
      </c>
      <c r="E2602" t="s">
        <v>67</v>
      </c>
      <c r="F2602" t="s">
        <v>42</v>
      </c>
      <c r="G2602" t="s">
        <v>43</v>
      </c>
      <c r="H2602" s="8">
        <v>3</v>
      </c>
      <c r="I2602" s="10">
        <v>45</v>
      </c>
      <c r="J2602" s="14">
        <f>P2602*I2602</f>
        <v>135</v>
      </c>
      <c r="K2602" s="16">
        <v>190</v>
      </c>
      <c r="L2602" s="1" t="s">
        <v>30</v>
      </c>
      <c r="M2602" t="s">
        <v>22</v>
      </c>
      <c r="N2602" t="str">
        <f t="shared" si="58"/>
        <v>United Kingdom</v>
      </c>
      <c r="O2602" s="8">
        <f>IF(K2602&gt;=1,K2602,K2602*1000)</f>
        <v>190</v>
      </c>
      <c r="P2602">
        <f>ABS(H2602)</f>
        <v>3</v>
      </c>
      <c r="R2602"/>
    </row>
    <row r="2603" spans="1:18" x14ac:dyDescent="0.35">
      <c r="A2603" t="s">
        <v>4142</v>
      </c>
      <c r="B2603" s="2">
        <v>46116</v>
      </c>
      <c r="C2603" t="s">
        <v>4060</v>
      </c>
      <c r="D2603" s="3" t="s">
        <v>116</v>
      </c>
      <c r="E2603" t="s">
        <v>16</v>
      </c>
      <c r="F2603" t="s">
        <v>83</v>
      </c>
      <c r="G2603" t="s">
        <v>84</v>
      </c>
      <c r="H2603" s="8">
        <v>1</v>
      </c>
      <c r="I2603" s="12" t="s">
        <v>4638</v>
      </c>
      <c r="J2603" s="14">
        <f t="shared" ref="J2603:J2604" si="59">P2603*R2603</f>
        <v>21.6</v>
      </c>
      <c r="K2603" s="16">
        <v>340</v>
      </c>
      <c r="L2603" s="1" t="s">
        <v>30</v>
      </c>
      <c r="M2603" t="s">
        <v>22</v>
      </c>
      <c r="N2603" t="str">
        <f t="shared" si="58"/>
        <v>Germany</v>
      </c>
      <c r="O2603" s="8">
        <f>IF(K2603&gt;=1,K2603,K2603*1000)</f>
        <v>340</v>
      </c>
      <c r="P2603">
        <f>ABS(H2603)</f>
        <v>1</v>
      </c>
      <c r="Q2603" t="str">
        <f t="shared" ref="Q2603:Q2604" si="60">LEFT(I2603,2)</f>
        <v>Â£</v>
      </c>
      <c r="R2603" t="str">
        <f t="shared" ref="R2603:R2604" si="61">RIGHT(I2603,5)</f>
        <v>21,60</v>
      </c>
    </row>
    <row r="2604" spans="1:18" x14ac:dyDescent="0.35">
      <c r="A2604" t="s">
        <v>4143</v>
      </c>
      <c r="B2604" s="2">
        <v>46085</v>
      </c>
      <c r="C2604" t="s">
        <v>271</v>
      </c>
      <c r="D2604" s="3" t="s">
        <v>99</v>
      </c>
      <c r="E2604" t="s">
        <v>67</v>
      </c>
      <c r="F2604" t="s">
        <v>26</v>
      </c>
      <c r="G2604" t="s">
        <v>27</v>
      </c>
      <c r="H2604" s="8">
        <v>1</v>
      </c>
      <c r="I2604" s="12" t="s">
        <v>4624</v>
      </c>
      <c r="J2604" s="14">
        <f t="shared" si="59"/>
        <v>24</v>
      </c>
      <c r="K2604" s="16">
        <v>520</v>
      </c>
      <c r="L2604" s="1" t="s">
        <v>30</v>
      </c>
      <c r="M2604" t="s">
        <v>22</v>
      </c>
      <c r="N2604" t="str">
        <f t="shared" si="58"/>
        <v>United Kingdom</v>
      </c>
      <c r="O2604" s="8">
        <f>IF(K2604&gt;=1,K2604,K2604*1000)</f>
        <v>520</v>
      </c>
      <c r="P2604">
        <f>ABS(H2604)</f>
        <v>1</v>
      </c>
      <c r="Q2604" t="str">
        <f t="shared" si="60"/>
        <v>Â£</v>
      </c>
      <c r="R2604" t="str">
        <f t="shared" si="61"/>
        <v>24,00</v>
      </c>
    </row>
    <row r="2605" spans="1:18" x14ac:dyDescent="0.35">
      <c r="A2605" t="s">
        <v>4144</v>
      </c>
      <c r="B2605" s="2">
        <v>46031</v>
      </c>
      <c r="C2605" t="s">
        <v>2507</v>
      </c>
      <c r="D2605" s="3" t="s">
        <v>61</v>
      </c>
      <c r="E2605" t="s">
        <v>67</v>
      </c>
      <c r="F2605" t="s">
        <v>83</v>
      </c>
      <c r="G2605" t="s">
        <v>84</v>
      </c>
      <c r="H2605" s="8">
        <v>1</v>
      </c>
      <c r="I2605" s="10">
        <v>149</v>
      </c>
      <c r="J2605" s="14">
        <f>P2605*I2605</f>
        <v>149</v>
      </c>
      <c r="K2605" s="16">
        <v>340</v>
      </c>
      <c r="L2605" s="1" t="s">
        <v>30</v>
      </c>
      <c r="M2605" t="s">
        <v>22</v>
      </c>
      <c r="N2605" t="str">
        <f t="shared" si="58"/>
        <v>Ireland</v>
      </c>
      <c r="O2605" s="8">
        <f>IF(K2605&gt;=1,K2605,K2605*1000)</f>
        <v>340</v>
      </c>
      <c r="P2605">
        <f>ABS(H2605)</f>
        <v>1</v>
      </c>
      <c r="R2605"/>
    </row>
    <row r="2606" spans="1:18" x14ac:dyDescent="0.35">
      <c r="A2606" t="s">
        <v>4145</v>
      </c>
      <c r="B2606" s="2">
        <v>46047</v>
      </c>
      <c r="C2606" t="s">
        <v>4146</v>
      </c>
      <c r="D2606" s="3" t="s">
        <v>53</v>
      </c>
      <c r="E2606" t="s">
        <v>34</v>
      </c>
      <c r="F2606" t="s">
        <v>74</v>
      </c>
      <c r="G2606" t="s">
        <v>75</v>
      </c>
      <c r="H2606" s="8">
        <v>2</v>
      </c>
      <c r="I2606" s="10">
        <v>12.5</v>
      </c>
      <c r="J2606" s="14">
        <f>P2606*I2606</f>
        <v>25</v>
      </c>
      <c r="K2606" s="16">
        <v>410</v>
      </c>
      <c r="L2606" s="1" t="s">
        <v>30</v>
      </c>
      <c r="M2606" t="s">
        <v>22</v>
      </c>
      <c r="N2606" t="str">
        <f t="shared" si="58"/>
        <v>Gb</v>
      </c>
      <c r="O2606" s="8">
        <f>IF(K2606&gt;=1,K2606,K2606*1000)</f>
        <v>410</v>
      </c>
      <c r="P2606">
        <f>ABS(H2606)</f>
        <v>2</v>
      </c>
      <c r="R2606"/>
    </row>
    <row r="2607" spans="1:18" x14ac:dyDescent="0.35">
      <c r="A2607" t="s">
        <v>4147</v>
      </c>
      <c r="B2607" s="2">
        <v>46177</v>
      </c>
      <c r="C2607" t="s">
        <v>4148</v>
      </c>
      <c r="D2607" s="3" t="s">
        <v>46</v>
      </c>
      <c r="E2607" t="s">
        <v>41</v>
      </c>
      <c r="F2607" t="s">
        <v>47</v>
      </c>
      <c r="G2607" t="s">
        <v>48</v>
      </c>
      <c r="H2607" s="8">
        <v>3</v>
      </c>
      <c r="I2607" s="10">
        <v>45</v>
      </c>
      <c r="J2607" s="14">
        <f>P2607*I2607</f>
        <v>135</v>
      </c>
      <c r="K2607" s="16">
        <v>0.38</v>
      </c>
      <c r="L2607" s="1" t="s">
        <v>30</v>
      </c>
      <c r="M2607" t="s">
        <v>22</v>
      </c>
      <c r="N2607" t="str">
        <f t="shared" si="58"/>
        <v>Ireland</v>
      </c>
      <c r="O2607" s="8">
        <f>IF(K2607&gt;=1,K2607,K2607*1000)</f>
        <v>380</v>
      </c>
      <c r="P2607">
        <f>ABS(H2607)</f>
        <v>3</v>
      </c>
      <c r="R2607"/>
    </row>
    <row r="2608" spans="1:18" x14ac:dyDescent="0.35">
      <c r="A2608" t="s">
        <v>4149</v>
      </c>
      <c r="B2608" s="2">
        <v>46170</v>
      </c>
      <c r="C2608" t="s">
        <v>564</v>
      </c>
      <c r="D2608" s="3" t="s">
        <v>61</v>
      </c>
      <c r="E2608" t="s">
        <v>34</v>
      </c>
      <c r="F2608" t="s">
        <v>35</v>
      </c>
      <c r="G2608" t="s">
        <v>36</v>
      </c>
      <c r="H2608" s="8">
        <v>1</v>
      </c>
      <c r="I2608" s="10">
        <v>129</v>
      </c>
      <c r="J2608" s="14">
        <f>P2608*I2608</f>
        <v>129</v>
      </c>
      <c r="K2608" s="16">
        <v>8.5000000000000006E-2</v>
      </c>
      <c r="L2608" s="1" t="s">
        <v>30</v>
      </c>
      <c r="M2608" t="s">
        <v>58</v>
      </c>
      <c r="N2608" t="str">
        <f t="shared" si="58"/>
        <v>Ireland</v>
      </c>
      <c r="O2608" s="8">
        <f>IF(K2608&gt;=1,K2608,K2608*1000)</f>
        <v>85</v>
      </c>
      <c r="P2608">
        <f>ABS(H2608)</f>
        <v>1</v>
      </c>
      <c r="R2608"/>
    </row>
    <row r="2609" spans="1:18" x14ac:dyDescent="0.35">
      <c r="A2609" t="s">
        <v>4150</v>
      </c>
      <c r="B2609" s="2">
        <v>46115</v>
      </c>
      <c r="C2609" t="s">
        <v>794</v>
      </c>
      <c r="D2609" s="3" t="s">
        <v>4613</v>
      </c>
      <c r="E2609" t="s">
        <v>41</v>
      </c>
      <c r="F2609" t="s">
        <v>89</v>
      </c>
      <c r="G2609" t="s">
        <v>90</v>
      </c>
      <c r="H2609" s="8">
        <v>2</v>
      </c>
      <c r="I2609" s="10">
        <v>80.099999999999994</v>
      </c>
      <c r="J2609" s="14">
        <f>P2609*I2609</f>
        <v>160.19999999999999</v>
      </c>
      <c r="K2609" s="16">
        <v>640</v>
      </c>
      <c r="L2609" s="1" t="s">
        <v>30</v>
      </c>
      <c r="M2609" t="s">
        <v>58</v>
      </c>
      <c r="N2609" t="str">
        <f t="shared" si="58"/>
        <v>United Kingdom</v>
      </c>
      <c r="O2609" s="8">
        <f>IF(K2609&gt;=1,K2609,K2609*1000)</f>
        <v>640</v>
      </c>
      <c r="P2609">
        <f>ABS(H2609)</f>
        <v>2</v>
      </c>
      <c r="R2609"/>
    </row>
    <row r="2610" spans="1:18" x14ac:dyDescent="0.35">
      <c r="A2610" t="s">
        <v>4151</v>
      </c>
      <c r="B2610" s="2">
        <v>46109</v>
      </c>
      <c r="C2610" t="s">
        <v>1669</v>
      </c>
      <c r="D2610" s="3" t="s">
        <v>61</v>
      </c>
      <c r="E2610" t="s">
        <v>16</v>
      </c>
      <c r="F2610" t="s">
        <v>17</v>
      </c>
      <c r="G2610" t="s">
        <v>18</v>
      </c>
      <c r="H2610" s="8">
        <v>2</v>
      </c>
      <c r="I2610" s="10">
        <v>80.099999999999994</v>
      </c>
      <c r="J2610" s="14">
        <f>P2610*I2610</f>
        <v>160.19999999999999</v>
      </c>
      <c r="K2610" s="16">
        <v>520</v>
      </c>
      <c r="L2610" s="1" t="s">
        <v>30</v>
      </c>
      <c r="M2610" t="s">
        <v>22</v>
      </c>
      <c r="N2610" t="str">
        <f t="shared" si="58"/>
        <v>Ireland</v>
      </c>
      <c r="O2610" s="8">
        <f>IF(K2610&gt;=1,K2610,K2610*1000)</f>
        <v>520</v>
      </c>
      <c r="P2610">
        <f>ABS(H2610)</f>
        <v>2</v>
      </c>
      <c r="R2610"/>
    </row>
    <row r="2611" spans="1:18" x14ac:dyDescent="0.35">
      <c r="A2611" t="s">
        <v>4152</v>
      </c>
      <c r="B2611" s="2">
        <v>46045</v>
      </c>
      <c r="C2611" t="s">
        <v>3021</v>
      </c>
      <c r="D2611" s="3" t="s">
        <v>15</v>
      </c>
      <c r="E2611" t="s">
        <v>16</v>
      </c>
      <c r="F2611" t="s">
        <v>42</v>
      </c>
      <c r="G2611" t="s">
        <v>43</v>
      </c>
      <c r="H2611" s="8">
        <v>2</v>
      </c>
      <c r="I2611" s="10">
        <v>80.099999999999994</v>
      </c>
      <c r="J2611" s="14">
        <f>P2611*I2611</f>
        <v>160.19999999999999</v>
      </c>
      <c r="K2611" s="16">
        <v>190</v>
      </c>
      <c r="L2611" s="1" t="s">
        <v>21</v>
      </c>
      <c r="M2611" t="s">
        <v>22</v>
      </c>
      <c r="N2611" t="str">
        <f t="shared" si="58"/>
        <v>France</v>
      </c>
      <c r="O2611" s="8">
        <f>IF(K2611&gt;=1,K2611,K2611*1000)</f>
        <v>190</v>
      </c>
      <c r="P2611">
        <f>ABS(H2611)</f>
        <v>2</v>
      </c>
      <c r="R2611"/>
    </row>
    <row r="2612" spans="1:18" x14ac:dyDescent="0.35">
      <c r="A2612" t="s">
        <v>4153</v>
      </c>
      <c r="B2612" s="2">
        <v>46177</v>
      </c>
      <c r="C2612" t="s">
        <v>328</v>
      </c>
      <c r="D2612" s="3" t="s">
        <v>66</v>
      </c>
      <c r="E2612" t="s">
        <v>34</v>
      </c>
      <c r="F2612" t="s">
        <v>83</v>
      </c>
      <c r="G2612" t="s">
        <v>84</v>
      </c>
      <c r="H2612" s="8">
        <v>3</v>
      </c>
      <c r="I2612" s="10">
        <v>149</v>
      </c>
      <c r="J2612" s="14">
        <f>P2612*I2612</f>
        <v>447</v>
      </c>
      <c r="K2612" s="16">
        <v>0.34</v>
      </c>
      <c r="L2612" s="1" t="s">
        <v>30</v>
      </c>
      <c r="M2612" t="s">
        <v>22</v>
      </c>
      <c r="N2612" t="str">
        <f t="shared" si="58"/>
        <v>Gb</v>
      </c>
      <c r="O2612" s="8">
        <f>IF(K2612&gt;=1,K2612,K2612*1000)</f>
        <v>340</v>
      </c>
      <c r="P2612">
        <f>ABS(H2612)</f>
        <v>3</v>
      </c>
      <c r="R2612"/>
    </row>
    <row r="2613" spans="1:18" x14ac:dyDescent="0.35">
      <c r="A2613" t="s">
        <v>4154</v>
      </c>
      <c r="B2613" s="2">
        <v>46116</v>
      </c>
      <c r="C2613" t="s">
        <v>2414</v>
      </c>
      <c r="D2613" s="3" t="s">
        <v>116</v>
      </c>
      <c r="E2613" t="s">
        <v>67</v>
      </c>
      <c r="F2613" t="s">
        <v>47</v>
      </c>
      <c r="G2613" t="s">
        <v>48</v>
      </c>
      <c r="H2613" s="8">
        <v>2</v>
      </c>
      <c r="I2613" s="10">
        <v>89</v>
      </c>
      <c r="J2613" s="14">
        <f>P2613*I2613</f>
        <v>178</v>
      </c>
      <c r="K2613" s="16">
        <v>380</v>
      </c>
      <c r="L2613" s="1" t="s">
        <v>30</v>
      </c>
      <c r="M2613" t="s">
        <v>22</v>
      </c>
      <c r="N2613" t="str">
        <f t="shared" si="58"/>
        <v>Germany</v>
      </c>
      <c r="O2613" s="8">
        <f>IF(K2613&gt;=1,K2613,K2613*1000)</f>
        <v>380</v>
      </c>
      <c r="P2613">
        <f>ABS(H2613)</f>
        <v>2</v>
      </c>
      <c r="R2613"/>
    </row>
    <row r="2614" spans="1:18" x14ac:dyDescent="0.35">
      <c r="A2614" t="s">
        <v>4155</v>
      </c>
      <c r="B2614" s="2">
        <v>46177</v>
      </c>
      <c r="C2614" t="s">
        <v>3005</v>
      </c>
      <c r="D2614" s="3" t="s">
        <v>66</v>
      </c>
      <c r="E2614" t="s">
        <v>25</v>
      </c>
      <c r="F2614" t="s">
        <v>47</v>
      </c>
      <c r="G2614" t="s">
        <v>48</v>
      </c>
      <c r="H2614" s="8">
        <v>1</v>
      </c>
      <c r="I2614" s="10">
        <v>89</v>
      </c>
      <c r="J2614" s="14">
        <f>P2614*I2614</f>
        <v>89</v>
      </c>
      <c r="K2614" s="16">
        <v>0.38</v>
      </c>
      <c r="L2614" s="1" t="s">
        <v>30</v>
      </c>
      <c r="M2614" t="s">
        <v>58</v>
      </c>
      <c r="N2614" t="str">
        <f t="shared" si="58"/>
        <v>Gb</v>
      </c>
      <c r="O2614" s="8">
        <f>IF(K2614&gt;=1,K2614,K2614*1000)</f>
        <v>380</v>
      </c>
      <c r="P2614">
        <f>ABS(H2614)</f>
        <v>1</v>
      </c>
      <c r="R2614"/>
    </row>
    <row r="2615" spans="1:18" x14ac:dyDescent="0.35">
      <c r="A2615" t="s">
        <v>4156</v>
      </c>
      <c r="B2615" s="2">
        <v>46160</v>
      </c>
      <c r="C2615" t="s">
        <v>4157</v>
      </c>
      <c r="D2615" s="3" t="s">
        <v>99</v>
      </c>
      <c r="E2615" t="s">
        <v>41</v>
      </c>
      <c r="F2615" t="s">
        <v>35</v>
      </c>
      <c r="G2615" t="s">
        <v>36</v>
      </c>
      <c r="H2615" s="8">
        <v>2</v>
      </c>
      <c r="I2615" s="10">
        <v>12.5</v>
      </c>
      <c r="J2615" s="14">
        <f>P2615*I2615</f>
        <v>25</v>
      </c>
      <c r="K2615" s="16">
        <v>8.5000000000000006E-2</v>
      </c>
      <c r="L2615" s="1" t="s">
        <v>21</v>
      </c>
      <c r="M2615" t="s">
        <v>22</v>
      </c>
      <c r="N2615" t="str">
        <f t="shared" si="58"/>
        <v>United Kingdom</v>
      </c>
      <c r="O2615" s="8">
        <f>IF(K2615&gt;=1,K2615,K2615*1000)</f>
        <v>85</v>
      </c>
      <c r="P2615">
        <f>ABS(H2615)</f>
        <v>2</v>
      </c>
      <c r="R2615"/>
    </row>
    <row r="2616" spans="1:18" x14ac:dyDescent="0.35">
      <c r="A2616" t="s">
        <v>4158</v>
      </c>
      <c r="B2616" s="2">
        <v>46103</v>
      </c>
      <c r="C2616" t="s">
        <v>3371</v>
      </c>
      <c r="D2616" s="3" t="s">
        <v>61</v>
      </c>
      <c r="E2616" t="s">
        <v>25</v>
      </c>
      <c r="F2616" t="s">
        <v>89</v>
      </c>
      <c r="G2616" t="s">
        <v>90</v>
      </c>
      <c r="H2616" s="8">
        <v>1</v>
      </c>
      <c r="I2616" s="10">
        <v>24</v>
      </c>
      <c r="J2616" s="14">
        <f>P2616*I2616</f>
        <v>24</v>
      </c>
      <c r="K2616" s="16">
        <v>640</v>
      </c>
      <c r="L2616" s="1" t="s">
        <v>30</v>
      </c>
      <c r="M2616" t="s">
        <v>22</v>
      </c>
      <c r="N2616" t="str">
        <f t="shared" si="58"/>
        <v>Ireland</v>
      </c>
      <c r="O2616" s="8">
        <f>IF(K2616&gt;=1,K2616,K2616*1000)</f>
        <v>640</v>
      </c>
      <c r="P2616">
        <f>ABS(H2616)</f>
        <v>1</v>
      </c>
      <c r="R2616"/>
    </row>
    <row r="2617" spans="1:18" x14ac:dyDescent="0.35">
      <c r="A2617" t="s">
        <v>4159</v>
      </c>
      <c r="B2617" s="2">
        <v>46190</v>
      </c>
      <c r="C2617" t="s">
        <v>4160</v>
      </c>
      <c r="D2617" s="3" t="s">
        <v>99</v>
      </c>
      <c r="E2617" t="s">
        <v>34</v>
      </c>
      <c r="F2617" t="s">
        <v>26</v>
      </c>
      <c r="G2617" t="s">
        <v>27</v>
      </c>
      <c r="H2617" s="8">
        <v>1</v>
      </c>
      <c r="I2617" s="10">
        <v>80.099999999999994</v>
      </c>
      <c r="J2617" s="14">
        <f>P2617*I2617</f>
        <v>80.099999999999994</v>
      </c>
      <c r="K2617" s="16">
        <v>0.52</v>
      </c>
      <c r="L2617" s="1" t="s">
        <v>30</v>
      </c>
      <c r="M2617" t="s">
        <v>22</v>
      </c>
      <c r="N2617" t="str">
        <f t="shared" si="58"/>
        <v>United Kingdom</v>
      </c>
      <c r="O2617" s="8">
        <f>IF(K2617&gt;=1,K2617,K2617*1000)</f>
        <v>520</v>
      </c>
      <c r="P2617">
        <f>ABS(H2617)</f>
        <v>1</v>
      </c>
      <c r="R2617"/>
    </row>
    <row r="2618" spans="1:18" x14ac:dyDescent="0.35">
      <c r="A2618" t="s">
        <v>4161</v>
      </c>
      <c r="B2618" s="2">
        <v>46065</v>
      </c>
      <c r="C2618" t="s">
        <v>3809</v>
      </c>
      <c r="D2618" s="3" t="s">
        <v>46</v>
      </c>
      <c r="E2618" t="s">
        <v>25</v>
      </c>
      <c r="F2618" t="s">
        <v>47</v>
      </c>
      <c r="G2618" t="s">
        <v>48</v>
      </c>
      <c r="H2618" s="8">
        <v>1</v>
      </c>
      <c r="I2618" s="10">
        <v>45</v>
      </c>
      <c r="J2618" s="14">
        <f>P2618*I2618</f>
        <v>45</v>
      </c>
      <c r="K2618" s="16">
        <v>380</v>
      </c>
      <c r="L2618" s="1" t="s">
        <v>30</v>
      </c>
      <c r="M2618" t="s">
        <v>22</v>
      </c>
      <c r="N2618" t="str">
        <f t="shared" si="58"/>
        <v>Ireland</v>
      </c>
      <c r="O2618" s="8">
        <f>IF(K2618&gt;=1,K2618,K2618*1000)</f>
        <v>380</v>
      </c>
      <c r="P2618">
        <f>ABS(H2618)</f>
        <v>1</v>
      </c>
      <c r="R2618"/>
    </row>
    <row r="2619" spans="1:18" x14ac:dyDescent="0.35">
      <c r="A2619" t="s">
        <v>4162</v>
      </c>
      <c r="B2619" s="2">
        <v>46195</v>
      </c>
      <c r="C2619" t="s">
        <v>836</v>
      </c>
      <c r="D2619" s="3" t="s">
        <v>4612</v>
      </c>
      <c r="E2619" t="s">
        <v>25</v>
      </c>
      <c r="F2619" t="s">
        <v>74</v>
      </c>
      <c r="G2619" t="s">
        <v>75</v>
      </c>
      <c r="H2619" s="8">
        <v>1</v>
      </c>
      <c r="I2619" s="10">
        <v>116.1</v>
      </c>
      <c r="J2619" s="14">
        <f>P2619*I2619</f>
        <v>116.1</v>
      </c>
      <c r="K2619" s="16">
        <v>0.41</v>
      </c>
      <c r="L2619" s="1" t="s">
        <v>30</v>
      </c>
      <c r="M2619" t="s">
        <v>22</v>
      </c>
      <c r="N2619" t="str">
        <f t="shared" si="58"/>
        <v>United Kingdom</v>
      </c>
      <c r="O2619" s="8">
        <f>IF(K2619&gt;=1,K2619,K2619*1000)</f>
        <v>410</v>
      </c>
      <c r="P2619">
        <f>ABS(H2619)</f>
        <v>1</v>
      </c>
      <c r="R2619"/>
    </row>
    <row r="2620" spans="1:18" x14ac:dyDescent="0.35">
      <c r="A2620" t="s">
        <v>4163</v>
      </c>
      <c r="B2620" s="2">
        <v>46126</v>
      </c>
      <c r="C2620" t="s">
        <v>154</v>
      </c>
      <c r="D2620" s="3" t="s">
        <v>4613</v>
      </c>
      <c r="E2620" t="s">
        <v>34</v>
      </c>
      <c r="F2620" t="s">
        <v>42</v>
      </c>
      <c r="G2620" t="s">
        <v>43</v>
      </c>
      <c r="H2620" s="8">
        <v>2</v>
      </c>
      <c r="I2620" s="10">
        <v>11.25</v>
      </c>
      <c r="J2620" s="14">
        <f>P2620*I2620</f>
        <v>22.5</v>
      </c>
      <c r="K2620" s="16">
        <v>190</v>
      </c>
      <c r="L2620" s="1" t="s">
        <v>30</v>
      </c>
      <c r="M2620" t="s">
        <v>58</v>
      </c>
      <c r="N2620" t="str">
        <f t="shared" si="58"/>
        <v>United Kingdom</v>
      </c>
      <c r="O2620" s="8">
        <f>IF(K2620&gt;=1,K2620,K2620*1000)</f>
        <v>190</v>
      </c>
      <c r="P2620">
        <f>ABS(H2620)</f>
        <v>2</v>
      </c>
      <c r="R2620"/>
    </row>
    <row r="2621" spans="1:18" x14ac:dyDescent="0.35">
      <c r="A2621" t="s">
        <v>4164</v>
      </c>
      <c r="B2621" s="2">
        <v>46205</v>
      </c>
      <c r="C2621" t="s">
        <v>966</v>
      </c>
      <c r="D2621" s="3" t="s">
        <v>4613</v>
      </c>
      <c r="E2621" t="s">
        <v>67</v>
      </c>
      <c r="F2621" t="s">
        <v>74</v>
      </c>
      <c r="G2621" t="s">
        <v>75</v>
      </c>
      <c r="H2621" s="8">
        <v>1</v>
      </c>
      <c r="I2621" s="10">
        <v>149</v>
      </c>
      <c r="J2621" s="14">
        <f>P2621*I2621</f>
        <v>149</v>
      </c>
      <c r="K2621" s="16">
        <v>0.41</v>
      </c>
      <c r="L2621" s="1" t="s">
        <v>30</v>
      </c>
      <c r="M2621" t="s">
        <v>22</v>
      </c>
      <c r="N2621" t="str">
        <f t="shared" si="58"/>
        <v>United Kingdom</v>
      </c>
      <c r="O2621" s="8">
        <f>IF(K2621&gt;=1,K2621,K2621*1000)</f>
        <v>410</v>
      </c>
      <c r="P2621">
        <f>ABS(H2621)</f>
        <v>1</v>
      </c>
      <c r="R2621"/>
    </row>
    <row r="2622" spans="1:18" x14ac:dyDescent="0.35">
      <c r="A2622" t="s">
        <v>4165</v>
      </c>
      <c r="B2622" s="2">
        <v>46036</v>
      </c>
      <c r="C2622" t="s">
        <v>977</v>
      </c>
      <c r="D2622" s="3" t="s">
        <v>99</v>
      </c>
      <c r="E2622" t="s">
        <v>16</v>
      </c>
      <c r="F2622" t="s">
        <v>35</v>
      </c>
      <c r="G2622" t="s">
        <v>36</v>
      </c>
      <c r="H2622" s="8">
        <v>1</v>
      </c>
      <c r="I2622" s="10">
        <v>89</v>
      </c>
      <c r="J2622" s="14">
        <f>P2622*I2622</f>
        <v>89</v>
      </c>
      <c r="K2622" s="16">
        <v>85</v>
      </c>
      <c r="L2622" s="1" t="s">
        <v>30</v>
      </c>
      <c r="M2622" t="s">
        <v>58</v>
      </c>
      <c r="N2622" t="str">
        <f t="shared" si="58"/>
        <v>United Kingdom</v>
      </c>
      <c r="O2622" s="8">
        <f>IF(K2622&gt;=1,K2622,K2622*1000)</f>
        <v>85</v>
      </c>
      <c r="P2622">
        <f>ABS(H2622)</f>
        <v>1</v>
      </c>
      <c r="R2622"/>
    </row>
    <row r="2623" spans="1:18" x14ac:dyDescent="0.35">
      <c r="A2623" t="s">
        <v>4166</v>
      </c>
      <c r="B2623" s="2">
        <v>46125</v>
      </c>
      <c r="C2623" t="s">
        <v>2100</v>
      </c>
      <c r="D2623" s="3" t="s">
        <v>46</v>
      </c>
      <c r="E2623" t="s">
        <v>16</v>
      </c>
      <c r="F2623" t="s">
        <v>74</v>
      </c>
      <c r="G2623" t="s">
        <v>75</v>
      </c>
      <c r="H2623" s="8">
        <v>1</v>
      </c>
      <c r="I2623" s="10">
        <v>45</v>
      </c>
      <c r="J2623" s="14">
        <f>P2623*I2623</f>
        <v>45</v>
      </c>
      <c r="K2623" s="16">
        <v>410</v>
      </c>
      <c r="L2623" s="1" t="s">
        <v>30</v>
      </c>
      <c r="M2623" t="s">
        <v>22</v>
      </c>
      <c r="N2623" t="str">
        <f t="shared" si="58"/>
        <v>Ireland</v>
      </c>
      <c r="O2623" s="8">
        <f>IF(K2623&gt;=1,K2623,K2623*1000)</f>
        <v>410</v>
      </c>
      <c r="P2623">
        <f>ABS(H2623)</f>
        <v>1</v>
      </c>
      <c r="R2623"/>
    </row>
    <row r="2624" spans="1:18" x14ac:dyDescent="0.35">
      <c r="A2624" t="s">
        <v>4167</v>
      </c>
      <c r="B2624" s="2" t="s">
        <v>1820</v>
      </c>
      <c r="C2624" t="s">
        <v>1628</v>
      </c>
      <c r="D2624" s="3" t="s">
        <v>4612</v>
      </c>
      <c r="E2624" t="s">
        <v>25</v>
      </c>
      <c r="F2624" t="s">
        <v>74</v>
      </c>
      <c r="G2624" t="s">
        <v>75</v>
      </c>
      <c r="H2624" s="8">
        <v>3</v>
      </c>
      <c r="I2624" s="10">
        <v>80.099999999999994</v>
      </c>
      <c r="J2624" s="14">
        <f>P2624*I2624</f>
        <v>240.29999999999998</v>
      </c>
      <c r="K2624" s="16">
        <v>410</v>
      </c>
      <c r="L2624" s="1" t="s">
        <v>21</v>
      </c>
      <c r="M2624" t="s">
        <v>22</v>
      </c>
      <c r="N2624" t="str">
        <f t="shared" si="58"/>
        <v>United Kingdom</v>
      </c>
      <c r="O2624" s="8">
        <f>IF(K2624&gt;=1,K2624,K2624*1000)</f>
        <v>410</v>
      </c>
      <c r="P2624">
        <f>ABS(H2624)</f>
        <v>3</v>
      </c>
      <c r="R2624"/>
    </row>
    <row r="2625" spans="1:18" x14ac:dyDescent="0.35">
      <c r="A2625" t="s">
        <v>4168</v>
      </c>
      <c r="B2625" s="2">
        <v>46198</v>
      </c>
      <c r="C2625" t="s">
        <v>613</v>
      </c>
      <c r="D2625" s="3" t="s">
        <v>53</v>
      </c>
      <c r="E2625" t="s">
        <v>16</v>
      </c>
      <c r="F2625" t="s">
        <v>35</v>
      </c>
      <c r="G2625" t="s">
        <v>36</v>
      </c>
      <c r="H2625" s="8">
        <v>2</v>
      </c>
      <c r="I2625" s="10">
        <v>71.099999999999994</v>
      </c>
      <c r="J2625" s="14">
        <f>P2625*I2625</f>
        <v>142.19999999999999</v>
      </c>
      <c r="K2625" s="16">
        <v>8.5000000000000006E-2</v>
      </c>
      <c r="L2625" s="1" t="s">
        <v>21</v>
      </c>
      <c r="M2625" t="s">
        <v>58</v>
      </c>
      <c r="N2625" t="str">
        <f t="shared" si="58"/>
        <v>Gb</v>
      </c>
      <c r="O2625" s="8">
        <f>IF(K2625&gt;=1,K2625,K2625*1000)</f>
        <v>85</v>
      </c>
      <c r="P2625">
        <f>ABS(H2625)</f>
        <v>2</v>
      </c>
      <c r="R2625"/>
    </row>
    <row r="2626" spans="1:18" x14ac:dyDescent="0.35">
      <c r="A2626" t="s">
        <v>4169</v>
      </c>
      <c r="B2626" s="2">
        <v>46056</v>
      </c>
      <c r="C2626" t="s">
        <v>3229</v>
      </c>
      <c r="D2626" s="3" t="s">
        <v>61</v>
      </c>
      <c r="E2626" t="s">
        <v>67</v>
      </c>
      <c r="F2626" t="s">
        <v>83</v>
      </c>
      <c r="G2626" t="s">
        <v>84</v>
      </c>
      <c r="H2626" s="8">
        <v>2</v>
      </c>
      <c r="I2626" s="10">
        <v>89</v>
      </c>
      <c r="J2626" s="14">
        <f>P2626*I2626</f>
        <v>178</v>
      </c>
      <c r="K2626" s="16">
        <v>340</v>
      </c>
      <c r="L2626" s="1" t="s">
        <v>30</v>
      </c>
      <c r="M2626" t="s">
        <v>22</v>
      </c>
      <c r="N2626" t="str">
        <f t="shared" si="58"/>
        <v>Ireland</v>
      </c>
      <c r="O2626" s="8">
        <f>IF(K2626&gt;=1,K2626,K2626*1000)</f>
        <v>340</v>
      </c>
      <c r="P2626">
        <f>ABS(H2626)</f>
        <v>2</v>
      </c>
      <c r="R2626"/>
    </row>
    <row r="2627" spans="1:18" x14ac:dyDescent="0.35">
      <c r="A2627" t="s">
        <v>4170</v>
      </c>
      <c r="B2627" s="2" t="s">
        <v>381</v>
      </c>
      <c r="C2627" t="s">
        <v>2740</v>
      </c>
      <c r="D2627" s="3" t="s">
        <v>99</v>
      </c>
      <c r="E2627" t="s">
        <v>67</v>
      </c>
      <c r="F2627" t="s">
        <v>26</v>
      </c>
      <c r="G2627" t="s">
        <v>27</v>
      </c>
      <c r="H2627" s="8">
        <v>2</v>
      </c>
      <c r="I2627" s="10">
        <v>45</v>
      </c>
      <c r="J2627" s="14">
        <f>P2627*I2627</f>
        <v>90</v>
      </c>
      <c r="K2627" s="16">
        <v>520</v>
      </c>
      <c r="L2627" s="1" t="s">
        <v>30</v>
      </c>
      <c r="M2627" t="s">
        <v>58</v>
      </c>
      <c r="N2627" t="str">
        <f t="shared" ref="N2627:N2690" si="62">PROPER(TRIM(D2627))</f>
        <v>United Kingdom</v>
      </c>
      <c r="O2627" s="8">
        <f>IF(K2627&gt;=1,K2627,K2627*1000)</f>
        <v>520</v>
      </c>
      <c r="P2627">
        <f>ABS(H2627)</f>
        <v>2</v>
      </c>
      <c r="R2627"/>
    </row>
    <row r="2628" spans="1:18" x14ac:dyDescent="0.35">
      <c r="A2628" t="s">
        <v>4171</v>
      </c>
      <c r="B2628" s="2">
        <v>46080</v>
      </c>
      <c r="C2628" t="s">
        <v>1212</v>
      </c>
      <c r="D2628" s="3" t="s">
        <v>15</v>
      </c>
      <c r="E2628" t="s">
        <v>41</v>
      </c>
      <c r="F2628" t="s">
        <v>26</v>
      </c>
      <c r="G2628" t="s">
        <v>27</v>
      </c>
      <c r="H2628" s="8">
        <v>1</v>
      </c>
      <c r="I2628" s="10">
        <v>85.5</v>
      </c>
      <c r="J2628" s="14">
        <f>P2628*I2628</f>
        <v>85.5</v>
      </c>
      <c r="K2628" s="16">
        <v>520</v>
      </c>
      <c r="L2628" s="1" t="s">
        <v>30</v>
      </c>
      <c r="M2628" t="s">
        <v>58</v>
      </c>
      <c r="N2628" t="str">
        <f t="shared" si="62"/>
        <v>France</v>
      </c>
      <c r="O2628" s="8">
        <f>IF(K2628&gt;=1,K2628,K2628*1000)</f>
        <v>520</v>
      </c>
      <c r="P2628">
        <f>ABS(H2628)</f>
        <v>1</v>
      </c>
      <c r="R2628"/>
    </row>
    <row r="2629" spans="1:18" x14ac:dyDescent="0.35">
      <c r="A2629" t="s">
        <v>4172</v>
      </c>
      <c r="B2629" s="2">
        <v>46121</v>
      </c>
      <c r="C2629" t="s">
        <v>1229</v>
      </c>
      <c r="D2629" s="3" t="s">
        <v>66</v>
      </c>
      <c r="E2629" t="s">
        <v>25</v>
      </c>
      <c r="F2629" t="s">
        <v>26</v>
      </c>
      <c r="G2629" t="s">
        <v>27</v>
      </c>
      <c r="H2629" s="8">
        <v>3</v>
      </c>
      <c r="I2629" s="10">
        <v>24</v>
      </c>
      <c r="J2629" s="14">
        <f>P2629*I2629</f>
        <v>72</v>
      </c>
      <c r="K2629" s="16">
        <v>520</v>
      </c>
      <c r="L2629" s="1" t="s">
        <v>21</v>
      </c>
      <c r="M2629" t="s">
        <v>58</v>
      </c>
      <c r="N2629" t="str">
        <f t="shared" si="62"/>
        <v>Gb</v>
      </c>
      <c r="O2629" s="8">
        <f>IF(K2629&gt;=1,K2629,K2629*1000)</f>
        <v>520</v>
      </c>
      <c r="P2629">
        <f>ABS(H2629)</f>
        <v>3</v>
      </c>
      <c r="R2629"/>
    </row>
    <row r="2630" spans="1:18" x14ac:dyDescent="0.35">
      <c r="A2630" t="s">
        <v>4173</v>
      </c>
      <c r="B2630" s="2">
        <v>46042</v>
      </c>
      <c r="C2630" t="s">
        <v>409</v>
      </c>
      <c r="D2630" s="3" t="s">
        <v>116</v>
      </c>
      <c r="E2630" t="s">
        <v>16</v>
      </c>
      <c r="F2630" t="s">
        <v>74</v>
      </c>
      <c r="G2630" t="s">
        <v>75</v>
      </c>
      <c r="H2630" s="8">
        <v>3</v>
      </c>
      <c r="I2630" s="10">
        <v>21.6</v>
      </c>
      <c r="J2630" s="14">
        <f>P2630*I2630</f>
        <v>64.800000000000011</v>
      </c>
      <c r="K2630" s="16">
        <v>410</v>
      </c>
      <c r="L2630" s="1" t="s">
        <v>30</v>
      </c>
      <c r="M2630" t="s">
        <v>22</v>
      </c>
      <c r="N2630" t="str">
        <f t="shared" si="62"/>
        <v>Germany</v>
      </c>
      <c r="O2630" s="8">
        <f>IF(K2630&gt;=1,K2630,K2630*1000)</f>
        <v>410</v>
      </c>
      <c r="P2630">
        <f>ABS(H2630)</f>
        <v>3</v>
      </c>
      <c r="R2630"/>
    </row>
    <row r="2631" spans="1:18" x14ac:dyDescent="0.35">
      <c r="A2631" t="s">
        <v>4174</v>
      </c>
      <c r="B2631" s="2">
        <v>46148</v>
      </c>
      <c r="C2631" t="s">
        <v>4175</v>
      </c>
      <c r="D2631" s="3" t="s">
        <v>46</v>
      </c>
      <c r="E2631" t="s">
        <v>34</v>
      </c>
      <c r="F2631" t="s">
        <v>47</v>
      </c>
      <c r="G2631" t="s">
        <v>48</v>
      </c>
      <c r="H2631" s="8">
        <v>-1</v>
      </c>
      <c r="I2631" s="10">
        <v>40.5</v>
      </c>
      <c r="J2631" s="14">
        <f>P2631*I2631</f>
        <v>40.5</v>
      </c>
      <c r="K2631" s="16">
        <v>0.38</v>
      </c>
      <c r="L2631" s="1" t="s">
        <v>30</v>
      </c>
      <c r="M2631" t="s">
        <v>22</v>
      </c>
      <c r="N2631" t="str">
        <f t="shared" si="62"/>
        <v>Ireland</v>
      </c>
      <c r="O2631" s="8">
        <f>IF(K2631&gt;=1,K2631,K2631*1000)</f>
        <v>380</v>
      </c>
      <c r="P2631">
        <f>ABS(H2631)</f>
        <v>1</v>
      </c>
      <c r="R2631"/>
    </row>
    <row r="2632" spans="1:18" x14ac:dyDescent="0.35">
      <c r="A2632" t="s">
        <v>4176</v>
      </c>
      <c r="B2632" s="2">
        <v>46139</v>
      </c>
      <c r="C2632" t="s">
        <v>447</v>
      </c>
      <c r="D2632" s="3" t="s">
        <v>116</v>
      </c>
      <c r="E2632" t="s">
        <v>67</v>
      </c>
      <c r="F2632" t="s">
        <v>35</v>
      </c>
      <c r="G2632" t="s">
        <v>36</v>
      </c>
      <c r="H2632" s="8">
        <v>1</v>
      </c>
      <c r="I2632" s="10">
        <v>21.6</v>
      </c>
      <c r="J2632" s="14">
        <f>P2632*I2632</f>
        <v>21.6</v>
      </c>
      <c r="K2632" s="16">
        <v>8.5000000000000006E-2</v>
      </c>
      <c r="L2632" s="1" t="s">
        <v>21</v>
      </c>
      <c r="M2632" t="s">
        <v>22</v>
      </c>
      <c r="N2632" t="str">
        <f t="shared" si="62"/>
        <v>Germany</v>
      </c>
      <c r="O2632" s="8">
        <f>IF(K2632&gt;=1,K2632,K2632*1000)</f>
        <v>85</v>
      </c>
      <c r="P2632">
        <f>ABS(H2632)</f>
        <v>1</v>
      </c>
      <c r="R2632"/>
    </row>
    <row r="2633" spans="1:18" x14ac:dyDescent="0.35">
      <c r="A2633" t="s">
        <v>4177</v>
      </c>
      <c r="B2633" s="2">
        <v>46184</v>
      </c>
      <c r="C2633" t="s">
        <v>4178</v>
      </c>
      <c r="D2633" s="3" t="s">
        <v>4613</v>
      </c>
      <c r="E2633" t="s">
        <v>67</v>
      </c>
      <c r="F2633" t="s">
        <v>83</v>
      </c>
      <c r="G2633" t="s">
        <v>84</v>
      </c>
      <c r="H2633" s="8">
        <v>1</v>
      </c>
      <c r="I2633" s="12" t="s">
        <v>4629</v>
      </c>
      <c r="J2633" s="14">
        <f>P2633*R2633</f>
        <v>34.1</v>
      </c>
      <c r="K2633" s="16">
        <v>0.34</v>
      </c>
      <c r="L2633" s="1" t="s">
        <v>30</v>
      </c>
      <c r="M2633" t="s">
        <v>22</v>
      </c>
      <c r="N2633" t="str">
        <f t="shared" si="62"/>
        <v>United Kingdom</v>
      </c>
      <c r="O2633" s="8">
        <f>IF(K2633&gt;=1,K2633,K2633*1000)</f>
        <v>340</v>
      </c>
      <c r="P2633">
        <f>ABS(H2633)</f>
        <v>1</v>
      </c>
      <c r="Q2633" t="str">
        <f>LEFT(I2633,3)</f>
        <v>GBP</v>
      </c>
      <c r="R2633" s="10" t="str">
        <f>RIGHT(I2633,5)</f>
        <v>34,10</v>
      </c>
    </row>
    <row r="2634" spans="1:18" x14ac:dyDescent="0.35">
      <c r="A2634" t="s">
        <v>4179</v>
      </c>
      <c r="B2634" s="2" t="s">
        <v>1900</v>
      </c>
      <c r="C2634" t="s">
        <v>1585</v>
      </c>
      <c r="D2634" s="3" t="s">
        <v>116</v>
      </c>
      <c r="E2634" t="s">
        <v>25</v>
      </c>
      <c r="F2634" t="s">
        <v>83</v>
      </c>
      <c r="G2634" t="s">
        <v>84</v>
      </c>
      <c r="H2634" s="8">
        <v>3</v>
      </c>
      <c r="I2634" s="10">
        <v>24</v>
      </c>
      <c r="J2634" s="14">
        <f>P2634*I2634</f>
        <v>72</v>
      </c>
      <c r="K2634" s="16">
        <v>0.34</v>
      </c>
      <c r="L2634" s="1" t="s">
        <v>30</v>
      </c>
      <c r="M2634" t="s">
        <v>22</v>
      </c>
      <c r="N2634" t="str">
        <f t="shared" si="62"/>
        <v>Germany</v>
      </c>
      <c r="O2634" s="8">
        <f>IF(K2634&gt;=1,K2634,K2634*1000)</f>
        <v>340</v>
      </c>
      <c r="P2634">
        <f>ABS(H2634)</f>
        <v>3</v>
      </c>
      <c r="R2634"/>
    </row>
    <row r="2635" spans="1:18" x14ac:dyDescent="0.35">
      <c r="A2635" t="s">
        <v>4180</v>
      </c>
      <c r="B2635" s="2">
        <v>46156</v>
      </c>
      <c r="C2635" t="s">
        <v>979</v>
      </c>
      <c r="D2635" s="3" t="s">
        <v>15</v>
      </c>
      <c r="E2635" t="s">
        <v>67</v>
      </c>
      <c r="F2635" t="s">
        <v>47</v>
      </c>
      <c r="G2635" t="s">
        <v>48</v>
      </c>
      <c r="H2635" s="8">
        <v>1</v>
      </c>
      <c r="I2635" s="10">
        <v>40.5</v>
      </c>
      <c r="J2635" s="14">
        <f>P2635*I2635</f>
        <v>40.5</v>
      </c>
      <c r="K2635" s="16">
        <v>0.38</v>
      </c>
      <c r="L2635" s="1" t="s">
        <v>30</v>
      </c>
      <c r="M2635" t="s">
        <v>22</v>
      </c>
      <c r="N2635" t="str">
        <f t="shared" si="62"/>
        <v>France</v>
      </c>
      <c r="O2635" s="8">
        <f>IF(K2635&gt;=1,K2635,K2635*1000)</f>
        <v>380</v>
      </c>
      <c r="P2635">
        <f>ABS(H2635)</f>
        <v>1</v>
      </c>
      <c r="R2635"/>
    </row>
    <row r="2636" spans="1:18" x14ac:dyDescent="0.35">
      <c r="A2636" t="s">
        <v>4181</v>
      </c>
      <c r="B2636" s="2">
        <v>46144</v>
      </c>
      <c r="C2636" t="s">
        <v>32</v>
      </c>
      <c r="D2636" s="3" t="s">
        <v>4613</v>
      </c>
      <c r="E2636" t="s">
        <v>67</v>
      </c>
      <c r="F2636" t="s">
        <v>74</v>
      </c>
      <c r="G2636" t="s">
        <v>75</v>
      </c>
      <c r="H2636" s="8">
        <v>2</v>
      </c>
      <c r="I2636" s="10">
        <v>149</v>
      </c>
      <c r="J2636" s="14">
        <f>P2636*I2636</f>
        <v>298</v>
      </c>
      <c r="K2636" s="16">
        <v>0.41</v>
      </c>
      <c r="L2636" s="1" t="s">
        <v>21</v>
      </c>
      <c r="M2636" t="s">
        <v>22</v>
      </c>
      <c r="N2636" t="str">
        <f t="shared" si="62"/>
        <v>United Kingdom</v>
      </c>
      <c r="O2636" s="8">
        <f>IF(K2636&gt;=1,K2636,K2636*1000)</f>
        <v>410</v>
      </c>
      <c r="P2636">
        <f>ABS(H2636)</f>
        <v>2</v>
      </c>
      <c r="R2636"/>
    </row>
    <row r="2637" spans="1:18" x14ac:dyDescent="0.35">
      <c r="A2637" t="s">
        <v>4182</v>
      </c>
      <c r="B2637" s="2">
        <v>46122</v>
      </c>
      <c r="C2637" t="s">
        <v>990</v>
      </c>
      <c r="D2637" s="3" t="s">
        <v>61</v>
      </c>
      <c r="E2637" t="s">
        <v>25</v>
      </c>
      <c r="F2637" t="s">
        <v>47</v>
      </c>
      <c r="G2637" t="s">
        <v>48</v>
      </c>
      <c r="H2637" s="8">
        <v>1</v>
      </c>
      <c r="I2637" s="10">
        <v>79</v>
      </c>
      <c r="J2637" s="14">
        <f>P2637*I2637</f>
        <v>79</v>
      </c>
      <c r="K2637" s="16">
        <v>380</v>
      </c>
      <c r="L2637" s="1" t="s">
        <v>30</v>
      </c>
      <c r="M2637" t="s">
        <v>58</v>
      </c>
      <c r="N2637" t="str">
        <f t="shared" si="62"/>
        <v>Ireland</v>
      </c>
      <c r="O2637" s="8">
        <f>IF(K2637&gt;=1,K2637,K2637*1000)</f>
        <v>380</v>
      </c>
      <c r="P2637">
        <f>ABS(H2637)</f>
        <v>1</v>
      </c>
      <c r="R2637"/>
    </row>
    <row r="2638" spans="1:18" x14ac:dyDescent="0.35">
      <c r="A2638" t="s">
        <v>4183</v>
      </c>
      <c r="B2638" s="2">
        <v>46120</v>
      </c>
      <c r="C2638" t="s">
        <v>622</v>
      </c>
      <c r="D2638" s="3" t="s">
        <v>116</v>
      </c>
      <c r="E2638" t="s">
        <v>34</v>
      </c>
      <c r="F2638" t="s">
        <v>83</v>
      </c>
      <c r="G2638" t="s">
        <v>84</v>
      </c>
      <c r="H2638" s="8">
        <v>2</v>
      </c>
      <c r="I2638" s="10">
        <v>129</v>
      </c>
      <c r="J2638" s="14">
        <f>P2638*I2638</f>
        <v>258</v>
      </c>
      <c r="K2638" s="16">
        <v>340</v>
      </c>
      <c r="L2638" s="1" t="s">
        <v>30</v>
      </c>
      <c r="M2638" t="s">
        <v>22</v>
      </c>
      <c r="N2638" t="str">
        <f t="shared" si="62"/>
        <v>Germany</v>
      </c>
      <c r="O2638" s="8">
        <f>IF(K2638&gt;=1,K2638,K2638*1000)</f>
        <v>340</v>
      </c>
      <c r="P2638">
        <f>ABS(H2638)</f>
        <v>2</v>
      </c>
      <c r="R2638"/>
    </row>
    <row r="2639" spans="1:18" x14ac:dyDescent="0.35">
      <c r="A2639" t="s">
        <v>4184</v>
      </c>
      <c r="B2639" s="2">
        <v>46155</v>
      </c>
      <c r="C2639" t="s">
        <v>4185</v>
      </c>
      <c r="D2639" s="3" t="s">
        <v>4613</v>
      </c>
      <c r="E2639" t="s">
        <v>16</v>
      </c>
      <c r="F2639" t="s">
        <v>89</v>
      </c>
      <c r="G2639" t="s">
        <v>90</v>
      </c>
      <c r="H2639" s="8">
        <v>1</v>
      </c>
      <c r="I2639" s="10">
        <v>45</v>
      </c>
      <c r="J2639" s="14">
        <f>P2639*I2639</f>
        <v>45</v>
      </c>
      <c r="K2639" s="16">
        <v>0.64</v>
      </c>
      <c r="L2639" s="1" t="s">
        <v>30</v>
      </c>
      <c r="M2639" t="s">
        <v>22</v>
      </c>
      <c r="N2639" t="str">
        <f t="shared" si="62"/>
        <v>United Kingdom</v>
      </c>
      <c r="O2639" s="8">
        <f>IF(K2639&gt;=1,K2639,K2639*1000)</f>
        <v>640</v>
      </c>
      <c r="P2639">
        <f>ABS(H2639)</f>
        <v>1</v>
      </c>
      <c r="R2639"/>
    </row>
    <row r="2640" spans="1:18" x14ac:dyDescent="0.35">
      <c r="A2640" t="s">
        <v>4186</v>
      </c>
      <c r="B2640" s="2">
        <v>46199</v>
      </c>
      <c r="C2640" t="s">
        <v>1219</v>
      </c>
      <c r="D2640" s="3" t="s">
        <v>99</v>
      </c>
      <c r="E2640" t="s">
        <v>16</v>
      </c>
      <c r="F2640" t="s">
        <v>26</v>
      </c>
      <c r="G2640" t="s">
        <v>27</v>
      </c>
      <c r="H2640" s="8">
        <v>-1</v>
      </c>
      <c r="I2640" s="10">
        <v>45</v>
      </c>
      <c r="J2640" s="14">
        <f>P2640*I2640</f>
        <v>45</v>
      </c>
      <c r="K2640" s="16">
        <v>0.52</v>
      </c>
      <c r="L2640" s="1" t="s">
        <v>21</v>
      </c>
      <c r="M2640" t="s">
        <v>58</v>
      </c>
      <c r="N2640" t="str">
        <f t="shared" si="62"/>
        <v>United Kingdom</v>
      </c>
      <c r="O2640" s="8">
        <f>IF(K2640&gt;=1,K2640,K2640*1000)</f>
        <v>520</v>
      </c>
      <c r="P2640">
        <f>ABS(H2640)</f>
        <v>1</v>
      </c>
      <c r="R2640"/>
    </row>
    <row r="2641" spans="1:18" x14ac:dyDescent="0.35">
      <c r="A2641" t="s">
        <v>4187</v>
      </c>
      <c r="B2641" s="2">
        <v>46149</v>
      </c>
      <c r="C2641" t="s">
        <v>685</v>
      </c>
      <c r="D2641" s="3" t="s">
        <v>53</v>
      </c>
      <c r="E2641" t="s">
        <v>25</v>
      </c>
      <c r="F2641" t="s">
        <v>89</v>
      </c>
      <c r="G2641" t="s">
        <v>90</v>
      </c>
      <c r="H2641" s="8">
        <v>1</v>
      </c>
      <c r="I2641" s="10">
        <v>80.099999999999994</v>
      </c>
      <c r="J2641" s="14">
        <f>P2641*I2641</f>
        <v>80.099999999999994</v>
      </c>
      <c r="K2641" s="16">
        <v>0.64</v>
      </c>
      <c r="L2641" s="1" t="s">
        <v>30</v>
      </c>
      <c r="M2641" t="s">
        <v>22</v>
      </c>
      <c r="N2641" t="str">
        <f t="shared" si="62"/>
        <v>Gb</v>
      </c>
      <c r="O2641" s="8">
        <f>IF(K2641&gt;=1,K2641,K2641*1000)</f>
        <v>640</v>
      </c>
      <c r="P2641">
        <f>ABS(H2641)</f>
        <v>1</v>
      </c>
      <c r="R2641"/>
    </row>
    <row r="2642" spans="1:18" x14ac:dyDescent="0.35">
      <c r="A2642" t="s">
        <v>4188</v>
      </c>
      <c r="B2642" s="2">
        <v>46124</v>
      </c>
      <c r="C2642" t="s">
        <v>4189</v>
      </c>
      <c r="D2642" s="3" t="s">
        <v>46</v>
      </c>
      <c r="E2642" t="s">
        <v>67</v>
      </c>
      <c r="F2642" t="s">
        <v>42</v>
      </c>
      <c r="G2642" t="s">
        <v>43</v>
      </c>
      <c r="H2642" s="8">
        <v>1</v>
      </c>
      <c r="I2642" s="10">
        <v>95</v>
      </c>
      <c r="J2642" s="14">
        <f>P2642*I2642</f>
        <v>95</v>
      </c>
      <c r="K2642" s="16">
        <v>190</v>
      </c>
      <c r="L2642" s="1" t="s">
        <v>30</v>
      </c>
      <c r="M2642" t="s">
        <v>22</v>
      </c>
      <c r="N2642" t="str">
        <f t="shared" si="62"/>
        <v>Ireland</v>
      </c>
      <c r="O2642" s="8">
        <f>IF(K2642&gt;=1,K2642,K2642*1000)</f>
        <v>190</v>
      </c>
      <c r="P2642">
        <f>ABS(H2642)</f>
        <v>1</v>
      </c>
      <c r="R2642"/>
    </row>
    <row r="2643" spans="1:18" x14ac:dyDescent="0.35">
      <c r="A2643" t="s">
        <v>4190</v>
      </c>
      <c r="B2643" s="2">
        <v>46078</v>
      </c>
      <c r="C2643" t="s">
        <v>3571</v>
      </c>
      <c r="D2643" s="3" t="s">
        <v>4613</v>
      </c>
      <c r="E2643" t="s">
        <v>16</v>
      </c>
      <c r="F2643" t="s">
        <v>17</v>
      </c>
      <c r="G2643" t="s">
        <v>18</v>
      </c>
      <c r="H2643" s="8">
        <v>1</v>
      </c>
      <c r="I2643" s="10">
        <v>45</v>
      </c>
      <c r="J2643" s="14">
        <f>P2643*I2643</f>
        <v>45</v>
      </c>
      <c r="K2643" s="16">
        <v>520</v>
      </c>
      <c r="L2643" s="1" t="s">
        <v>21</v>
      </c>
      <c r="M2643" t="s">
        <v>58</v>
      </c>
      <c r="N2643" t="str">
        <f t="shared" si="62"/>
        <v>United Kingdom</v>
      </c>
      <c r="O2643" s="8">
        <f>IF(K2643&gt;=1,K2643,K2643*1000)</f>
        <v>520</v>
      </c>
      <c r="P2643">
        <f>ABS(H2643)</f>
        <v>1</v>
      </c>
      <c r="R2643"/>
    </row>
    <row r="2644" spans="1:18" x14ac:dyDescent="0.35">
      <c r="A2644" t="s">
        <v>4191</v>
      </c>
      <c r="B2644" s="2">
        <v>46183</v>
      </c>
      <c r="C2644" t="s">
        <v>1310</v>
      </c>
      <c r="D2644" s="3" t="s">
        <v>46</v>
      </c>
      <c r="E2644" t="s">
        <v>41</v>
      </c>
      <c r="F2644" t="s">
        <v>42</v>
      </c>
      <c r="G2644" t="s">
        <v>43</v>
      </c>
      <c r="H2644" s="8">
        <v>2</v>
      </c>
      <c r="I2644" s="10">
        <v>21.6</v>
      </c>
      <c r="J2644" s="14">
        <f>P2644*I2644</f>
        <v>43.2</v>
      </c>
      <c r="K2644" s="16">
        <v>0.19</v>
      </c>
      <c r="L2644" s="1" t="s">
        <v>30</v>
      </c>
      <c r="M2644" t="s">
        <v>22</v>
      </c>
      <c r="N2644" t="str">
        <f t="shared" si="62"/>
        <v>Ireland</v>
      </c>
      <c r="O2644" s="8">
        <f>IF(K2644&gt;=1,K2644,K2644*1000)</f>
        <v>190</v>
      </c>
      <c r="P2644">
        <f>ABS(H2644)</f>
        <v>2</v>
      </c>
      <c r="R2644"/>
    </row>
    <row r="2645" spans="1:18" x14ac:dyDescent="0.35">
      <c r="A2645" t="s">
        <v>4192</v>
      </c>
      <c r="B2645" s="2">
        <v>46204</v>
      </c>
      <c r="C2645" t="s">
        <v>4118</v>
      </c>
      <c r="D2645" s="3" t="s">
        <v>66</v>
      </c>
      <c r="E2645" t="s">
        <v>34</v>
      </c>
      <c r="F2645" t="s">
        <v>17</v>
      </c>
      <c r="G2645" t="s">
        <v>18</v>
      </c>
      <c r="H2645" s="8">
        <v>3</v>
      </c>
      <c r="I2645" s="10">
        <v>79</v>
      </c>
      <c r="J2645" s="14">
        <f>P2645*I2645</f>
        <v>237</v>
      </c>
      <c r="K2645" s="16">
        <v>520</v>
      </c>
      <c r="L2645" s="1" t="s">
        <v>21</v>
      </c>
      <c r="M2645" t="s">
        <v>22</v>
      </c>
      <c r="N2645" t="str">
        <f t="shared" si="62"/>
        <v>Gb</v>
      </c>
      <c r="O2645" s="8">
        <f>IF(K2645&gt;=1,K2645,K2645*1000)</f>
        <v>520</v>
      </c>
      <c r="P2645">
        <f>ABS(H2645)</f>
        <v>3</v>
      </c>
      <c r="R2645"/>
    </row>
    <row r="2646" spans="1:18" x14ac:dyDescent="0.35">
      <c r="A2646" t="s">
        <v>4193</v>
      </c>
      <c r="B2646" s="2">
        <v>46028</v>
      </c>
      <c r="C2646" t="s">
        <v>4194</v>
      </c>
      <c r="D2646" s="3" t="s">
        <v>99</v>
      </c>
      <c r="E2646" t="s">
        <v>16</v>
      </c>
      <c r="F2646" t="s">
        <v>74</v>
      </c>
      <c r="G2646" t="s">
        <v>75</v>
      </c>
      <c r="H2646" s="8">
        <v>1</v>
      </c>
      <c r="I2646" s="10">
        <v>149</v>
      </c>
      <c r="J2646" s="14">
        <f>P2646*I2646</f>
        <v>149</v>
      </c>
      <c r="K2646" s="16">
        <v>410</v>
      </c>
      <c r="L2646" s="1" t="s">
        <v>30</v>
      </c>
      <c r="M2646" t="s">
        <v>22</v>
      </c>
      <c r="N2646" t="str">
        <f t="shared" si="62"/>
        <v>United Kingdom</v>
      </c>
      <c r="O2646" s="8">
        <f>IF(K2646&gt;=1,K2646,K2646*1000)</f>
        <v>410</v>
      </c>
      <c r="P2646">
        <f>ABS(H2646)</f>
        <v>1</v>
      </c>
      <c r="R2646"/>
    </row>
    <row r="2647" spans="1:18" x14ac:dyDescent="0.35">
      <c r="A2647" t="s">
        <v>4195</v>
      </c>
      <c r="B2647" s="2">
        <v>46099</v>
      </c>
      <c r="C2647" t="s">
        <v>773</v>
      </c>
      <c r="D2647" s="3" t="s">
        <v>4612</v>
      </c>
      <c r="E2647" t="s">
        <v>41</v>
      </c>
      <c r="F2647" t="s">
        <v>83</v>
      </c>
      <c r="G2647" t="s">
        <v>84</v>
      </c>
      <c r="H2647" s="8">
        <v>1</v>
      </c>
      <c r="I2647" s="10">
        <v>85.5</v>
      </c>
      <c r="J2647" s="14">
        <f>P2647*I2647</f>
        <v>85.5</v>
      </c>
      <c r="K2647" s="16">
        <v>340</v>
      </c>
      <c r="L2647" s="1" t="s">
        <v>30</v>
      </c>
      <c r="M2647" t="s">
        <v>22</v>
      </c>
      <c r="N2647" t="str">
        <f t="shared" si="62"/>
        <v>United Kingdom</v>
      </c>
      <c r="O2647" s="8">
        <f>IF(K2647&gt;=1,K2647,K2647*1000)</f>
        <v>340</v>
      </c>
      <c r="P2647">
        <f>ABS(H2647)</f>
        <v>1</v>
      </c>
      <c r="R2647"/>
    </row>
    <row r="2648" spans="1:18" x14ac:dyDescent="0.35">
      <c r="A2648" t="s">
        <v>4196</v>
      </c>
      <c r="B2648" s="2">
        <v>46167</v>
      </c>
      <c r="C2648" t="s">
        <v>4197</v>
      </c>
      <c r="D2648" s="3" t="s">
        <v>46</v>
      </c>
      <c r="E2648" t="s">
        <v>16</v>
      </c>
      <c r="F2648" t="s">
        <v>35</v>
      </c>
      <c r="G2648" t="s">
        <v>36</v>
      </c>
      <c r="H2648" s="8">
        <v>1</v>
      </c>
      <c r="I2648" s="10">
        <v>95</v>
      </c>
      <c r="J2648" s="14">
        <f>P2648*I2648</f>
        <v>95</v>
      </c>
      <c r="K2648" s="16">
        <v>8.5000000000000006E-2</v>
      </c>
      <c r="L2648" s="1" t="s">
        <v>30</v>
      </c>
      <c r="M2648" t="s">
        <v>22</v>
      </c>
      <c r="N2648" t="str">
        <f t="shared" si="62"/>
        <v>Ireland</v>
      </c>
      <c r="O2648" s="8">
        <f>IF(K2648&gt;=1,K2648,K2648*1000)</f>
        <v>85</v>
      </c>
      <c r="P2648">
        <f>ABS(H2648)</f>
        <v>1</v>
      </c>
      <c r="R2648"/>
    </row>
    <row r="2649" spans="1:18" x14ac:dyDescent="0.35">
      <c r="A2649" t="s">
        <v>4198</v>
      </c>
      <c r="B2649" s="2">
        <v>46207</v>
      </c>
      <c r="C2649" t="s">
        <v>4199</v>
      </c>
      <c r="D2649" s="3" t="s">
        <v>46</v>
      </c>
      <c r="E2649" t="s">
        <v>34</v>
      </c>
      <c r="F2649" t="s">
        <v>26</v>
      </c>
      <c r="G2649" t="s">
        <v>27</v>
      </c>
      <c r="H2649" s="8">
        <v>3</v>
      </c>
      <c r="I2649" s="10">
        <v>95</v>
      </c>
      <c r="J2649" s="14">
        <f>P2649*I2649</f>
        <v>285</v>
      </c>
      <c r="K2649" s="16">
        <v>0.52</v>
      </c>
      <c r="L2649" s="1" t="s">
        <v>30</v>
      </c>
      <c r="M2649" t="s">
        <v>58</v>
      </c>
      <c r="N2649" t="str">
        <f t="shared" si="62"/>
        <v>Ireland</v>
      </c>
      <c r="O2649" s="8">
        <f>IF(K2649&gt;=1,K2649,K2649*1000)</f>
        <v>520</v>
      </c>
      <c r="P2649">
        <f>ABS(H2649)</f>
        <v>3</v>
      </c>
      <c r="R2649"/>
    </row>
    <row r="2650" spans="1:18" x14ac:dyDescent="0.35">
      <c r="A2650" t="s">
        <v>4200</v>
      </c>
      <c r="B2650" s="2">
        <v>46300</v>
      </c>
      <c r="C2650" t="s">
        <v>517</v>
      </c>
      <c r="D2650" s="3" t="s">
        <v>15</v>
      </c>
      <c r="E2650" t="s">
        <v>25</v>
      </c>
      <c r="F2650" t="s">
        <v>47</v>
      </c>
      <c r="G2650" t="s">
        <v>48</v>
      </c>
      <c r="H2650" s="8">
        <v>1</v>
      </c>
      <c r="I2650" s="12" t="s">
        <v>4626</v>
      </c>
      <c r="J2650" s="14">
        <f t="shared" ref="J2650:J2651" si="63">P2650*R2650</f>
        <v>29</v>
      </c>
      <c r="K2650" s="16">
        <v>0.38</v>
      </c>
      <c r="L2650" s="1" t="s">
        <v>30</v>
      </c>
      <c r="M2650" t="s">
        <v>22</v>
      </c>
      <c r="N2650" t="str">
        <f t="shared" si="62"/>
        <v>France</v>
      </c>
      <c r="O2650" s="8">
        <f>IF(K2650&gt;=1,K2650,K2650*1000)</f>
        <v>380</v>
      </c>
      <c r="P2650">
        <f>ABS(H2650)</f>
        <v>1</v>
      </c>
      <c r="Q2650" t="str">
        <f t="shared" ref="Q2650:Q2651" si="64">LEFT(I2650,3)</f>
        <v>GBP</v>
      </c>
      <c r="R2650" s="10" t="str">
        <f t="shared" ref="R2650:R2651" si="65">RIGHT(I2650,5)</f>
        <v>29,00</v>
      </c>
    </row>
    <row r="2651" spans="1:18" x14ac:dyDescent="0.35">
      <c r="A2651" t="s">
        <v>4201</v>
      </c>
      <c r="B2651" s="2">
        <v>46172</v>
      </c>
      <c r="C2651" t="s">
        <v>1488</v>
      </c>
      <c r="D2651" s="3" t="s">
        <v>4612</v>
      </c>
      <c r="E2651" t="s">
        <v>25</v>
      </c>
      <c r="F2651" t="s">
        <v>17</v>
      </c>
      <c r="G2651" t="s">
        <v>18</v>
      </c>
      <c r="H2651" s="8">
        <v>1</v>
      </c>
      <c r="I2651" s="12" t="s">
        <v>4619</v>
      </c>
      <c r="J2651" s="14">
        <f t="shared" si="63"/>
        <v>12.5</v>
      </c>
      <c r="K2651" s="16">
        <v>0.52</v>
      </c>
      <c r="L2651" s="1" t="s">
        <v>21</v>
      </c>
      <c r="M2651" t="s">
        <v>22</v>
      </c>
      <c r="N2651" t="str">
        <f t="shared" si="62"/>
        <v>United Kingdom</v>
      </c>
      <c r="O2651" s="8">
        <f>IF(K2651&gt;=1,K2651,K2651*1000)</f>
        <v>520</v>
      </c>
      <c r="P2651">
        <f>ABS(H2651)</f>
        <v>1</v>
      </c>
      <c r="Q2651" t="str">
        <f t="shared" si="64"/>
        <v>GBP</v>
      </c>
      <c r="R2651" s="10" t="str">
        <f t="shared" si="65"/>
        <v>12,50</v>
      </c>
    </row>
    <row r="2652" spans="1:18" x14ac:dyDescent="0.35">
      <c r="A2652" t="s">
        <v>4202</v>
      </c>
      <c r="B2652" s="2">
        <v>46155</v>
      </c>
      <c r="C2652" t="s">
        <v>1789</v>
      </c>
      <c r="D2652" s="3" t="s">
        <v>4612</v>
      </c>
      <c r="E2652" t="s">
        <v>25</v>
      </c>
      <c r="F2652" t="s">
        <v>35</v>
      </c>
      <c r="G2652" t="s">
        <v>36</v>
      </c>
      <c r="H2652" s="8">
        <v>2</v>
      </c>
      <c r="I2652" s="10">
        <v>71.099999999999994</v>
      </c>
      <c r="J2652" s="14">
        <f>P2652*I2652</f>
        <v>142.19999999999999</v>
      </c>
      <c r="K2652" s="16">
        <v>8.5000000000000006E-2</v>
      </c>
      <c r="L2652" s="1" t="s">
        <v>30</v>
      </c>
      <c r="M2652" t="s">
        <v>22</v>
      </c>
      <c r="N2652" t="str">
        <f t="shared" si="62"/>
        <v>United Kingdom</v>
      </c>
      <c r="O2652" s="8">
        <f>IF(K2652&gt;=1,K2652,K2652*1000)</f>
        <v>85</v>
      </c>
      <c r="P2652">
        <f>ABS(H2652)</f>
        <v>2</v>
      </c>
      <c r="R2652"/>
    </row>
    <row r="2653" spans="1:18" x14ac:dyDescent="0.35">
      <c r="A2653" t="s">
        <v>4203</v>
      </c>
      <c r="B2653" s="2">
        <v>46120</v>
      </c>
      <c r="C2653" t="s">
        <v>2521</v>
      </c>
      <c r="D2653" s="3" t="s">
        <v>4612</v>
      </c>
      <c r="E2653" t="s">
        <v>67</v>
      </c>
      <c r="F2653" t="s">
        <v>35</v>
      </c>
      <c r="G2653" t="s">
        <v>36</v>
      </c>
      <c r="H2653" s="8">
        <v>1</v>
      </c>
      <c r="I2653" s="10">
        <v>40.5</v>
      </c>
      <c r="J2653" s="14">
        <f>P2653*I2653</f>
        <v>40.5</v>
      </c>
      <c r="K2653" s="16">
        <v>85</v>
      </c>
      <c r="L2653" s="1" t="s">
        <v>21</v>
      </c>
      <c r="M2653" t="s">
        <v>58</v>
      </c>
      <c r="N2653" t="str">
        <f t="shared" si="62"/>
        <v>United Kingdom</v>
      </c>
      <c r="O2653" s="8">
        <f>IF(K2653&gt;=1,K2653,K2653*1000)</f>
        <v>85</v>
      </c>
      <c r="P2653">
        <f>ABS(H2653)</f>
        <v>1</v>
      </c>
      <c r="R2653"/>
    </row>
    <row r="2654" spans="1:18" x14ac:dyDescent="0.35">
      <c r="A2654" t="s">
        <v>4204</v>
      </c>
      <c r="B2654" s="2">
        <v>46129</v>
      </c>
      <c r="C2654" t="s">
        <v>3407</v>
      </c>
      <c r="D2654" s="3" t="s">
        <v>66</v>
      </c>
      <c r="E2654" t="s">
        <v>34</v>
      </c>
      <c r="F2654" t="s">
        <v>47</v>
      </c>
      <c r="G2654" t="s">
        <v>48</v>
      </c>
      <c r="H2654" s="8">
        <v>2</v>
      </c>
      <c r="I2654" s="10">
        <v>40.5</v>
      </c>
      <c r="J2654" s="14">
        <f>P2654*I2654</f>
        <v>81</v>
      </c>
      <c r="K2654" s="16">
        <v>380</v>
      </c>
      <c r="L2654" s="1" t="s">
        <v>30</v>
      </c>
      <c r="M2654" t="s">
        <v>22</v>
      </c>
      <c r="N2654" t="str">
        <f t="shared" si="62"/>
        <v>Gb</v>
      </c>
      <c r="O2654" s="8">
        <f>IF(K2654&gt;=1,K2654,K2654*1000)</f>
        <v>380</v>
      </c>
      <c r="P2654">
        <f>ABS(H2654)</f>
        <v>2</v>
      </c>
      <c r="R2654"/>
    </row>
    <row r="2655" spans="1:18" x14ac:dyDescent="0.35">
      <c r="A2655" t="s">
        <v>4205</v>
      </c>
      <c r="B2655" s="2">
        <v>46143</v>
      </c>
      <c r="C2655" t="s">
        <v>195</v>
      </c>
      <c r="D2655" s="3" t="s">
        <v>4613</v>
      </c>
      <c r="E2655" t="s">
        <v>41</v>
      </c>
      <c r="F2655" t="s">
        <v>26</v>
      </c>
      <c r="G2655" t="s">
        <v>27</v>
      </c>
      <c r="H2655" s="8">
        <v>1</v>
      </c>
      <c r="I2655" s="10">
        <v>11.25</v>
      </c>
      <c r="J2655" s="14">
        <f>P2655*I2655</f>
        <v>11.25</v>
      </c>
      <c r="K2655" s="16">
        <v>0.52</v>
      </c>
      <c r="L2655" s="1" t="s">
        <v>21</v>
      </c>
      <c r="M2655" t="s">
        <v>22</v>
      </c>
      <c r="N2655" t="str">
        <f t="shared" si="62"/>
        <v>United Kingdom</v>
      </c>
      <c r="O2655" s="8">
        <f>IF(K2655&gt;=1,K2655,K2655*1000)</f>
        <v>520</v>
      </c>
      <c r="P2655">
        <f>ABS(H2655)</f>
        <v>1</v>
      </c>
      <c r="R2655"/>
    </row>
    <row r="2656" spans="1:18" x14ac:dyDescent="0.35">
      <c r="A2656" t="s">
        <v>4206</v>
      </c>
      <c r="B2656" s="2">
        <v>46159</v>
      </c>
      <c r="C2656" t="s">
        <v>807</v>
      </c>
      <c r="D2656" s="3" t="s">
        <v>4612</v>
      </c>
      <c r="E2656" t="s">
        <v>34</v>
      </c>
      <c r="F2656" t="s">
        <v>74</v>
      </c>
      <c r="G2656" t="s">
        <v>75</v>
      </c>
      <c r="H2656" s="8">
        <v>1</v>
      </c>
      <c r="I2656" s="10">
        <v>116.1</v>
      </c>
      <c r="J2656" s="14">
        <f>P2656*I2656</f>
        <v>116.1</v>
      </c>
      <c r="K2656" s="16">
        <v>0.41</v>
      </c>
      <c r="L2656" s="1" t="s">
        <v>30</v>
      </c>
      <c r="M2656" t="s">
        <v>58</v>
      </c>
      <c r="N2656" t="str">
        <f t="shared" si="62"/>
        <v>United Kingdom</v>
      </c>
      <c r="O2656" s="8">
        <f>IF(K2656&gt;=1,K2656,K2656*1000)</f>
        <v>410</v>
      </c>
      <c r="P2656">
        <f>ABS(H2656)</f>
        <v>1</v>
      </c>
      <c r="R2656"/>
    </row>
    <row r="2657" spans="1:18" x14ac:dyDescent="0.35">
      <c r="A2657" t="s">
        <v>4208</v>
      </c>
      <c r="B2657" s="2" t="s">
        <v>168</v>
      </c>
      <c r="C2657" t="s">
        <v>780</v>
      </c>
      <c r="D2657" s="3" t="s">
        <v>46</v>
      </c>
      <c r="E2657" t="s">
        <v>16</v>
      </c>
      <c r="F2657" t="s">
        <v>17</v>
      </c>
      <c r="G2657" t="s">
        <v>18</v>
      </c>
      <c r="H2657" s="8">
        <v>1</v>
      </c>
      <c r="I2657" s="10">
        <v>45</v>
      </c>
      <c r="J2657" s="14">
        <f>P2657*I2657</f>
        <v>45</v>
      </c>
      <c r="K2657" s="16">
        <v>520</v>
      </c>
      <c r="L2657" s="1" t="s">
        <v>21</v>
      </c>
      <c r="M2657" t="s">
        <v>22</v>
      </c>
      <c r="N2657" t="str">
        <f t="shared" si="62"/>
        <v>Ireland</v>
      </c>
      <c r="O2657" s="8">
        <f>IF(K2657&gt;=1,K2657,K2657*1000)</f>
        <v>520</v>
      </c>
      <c r="P2657">
        <f>ABS(H2657)</f>
        <v>1</v>
      </c>
      <c r="R2657"/>
    </row>
    <row r="2658" spans="1:18" x14ac:dyDescent="0.35">
      <c r="A2658" t="s">
        <v>4209</v>
      </c>
      <c r="B2658" s="2">
        <v>46197</v>
      </c>
      <c r="C2658" t="s">
        <v>2619</v>
      </c>
      <c r="D2658" s="3" t="s">
        <v>15</v>
      </c>
      <c r="E2658" t="s">
        <v>67</v>
      </c>
      <c r="F2658" t="s">
        <v>26</v>
      </c>
      <c r="G2658" t="s">
        <v>27</v>
      </c>
      <c r="H2658" s="8">
        <v>2</v>
      </c>
      <c r="I2658" s="10">
        <v>149</v>
      </c>
      <c r="J2658" s="14">
        <f>P2658*I2658</f>
        <v>298</v>
      </c>
      <c r="K2658" s="16">
        <v>0.52</v>
      </c>
      <c r="L2658" s="1" t="s">
        <v>30</v>
      </c>
      <c r="M2658" t="s">
        <v>22</v>
      </c>
      <c r="N2658" t="str">
        <f t="shared" si="62"/>
        <v>France</v>
      </c>
      <c r="O2658" s="8">
        <f>IF(K2658&gt;=1,K2658,K2658*1000)</f>
        <v>520</v>
      </c>
      <c r="P2658">
        <f>ABS(H2658)</f>
        <v>2</v>
      </c>
      <c r="R2658"/>
    </row>
    <row r="2659" spans="1:18" x14ac:dyDescent="0.35">
      <c r="A2659" t="s">
        <v>4210</v>
      </c>
      <c r="B2659" s="2">
        <v>46155</v>
      </c>
      <c r="C2659" t="s">
        <v>2961</v>
      </c>
      <c r="D2659" s="3" t="s">
        <v>15</v>
      </c>
      <c r="E2659" t="s">
        <v>41</v>
      </c>
      <c r="F2659" t="s">
        <v>26</v>
      </c>
      <c r="G2659" t="s">
        <v>27</v>
      </c>
      <c r="H2659" s="8">
        <v>-1</v>
      </c>
      <c r="I2659" s="10">
        <v>95</v>
      </c>
      <c r="J2659" s="14">
        <f>P2659*I2659</f>
        <v>95</v>
      </c>
      <c r="K2659" s="16">
        <v>0.52</v>
      </c>
      <c r="L2659" s="1" t="s">
        <v>30</v>
      </c>
      <c r="M2659" t="s">
        <v>22</v>
      </c>
      <c r="N2659" t="str">
        <f t="shared" si="62"/>
        <v>France</v>
      </c>
      <c r="O2659" s="8">
        <f>IF(K2659&gt;=1,K2659,K2659*1000)</f>
        <v>520</v>
      </c>
      <c r="P2659">
        <f>ABS(H2659)</f>
        <v>1</v>
      </c>
      <c r="R2659"/>
    </row>
    <row r="2660" spans="1:18" x14ac:dyDescent="0.35">
      <c r="A2660" t="s">
        <v>4211</v>
      </c>
      <c r="B2660" s="2">
        <v>46148</v>
      </c>
      <c r="C2660" t="s">
        <v>3740</v>
      </c>
      <c r="D2660" s="3" t="s">
        <v>61</v>
      </c>
      <c r="E2660" t="s">
        <v>25</v>
      </c>
      <c r="F2660" t="s">
        <v>83</v>
      </c>
      <c r="G2660" t="s">
        <v>84</v>
      </c>
      <c r="H2660" s="8">
        <v>1</v>
      </c>
      <c r="I2660" s="10">
        <v>12.5</v>
      </c>
      <c r="J2660" s="14">
        <f>P2660*I2660</f>
        <v>12.5</v>
      </c>
      <c r="K2660" s="16">
        <v>0.34</v>
      </c>
      <c r="L2660" s="1" t="s">
        <v>30</v>
      </c>
      <c r="M2660" t="s">
        <v>22</v>
      </c>
      <c r="N2660" t="str">
        <f t="shared" si="62"/>
        <v>Ireland</v>
      </c>
      <c r="O2660" s="8">
        <f>IF(K2660&gt;=1,K2660,K2660*1000)</f>
        <v>340</v>
      </c>
      <c r="P2660">
        <f>ABS(H2660)</f>
        <v>1</v>
      </c>
      <c r="R2660"/>
    </row>
    <row r="2661" spans="1:18" x14ac:dyDescent="0.35">
      <c r="A2661" t="s">
        <v>4212</v>
      </c>
      <c r="B2661" s="2">
        <v>46039</v>
      </c>
      <c r="C2661" t="s">
        <v>1731</v>
      </c>
      <c r="D2661" s="3" t="s">
        <v>4613</v>
      </c>
      <c r="E2661" t="s">
        <v>41</v>
      </c>
      <c r="F2661" t="s">
        <v>47</v>
      </c>
      <c r="G2661" t="s">
        <v>48</v>
      </c>
      <c r="H2661" s="8">
        <v>1</v>
      </c>
      <c r="I2661" s="10">
        <v>80.099999999999994</v>
      </c>
      <c r="J2661" s="14">
        <f>P2661*I2661</f>
        <v>80.099999999999994</v>
      </c>
      <c r="K2661" s="16">
        <v>380</v>
      </c>
      <c r="L2661" s="1" t="s">
        <v>30</v>
      </c>
      <c r="M2661" t="s">
        <v>22</v>
      </c>
      <c r="N2661" t="str">
        <f t="shared" si="62"/>
        <v>United Kingdom</v>
      </c>
      <c r="O2661" s="8">
        <f>IF(K2661&gt;=1,K2661,K2661*1000)</f>
        <v>380</v>
      </c>
      <c r="P2661">
        <f>ABS(H2661)</f>
        <v>1</v>
      </c>
      <c r="R2661"/>
    </row>
    <row r="2662" spans="1:18" x14ac:dyDescent="0.35">
      <c r="A2662" t="s">
        <v>4213</v>
      </c>
      <c r="B2662" s="2">
        <v>46118</v>
      </c>
      <c r="C2662" t="s">
        <v>3133</v>
      </c>
      <c r="D2662" s="3" t="s">
        <v>99</v>
      </c>
      <c r="E2662" t="s">
        <v>16</v>
      </c>
      <c r="F2662" t="s">
        <v>83</v>
      </c>
      <c r="G2662" t="s">
        <v>84</v>
      </c>
      <c r="H2662" s="8">
        <v>1</v>
      </c>
      <c r="I2662" s="10">
        <v>95</v>
      </c>
      <c r="J2662" s="14">
        <f>P2662*I2662</f>
        <v>95</v>
      </c>
      <c r="K2662" s="16">
        <v>340</v>
      </c>
      <c r="L2662" s="1" t="s">
        <v>21</v>
      </c>
      <c r="M2662" t="s">
        <v>22</v>
      </c>
      <c r="N2662" t="str">
        <f t="shared" si="62"/>
        <v>United Kingdom</v>
      </c>
      <c r="O2662" s="8">
        <f>IF(K2662&gt;=1,K2662,K2662*1000)</f>
        <v>340</v>
      </c>
      <c r="P2662">
        <f>ABS(H2662)</f>
        <v>1</v>
      </c>
      <c r="R2662"/>
    </row>
    <row r="2663" spans="1:18" x14ac:dyDescent="0.35">
      <c r="A2663" t="s">
        <v>4214</v>
      </c>
      <c r="B2663" s="2">
        <v>46038</v>
      </c>
      <c r="C2663" t="s">
        <v>2827</v>
      </c>
      <c r="D2663" s="3" t="s">
        <v>99</v>
      </c>
      <c r="E2663" t="s">
        <v>41</v>
      </c>
      <c r="F2663" t="s">
        <v>47</v>
      </c>
      <c r="G2663" t="s">
        <v>48</v>
      </c>
      <c r="H2663" s="8">
        <v>1</v>
      </c>
      <c r="I2663" s="10">
        <v>89</v>
      </c>
      <c r="J2663" s="14">
        <f>P2663*I2663</f>
        <v>89</v>
      </c>
      <c r="K2663" s="16">
        <v>380</v>
      </c>
      <c r="L2663" s="1" t="s">
        <v>30</v>
      </c>
      <c r="M2663" t="s">
        <v>58</v>
      </c>
      <c r="N2663" t="str">
        <f t="shared" si="62"/>
        <v>United Kingdom</v>
      </c>
      <c r="O2663" s="8">
        <f>IF(K2663&gt;=1,K2663,K2663*1000)</f>
        <v>380</v>
      </c>
      <c r="P2663">
        <f>ABS(H2663)</f>
        <v>1</v>
      </c>
      <c r="R2663"/>
    </row>
    <row r="2664" spans="1:18" x14ac:dyDescent="0.35">
      <c r="A2664" t="s">
        <v>4215</v>
      </c>
      <c r="B2664" s="2">
        <v>46196</v>
      </c>
      <c r="C2664" t="s">
        <v>425</v>
      </c>
      <c r="D2664" s="3" t="s">
        <v>99</v>
      </c>
      <c r="E2664" t="s">
        <v>16</v>
      </c>
      <c r="F2664" t="s">
        <v>47</v>
      </c>
      <c r="G2664" t="s">
        <v>48</v>
      </c>
      <c r="H2664" s="8">
        <v>2</v>
      </c>
      <c r="I2664" s="10">
        <v>129</v>
      </c>
      <c r="J2664" s="14">
        <f>P2664*I2664</f>
        <v>258</v>
      </c>
      <c r="K2664" s="16">
        <v>0.38</v>
      </c>
      <c r="L2664" s="1" t="s">
        <v>30</v>
      </c>
      <c r="M2664" t="s">
        <v>22</v>
      </c>
      <c r="N2664" t="str">
        <f t="shared" si="62"/>
        <v>United Kingdom</v>
      </c>
      <c r="O2664" s="8">
        <f>IF(K2664&gt;=1,K2664,K2664*1000)</f>
        <v>380</v>
      </c>
      <c r="P2664">
        <f>ABS(H2664)</f>
        <v>2</v>
      </c>
      <c r="R2664"/>
    </row>
    <row r="2665" spans="1:18" x14ac:dyDescent="0.35">
      <c r="A2665" t="s">
        <v>4216</v>
      </c>
      <c r="B2665" s="2">
        <v>46137</v>
      </c>
      <c r="C2665" t="s">
        <v>1161</v>
      </c>
      <c r="D2665" s="3" t="s">
        <v>4612</v>
      </c>
      <c r="E2665" t="s">
        <v>67</v>
      </c>
      <c r="F2665" t="s">
        <v>17</v>
      </c>
      <c r="G2665" t="s">
        <v>18</v>
      </c>
      <c r="H2665" s="8">
        <v>3</v>
      </c>
      <c r="I2665" s="12" t="s">
        <v>4645</v>
      </c>
      <c r="J2665" s="14">
        <f>P2665*R2665</f>
        <v>121.5</v>
      </c>
      <c r="K2665" s="16">
        <v>0.52</v>
      </c>
      <c r="L2665" s="1" t="s">
        <v>21</v>
      </c>
      <c r="M2665" t="s">
        <v>22</v>
      </c>
      <c r="N2665" t="str">
        <f t="shared" si="62"/>
        <v>United Kingdom</v>
      </c>
      <c r="O2665" s="8">
        <f>IF(K2665&gt;=1,K2665,K2665*1000)</f>
        <v>520</v>
      </c>
      <c r="P2665">
        <f>ABS(H2665)</f>
        <v>3</v>
      </c>
      <c r="Q2665" t="str">
        <f>LEFT(I2665,3)</f>
        <v>GBP</v>
      </c>
      <c r="R2665" s="10" t="str">
        <f>RIGHT(I2665,5)</f>
        <v>40,50</v>
      </c>
    </row>
    <row r="2666" spans="1:18" x14ac:dyDescent="0.35">
      <c r="A2666" t="s">
        <v>4217</v>
      </c>
      <c r="B2666" s="2" t="s">
        <v>4218</v>
      </c>
      <c r="C2666" t="s">
        <v>3212</v>
      </c>
      <c r="D2666" s="3" t="s">
        <v>99</v>
      </c>
      <c r="E2666" t="s">
        <v>34</v>
      </c>
      <c r="F2666" t="s">
        <v>47</v>
      </c>
      <c r="G2666" t="s">
        <v>48</v>
      </c>
      <c r="H2666" s="8">
        <v>1</v>
      </c>
      <c r="I2666" s="10">
        <v>95</v>
      </c>
      <c r="J2666" s="14">
        <f>P2666*I2666</f>
        <v>95</v>
      </c>
      <c r="K2666" s="16">
        <v>380</v>
      </c>
      <c r="L2666" s="1" t="s">
        <v>30</v>
      </c>
      <c r="M2666" t="s">
        <v>22</v>
      </c>
      <c r="N2666" t="str">
        <f t="shared" si="62"/>
        <v>United Kingdom</v>
      </c>
      <c r="O2666" s="8">
        <f>IF(K2666&gt;=1,K2666,K2666*1000)</f>
        <v>380</v>
      </c>
      <c r="P2666">
        <f>ABS(H2666)</f>
        <v>1</v>
      </c>
      <c r="R2666"/>
    </row>
    <row r="2667" spans="1:18" x14ac:dyDescent="0.35">
      <c r="A2667" t="s">
        <v>4219</v>
      </c>
      <c r="B2667" s="2">
        <v>46051</v>
      </c>
      <c r="C2667" t="s">
        <v>334</v>
      </c>
      <c r="D2667" s="3" t="s">
        <v>116</v>
      </c>
      <c r="E2667" t="s">
        <v>41</v>
      </c>
      <c r="F2667" t="s">
        <v>26</v>
      </c>
      <c r="G2667" t="s">
        <v>27</v>
      </c>
      <c r="H2667" s="8">
        <v>2</v>
      </c>
      <c r="I2667" s="10">
        <v>116.1</v>
      </c>
      <c r="J2667" s="14">
        <f>P2667*I2667</f>
        <v>232.2</v>
      </c>
      <c r="K2667" s="16">
        <v>520</v>
      </c>
      <c r="L2667" s="1" t="s">
        <v>30</v>
      </c>
      <c r="M2667" t="s">
        <v>22</v>
      </c>
      <c r="N2667" t="str">
        <f t="shared" si="62"/>
        <v>Germany</v>
      </c>
      <c r="O2667" s="8">
        <f>IF(K2667&gt;=1,K2667,K2667*1000)</f>
        <v>520</v>
      </c>
      <c r="P2667">
        <f>ABS(H2667)</f>
        <v>2</v>
      </c>
      <c r="R2667"/>
    </row>
    <row r="2668" spans="1:18" x14ac:dyDescent="0.35">
      <c r="A2668" t="s">
        <v>4220</v>
      </c>
      <c r="B2668" s="2">
        <v>46098</v>
      </c>
      <c r="C2668" t="s">
        <v>3064</v>
      </c>
      <c r="D2668" s="3" t="s">
        <v>4613</v>
      </c>
      <c r="E2668" t="s">
        <v>67</v>
      </c>
      <c r="F2668" t="s">
        <v>42</v>
      </c>
      <c r="G2668" t="s">
        <v>43</v>
      </c>
      <c r="H2668" s="8">
        <v>3</v>
      </c>
      <c r="I2668" s="10">
        <v>79</v>
      </c>
      <c r="J2668" s="14">
        <f>P2668*I2668</f>
        <v>237</v>
      </c>
      <c r="K2668" s="16">
        <v>190</v>
      </c>
      <c r="L2668" s="1" t="s">
        <v>30</v>
      </c>
      <c r="M2668" t="s">
        <v>22</v>
      </c>
      <c r="N2668" t="str">
        <f t="shared" si="62"/>
        <v>United Kingdom</v>
      </c>
      <c r="O2668" s="8">
        <f>IF(K2668&gt;=1,K2668,K2668*1000)</f>
        <v>190</v>
      </c>
      <c r="P2668">
        <f>ABS(H2668)</f>
        <v>3</v>
      </c>
      <c r="R2668"/>
    </row>
    <row r="2669" spans="1:18" x14ac:dyDescent="0.35">
      <c r="A2669" t="s">
        <v>4221</v>
      </c>
      <c r="B2669" s="2">
        <v>46128</v>
      </c>
      <c r="C2669" t="s">
        <v>990</v>
      </c>
      <c r="D2669" s="3" t="s">
        <v>53</v>
      </c>
      <c r="E2669" t="s">
        <v>25</v>
      </c>
      <c r="F2669" t="s">
        <v>42</v>
      </c>
      <c r="G2669" t="s">
        <v>43</v>
      </c>
      <c r="H2669" s="8">
        <v>1</v>
      </c>
      <c r="I2669" s="10">
        <v>79</v>
      </c>
      <c r="J2669" s="14">
        <f>P2669*I2669</f>
        <v>79</v>
      </c>
      <c r="K2669" s="16">
        <v>190</v>
      </c>
      <c r="L2669" s="1" t="s">
        <v>30</v>
      </c>
      <c r="M2669" t="s">
        <v>22</v>
      </c>
      <c r="N2669" t="str">
        <f t="shared" si="62"/>
        <v>Gb</v>
      </c>
      <c r="O2669" s="8">
        <f>IF(K2669&gt;=1,K2669,K2669*1000)</f>
        <v>190</v>
      </c>
      <c r="P2669">
        <f>ABS(H2669)</f>
        <v>1</v>
      </c>
      <c r="R2669"/>
    </row>
    <row r="2670" spans="1:18" x14ac:dyDescent="0.35">
      <c r="A2670" t="s">
        <v>4222</v>
      </c>
      <c r="B2670" s="2">
        <v>46115</v>
      </c>
      <c r="C2670" t="s">
        <v>3164</v>
      </c>
      <c r="D2670" s="3" t="s">
        <v>15</v>
      </c>
      <c r="E2670" t="s">
        <v>25</v>
      </c>
      <c r="F2670" t="s">
        <v>17</v>
      </c>
      <c r="G2670" t="s">
        <v>18</v>
      </c>
      <c r="H2670" s="8">
        <v>1</v>
      </c>
      <c r="I2670" s="10">
        <v>116.1</v>
      </c>
      <c r="J2670" s="14">
        <f>P2670*I2670</f>
        <v>116.1</v>
      </c>
      <c r="K2670" s="16">
        <v>520</v>
      </c>
      <c r="L2670" s="1" t="s">
        <v>30</v>
      </c>
      <c r="M2670" t="s">
        <v>58</v>
      </c>
      <c r="N2670" t="str">
        <f t="shared" si="62"/>
        <v>France</v>
      </c>
      <c r="O2670" s="8">
        <f>IF(K2670&gt;=1,K2670,K2670*1000)</f>
        <v>520</v>
      </c>
      <c r="P2670">
        <f>ABS(H2670)</f>
        <v>1</v>
      </c>
      <c r="R2670"/>
    </row>
    <row r="2671" spans="1:18" x14ac:dyDescent="0.35">
      <c r="A2671" t="s">
        <v>4223</v>
      </c>
      <c r="B2671" s="2">
        <v>46143</v>
      </c>
      <c r="C2671" t="s">
        <v>3200</v>
      </c>
      <c r="D2671" s="3" t="s">
        <v>116</v>
      </c>
      <c r="E2671" t="s">
        <v>16</v>
      </c>
      <c r="F2671" t="s">
        <v>74</v>
      </c>
      <c r="G2671" t="s">
        <v>75</v>
      </c>
      <c r="H2671" s="8">
        <v>2</v>
      </c>
      <c r="I2671" s="10">
        <v>11.25</v>
      </c>
      <c r="J2671" s="14">
        <f>P2671*I2671</f>
        <v>22.5</v>
      </c>
      <c r="K2671" s="16">
        <v>0.41</v>
      </c>
      <c r="L2671" s="1" t="s">
        <v>30</v>
      </c>
      <c r="M2671" t="s">
        <v>58</v>
      </c>
      <c r="N2671" t="str">
        <f t="shared" si="62"/>
        <v>Germany</v>
      </c>
      <c r="O2671" s="8">
        <f>IF(K2671&gt;=1,K2671,K2671*1000)</f>
        <v>410</v>
      </c>
      <c r="P2671">
        <f>ABS(H2671)</f>
        <v>2</v>
      </c>
      <c r="R2671"/>
    </row>
    <row r="2672" spans="1:18" x14ac:dyDescent="0.35">
      <c r="A2672" t="s">
        <v>4224</v>
      </c>
      <c r="B2672" s="2">
        <v>46051</v>
      </c>
      <c r="C2672" t="s">
        <v>4225</v>
      </c>
      <c r="D2672" s="3" t="s">
        <v>4612</v>
      </c>
      <c r="E2672" t="s">
        <v>16</v>
      </c>
      <c r="F2672" t="s">
        <v>83</v>
      </c>
      <c r="G2672" t="s">
        <v>84</v>
      </c>
      <c r="H2672" s="8">
        <v>3</v>
      </c>
      <c r="I2672" s="12" t="s">
        <v>4640</v>
      </c>
      <c r="J2672" s="14">
        <f>P2672*R2672</f>
        <v>87</v>
      </c>
      <c r="K2672" s="16">
        <v>340</v>
      </c>
      <c r="L2672" s="1" t="s">
        <v>30</v>
      </c>
      <c r="M2672" t="s">
        <v>22</v>
      </c>
      <c r="N2672" t="str">
        <f t="shared" si="62"/>
        <v>United Kingdom</v>
      </c>
      <c r="O2672" s="8">
        <f>IF(K2672&gt;=1,K2672,K2672*1000)</f>
        <v>340</v>
      </c>
      <c r="P2672">
        <f>ABS(H2672)</f>
        <v>3</v>
      </c>
      <c r="Q2672" t="str">
        <f>LEFT(I2672,2)</f>
        <v>Â£</v>
      </c>
      <c r="R2672" t="str">
        <f>RIGHT(I2672,5)</f>
        <v>29,00</v>
      </c>
    </row>
    <row r="2673" spans="1:18" x14ac:dyDescent="0.35">
      <c r="A2673" t="s">
        <v>4226</v>
      </c>
      <c r="B2673" s="2">
        <v>46112</v>
      </c>
      <c r="C2673" t="s">
        <v>1312</v>
      </c>
      <c r="D2673" s="3" t="s">
        <v>116</v>
      </c>
      <c r="E2673" t="s">
        <v>41</v>
      </c>
      <c r="F2673" t="s">
        <v>35</v>
      </c>
      <c r="G2673" t="s">
        <v>36</v>
      </c>
      <c r="H2673" s="8">
        <v>3</v>
      </c>
      <c r="I2673" s="10">
        <v>71.099999999999994</v>
      </c>
      <c r="J2673" s="14">
        <f>P2673*I2673</f>
        <v>213.29999999999998</v>
      </c>
      <c r="K2673" s="16">
        <v>85</v>
      </c>
      <c r="L2673" s="1" t="s">
        <v>30</v>
      </c>
      <c r="M2673" t="s">
        <v>22</v>
      </c>
      <c r="N2673" t="str">
        <f t="shared" si="62"/>
        <v>Germany</v>
      </c>
      <c r="O2673" s="8">
        <f>IF(K2673&gt;=1,K2673,K2673*1000)</f>
        <v>85</v>
      </c>
      <c r="P2673">
        <f>ABS(H2673)</f>
        <v>3</v>
      </c>
      <c r="R2673"/>
    </row>
    <row r="2674" spans="1:18" x14ac:dyDescent="0.35">
      <c r="A2674" t="s">
        <v>4227</v>
      </c>
      <c r="B2674" s="2">
        <v>46203</v>
      </c>
      <c r="C2674" t="s">
        <v>847</v>
      </c>
      <c r="D2674" s="3" t="s">
        <v>15</v>
      </c>
      <c r="E2674" t="s">
        <v>25</v>
      </c>
      <c r="F2674" t="s">
        <v>89</v>
      </c>
      <c r="G2674" t="s">
        <v>90</v>
      </c>
      <c r="H2674" s="8">
        <v>1</v>
      </c>
      <c r="I2674" s="10">
        <v>149</v>
      </c>
      <c r="J2674" s="14">
        <f>P2674*I2674</f>
        <v>149</v>
      </c>
      <c r="K2674" s="16">
        <v>0.64</v>
      </c>
      <c r="L2674" s="1" t="s">
        <v>30</v>
      </c>
      <c r="M2674" t="s">
        <v>22</v>
      </c>
      <c r="N2674" t="str">
        <f t="shared" si="62"/>
        <v>France</v>
      </c>
      <c r="O2674" s="8">
        <f>IF(K2674&gt;=1,K2674,K2674*1000)</f>
        <v>640</v>
      </c>
      <c r="P2674">
        <f>ABS(H2674)</f>
        <v>1</v>
      </c>
      <c r="R2674"/>
    </row>
    <row r="2675" spans="1:18" x14ac:dyDescent="0.35">
      <c r="A2675" t="s">
        <v>4228</v>
      </c>
      <c r="B2675" s="2">
        <v>46144</v>
      </c>
      <c r="C2675" t="s">
        <v>14</v>
      </c>
      <c r="D2675" s="3" t="s">
        <v>99</v>
      </c>
      <c r="E2675" t="s">
        <v>34</v>
      </c>
      <c r="F2675" t="s">
        <v>42</v>
      </c>
      <c r="G2675" t="s">
        <v>43</v>
      </c>
      <c r="H2675" s="8">
        <v>2</v>
      </c>
      <c r="I2675" s="10">
        <v>71.099999999999994</v>
      </c>
      <c r="J2675" s="14">
        <f>P2675*I2675</f>
        <v>142.19999999999999</v>
      </c>
      <c r="K2675" s="16">
        <v>0.19</v>
      </c>
      <c r="L2675" s="1" t="s">
        <v>30</v>
      </c>
      <c r="M2675" t="s">
        <v>22</v>
      </c>
      <c r="N2675" t="str">
        <f t="shared" si="62"/>
        <v>United Kingdom</v>
      </c>
      <c r="O2675" s="8">
        <f>IF(K2675&gt;=1,K2675,K2675*1000)</f>
        <v>190</v>
      </c>
      <c r="P2675">
        <f>ABS(H2675)</f>
        <v>2</v>
      </c>
      <c r="R2675"/>
    </row>
    <row r="2676" spans="1:18" x14ac:dyDescent="0.35">
      <c r="A2676" t="s">
        <v>4229</v>
      </c>
      <c r="B2676" s="2">
        <v>46327</v>
      </c>
      <c r="C2676" t="s">
        <v>2635</v>
      </c>
      <c r="D2676" s="3" t="s">
        <v>4613</v>
      </c>
      <c r="E2676" t="s">
        <v>25</v>
      </c>
      <c r="F2676" t="s">
        <v>26</v>
      </c>
      <c r="G2676" t="s">
        <v>27</v>
      </c>
      <c r="H2676" s="8">
        <v>-2</v>
      </c>
      <c r="I2676" s="12" t="s">
        <v>4641</v>
      </c>
      <c r="J2676" s="14">
        <f t="shared" ref="J2676:J2677" si="66">P2676*R2676</f>
        <v>98</v>
      </c>
      <c r="K2676" s="16">
        <v>520</v>
      </c>
      <c r="L2676" s="1" t="s">
        <v>30</v>
      </c>
      <c r="M2676" t="s">
        <v>22</v>
      </c>
      <c r="N2676" t="str">
        <f t="shared" si="62"/>
        <v>United Kingdom</v>
      </c>
      <c r="O2676" s="8">
        <f>IF(K2676&gt;=1,K2676,K2676*1000)</f>
        <v>520</v>
      </c>
      <c r="P2676">
        <f>ABS(H2676)</f>
        <v>2</v>
      </c>
      <c r="Q2676" t="str">
        <f t="shared" ref="Q2676:Q2677" si="67">LEFT(I2676,3)</f>
        <v>GBP</v>
      </c>
      <c r="R2676" s="10" t="str">
        <f t="shared" ref="R2676:R2677" si="68">RIGHT(I2676,5)</f>
        <v>49,00</v>
      </c>
    </row>
    <row r="2677" spans="1:18" x14ac:dyDescent="0.35">
      <c r="A2677" t="s">
        <v>4230</v>
      </c>
      <c r="B2677" s="2">
        <v>46038</v>
      </c>
      <c r="C2677" t="s">
        <v>3014</v>
      </c>
      <c r="D2677" s="3" t="s">
        <v>53</v>
      </c>
      <c r="E2677" t="s">
        <v>16</v>
      </c>
      <c r="F2677" t="s">
        <v>42</v>
      </c>
      <c r="G2677" t="s">
        <v>43</v>
      </c>
      <c r="H2677" s="8">
        <v>1</v>
      </c>
      <c r="I2677" s="12" t="s">
        <v>4643</v>
      </c>
      <c r="J2677" s="14">
        <f t="shared" si="66"/>
        <v>11.25</v>
      </c>
      <c r="K2677" s="16">
        <v>190</v>
      </c>
      <c r="L2677" s="1" t="s">
        <v>30</v>
      </c>
      <c r="M2677" t="s">
        <v>22</v>
      </c>
      <c r="N2677" t="str">
        <f t="shared" si="62"/>
        <v>Gb</v>
      </c>
      <c r="O2677" s="8">
        <f>IF(K2677&gt;=1,K2677,K2677*1000)</f>
        <v>190</v>
      </c>
      <c r="P2677">
        <f>ABS(H2677)</f>
        <v>1</v>
      </c>
      <c r="Q2677" t="str">
        <f t="shared" si="67"/>
        <v>GBP</v>
      </c>
      <c r="R2677" s="10" t="str">
        <f t="shared" si="68"/>
        <v>11,25</v>
      </c>
    </row>
    <row r="2678" spans="1:18" x14ac:dyDescent="0.35">
      <c r="A2678" t="s">
        <v>4232</v>
      </c>
      <c r="B2678" s="2">
        <v>46358</v>
      </c>
      <c r="C2678" t="s">
        <v>2868</v>
      </c>
      <c r="D2678" s="3" t="s">
        <v>61</v>
      </c>
      <c r="E2678" t="s">
        <v>67</v>
      </c>
      <c r="F2678" t="s">
        <v>42</v>
      </c>
      <c r="G2678" t="s">
        <v>43</v>
      </c>
      <c r="H2678" s="8">
        <v>1</v>
      </c>
      <c r="I2678" s="10">
        <v>129</v>
      </c>
      <c r="J2678" s="14">
        <f>P2678*I2678</f>
        <v>129</v>
      </c>
      <c r="K2678" s="16">
        <v>190</v>
      </c>
      <c r="L2678" s="1" t="s">
        <v>21</v>
      </c>
      <c r="M2678" t="s">
        <v>58</v>
      </c>
      <c r="N2678" t="str">
        <f t="shared" si="62"/>
        <v>Ireland</v>
      </c>
      <c r="O2678" s="8">
        <f>IF(K2678&gt;=1,K2678,K2678*1000)</f>
        <v>190</v>
      </c>
      <c r="P2678">
        <f>ABS(H2678)</f>
        <v>1</v>
      </c>
      <c r="R2678"/>
    </row>
    <row r="2679" spans="1:18" x14ac:dyDescent="0.35">
      <c r="A2679" t="s">
        <v>4233</v>
      </c>
      <c r="B2679" s="2" t="s">
        <v>4234</v>
      </c>
      <c r="C2679" t="s">
        <v>2868</v>
      </c>
      <c r="D2679" s="3" t="s">
        <v>53</v>
      </c>
      <c r="E2679" t="s">
        <v>16</v>
      </c>
      <c r="F2679" t="s">
        <v>47</v>
      </c>
      <c r="G2679" t="s">
        <v>48</v>
      </c>
      <c r="H2679" s="8">
        <v>1</v>
      </c>
      <c r="I2679" s="10">
        <v>24</v>
      </c>
      <c r="J2679" s="14">
        <f>P2679*I2679</f>
        <v>24</v>
      </c>
      <c r="K2679" s="16">
        <v>380</v>
      </c>
      <c r="L2679" s="1" t="s">
        <v>30</v>
      </c>
      <c r="M2679" t="s">
        <v>22</v>
      </c>
      <c r="N2679" t="str">
        <f t="shared" si="62"/>
        <v>Gb</v>
      </c>
      <c r="O2679" s="8">
        <f>IF(K2679&gt;=1,K2679,K2679*1000)</f>
        <v>380</v>
      </c>
      <c r="P2679">
        <f>ABS(H2679)</f>
        <v>1</v>
      </c>
      <c r="R2679"/>
    </row>
    <row r="2680" spans="1:18" x14ac:dyDescent="0.35">
      <c r="A2680" t="s">
        <v>4235</v>
      </c>
      <c r="B2680" s="2">
        <v>46080</v>
      </c>
      <c r="C2680" t="s">
        <v>4236</v>
      </c>
      <c r="D2680" s="3" t="s">
        <v>4613</v>
      </c>
      <c r="E2680" t="s">
        <v>16</v>
      </c>
      <c r="F2680" t="s">
        <v>26</v>
      </c>
      <c r="G2680" t="s">
        <v>27</v>
      </c>
      <c r="H2680" s="8">
        <v>2</v>
      </c>
      <c r="I2680" s="12" t="s">
        <v>4641</v>
      </c>
      <c r="J2680" s="14">
        <f>P2680*R2680</f>
        <v>98</v>
      </c>
      <c r="K2680" s="16">
        <v>520</v>
      </c>
      <c r="L2680" s="1" t="s">
        <v>30</v>
      </c>
      <c r="M2680" t="s">
        <v>58</v>
      </c>
      <c r="N2680" t="str">
        <f t="shared" si="62"/>
        <v>United Kingdom</v>
      </c>
      <c r="O2680" s="8">
        <f>IF(K2680&gt;=1,K2680,K2680*1000)</f>
        <v>520</v>
      </c>
      <c r="P2680">
        <f>ABS(H2680)</f>
        <v>2</v>
      </c>
      <c r="Q2680" t="str">
        <f>LEFT(I2680,3)</f>
        <v>GBP</v>
      </c>
      <c r="R2680" s="10" t="str">
        <f>RIGHT(I2680,5)</f>
        <v>49,00</v>
      </c>
    </row>
    <row r="2681" spans="1:18" x14ac:dyDescent="0.35">
      <c r="A2681" t="s">
        <v>4237</v>
      </c>
      <c r="B2681" s="2">
        <v>46155</v>
      </c>
      <c r="C2681" t="s">
        <v>2542</v>
      </c>
      <c r="D2681" s="3" t="s">
        <v>15</v>
      </c>
      <c r="E2681" t="s">
        <v>67</v>
      </c>
      <c r="F2681" t="s">
        <v>42</v>
      </c>
      <c r="G2681" t="s">
        <v>43</v>
      </c>
      <c r="H2681" s="8">
        <v>1</v>
      </c>
      <c r="I2681" s="10">
        <v>80.099999999999994</v>
      </c>
      <c r="J2681" s="14">
        <f>P2681*I2681</f>
        <v>80.099999999999994</v>
      </c>
      <c r="K2681" s="16">
        <v>0.19</v>
      </c>
      <c r="L2681" s="1" t="s">
        <v>21</v>
      </c>
      <c r="M2681" t="s">
        <v>58</v>
      </c>
      <c r="N2681" t="str">
        <f t="shared" si="62"/>
        <v>France</v>
      </c>
      <c r="O2681" s="8">
        <f>IF(K2681&gt;=1,K2681,K2681*1000)</f>
        <v>190</v>
      </c>
      <c r="P2681">
        <f>ABS(H2681)</f>
        <v>1</v>
      </c>
      <c r="R2681"/>
    </row>
    <row r="2682" spans="1:18" x14ac:dyDescent="0.35">
      <c r="A2682" t="s">
        <v>4238</v>
      </c>
      <c r="B2682" s="2">
        <v>46160</v>
      </c>
      <c r="C2682" t="s">
        <v>1109</v>
      </c>
      <c r="D2682" s="3" t="s">
        <v>4612</v>
      </c>
      <c r="E2682" t="s">
        <v>25</v>
      </c>
      <c r="F2682" t="s">
        <v>83</v>
      </c>
      <c r="G2682" t="s">
        <v>84</v>
      </c>
      <c r="H2682" s="8">
        <v>1</v>
      </c>
      <c r="I2682" s="10">
        <v>85.5</v>
      </c>
      <c r="J2682" s="14">
        <f>P2682*I2682</f>
        <v>85.5</v>
      </c>
      <c r="K2682" s="16">
        <v>0.34</v>
      </c>
      <c r="L2682" s="1" t="s">
        <v>30</v>
      </c>
      <c r="M2682" t="s">
        <v>58</v>
      </c>
      <c r="N2682" t="str">
        <f t="shared" si="62"/>
        <v>United Kingdom</v>
      </c>
      <c r="O2682" s="8">
        <f>IF(K2682&gt;=1,K2682,K2682*1000)</f>
        <v>340</v>
      </c>
      <c r="P2682">
        <f>ABS(H2682)</f>
        <v>1</v>
      </c>
      <c r="R2682"/>
    </row>
    <row r="2683" spans="1:18" x14ac:dyDescent="0.35">
      <c r="A2683" t="s">
        <v>4239</v>
      </c>
      <c r="B2683" s="2" t="s">
        <v>1748</v>
      </c>
      <c r="C2683" t="s">
        <v>890</v>
      </c>
      <c r="D2683" s="3" t="s">
        <v>53</v>
      </c>
      <c r="E2683" t="s">
        <v>41</v>
      </c>
      <c r="F2683" t="s">
        <v>83</v>
      </c>
      <c r="G2683" t="s">
        <v>84</v>
      </c>
      <c r="H2683" s="8">
        <v>1</v>
      </c>
      <c r="I2683" s="10">
        <v>79</v>
      </c>
      <c r="J2683" s="14">
        <f>P2683*I2683</f>
        <v>79</v>
      </c>
      <c r="K2683" s="16">
        <v>0.34</v>
      </c>
      <c r="L2683" s="1" t="s">
        <v>21</v>
      </c>
      <c r="M2683" t="s">
        <v>58</v>
      </c>
      <c r="N2683" t="str">
        <f t="shared" si="62"/>
        <v>Gb</v>
      </c>
      <c r="O2683" s="8">
        <f>IF(K2683&gt;=1,K2683,K2683*1000)</f>
        <v>340</v>
      </c>
      <c r="P2683">
        <f>ABS(H2683)</f>
        <v>1</v>
      </c>
      <c r="R2683"/>
    </row>
    <row r="2684" spans="1:18" x14ac:dyDescent="0.35">
      <c r="A2684" t="s">
        <v>4240</v>
      </c>
      <c r="B2684" s="2" t="s">
        <v>898</v>
      </c>
      <c r="C2684" t="s">
        <v>2297</v>
      </c>
      <c r="D2684" s="3" t="s">
        <v>61</v>
      </c>
      <c r="E2684" t="s">
        <v>16</v>
      </c>
      <c r="F2684" t="s">
        <v>83</v>
      </c>
      <c r="G2684" t="s">
        <v>84</v>
      </c>
      <c r="H2684" s="8">
        <v>1</v>
      </c>
      <c r="I2684" s="10">
        <v>134.1</v>
      </c>
      <c r="J2684" s="14">
        <f>P2684*I2684</f>
        <v>134.1</v>
      </c>
      <c r="K2684" s="16">
        <v>0.34</v>
      </c>
      <c r="L2684" s="1" t="s">
        <v>21</v>
      </c>
      <c r="M2684" t="s">
        <v>22</v>
      </c>
      <c r="N2684" t="str">
        <f t="shared" si="62"/>
        <v>Ireland</v>
      </c>
      <c r="O2684" s="8">
        <f>IF(K2684&gt;=1,K2684,K2684*1000)</f>
        <v>340</v>
      </c>
      <c r="P2684">
        <f>ABS(H2684)</f>
        <v>1</v>
      </c>
      <c r="R2684"/>
    </row>
    <row r="2685" spans="1:18" x14ac:dyDescent="0.35">
      <c r="A2685" t="s">
        <v>4241</v>
      </c>
      <c r="B2685" s="2">
        <v>46039</v>
      </c>
      <c r="C2685" t="s">
        <v>3571</v>
      </c>
      <c r="D2685" s="3" t="s">
        <v>15</v>
      </c>
      <c r="E2685" t="s">
        <v>25</v>
      </c>
      <c r="F2685" t="s">
        <v>17</v>
      </c>
      <c r="G2685" t="s">
        <v>18</v>
      </c>
      <c r="H2685" s="8">
        <v>1</v>
      </c>
      <c r="I2685" s="10">
        <v>71.099999999999994</v>
      </c>
      <c r="J2685" s="14">
        <f>P2685*I2685</f>
        <v>71.099999999999994</v>
      </c>
      <c r="K2685" s="16">
        <v>520</v>
      </c>
      <c r="L2685" s="1" t="s">
        <v>30</v>
      </c>
      <c r="M2685" t="s">
        <v>22</v>
      </c>
      <c r="N2685" t="str">
        <f t="shared" si="62"/>
        <v>France</v>
      </c>
      <c r="O2685" s="8">
        <f>IF(K2685&gt;=1,K2685,K2685*1000)</f>
        <v>520</v>
      </c>
      <c r="P2685">
        <f>ABS(H2685)</f>
        <v>1</v>
      </c>
      <c r="R2685"/>
    </row>
    <row r="2686" spans="1:18" x14ac:dyDescent="0.35">
      <c r="A2686" t="s">
        <v>4242</v>
      </c>
      <c r="B2686" s="2">
        <v>46068</v>
      </c>
      <c r="C2686" t="s">
        <v>4107</v>
      </c>
      <c r="D2686" s="3" t="s">
        <v>99</v>
      </c>
      <c r="E2686" t="s">
        <v>25</v>
      </c>
      <c r="F2686" t="s">
        <v>89</v>
      </c>
      <c r="G2686" t="s">
        <v>90</v>
      </c>
      <c r="H2686" s="8">
        <v>2</v>
      </c>
      <c r="I2686" s="10">
        <v>116.1</v>
      </c>
      <c r="J2686" s="14">
        <f>P2686*I2686</f>
        <v>232.2</v>
      </c>
      <c r="K2686" s="16">
        <v>640</v>
      </c>
      <c r="L2686" s="1" t="s">
        <v>30</v>
      </c>
      <c r="M2686" t="s">
        <v>22</v>
      </c>
      <c r="N2686" t="str">
        <f t="shared" si="62"/>
        <v>United Kingdom</v>
      </c>
      <c r="O2686" s="8">
        <f>IF(K2686&gt;=1,K2686,K2686*1000)</f>
        <v>640</v>
      </c>
      <c r="P2686">
        <f>ABS(H2686)</f>
        <v>2</v>
      </c>
      <c r="R2686"/>
    </row>
    <row r="2687" spans="1:18" x14ac:dyDescent="0.35">
      <c r="A2687" t="s">
        <v>4243</v>
      </c>
      <c r="B2687" s="2">
        <v>46360</v>
      </c>
      <c r="C2687" t="s">
        <v>2174</v>
      </c>
      <c r="D2687" s="3" t="s">
        <v>66</v>
      </c>
      <c r="E2687" t="s">
        <v>41</v>
      </c>
      <c r="F2687" t="s">
        <v>35</v>
      </c>
      <c r="G2687" t="s">
        <v>36</v>
      </c>
      <c r="H2687" s="8">
        <v>1</v>
      </c>
      <c r="I2687" s="10">
        <v>45</v>
      </c>
      <c r="J2687" s="14">
        <f>P2687*I2687</f>
        <v>45</v>
      </c>
      <c r="K2687" s="16">
        <v>85</v>
      </c>
      <c r="L2687" s="1" t="s">
        <v>30</v>
      </c>
      <c r="M2687" t="s">
        <v>22</v>
      </c>
      <c r="N2687" t="str">
        <f t="shared" si="62"/>
        <v>Gb</v>
      </c>
      <c r="O2687" s="8">
        <f>IF(K2687&gt;=1,K2687,K2687*1000)</f>
        <v>85</v>
      </c>
      <c r="P2687">
        <f>ABS(H2687)</f>
        <v>1</v>
      </c>
      <c r="R2687"/>
    </row>
    <row r="2688" spans="1:18" x14ac:dyDescent="0.35">
      <c r="A2688" t="s">
        <v>4244</v>
      </c>
      <c r="B2688" s="2">
        <v>46107</v>
      </c>
      <c r="C2688" t="s">
        <v>903</v>
      </c>
      <c r="D2688" s="3" t="s">
        <v>116</v>
      </c>
      <c r="E2688" t="s">
        <v>41</v>
      </c>
      <c r="F2688" t="s">
        <v>26</v>
      </c>
      <c r="G2688" t="s">
        <v>27</v>
      </c>
      <c r="H2688" s="8">
        <v>3</v>
      </c>
      <c r="I2688" s="10">
        <v>79</v>
      </c>
      <c r="J2688" s="14">
        <f>P2688*I2688</f>
        <v>237</v>
      </c>
      <c r="K2688" s="16">
        <v>520</v>
      </c>
      <c r="L2688" s="1" t="s">
        <v>30</v>
      </c>
      <c r="M2688" t="s">
        <v>58</v>
      </c>
      <c r="N2688" t="str">
        <f t="shared" si="62"/>
        <v>Germany</v>
      </c>
      <c r="O2688" s="8">
        <f>IF(K2688&gt;=1,K2688,K2688*1000)</f>
        <v>520</v>
      </c>
      <c r="P2688">
        <f>ABS(H2688)</f>
        <v>3</v>
      </c>
      <c r="R2688"/>
    </row>
    <row r="2689" spans="1:18" x14ac:dyDescent="0.35">
      <c r="A2689" t="s">
        <v>4245</v>
      </c>
      <c r="B2689" s="2">
        <v>46167</v>
      </c>
      <c r="C2689" t="s">
        <v>1064</v>
      </c>
      <c r="D2689" s="3" t="s">
        <v>4613</v>
      </c>
      <c r="E2689" t="s">
        <v>41</v>
      </c>
      <c r="F2689" t="s">
        <v>74</v>
      </c>
      <c r="G2689" t="s">
        <v>75</v>
      </c>
      <c r="H2689" s="8">
        <v>2</v>
      </c>
      <c r="I2689" s="10">
        <v>45</v>
      </c>
      <c r="J2689" s="14">
        <f>P2689*I2689</f>
        <v>90</v>
      </c>
      <c r="K2689" s="16">
        <v>0.41</v>
      </c>
      <c r="L2689" s="1" t="s">
        <v>21</v>
      </c>
      <c r="M2689" t="s">
        <v>22</v>
      </c>
      <c r="N2689" t="str">
        <f t="shared" si="62"/>
        <v>United Kingdom</v>
      </c>
      <c r="O2689" s="8">
        <f>IF(K2689&gt;=1,K2689,K2689*1000)</f>
        <v>410</v>
      </c>
      <c r="P2689">
        <f>ABS(H2689)</f>
        <v>2</v>
      </c>
      <c r="R2689"/>
    </row>
    <row r="2690" spans="1:18" x14ac:dyDescent="0.35">
      <c r="A2690" t="s">
        <v>4246</v>
      </c>
      <c r="B2690" s="2">
        <v>46204</v>
      </c>
      <c r="C2690" t="s">
        <v>4247</v>
      </c>
      <c r="D2690" s="3" t="s">
        <v>61</v>
      </c>
      <c r="E2690" t="s">
        <v>16</v>
      </c>
      <c r="F2690" t="s">
        <v>83</v>
      </c>
      <c r="G2690" t="s">
        <v>84</v>
      </c>
      <c r="H2690" s="8">
        <v>1</v>
      </c>
      <c r="I2690" s="10">
        <v>24</v>
      </c>
      <c r="J2690" s="14">
        <f>P2690*I2690</f>
        <v>24</v>
      </c>
      <c r="K2690" s="16">
        <v>340</v>
      </c>
      <c r="L2690" s="1" t="s">
        <v>30</v>
      </c>
      <c r="M2690" t="s">
        <v>22</v>
      </c>
      <c r="N2690" t="str">
        <f t="shared" si="62"/>
        <v>Ireland</v>
      </c>
      <c r="O2690" s="8">
        <f>IF(K2690&gt;=1,K2690,K2690*1000)</f>
        <v>340</v>
      </c>
      <c r="P2690">
        <f>ABS(H2690)</f>
        <v>1</v>
      </c>
      <c r="R2690"/>
    </row>
    <row r="2691" spans="1:18" x14ac:dyDescent="0.35">
      <c r="A2691" t="s">
        <v>4248</v>
      </c>
      <c r="B2691" s="2">
        <v>46119</v>
      </c>
      <c r="C2691" t="s">
        <v>1207</v>
      </c>
      <c r="D2691" s="3" t="s">
        <v>46</v>
      </c>
      <c r="E2691" t="s">
        <v>41</v>
      </c>
      <c r="F2691" t="s">
        <v>17</v>
      </c>
      <c r="G2691" t="s">
        <v>18</v>
      </c>
      <c r="H2691" s="8">
        <v>2</v>
      </c>
      <c r="I2691" s="10">
        <v>149</v>
      </c>
      <c r="J2691" s="14">
        <f>P2691*I2691</f>
        <v>298</v>
      </c>
      <c r="K2691" s="16">
        <v>520</v>
      </c>
      <c r="L2691" s="1" t="s">
        <v>30</v>
      </c>
      <c r="M2691" t="s">
        <v>22</v>
      </c>
      <c r="N2691" t="str">
        <f t="shared" ref="N2691:N2754" si="69">PROPER(TRIM(D2691))</f>
        <v>Ireland</v>
      </c>
      <c r="O2691" s="8">
        <f>IF(K2691&gt;=1,K2691,K2691*1000)</f>
        <v>520</v>
      </c>
      <c r="P2691">
        <f>ABS(H2691)</f>
        <v>2</v>
      </c>
      <c r="R2691"/>
    </row>
    <row r="2692" spans="1:18" x14ac:dyDescent="0.35">
      <c r="A2692" t="s">
        <v>4249</v>
      </c>
      <c r="B2692" s="2" t="s">
        <v>2567</v>
      </c>
      <c r="C2692" t="s">
        <v>1146</v>
      </c>
      <c r="D2692" s="3" t="s">
        <v>46</v>
      </c>
      <c r="E2692" t="s">
        <v>25</v>
      </c>
      <c r="F2692" t="s">
        <v>35</v>
      </c>
      <c r="G2692" t="s">
        <v>36</v>
      </c>
      <c r="H2692" s="8">
        <v>2</v>
      </c>
      <c r="I2692" s="10">
        <v>79</v>
      </c>
      <c r="J2692" s="14">
        <f>P2692*I2692</f>
        <v>158</v>
      </c>
      <c r="K2692" s="16">
        <v>85</v>
      </c>
      <c r="L2692" s="1" t="s">
        <v>21</v>
      </c>
      <c r="M2692" t="s">
        <v>22</v>
      </c>
      <c r="N2692" t="str">
        <f t="shared" si="69"/>
        <v>Ireland</v>
      </c>
      <c r="O2692" s="8">
        <f>IF(K2692&gt;=1,K2692,K2692*1000)</f>
        <v>85</v>
      </c>
      <c r="P2692">
        <f>ABS(H2692)</f>
        <v>2</v>
      </c>
      <c r="R2692"/>
    </row>
    <row r="2693" spans="1:18" x14ac:dyDescent="0.35">
      <c r="A2693" t="s">
        <v>4250</v>
      </c>
      <c r="B2693" s="2">
        <v>46185</v>
      </c>
      <c r="C2693" t="s">
        <v>1517</v>
      </c>
      <c r="D2693" s="3" t="s">
        <v>15</v>
      </c>
      <c r="E2693" t="s">
        <v>16</v>
      </c>
      <c r="F2693" t="s">
        <v>35</v>
      </c>
      <c r="G2693" t="s">
        <v>36</v>
      </c>
      <c r="H2693" s="8">
        <v>1</v>
      </c>
      <c r="I2693" s="10">
        <v>80.099999999999994</v>
      </c>
      <c r="J2693" s="14">
        <f>P2693*I2693</f>
        <v>80.099999999999994</v>
      </c>
      <c r="K2693" s="16">
        <v>8.5000000000000006E-2</v>
      </c>
      <c r="L2693" s="1" t="s">
        <v>30</v>
      </c>
      <c r="M2693" t="s">
        <v>58</v>
      </c>
      <c r="N2693" t="str">
        <f t="shared" si="69"/>
        <v>France</v>
      </c>
      <c r="O2693" s="8">
        <f>IF(K2693&gt;=1,K2693,K2693*1000)</f>
        <v>85</v>
      </c>
      <c r="P2693">
        <f>ABS(H2693)</f>
        <v>1</v>
      </c>
      <c r="R2693"/>
    </row>
    <row r="2694" spans="1:18" x14ac:dyDescent="0.35">
      <c r="A2694" t="s">
        <v>4251</v>
      </c>
      <c r="B2694" s="2">
        <v>46044</v>
      </c>
      <c r="C2694" t="s">
        <v>2763</v>
      </c>
      <c r="D2694" s="3" t="s">
        <v>99</v>
      </c>
      <c r="E2694" t="s">
        <v>67</v>
      </c>
      <c r="F2694" t="s">
        <v>35</v>
      </c>
      <c r="G2694" t="s">
        <v>36</v>
      </c>
      <c r="H2694" s="8">
        <v>3</v>
      </c>
      <c r="I2694" s="10">
        <v>89</v>
      </c>
      <c r="J2694" s="14">
        <f>P2694*I2694</f>
        <v>267</v>
      </c>
      <c r="K2694" s="16">
        <v>85</v>
      </c>
      <c r="L2694" s="1" t="s">
        <v>30</v>
      </c>
      <c r="M2694" t="s">
        <v>22</v>
      </c>
      <c r="N2694" t="str">
        <f t="shared" si="69"/>
        <v>United Kingdom</v>
      </c>
      <c r="O2694" s="8">
        <f>IF(K2694&gt;=1,K2694,K2694*1000)</f>
        <v>85</v>
      </c>
      <c r="P2694">
        <f>ABS(H2694)</f>
        <v>3</v>
      </c>
      <c r="R2694"/>
    </row>
    <row r="2695" spans="1:18" x14ac:dyDescent="0.35">
      <c r="A2695" t="s">
        <v>4252</v>
      </c>
      <c r="B2695" s="2">
        <v>46098</v>
      </c>
      <c r="C2695" t="s">
        <v>1570</v>
      </c>
      <c r="D2695" s="3" t="s">
        <v>66</v>
      </c>
      <c r="E2695" t="s">
        <v>34</v>
      </c>
      <c r="F2695" t="s">
        <v>35</v>
      </c>
      <c r="G2695" t="s">
        <v>36</v>
      </c>
      <c r="H2695" s="8">
        <v>2</v>
      </c>
      <c r="I2695" s="10">
        <v>95</v>
      </c>
      <c r="J2695" s="14">
        <f>P2695*I2695</f>
        <v>190</v>
      </c>
      <c r="K2695" s="16">
        <v>85</v>
      </c>
      <c r="L2695" s="1" t="s">
        <v>30</v>
      </c>
      <c r="M2695" t="s">
        <v>22</v>
      </c>
      <c r="N2695" t="str">
        <f t="shared" si="69"/>
        <v>Gb</v>
      </c>
      <c r="O2695" s="8">
        <f>IF(K2695&gt;=1,K2695,K2695*1000)</f>
        <v>85</v>
      </c>
      <c r="P2695">
        <f>ABS(H2695)</f>
        <v>2</v>
      </c>
      <c r="R2695"/>
    </row>
    <row r="2696" spans="1:18" x14ac:dyDescent="0.35">
      <c r="A2696" t="s">
        <v>4253</v>
      </c>
      <c r="B2696" s="2">
        <v>46177</v>
      </c>
      <c r="C2696" t="s">
        <v>4254</v>
      </c>
      <c r="D2696" s="3" t="s">
        <v>46</v>
      </c>
      <c r="E2696" t="s">
        <v>34</v>
      </c>
      <c r="F2696" t="s">
        <v>83</v>
      </c>
      <c r="G2696" t="s">
        <v>84</v>
      </c>
      <c r="H2696" s="8">
        <v>3</v>
      </c>
      <c r="I2696" s="10">
        <v>79</v>
      </c>
      <c r="J2696" s="14">
        <f>P2696*I2696</f>
        <v>237</v>
      </c>
      <c r="K2696" s="16">
        <v>0.34</v>
      </c>
      <c r="L2696" s="1" t="s">
        <v>30</v>
      </c>
      <c r="M2696" t="s">
        <v>22</v>
      </c>
      <c r="N2696" t="str">
        <f t="shared" si="69"/>
        <v>Ireland</v>
      </c>
      <c r="O2696" s="8">
        <f>IF(K2696&gt;=1,K2696,K2696*1000)</f>
        <v>340</v>
      </c>
      <c r="P2696">
        <f>ABS(H2696)</f>
        <v>3</v>
      </c>
      <c r="R2696"/>
    </row>
    <row r="2697" spans="1:18" x14ac:dyDescent="0.35">
      <c r="A2697" t="s">
        <v>4255</v>
      </c>
      <c r="B2697" s="2">
        <v>46142</v>
      </c>
      <c r="C2697" t="s">
        <v>672</v>
      </c>
      <c r="D2697" s="3" t="s">
        <v>61</v>
      </c>
      <c r="E2697" t="s">
        <v>34</v>
      </c>
      <c r="F2697" t="s">
        <v>35</v>
      </c>
      <c r="G2697" t="s">
        <v>36</v>
      </c>
      <c r="H2697" s="8">
        <v>3</v>
      </c>
      <c r="I2697" s="10">
        <v>24</v>
      </c>
      <c r="J2697" s="14">
        <f>P2697*I2697</f>
        <v>72</v>
      </c>
      <c r="K2697" s="16">
        <v>8.5000000000000006E-2</v>
      </c>
      <c r="L2697" s="1" t="s">
        <v>30</v>
      </c>
      <c r="M2697" t="s">
        <v>22</v>
      </c>
      <c r="N2697" t="str">
        <f t="shared" si="69"/>
        <v>Ireland</v>
      </c>
      <c r="O2697" s="8">
        <f>IF(K2697&gt;=1,K2697,K2697*1000)</f>
        <v>85</v>
      </c>
      <c r="P2697">
        <f>ABS(H2697)</f>
        <v>3</v>
      </c>
      <c r="R2697"/>
    </row>
    <row r="2698" spans="1:18" x14ac:dyDescent="0.35">
      <c r="A2698" t="s">
        <v>4256</v>
      </c>
      <c r="B2698" s="2">
        <v>46154</v>
      </c>
      <c r="C2698" t="s">
        <v>2320</v>
      </c>
      <c r="D2698" s="3" t="s">
        <v>53</v>
      </c>
      <c r="E2698" t="s">
        <v>67</v>
      </c>
      <c r="F2698" t="s">
        <v>74</v>
      </c>
      <c r="G2698" t="s">
        <v>75</v>
      </c>
      <c r="H2698" s="8">
        <v>2</v>
      </c>
      <c r="I2698" s="10">
        <v>129</v>
      </c>
      <c r="J2698" s="14">
        <f>P2698*I2698</f>
        <v>258</v>
      </c>
      <c r="K2698" s="16">
        <v>0.41</v>
      </c>
      <c r="L2698" s="1" t="s">
        <v>30</v>
      </c>
      <c r="M2698" t="s">
        <v>58</v>
      </c>
      <c r="N2698" t="str">
        <f t="shared" si="69"/>
        <v>Gb</v>
      </c>
      <c r="O2698" s="8">
        <f>IF(K2698&gt;=1,K2698,K2698*1000)</f>
        <v>410</v>
      </c>
      <c r="P2698">
        <f>ABS(H2698)</f>
        <v>2</v>
      </c>
      <c r="R2698"/>
    </row>
    <row r="2699" spans="1:18" x14ac:dyDescent="0.35">
      <c r="A2699" t="s">
        <v>4257</v>
      </c>
      <c r="B2699" s="2">
        <v>46103</v>
      </c>
      <c r="C2699" t="s">
        <v>1883</v>
      </c>
      <c r="D2699" s="3" t="s">
        <v>116</v>
      </c>
      <c r="E2699" t="s">
        <v>67</v>
      </c>
      <c r="F2699" t="s">
        <v>89</v>
      </c>
      <c r="G2699" t="s">
        <v>90</v>
      </c>
      <c r="H2699" s="8">
        <v>3</v>
      </c>
      <c r="I2699" s="10">
        <v>149</v>
      </c>
      <c r="J2699" s="14">
        <f>P2699*I2699</f>
        <v>447</v>
      </c>
      <c r="K2699" s="16">
        <v>640</v>
      </c>
      <c r="L2699" s="1" t="s">
        <v>30</v>
      </c>
      <c r="M2699" t="s">
        <v>22</v>
      </c>
      <c r="N2699" t="str">
        <f t="shared" si="69"/>
        <v>Germany</v>
      </c>
      <c r="O2699" s="8">
        <f>IF(K2699&gt;=1,K2699,K2699*1000)</f>
        <v>640</v>
      </c>
      <c r="P2699">
        <f>ABS(H2699)</f>
        <v>3</v>
      </c>
      <c r="R2699"/>
    </row>
    <row r="2700" spans="1:18" x14ac:dyDescent="0.35">
      <c r="A2700" t="s">
        <v>4258</v>
      </c>
      <c r="B2700" s="2">
        <v>46085</v>
      </c>
      <c r="C2700" t="s">
        <v>2493</v>
      </c>
      <c r="D2700" s="3" t="s">
        <v>99</v>
      </c>
      <c r="E2700" t="s">
        <v>25</v>
      </c>
      <c r="F2700" t="s">
        <v>74</v>
      </c>
      <c r="G2700" t="s">
        <v>75</v>
      </c>
      <c r="H2700" s="8">
        <v>3</v>
      </c>
      <c r="I2700" s="10">
        <v>129</v>
      </c>
      <c r="J2700" s="14">
        <f>P2700*I2700</f>
        <v>387</v>
      </c>
      <c r="K2700" s="16">
        <v>410</v>
      </c>
      <c r="L2700" s="1" t="s">
        <v>30</v>
      </c>
      <c r="M2700" t="s">
        <v>58</v>
      </c>
      <c r="N2700" t="str">
        <f t="shared" si="69"/>
        <v>United Kingdom</v>
      </c>
      <c r="O2700" s="8">
        <f>IF(K2700&gt;=1,K2700,K2700*1000)</f>
        <v>410</v>
      </c>
      <c r="P2700">
        <f>ABS(H2700)</f>
        <v>3</v>
      </c>
      <c r="R2700"/>
    </row>
    <row r="2701" spans="1:18" x14ac:dyDescent="0.35">
      <c r="A2701" t="s">
        <v>4259</v>
      </c>
      <c r="B2701" s="2">
        <v>46145</v>
      </c>
      <c r="C2701" t="s">
        <v>1039</v>
      </c>
      <c r="D2701" s="3" t="s">
        <v>53</v>
      </c>
      <c r="E2701" t="s">
        <v>34</v>
      </c>
      <c r="F2701" t="s">
        <v>26</v>
      </c>
      <c r="G2701" t="s">
        <v>27</v>
      </c>
      <c r="H2701" s="8">
        <v>1</v>
      </c>
      <c r="I2701" s="10">
        <v>149</v>
      </c>
      <c r="J2701" s="14">
        <f>P2701*I2701</f>
        <v>149</v>
      </c>
      <c r="K2701" s="16">
        <v>520</v>
      </c>
      <c r="L2701" s="1" t="s">
        <v>21</v>
      </c>
      <c r="M2701" t="s">
        <v>22</v>
      </c>
      <c r="N2701" t="str">
        <f t="shared" si="69"/>
        <v>Gb</v>
      </c>
      <c r="O2701" s="8">
        <f>IF(K2701&gt;=1,K2701,K2701*1000)</f>
        <v>520</v>
      </c>
      <c r="P2701">
        <f>ABS(H2701)</f>
        <v>1</v>
      </c>
      <c r="R2701"/>
    </row>
    <row r="2702" spans="1:18" x14ac:dyDescent="0.35">
      <c r="A2702" t="s">
        <v>4260</v>
      </c>
      <c r="B2702" s="2">
        <v>46080</v>
      </c>
      <c r="C2702" t="s">
        <v>1173</v>
      </c>
      <c r="D2702" s="3" t="s">
        <v>4612</v>
      </c>
      <c r="E2702" t="s">
        <v>25</v>
      </c>
      <c r="F2702" t="s">
        <v>26</v>
      </c>
      <c r="G2702" t="s">
        <v>27</v>
      </c>
      <c r="H2702" s="8">
        <v>2</v>
      </c>
      <c r="I2702" s="10">
        <v>95</v>
      </c>
      <c r="J2702" s="14">
        <f>P2702*I2702</f>
        <v>190</v>
      </c>
      <c r="K2702" s="16">
        <v>520</v>
      </c>
      <c r="L2702" s="1" t="s">
        <v>30</v>
      </c>
      <c r="M2702" t="s">
        <v>22</v>
      </c>
      <c r="N2702" t="str">
        <f t="shared" si="69"/>
        <v>United Kingdom</v>
      </c>
      <c r="O2702" s="8">
        <f>IF(K2702&gt;=1,K2702,K2702*1000)</f>
        <v>520</v>
      </c>
      <c r="P2702">
        <f>ABS(H2702)</f>
        <v>2</v>
      </c>
      <c r="R2702"/>
    </row>
    <row r="2703" spans="1:18" x14ac:dyDescent="0.35">
      <c r="A2703" t="s">
        <v>4261</v>
      </c>
      <c r="B2703" s="2">
        <v>46060</v>
      </c>
      <c r="C2703" t="s">
        <v>509</v>
      </c>
      <c r="D2703" s="3" t="s">
        <v>4612</v>
      </c>
      <c r="E2703" t="s">
        <v>16</v>
      </c>
      <c r="F2703" t="s">
        <v>17</v>
      </c>
      <c r="G2703" t="s">
        <v>18</v>
      </c>
      <c r="H2703" s="8">
        <v>2</v>
      </c>
      <c r="I2703" s="10">
        <v>79</v>
      </c>
      <c r="J2703" s="14">
        <f>P2703*I2703</f>
        <v>158</v>
      </c>
      <c r="K2703" s="16">
        <v>520</v>
      </c>
      <c r="L2703" s="1" t="s">
        <v>30</v>
      </c>
      <c r="M2703" t="s">
        <v>22</v>
      </c>
      <c r="N2703" t="str">
        <f t="shared" si="69"/>
        <v>United Kingdom</v>
      </c>
      <c r="O2703" s="8">
        <f>IF(K2703&gt;=1,K2703,K2703*1000)</f>
        <v>520</v>
      </c>
      <c r="P2703">
        <f>ABS(H2703)</f>
        <v>2</v>
      </c>
      <c r="R2703"/>
    </row>
    <row r="2704" spans="1:18" x14ac:dyDescent="0.35">
      <c r="A2704" t="s">
        <v>4262</v>
      </c>
      <c r="B2704" s="2">
        <v>46205</v>
      </c>
      <c r="C2704" t="s">
        <v>1976</v>
      </c>
      <c r="D2704" s="3" t="s">
        <v>15</v>
      </c>
      <c r="E2704" t="s">
        <v>16</v>
      </c>
      <c r="F2704" t="s">
        <v>35</v>
      </c>
      <c r="G2704" t="s">
        <v>36</v>
      </c>
      <c r="H2704" s="8">
        <v>1</v>
      </c>
      <c r="I2704" s="10">
        <v>12.5</v>
      </c>
      <c r="J2704" s="14">
        <f>P2704*I2704</f>
        <v>12.5</v>
      </c>
      <c r="K2704" s="16">
        <v>8.5000000000000006E-2</v>
      </c>
      <c r="L2704" s="1" t="s">
        <v>30</v>
      </c>
      <c r="M2704" t="s">
        <v>22</v>
      </c>
      <c r="N2704" t="str">
        <f t="shared" si="69"/>
        <v>France</v>
      </c>
      <c r="O2704" s="8">
        <f>IF(K2704&gt;=1,K2704,K2704*1000)</f>
        <v>85</v>
      </c>
      <c r="P2704">
        <f>ABS(H2704)</f>
        <v>1</v>
      </c>
      <c r="R2704"/>
    </row>
    <row r="2705" spans="1:18" x14ac:dyDescent="0.35">
      <c r="A2705" t="s">
        <v>4263</v>
      </c>
      <c r="B2705" s="2">
        <v>46076</v>
      </c>
      <c r="C2705" t="s">
        <v>3697</v>
      </c>
      <c r="D2705" s="3" t="s">
        <v>99</v>
      </c>
      <c r="E2705" t="s">
        <v>67</v>
      </c>
      <c r="F2705" t="s">
        <v>35</v>
      </c>
      <c r="G2705" t="s">
        <v>36</v>
      </c>
      <c r="H2705" s="8">
        <v>3</v>
      </c>
      <c r="I2705" s="10">
        <v>134.1</v>
      </c>
      <c r="J2705" s="14">
        <f>P2705*I2705</f>
        <v>402.29999999999995</v>
      </c>
      <c r="K2705" s="16">
        <v>85</v>
      </c>
      <c r="L2705" s="1" t="s">
        <v>30</v>
      </c>
      <c r="M2705" t="s">
        <v>22</v>
      </c>
      <c r="N2705" t="str">
        <f t="shared" si="69"/>
        <v>United Kingdom</v>
      </c>
      <c r="O2705" s="8">
        <f>IF(K2705&gt;=1,K2705,K2705*1000)</f>
        <v>85</v>
      </c>
      <c r="P2705">
        <f>ABS(H2705)</f>
        <v>3</v>
      </c>
      <c r="R2705"/>
    </row>
    <row r="2706" spans="1:18" x14ac:dyDescent="0.35">
      <c r="A2706" t="s">
        <v>4264</v>
      </c>
      <c r="B2706" s="2">
        <v>46186</v>
      </c>
      <c r="C2706" t="s">
        <v>3759</v>
      </c>
      <c r="D2706" s="3" t="s">
        <v>4613</v>
      </c>
      <c r="E2706" t="s">
        <v>34</v>
      </c>
      <c r="F2706" t="s">
        <v>17</v>
      </c>
      <c r="G2706" t="s">
        <v>18</v>
      </c>
      <c r="H2706" s="8">
        <v>1</v>
      </c>
      <c r="I2706" s="10">
        <v>89</v>
      </c>
      <c r="J2706" s="14">
        <f>P2706*I2706</f>
        <v>89</v>
      </c>
      <c r="K2706" s="16">
        <v>0.52</v>
      </c>
      <c r="L2706" s="1" t="s">
        <v>30</v>
      </c>
      <c r="M2706" t="s">
        <v>22</v>
      </c>
      <c r="N2706" t="str">
        <f t="shared" si="69"/>
        <v>United Kingdom</v>
      </c>
      <c r="O2706" s="8">
        <f>IF(K2706&gt;=1,K2706,K2706*1000)</f>
        <v>520</v>
      </c>
      <c r="P2706">
        <f>ABS(H2706)</f>
        <v>1</v>
      </c>
      <c r="R2706"/>
    </row>
    <row r="2707" spans="1:18" x14ac:dyDescent="0.35">
      <c r="A2707" t="s">
        <v>4265</v>
      </c>
      <c r="B2707" s="2">
        <v>46184</v>
      </c>
      <c r="C2707" t="s">
        <v>3158</v>
      </c>
      <c r="D2707" s="3" t="s">
        <v>61</v>
      </c>
      <c r="E2707" t="s">
        <v>34</v>
      </c>
      <c r="F2707" t="s">
        <v>83</v>
      </c>
      <c r="G2707" t="s">
        <v>84</v>
      </c>
      <c r="H2707" s="8">
        <v>1</v>
      </c>
      <c r="I2707" s="10">
        <v>21.6</v>
      </c>
      <c r="J2707" s="14">
        <f>P2707*I2707</f>
        <v>21.6</v>
      </c>
      <c r="K2707" s="16">
        <v>0.34</v>
      </c>
      <c r="L2707" s="1" t="s">
        <v>30</v>
      </c>
      <c r="M2707" t="s">
        <v>22</v>
      </c>
      <c r="N2707" t="str">
        <f t="shared" si="69"/>
        <v>Ireland</v>
      </c>
      <c r="O2707" s="8">
        <f>IF(K2707&gt;=1,K2707,K2707*1000)</f>
        <v>340</v>
      </c>
      <c r="P2707">
        <f>ABS(H2707)</f>
        <v>1</v>
      </c>
      <c r="R2707"/>
    </row>
    <row r="2708" spans="1:18" x14ac:dyDescent="0.35">
      <c r="A2708" t="s">
        <v>4266</v>
      </c>
      <c r="B2708" s="2">
        <v>46198</v>
      </c>
      <c r="C2708" t="s">
        <v>873</v>
      </c>
      <c r="D2708" s="3" t="s">
        <v>61</v>
      </c>
      <c r="E2708" t="s">
        <v>16</v>
      </c>
      <c r="F2708" t="s">
        <v>35</v>
      </c>
      <c r="G2708" t="s">
        <v>36</v>
      </c>
      <c r="H2708" s="8">
        <v>1</v>
      </c>
      <c r="I2708" s="10">
        <v>80.099999999999994</v>
      </c>
      <c r="J2708" s="14">
        <f>P2708*I2708</f>
        <v>80.099999999999994</v>
      </c>
      <c r="K2708" s="16">
        <v>8.5000000000000006E-2</v>
      </c>
      <c r="L2708" s="1" t="s">
        <v>30</v>
      </c>
      <c r="M2708" t="s">
        <v>22</v>
      </c>
      <c r="N2708" t="str">
        <f t="shared" si="69"/>
        <v>Ireland</v>
      </c>
      <c r="O2708" s="8">
        <f>IF(K2708&gt;=1,K2708,K2708*1000)</f>
        <v>85</v>
      </c>
      <c r="P2708">
        <f>ABS(H2708)</f>
        <v>1</v>
      </c>
      <c r="R2708"/>
    </row>
    <row r="2709" spans="1:18" x14ac:dyDescent="0.35">
      <c r="A2709" t="s">
        <v>4267</v>
      </c>
      <c r="B2709" s="2">
        <v>46184</v>
      </c>
      <c r="C2709" t="s">
        <v>4268</v>
      </c>
      <c r="D2709" s="3" t="s">
        <v>99</v>
      </c>
      <c r="E2709" t="s">
        <v>67</v>
      </c>
      <c r="F2709" t="s">
        <v>74</v>
      </c>
      <c r="G2709" t="s">
        <v>75</v>
      </c>
      <c r="H2709" s="8">
        <v>1</v>
      </c>
      <c r="I2709" s="10">
        <v>129</v>
      </c>
      <c r="J2709" s="14">
        <f>P2709*I2709</f>
        <v>129</v>
      </c>
      <c r="K2709" s="16">
        <v>0.41</v>
      </c>
      <c r="L2709" s="1" t="s">
        <v>30</v>
      </c>
      <c r="M2709" t="s">
        <v>22</v>
      </c>
      <c r="N2709" t="str">
        <f t="shared" si="69"/>
        <v>United Kingdom</v>
      </c>
      <c r="O2709" s="8">
        <f>IF(K2709&gt;=1,K2709,K2709*1000)</f>
        <v>410</v>
      </c>
      <c r="P2709">
        <f>ABS(H2709)</f>
        <v>1</v>
      </c>
      <c r="R2709"/>
    </row>
    <row r="2710" spans="1:18" x14ac:dyDescent="0.35">
      <c r="A2710" t="s">
        <v>4269</v>
      </c>
      <c r="B2710" s="2">
        <v>46187</v>
      </c>
      <c r="C2710" t="s">
        <v>1888</v>
      </c>
      <c r="D2710" s="3" t="s">
        <v>66</v>
      </c>
      <c r="E2710" t="s">
        <v>67</v>
      </c>
      <c r="F2710" t="s">
        <v>42</v>
      </c>
      <c r="G2710" t="s">
        <v>43</v>
      </c>
      <c r="H2710" s="8">
        <v>1</v>
      </c>
      <c r="I2710" s="10">
        <v>129</v>
      </c>
      <c r="J2710" s="14">
        <f>P2710*I2710</f>
        <v>129</v>
      </c>
      <c r="K2710" s="16">
        <v>0.19</v>
      </c>
      <c r="L2710" s="1" t="s">
        <v>21</v>
      </c>
      <c r="M2710" t="s">
        <v>22</v>
      </c>
      <c r="N2710" t="str">
        <f t="shared" si="69"/>
        <v>Gb</v>
      </c>
      <c r="O2710" s="8">
        <f>IF(K2710&gt;=1,K2710,K2710*1000)</f>
        <v>190</v>
      </c>
      <c r="P2710">
        <f>ABS(H2710)</f>
        <v>1</v>
      </c>
      <c r="R2710"/>
    </row>
    <row r="2711" spans="1:18" x14ac:dyDescent="0.35">
      <c r="A2711" t="s">
        <v>4270</v>
      </c>
      <c r="B2711" s="2">
        <v>46085</v>
      </c>
      <c r="C2711" t="s">
        <v>4271</v>
      </c>
      <c r="D2711" s="3" t="s">
        <v>53</v>
      </c>
      <c r="E2711" t="s">
        <v>25</v>
      </c>
      <c r="F2711" t="s">
        <v>47</v>
      </c>
      <c r="G2711" t="s">
        <v>48</v>
      </c>
      <c r="H2711" s="8">
        <v>1</v>
      </c>
      <c r="I2711" s="10">
        <v>89</v>
      </c>
      <c r="J2711" s="14">
        <f>P2711*I2711</f>
        <v>89</v>
      </c>
      <c r="K2711" s="16">
        <v>380</v>
      </c>
      <c r="L2711" s="1" t="s">
        <v>30</v>
      </c>
      <c r="M2711" t="s">
        <v>58</v>
      </c>
      <c r="N2711" t="str">
        <f t="shared" si="69"/>
        <v>Gb</v>
      </c>
      <c r="O2711" s="8">
        <f>IF(K2711&gt;=1,K2711,K2711*1000)</f>
        <v>380</v>
      </c>
      <c r="P2711">
        <f>ABS(H2711)</f>
        <v>1</v>
      </c>
      <c r="R2711"/>
    </row>
    <row r="2712" spans="1:18" x14ac:dyDescent="0.35">
      <c r="A2712" t="s">
        <v>4272</v>
      </c>
      <c r="B2712" s="2">
        <v>46115</v>
      </c>
      <c r="C2712" t="s">
        <v>1066</v>
      </c>
      <c r="D2712" s="3" t="s">
        <v>66</v>
      </c>
      <c r="E2712" t="s">
        <v>41</v>
      </c>
      <c r="F2712" t="s">
        <v>42</v>
      </c>
      <c r="G2712" t="s">
        <v>43</v>
      </c>
      <c r="H2712" s="8">
        <v>1</v>
      </c>
      <c r="I2712" s="10">
        <v>89</v>
      </c>
      <c r="J2712" s="14">
        <f>P2712*I2712</f>
        <v>89</v>
      </c>
      <c r="K2712" s="16">
        <v>190</v>
      </c>
      <c r="L2712" s="1" t="s">
        <v>30</v>
      </c>
      <c r="M2712" t="s">
        <v>22</v>
      </c>
      <c r="N2712" t="str">
        <f t="shared" si="69"/>
        <v>Gb</v>
      </c>
      <c r="O2712" s="8">
        <f>IF(K2712&gt;=1,K2712,K2712*1000)</f>
        <v>190</v>
      </c>
      <c r="P2712">
        <f>ABS(H2712)</f>
        <v>1</v>
      </c>
      <c r="R2712"/>
    </row>
    <row r="2713" spans="1:18" x14ac:dyDescent="0.35">
      <c r="A2713" t="s">
        <v>4273</v>
      </c>
      <c r="B2713" s="2">
        <v>46141</v>
      </c>
      <c r="C2713" t="s">
        <v>2174</v>
      </c>
      <c r="D2713" s="3" t="s">
        <v>4612</v>
      </c>
      <c r="E2713" t="s">
        <v>16</v>
      </c>
      <c r="F2713" t="s">
        <v>89</v>
      </c>
      <c r="G2713" t="s">
        <v>90</v>
      </c>
      <c r="H2713" s="8">
        <v>-1</v>
      </c>
      <c r="I2713" s="10">
        <v>45</v>
      </c>
      <c r="J2713" s="14">
        <f>P2713*I2713</f>
        <v>45</v>
      </c>
      <c r="K2713" s="16">
        <v>0.64</v>
      </c>
      <c r="L2713" s="1" t="s">
        <v>21</v>
      </c>
      <c r="M2713" t="s">
        <v>22</v>
      </c>
      <c r="N2713" t="str">
        <f t="shared" si="69"/>
        <v>United Kingdom</v>
      </c>
      <c r="O2713" s="8">
        <f>IF(K2713&gt;=1,K2713,K2713*1000)</f>
        <v>640</v>
      </c>
      <c r="P2713">
        <f>ABS(H2713)</f>
        <v>1</v>
      </c>
      <c r="R2713"/>
    </row>
    <row r="2714" spans="1:18" x14ac:dyDescent="0.35">
      <c r="A2714" t="s">
        <v>4274</v>
      </c>
      <c r="B2714" s="2">
        <v>46208</v>
      </c>
      <c r="C2714" t="s">
        <v>4275</v>
      </c>
      <c r="D2714" s="3" t="s">
        <v>4612</v>
      </c>
      <c r="E2714" t="s">
        <v>67</v>
      </c>
      <c r="F2714" t="s">
        <v>17</v>
      </c>
      <c r="G2714" t="s">
        <v>18</v>
      </c>
      <c r="H2714" s="8">
        <v>2</v>
      </c>
      <c r="I2714" s="10">
        <v>79</v>
      </c>
      <c r="J2714" s="14">
        <f>P2714*I2714</f>
        <v>158</v>
      </c>
      <c r="K2714" s="16">
        <v>0.52</v>
      </c>
      <c r="L2714" s="1" t="s">
        <v>30</v>
      </c>
      <c r="M2714" t="s">
        <v>22</v>
      </c>
      <c r="N2714" t="str">
        <f t="shared" si="69"/>
        <v>United Kingdom</v>
      </c>
      <c r="O2714" s="8">
        <f>IF(K2714&gt;=1,K2714,K2714*1000)</f>
        <v>520</v>
      </c>
      <c r="P2714">
        <f>ABS(H2714)</f>
        <v>2</v>
      </c>
      <c r="R2714"/>
    </row>
    <row r="2715" spans="1:18" x14ac:dyDescent="0.35">
      <c r="A2715" t="s">
        <v>4276</v>
      </c>
      <c r="B2715" s="2">
        <v>46167</v>
      </c>
      <c r="C2715" t="s">
        <v>901</v>
      </c>
      <c r="D2715" s="3" t="s">
        <v>116</v>
      </c>
      <c r="E2715" t="s">
        <v>41</v>
      </c>
      <c r="F2715" t="s">
        <v>47</v>
      </c>
      <c r="G2715" t="s">
        <v>48</v>
      </c>
      <c r="H2715" s="8">
        <v>1</v>
      </c>
      <c r="I2715" s="12" t="s">
        <v>4617</v>
      </c>
      <c r="J2715" s="14">
        <f>P2715*R2715</f>
        <v>45</v>
      </c>
      <c r="K2715" s="16">
        <v>0.38</v>
      </c>
      <c r="L2715" s="1" t="s">
        <v>30</v>
      </c>
      <c r="M2715" t="s">
        <v>22</v>
      </c>
      <c r="N2715" t="str">
        <f t="shared" si="69"/>
        <v>Germany</v>
      </c>
      <c r="O2715" s="8">
        <f>IF(K2715&gt;=1,K2715,K2715*1000)</f>
        <v>380</v>
      </c>
      <c r="P2715">
        <f>ABS(H2715)</f>
        <v>1</v>
      </c>
      <c r="Q2715" t="str">
        <f>LEFT(I2715,3)</f>
        <v>GBP</v>
      </c>
      <c r="R2715" s="10" t="str">
        <f>RIGHT(I2715,5)</f>
        <v>45,00</v>
      </c>
    </row>
    <row r="2716" spans="1:18" x14ac:dyDescent="0.35">
      <c r="A2716" t="s">
        <v>4277</v>
      </c>
      <c r="B2716" s="2">
        <v>46052</v>
      </c>
      <c r="C2716" t="s">
        <v>4278</v>
      </c>
      <c r="D2716" s="3" t="s">
        <v>99</v>
      </c>
      <c r="E2716" t="s">
        <v>67</v>
      </c>
      <c r="F2716" t="s">
        <v>35</v>
      </c>
      <c r="G2716" t="s">
        <v>36</v>
      </c>
      <c r="H2716" s="8">
        <v>1</v>
      </c>
      <c r="I2716" s="10">
        <v>134.1</v>
      </c>
      <c r="J2716" s="14">
        <f>P2716*I2716</f>
        <v>134.1</v>
      </c>
      <c r="K2716" s="16">
        <v>85</v>
      </c>
      <c r="L2716" s="1" t="s">
        <v>30</v>
      </c>
      <c r="M2716" t="s">
        <v>22</v>
      </c>
      <c r="N2716" t="str">
        <f t="shared" si="69"/>
        <v>United Kingdom</v>
      </c>
      <c r="O2716" s="8">
        <f>IF(K2716&gt;=1,K2716,K2716*1000)</f>
        <v>85</v>
      </c>
      <c r="P2716">
        <f>ABS(H2716)</f>
        <v>1</v>
      </c>
      <c r="R2716"/>
    </row>
    <row r="2717" spans="1:18" x14ac:dyDescent="0.35">
      <c r="A2717" t="s">
        <v>4279</v>
      </c>
      <c r="B2717" s="2">
        <v>46155</v>
      </c>
      <c r="C2717" t="s">
        <v>3781</v>
      </c>
      <c r="D2717" s="3" t="s">
        <v>61</v>
      </c>
      <c r="E2717" t="s">
        <v>67</v>
      </c>
      <c r="F2717" t="s">
        <v>89</v>
      </c>
      <c r="G2717" t="s">
        <v>90</v>
      </c>
      <c r="H2717" s="8">
        <v>1</v>
      </c>
      <c r="I2717" s="10">
        <v>80.099999999999994</v>
      </c>
      <c r="J2717" s="14">
        <f>P2717*I2717</f>
        <v>80.099999999999994</v>
      </c>
      <c r="K2717" s="16">
        <v>0.64</v>
      </c>
      <c r="L2717" s="1" t="s">
        <v>30</v>
      </c>
      <c r="M2717" t="s">
        <v>58</v>
      </c>
      <c r="N2717" t="str">
        <f t="shared" si="69"/>
        <v>Ireland</v>
      </c>
      <c r="O2717" s="8">
        <f>IF(K2717&gt;=1,K2717,K2717*1000)</f>
        <v>640</v>
      </c>
      <c r="P2717">
        <f>ABS(H2717)</f>
        <v>1</v>
      </c>
      <c r="R2717"/>
    </row>
    <row r="2718" spans="1:18" x14ac:dyDescent="0.35">
      <c r="A2718" t="s">
        <v>4280</v>
      </c>
      <c r="B2718" s="2">
        <v>46040</v>
      </c>
      <c r="C2718" t="s">
        <v>4157</v>
      </c>
      <c r="D2718" s="3" t="s">
        <v>4612</v>
      </c>
      <c r="E2718" t="s">
        <v>25</v>
      </c>
      <c r="F2718" t="s">
        <v>74</v>
      </c>
      <c r="G2718" t="s">
        <v>75</v>
      </c>
      <c r="H2718" s="8">
        <v>2</v>
      </c>
      <c r="I2718" s="10">
        <v>89</v>
      </c>
      <c r="J2718" s="14">
        <f>P2718*I2718</f>
        <v>178</v>
      </c>
      <c r="K2718" s="16">
        <v>410</v>
      </c>
      <c r="L2718" s="1" t="s">
        <v>30</v>
      </c>
      <c r="M2718" t="s">
        <v>58</v>
      </c>
      <c r="N2718" t="str">
        <f t="shared" si="69"/>
        <v>United Kingdom</v>
      </c>
      <c r="O2718" s="8">
        <f>IF(K2718&gt;=1,K2718,K2718*1000)</f>
        <v>410</v>
      </c>
      <c r="P2718">
        <f>ABS(H2718)</f>
        <v>2</v>
      </c>
      <c r="R2718"/>
    </row>
    <row r="2719" spans="1:18" x14ac:dyDescent="0.35">
      <c r="A2719" t="s">
        <v>4281</v>
      </c>
      <c r="B2719" s="2" t="s">
        <v>259</v>
      </c>
      <c r="C2719" t="s">
        <v>1048</v>
      </c>
      <c r="D2719" s="3" t="s">
        <v>4612</v>
      </c>
      <c r="E2719" t="s">
        <v>16</v>
      </c>
      <c r="F2719" t="s">
        <v>26</v>
      </c>
      <c r="G2719" t="s">
        <v>27</v>
      </c>
      <c r="H2719" s="8">
        <v>-1</v>
      </c>
      <c r="I2719" s="10">
        <v>89</v>
      </c>
      <c r="J2719" s="14">
        <f>P2719*I2719</f>
        <v>89</v>
      </c>
      <c r="K2719" s="16">
        <v>0.52</v>
      </c>
      <c r="L2719" s="1" t="s">
        <v>30</v>
      </c>
      <c r="M2719" t="s">
        <v>22</v>
      </c>
      <c r="N2719" t="str">
        <f t="shared" si="69"/>
        <v>United Kingdom</v>
      </c>
      <c r="O2719" s="8">
        <f>IF(K2719&gt;=1,K2719,K2719*1000)</f>
        <v>520</v>
      </c>
      <c r="P2719">
        <f>ABS(H2719)</f>
        <v>1</v>
      </c>
      <c r="R2719"/>
    </row>
    <row r="2720" spans="1:18" x14ac:dyDescent="0.35">
      <c r="A2720" t="s">
        <v>4282</v>
      </c>
      <c r="B2720" s="2">
        <v>46044</v>
      </c>
      <c r="C2720" t="s">
        <v>4283</v>
      </c>
      <c r="D2720" s="3" t="s">
        <v>15</v>
      </c>
      <c r="E2720" t="s">
        <v>34</v>
      </c>
      <c r="F2720" t="s">
        <v>47</v>
      </c>
      <c r="G2720" t="s">
        <v>48</v>
      </c>
      <c r="H2720" s="8">
        <v>2</v>
      </c>
      <c r="I2720" s="10">
        <v>129</v>
      </c>
      <c r="J2720" s="14">
        <f>P2720*I2720</f>
        <v>258</v>
      </c>
      <c r="K2720" s="16">
        <v>380</v>
      </c>
      <c r="L2720" s="1" t="s">
        <v>30</v>
      </c>
      <c r="M2720" t="s">
        <v>58</v>
      </c>
      <c r="N2720" t="str">
        <f t="shared" si="69"/>
        <v>France</v>
      </c>
      <c r="O2720" s="8">
        <f>IF(K2720&gt;=1,K2720,K2720*1000)</f>
        <v>380</v>
      </c>
      <c r="P2720">
        <f>ABS(H2720)</f>
        <v>2</v>
      </c>
      <c r="R2720"/>
    </row>
    <row r="2721" spans="1:18" x14ac:dyDescent="0.35">
      <c r="A2721" t="s">
        <v>4284</v>
      </c>
      <c r="B2721" s="2" t="s">
        <v>4285</v>
      </c>
      <c r="C2721" t="s">
        <v>4286</v>
      </c>
      <c r="D2721" s="3" t="s">
        <v>99</v>
      </c>
      <c r="E2721" t="s">
        <v>67</v>
      </c>
      <c r="F2721" t="s">
        <v>26</v>
      </c>
      <c r="G2721" t="s">
        <v>27</v>
      </c>
      <c r="H2721" s="8">
        <v>1</v>
      </c>
      <c r="I2721" s="10">
        <v>45</v>
      </c>
      <c r="J2721" s="14">
        <f>P2721*I2721</f>
        <v>45</v>
      </c>
      <c r="K2721" s="16">
        <v>520</v>
      </c>
      <c r="L2721" s="1" t="s">
        <v>30</v>
      </c>
      <c r="M2721" t="s">
        <v>58</v>
      </c>
      <c r="N2721" t="str">
        <f t="shared" si="69"/>
        <v>United Kingdom</v>
      </c>
      <c r="O2721" s="8">
        <f>IF(K2721&gt;=1,K2721,K2721*1000)</f>
        <v>520</v>
      </c>
      <c r="P2721">
        <f>ABS(H2721)</f>
        <v>1</v>
      </c>
      <c r="R2721"/>
    </row>
    <row r="2722" spans="1:18" x14ac:dyDescent="0.35">
      <c r="A2722" t="s">
        <v>4287</v>
      </c>
      <c r="B2722" s="2">
        <v>46129</v>
      </c>
      <c r="C2722" t="s">
        <v>1885</v>
      </c>
      <c r="D2722" s="3" t="s">
        <v>99</v>
      </c>
      <c r="E2722" t="s">
        <v>41</v>
      </c>
      <c r="F2722" t="s">
        <v>74</v>
      </c>
      <c r="G2722" t="s">
        <v>75</v>
      </c>
      <c r="H2722" s="8">
        <v>1</v>
      </c>
      <c r="I2722" s="10">
        <v>24</v>
      </c>
      <c r="J2722" s="14">
        <f>P2722*I2722</f>
        <v>24</v>
      </c>
      <c r="K2722" s="16">
        <v>410</v>
      </c>
      <c r="L2722" s="1" t="s">
        <v>21</v>
      </c>
      <c r="M2722" t="s">
        <v>22</v>
      </c>
      <c r="N2722" t="str">
        <f t="shared" si="69"/>
        <v>United Kingdom</v>
      </c>
      <c r="O2722" s="8">
        <f>IF(K2722&gt;=1,K2722,K2722*1000)</f>
        <v>410</v>
      </c>
      <c r="P2722">
        <f>ABS(H2722)</f>
        <v>1</v>
      </c>
      <c r="R2722"/>
    </row>
    <row r="2723" spans="1:18" x14ac:dyDescent="0.35">
      <c r="A2723" t="s">
        <v>4288</v>
      </c>
      <c r="B2723" s="2">
        <v>46054</v>
      </c>
      <c r="C2723" t="s">
        <v>2414</v>
      </c>
      <c r="D2723" s="3" t="s">
        <v>66</v>
      </c>
      <c r="E2723" t="s">
        <v>34</v>
      </c>
      <c r="F2723" t="s">
        <v>42</v>
      </c>
      <c r="G2723" t="s">
        <v>43</v>
      </c>
      <c r="H2723" s="8">
        <v>2</v>
      </c>
      <c r="I2723" s="10">
        <v>71.099999999999994</v>
      </c>
      <c r="J2723" s="14">
        <f>P2723*I2723</f>
        <v>142.19999999999999</v>
      </c>
      <c r="K2723" s="16">
        <v>190</v>
      </c>
      <c r="L2723" s="1" t="s">
        <v>30</v>
      </c>
      <c r="M2723" t="s">
        <v>22</v>
      </c>
      <c r="N2723" t="str">
        <f t="shared" si="69"/>
        <v>Gb</v>
      </c>
      <c r="O2723" s="8">
        <f>IF(K2723&gt;=1,K2723,K2723*1000)</f>
        <v>190</v>
      </c>
      <c r="P2723">
        <f>ABS(H2723)</f>
        <v>2</v>
      </c>
      <c r="R2723"/>
    </row>
    <row r="2724" spans="1:18" x14ac:dyDescent="0.35">
      <c r="A2724" t="s">
        <v>4289</v>
      </c>
      <c r="B2724" s="2">
        <v>46117</v>
      </c>
      <c r="C2724" t="s">
        <v>4031</v>
      </c>
      <c r="D2724" s="3" t="s">
        <v>116</v>
      </c>
      <c r="E2724" t="s">
        <v>41</v>
      </c>
      <c r="F2724" t="s">
        <v>74</v>
      </c>
      <c r="G2724" t="s">
        <v>75</v>
      </c>
      <c r="H2724" s="8">
        <v>1</v>
      </c>
      <c r="I2724" s="10">
        <v>71.099999999999994</v>
      </c>
      <c r="J2724" s="14">
        <f>P2724*I2724</f>
        <v>71.099999999999994</v>
      </c>
      <c r="K2724" s="16">
        <v>0.41</v>
      </c>
      <c r="L2724" s="1" t="s">
        <v>30</v>
      </c>
      <c r="M2724" t="s">
        <v>22</v>
      </c>
      <c r="N2724" t="str">
        <f t="shared" si="69"/>
        <v>Germany</v>
      </c>
      <c r="O2724" s="8">
        <f>IF(K2724&gt;=1,K2724,K2724*1000)</f>
        <v>410</v>
      </c>
      <c r="P2724">
        <f>ABS(H2724)</f>
        <v>1</v>
      </c>
      <c r="R2724"/>
    </row>
    <row r="2725" spans="1:18" x14ac:dyDescent="0.35">
      <c r="A2725" t="s">
        <v>4290</v>
      </c>
      <c r="B2725" s="2">
        <v>46089</v>
      </c>
      <c r="C2725" t="s">
        <v>189</v>
      </c>
      <c r="D2725" s="3" t="s">
        <v>66</v>
      </c>
      <c r="E2725" t="s">
        <v>67</v>
      </c>
      <c r="F2725" t="s">
        <v>26</v>
      </c>
      <c r="G2725" t="s">
        <v>27</v>
      </c>
      <c r="H2725" s="8">
        <v>3</v>
      </c>
      <c r="I2725" s="10">
        <v>116.1</v>
      </c>
      <c r="J2725" s="14">
        <f>P2725*I2725</f>
        <v>348.29999999999995</v>
      </c>
      <c r="K2725" s="16">
        <v>520</v>
      </c>
      <c r="L2725" s="1" t="s">
        <v>21</v>
      </c>
      <c r="M2725" t="s">
        <v>58</v>
      </c>
      <c r="N2725" t="str">
        <f t="shared" si="69"/>
        <v>Gb</v>
      </c>
      <c r="O2725" s="8">
        <f>IF(K2725&gt;=1,K2725,K2725*1000)</f>
        <v>520</v>
      </c>
      <c r="P2725">
        <f>ABS(H2725)</f>
        <v>3</v>
      </c>
      <c r="R2725"/>
    </row>
    <row r="2726" spans="1:18" x14ac:dyDescent="0.35">
      <c r="A2726" t="s">
        <v>4291</v>
      </c>
      <c r="B2726" s="2">
        <v>46143</v>
      </c>
      <c r="C2726" t="s">
        <v>4292</v>
      </c>
      <c r="D2726" s="3" t="s">
        <v>116</v>
      </c>
      <c r="E2726" t="s">
        <v>41</v>
      </c>
      <c r="F2726" t="s">
        <v>26</v>
      </c>
      <c r="G2726" t="s">
        <v>27</v>
      </c>
      <c r="H2726" s="8">
        <v>1</v>
      </c>
      <c r="I2726" s="10">
        <v>11.25</v>
      </c>
      <c r="J2726" s="14">
        <f>P2726*I2726</f>
        <v>11.25</v>
      </c>
      <c r="K2726" s="16">
        <v>0.52</v>
      </c>
      <c r="L2726" s="1" t="s">
        <v>30</v>
      </c>
      <c r="M2726" t="s">
        <v>22</v>
      </c>
      <c r="N2726" t="str">
        <f t="shared" si="69"/>
        <v>Germany</v>
      </c>
      <c r="O2726" s="8">
        <f>IF(K2726&gt;=1,K2726,K2726*1000)</f>
        <v>520</v>
      </c>
      <c r="P2726">
        <f>ABS(H2726)</f>
        <v>1</v>
      </c>
      <c r="R2726"/>
    </row>
    <row r="2727" spans="1:18" x14ac:dyDescent="0.35">
      <c r="A2727" t="s">
        <v>4293</v>
      </c>
      <c r="B2727" s="2" t="s">
        <v>4294</v>
      </c>
      <c r="C2727" t="s">
        <v>135</v>
      </c>
      <c r="D2727" s="3" t="s">
        <v>66</v>
      </c>
      <c r="E2727" t="s">
        <v>67</v>
      </c>
      <c r="F2727" t="s">
        <v>89</v>
      </c>
      <c r="G2727" t="s">
        <v>90</v>
      </c>
      <c r="H2727" s="8">
        <v>2</v>
      </c>
      <c r="I2727" s="10">
        <v>95</v>
      </c>
      <c r="J2727" s="14">
        <f>P2727*I2727</f>
        <v>190</v>
      </c>
      <c r="K2727" s="16">
        <v>0.64</v>
      </c>
      <c r="L2727" s="1" t="s">
        <v>21</v>
      </c>
      <c r="M2727" t="s">
        <v>58</v>
      </c>
      <c r="N2727" t="str">
        <f t="shared" si="69"/>
        <v>Gb</v>
      </c>
      <c r="O2727" s="8">
        <f>IF(K2727&gt;=1,K2727,K2727*1000)</f>
        <v>640</v>
      </c>
      <c r="P2727">
        <f>ABS(H2727)</f>
        <v>2</v>
      </c>
      <c r="R2727"/>
    </row>
    <row r="2728" spans="1:18" x14ac:dyDescent="0.35">
      <c r="A2728" t="s">
        <v>4295</v>
      </c>
      <c r="B2728" s="2">
        <v>46167</v>
      </c>
      <c r="C2728" t="s">
        <v>1454</v>
      </c>
      <c r="D2728" s="3" t="s">
        <v>53</v>
      </c>
      <c r="E2728" t="s">
        <v>34</v>
      </c>
      <c r="F2728" t="s">
        <v>74</v>
      </c>
      <c r="G2728" t="s">
        <v>75</v>
      </c>
      <c r="H2728" s="8">
        <v>1</v>
      </c>
      <c r="I2728" s="10">
        <v>95</v>
      </c>
      <c r="J2728" s="14">
        <f>P2728*I2728</f>
        <v>95</v>
      </c>
      <c r="K2728" s="16">
        <v>0.41</v>
      </c>
      <c r="L2728" s="1" t="s">
        <v>30</v>
      </c>
      <c r="M2728" t="s">
        <v>58</v>
      </c>
      <c r="N2728" t="str">
        <f t="shared" si="69"/>
        <v>Gb</v>
      </c>
      <c r="O2728" s="8">
        <f>IF(K2728&gt;=1,K2728,K2728*1000)</f>
        <v>410</v>
      </c>
      <c r="P2728">
        <f>ABS(H2728)</f>
        <v>1</v>
      </c>
      <c r="R2728"/>
    </row>
    <row r="2729" spans="1:18" x14ac:dyDescent="0.35">
      <c r="A2729" t="s">
        <v>4296</v>
      </c>
      <c r="B2729" s="2">
        <v>46034</v>
      </c>
      <c r="C2729" t="s">
        <v>115</v>
      </c>
      <c r="D2729" s="3" t="s">
        <v>66</v>
      </c>
      <c r="E2729" t="s">
        <v>25</v>
      </c>
      <c r="F2729" t="s">
        <v>17</v>
      </c>
      <c r="G2729" t="s">
        <v>18</v>
      </c>
      <c r="H2729" s="8">
        <v>1</v>
      </c>
      <c r="I2729" s="10">
        <v>129</v>
      </c>
      <c r="J2729" s="14">
        <f>P2729*I2729</f>
        <v>129</v>
      </c>
      <c r="K2729" s="16">
        <v>520</v>
      </c>
      <c r="L2729" s="1" t="s">
        <v>30</v>
      </c>
      <c r="M2729" t="s">
        <v>22</v>
      </c>
      <c r="N2729" t="str">
        <f t="shared" si="69"/>
        <v>Gb</v>
      </c>
      <c r="O2729" s="8">
        <f>IF(K2729&gt;=1,K2729,K2729*1000)</f>
        <v>520</v>
      </c>
      <c r="P2729">
        <f>ABS(H2729)</f>
        <v>1</v>
      </c>
      <c r="R2729"/>
    </row>
    <row r="2730" spans="1:18" x14ac:dyDescent="0.35">
      <c r="A2730" t="s">
        <v>4297</v>
      </c>
      <c r="B2730" s="2">
        <v>46049</v>
      </c>
      <c r="C2730" t="s">
        <v>1332</v>
      </c>
      <c r="D2730" s="3" t="s">
        <v>4613</v>
      </c>
      <c r="E2730" t="s">
        <v>25</v>
      </c>
      <c r="F2730" t="s">
        <v>83</v>
      </c>
      <c r="G2730" t="s">
        <v>84</v>
      </c>
      <c r="H2730" s="8">
        <v>2</v>
      </c>
      <c r="I2730" s="10">
        <v>129</v>
      </c>
      <c r="J2730" s="14">
        <f>P2730*I2730</f>
        <v>258</v>
      </c>
      <c r="K2730" s="16">
        <v>340</v>
      </c>
      <c r="L2730" s="1" t="s">
        <v>21</v>
      </c>
      <c r="M2730" t="s">
        <v>22</v>
      </c>
      <c r="N2730" t="str">
        <f t="shared" si="69"/>
        <v>United Kingdom</v>
      </c>
      <c r="O2730" s="8">
        <f>IF(K2730&gt;=1,K2730,K2730*1000)</f>
        <v>340</v>
      </c>
      <c r="P2730">
        <f>ABS(H2730)</f>
        <v>2</v>
      </c>
      <c r="R2730"/>
    </row>
    <row r="2731" spans="1:18" x14ac:dyDescent="0.35">
      <c r="A2731" t="s">
        <v>4298</v>
      </c>
      <c r="B2731" s="2">
        <v>46268</v>
      </c>
      <c r="C2731" t="s">
        <v>2977</v>
      </c>
      <c r="D2731" s="3" t="s">
        <v>15</v>
      </c>
      <c r="E2731" t="s">
        <v>16</v>
      </c>
      <c r="F2731" t="s">
        <v>35</v>
      </c>
      <c r="G2731" t="s">
        <v>36</v>
      </c>
      <c r="H2731" s="8">
        <v>3</v>
      </c>
      <c r="I2731" s="10">
        <v>71.099999999999994</v>
      </c>
      <c r="J2731" s="14">
        <f>P2731*I2731</f>
        <v>213.29999999999998</v>
      </c>
      <c r="K2731" s="16">
        <v>85</v>
      </c>
      <c r="L2731" s="1" t="s">
        <v>30</v>
      </c>
      <c r="M2731" t="s">
        <v>22</v>
      </c>
      <c r="N2731" t="str">
        <f t="shared" si="69"/>
        <v>France</v>
      </c>
      <c r="O2731" s="8">
        <f>IF(K2731&gt;=1,K2731,K2731*1000)</f>
        <v>85</v>
      </c>
      <c r="P2731">
        <f>ABS(H2731)</f>
        <v>3</v>
      </c>
      <c r="R2731"/>
    </row>
    <row r="2732" spans="1:18" x14ac:dyDescent="0.35">
      <c r="A2732" t="s">
        <v>4299</v>
      </c>
      <c r="B2732" s="2" t="s">
        <v>1807</v>
      </c>
      <c r="C2732" t="s">
        <v>1538</v>
      </c>
      <c r="D2732" s="3" t="s">
        <v>4613</v>
      </c>
      <c r="E2732" t="s">
        <v>34</v>
      </c>
      <c r="F2732" t="s">
        <v>42</v>
      </c>
      <c r="G2732" t="s">
        <v>43</v>
      </c>
      <c r="H2732" s="8">
        <v>3</v>
      </c>
      <c r="I2732" s="12" t="s">
        <v>4624</v>
      </c>
      <c r="J2732" s="14">
        <f>P2732*R2732</f>
        <v>72</v>
      </c>
      <c r="K2732" s="16">
        <v>0.19</v>
      </c>
      <c r="L2732" s="1" t="s">
        <v>30</v>
      </c>
      <c r="M2732" t="s">
        <v>58</v>
      </c>
      <c r="N2732" t="str">
        <f t="shared" si="69"/>
        <v>United Kingdom</v>
      </c>
      <c r="O2732" s="8">
        <f>IF(K2732&gt;=1,K2732,K2732*1000)</f>
        <v>190</v>
      </c>
      <c r="P2732">
        <f>ABS(H2732)</f>
        <v>3</v>
      </c>
      <c r="Q2732" t="str">
        <f>LEFT(I2732,2)</f>
        <v>Â£</v>
      </c>
      <c r="R2732" t="str">
        <f>RIGHT(I2732,5)</f>
        <v>24,00</v>
      </c>
    </row>
    <row r="2733" spans="1:18" x14ac:dyDescent="0.35">
      <c r="A2733" t="s">
        <v>4300</v>
      </c>
      <c r="B2733" s="2">
        <v>46027</v>
      </c>
      <c r="C2733" t="s">
        <v>1651</v>
      </c>
      <c r="D2733" s="3" t="s">
        <v>99</v>
      </c>
      <c r="E2733" t="s">
        <v>41</v>
      </c>
      <c r="F2733" t="s">
        <v>42</v>
      </c>
      <c r="G2733" t="s">
        <v>43</v>
      </c>
      <c r="H2733" s="8">
        <v>1</v>
      </c>
      <c r="I2733" s="10">
        <v>79</v>
      </c>
      <c r="J2733" s="14">
        <f>P2733*I2733</f>
        <v>79</v>
      </c>
      <c r="K2733" s="16">
        <v>0.19</v>
      </c>
      <c r="L2733" s="1" t="s">
        <v>30</v>
      </c>
      <c r="M2733" t="s">
        <v>22</v>
      </c>
      <c r="N2733" t="str">
        <f t="shared" si="69"/>
        <v>United Kingdom</v>
      </c>
      <c r="O2733" s="8">
        <f>IF(K2733&gt;=1,K2733,K2733*1000)</f>
        <v>190</v>
      </c>
      <c r="P2733">
        <f>ABS(H2733)</f>
        <v>1</v>
      </c>
      <c r="R2733"/>
    </row>
    <row r="2734" spans="1:18" x14ac:dyDescent="0.35">
      <c r="A2734" t="s">
        <v>4301</v>
      </c>
      <c r="B2734" s="2" t="s">
        <v>1548</v>
      </c>
      <c r="C2734" t="s">
        <v>4302</v>
      </c>
      <c r="D2734" s="3" t="s">
        <v>116</v>
      </c>
      <c r="E2734" t="s">
        <v>34</v>
      </c>
      <c r="F2734" t="s">
        <v>89</v>
      </c>
      <c r="G2734" t="s">
        <v>90</v>
      </c>
      <c r="H2734" s="8">
        <v>1</v>
      </c>
      <c r="I2734" s="10">
        <v>40.5</v>
      </c>
      <c r="J2734" s="14">
        <f>P2734*I2734</f>
        <v>40.5</v>
      </c>
      <c r="K2734" s="16">
        <v>640</v>
      </c>
      <c r="L2734" s="1" t="s">
        <v>30</v>
      </c>
      <c r="M2734" t="s">
        <v>58</v>
      </c>
      <c r="N2734" t="str">
        <f t="shared" si="69"/>
        <v>Germany</v>
      </c>
      <c r="O2734" s="8">
        <f>IF(K2734&gt;=1,K2734,K2734*1000)</f>
        <v>640</v>
      </c>
      <c r="P2734">
        <f>ABS(H2734)</f>
        <v>1</v>
      </c>
      <c r="R2734"/>
    </row>
    <row r="2735" spans="1:18" x14ac:dyDescent="0.35">
      <c r="A2735" t="s">
        <v>4303</v>
      </c>
      <c r="B2735" s="2">
        <v>46121</v>
      </c>
      <c r="C2735" t="s">
        <v>4304</v>
      </c>
      <c r="D2735" s="3" t="s">
        <v>116</v>
      </c>
      <c r="E2735" t="s">
        <v>67</v>
      </c>
      <c r="F2735" t="s">
        <v>17</v>
      </c>
      <c r="G2735" t="s">
        <v>18</v>
      </c>
      <c r="H2735" s="8">
        <v>2</v>
      </c>
      <c r="I2735" s="10">
        <v>134.1</v>
      </c>
      <c r="J2735" s="14">
        <f>P2735*I2735</f>
        <v>268.2</v>
      </c>
      <c r="K2735" s="16">
        <v>520</v>
      </c>
      <c r="L2735" s="1" t="s">
        <v>30</v>
      </c>
      <c r="M2735" t="s">
        <v>22</v>
      </c>
      <c r="N2735" t="str">
        <f t="shared" si="69"/>
        <v>Germany</v>
      </c>
      <c r="O2735" s="8">
        <f>IF(K2735&gt;=1,K2735,K2735*1000)</f>
        <v>520</v>
      </c>
      <c r="P2735">
        <f>ABS(H2735)</f>
        <v>2</v>
      </c>
      <c r="R2735"/>
    </row>
    <row r="2736" spans="1:18" x14ac:dyDescent="0.35">
      <c r="A2736" t="s">
        <v>4305</v>
      </c>
      <c r="B2736" s="2">
        <v>46094</v>
      </c>
      <c r="C2736" t="s">
        <v>1130</v>
      </c>
      <c r="D2736" s="3" t="s">
        <v>66</v>
      </c>
      <c r="E2736" t="s">
        <v>34</v>
      </c>
      <c r="F2736" t="s">
        <v>26</v>
      </c>
      <c r="G2736" t="s">
        <v>27</v>
      </c>
      <c r="H2736" s="8">
        <v>3</v>
      </c>
      <c r="I2736" s="10">
        <v>129</v>
      </c>
      <c r="J2736" s="14">
        <f>P2736*I2736</f>
        <v>387</v>
      </c>
      <c r="K2736" s="16">
        <v>520</v>
      </c>
      <c r="L2736" s="1" t="s">
        <v>30</v>
      </c>
      <c r="M2736" t="s">
        <v>22</v>
      </c>
      <c r="N2736" t="str">
        <f t="shared" si="69"/>
        <v>Gb</v>
      </c>
      <c r="O2736" s="8">
        <f>IF(K2736&gt;=1,K2736,K2736*1000)</f>
        <v>520</v>
      </c>
      <c r="P2736">
        <f>ABS(H2736)</f>
        <v>3</v>
      </c>
      <c r="R2736"/>
    </row>
    <row r="2737" spans="1:18" x14ac:dyDescent="0.35">
      <c r="A2737" t="s">
        <v>4306</v>
      </c>
      <c r="B2737" s="2">
        <v>46163</v>
      </c>
      <c r="C2737" t="s">
        <v>2341</v>
      </c>
      <c r="D2737" s="3" t="s">
        <v>46</v>
      </c>
      <c r="E2737" t="s">
        <v>41</v>
      </c>
      <c r="F2737" t="s">
        <v>89</v>
      </c>
      <c r="G2737" t="s">
        <v>90</v>
      </c>
      <c r="H2737" s="8">
        <v>1</v>
      </c>
      <c r="I2737" s="10">
        <v>24</v>
      </c>
      <c r="J2737" s="14">
        <f>P2737*I2737</f>
        <v>24</v>
      </c>
      <c r="K2737" s="16">
        <v>0.64</v>
      </c>
      <c r="L2737" s="1" t="s">
        <v>30</v>
      </c>
      <c r="M2737" t="s">
        <v>58</v>
      </c>
      <c r="N2737" t="str">
        <f t="shared" si="69"/>
        <v>Ireland</v>
      </c>
      <c r="O2737" s="8">
        <f>IF(K2737&gt;=1,K2737,K2737*1000)</f>
        <v>640</v>
      </c>
      <c r="P2737">
        <f>ABS(H2737)</f>
        <v>1</v>
      </c>
      <c r="R2737"/>
    </row>
    <row r="2738" spans="1:18" x14ac:dyDescent="0.35">
      <c r="A2738" t="s">
        <v>4307</v>
      </c>
      <c r="B2738" s="2">
        <v>46163</v>
      </c>
      <c r="C2738" t="s">
        <v>2517</v>
      </c>
      <c r="D2738" s="3" t="s">
        <v>46</v>
      </c>
      <c r="E2738" t="s">
        <v>16</v>
      </c>
      <c r="F2738" t="s">
        <v>17</v>
      </c>
      <c r="G2738" t="s">
        <v>18</v>
      </c>
      <c r="H2738" s="8">
        <v>1</v>
      </c>
      <c r="I2738" s="10">
        <v>79</v>
      </c>
      <c r="J2738" s="14">
        <f>P2738*I2738</f>
        <v>79</v>
      </c>
      <c r="K2738" s="16">
        <v>0.52</v>
      </c>
      <c r="L2738" s="1" t="s">
        <v>21</v>
      </c>
      <c r="M2738" t="s">
        <v>58</v>
      </c>
      <c r="N2738" t="str">
        <f t="shared" si="69"/>
        <v>Ireland</v>
      </c>
      <c r="O2738" s="8">
        <f>IF(K2738&gt;=1,K2738,K2738*1000)</f>
        <v>520</v>
      </c>
      <c r="P2738">
        <f>ABS(H2738)</f>
        <v>1</v>
      </c>
      <c r="R2738"/>
    </row>
    <row r="2739" spans="1:18" x14ac:dyDescent="0.35">
      <c r="A2739" t="s">
        <v>4308</v>
      </c>
      <c r="B2739" s="2">
        <v>46051</v>
      </c>
      <c r="C2739" t="s">
        <v>1013</v>
      </c>
      <c r="D2739" s="3" t="s">
        <v>53</v>
      </c>
      <c r="E2739" t="s">
        <v>67</v>
      </c>
      <c r="F2739" t="s">
        <v>17</v>
      </c>
      <c r="G2739" t="s">
        <v>18</v>
      </c>
      <c r="H2739" s="8">
        <v>2</v>
      </c>
      <c r="I2739" s="12" t="s">
        <v>4619</v>
      </c>
      <c r="J2739" s="14">
        <f>P2739*R2739</f>
        <v>25</v>
      </c>
      <c r="K2739" s="16">
        <v>520</v>
      </c>
      <c r="L2739" s="1" t="s">
        <v>30</v>
      </c>
      <c r="M2739" t="s">
        <v>22</v>
      </c>
      <c r="N2739" t="str">
        <f t="shared" si="69"/>
        <v>Gb</v>
      </c>
      <c r="O2739" s="8">
        <f>IF(K2739&gt;=1,K2739,K2739*1000)</f>
        <v>520</v>
      </c>
      <c r="P2739">
        <f>ABS(H2739)</f>
        <v>2</v>
      </c>
      <c r="Q2739" t="str">
        <f>LEFT(I2739,3)</f>
        <v>GBP</v>
      </c>
      <c r="R2739" s="10" t="str">
        <f>RIGHT(I2739,5)</f>
        <v>12,50</v>
      </c>
    </row>
    <row r="2740" spans="1:18" x14ac:dyDescent="0.35">
      <c r="A2740" t="s">
        <v>4309</v>
      </c>
      <c r="B2740" s="2">
        <v>46064</v>
      </c>
      <c r="C2740" t="s">
        <v>3657</v>
      </c>
      <c r="D2740" s="3" t="s">
        <v>46</v>
      </c>
      <c r="E2740" t="s">
        <v>34</v>
      </c>
      <c r="F2740" t="s">
        <v>89</v>
      </c>
      <c r="G2740" t="s">
        <v>90</v>
      </c>
      <c r="H2740" s="8">
        <v>2</v>
      </c>
      <c r="I2740" s="10">
        <v>11.25</v>
      </c>
      <c r="J2740" s="14">
        <f>P2740*I2740</f>
        <v>22.5</v>
      </c>
      <c r="K2740" s="16">
        <v>640</v>
      </c>
      <c r="L2740" s="1" t="s">
        <v>30</v>
      </c>
      <c r="M2740" t="s">
        <v>22</v>
      </c>
      <c r="N2740" t="str">
        <f t="shared" si="69"/>
        <v>Ireland</v>
      </c>
      <c r="O2740" s="8">
        <f>IF(K2740&gt;=1,K2740,K2740*1000)</f>
        <v>640</v>
      </c>
      <c r="P2740">
        <f>ABS(H2740)</f>
        <v>2</v>
      </c>
      <c r="R2740"/>
    </row>
    <row r="2741" spans="1:18" x14ac:dyDescent="0.35">
      <c r="A2741" t="s">
        <v>4310</v>
      </c>
      <c r="B2741" s="2">
        <v>46131</v>
      </c>
      <c r="C2741" t="s">
        <v>927</v>
      </c>
      <c r="D2741" s="3" t="s">
        <v>46</v>
      </c>
      <c r="E2741" t="s">
        <v>34</v>
      </c>
      <c r="F2741" t="s">
        <v>83</v>
      </c>
      <c r="G2741" t="s">
        <v>84</v>
      </c>
      <c r="H2741" s="8">
        <v>1</v>
      </c>
      <c r="I2741" s="10">
        <v>11.25</v>
      </c>
      <c r="J2741" s="14">
        <f>P2741*I2741</f>
        <v>11.25</v>
      </c>
      <c r="K2741" s="16">
        <v>340</v>
      </c>
      <c r="L2741" s="1" t="s">
        <v>21</v>
      </c>
      <c r="M2741" t="s">
        <v>22</v>
      </c>
      <c r="N2741" t="str">
        <f t="shared" si="69"/>
        <v>Ireland</v>
      </c>
      <c r="O2741" s="8">
        <f>IF(K2741&gt;=1,K2741,K2741*1000)</f>
        <v>340</v>
      </c>
      <c r="P2741">
        <f>ABS(H2741)</f>
        <v>1</v>
      </c>
      <c r="R2741"/>
    </row>
    <row r="2742" spans="1:18" x14ac:dyDescent="0.35">
      <c r="A2742" t="s">
        <v>4311</v>
      </c>
      <c r="B2742" s="2">
        <v>46079</v>
      </c>
      <c r="C2742" t="s">
        <v>3018</v>
      </c>
      <c r="D2742" s="3" t="s">
        <v>4613</v>
      </c>
      <c r="E2742" t="s">
        <v>67</v>
      </c>
      <c r="F2742" t="s">
        <v>35</v>
      </c>
      <c r="G2742" t="s">
        <v>36</v>
      </c>
      <c r="H2742" s="8">
        <v>1</v>
      </c>
      <c r="I2742" s="10">
        <v>12.5</v>
      </c>
      <c r="J2742" s="14">
        <f>P2742*I2742</f>
        <v>12.5</v>
      </c>
      <c r="K2742" s="16">
        <v>85</v>
      </c>
      <c r="L2742" s="1" t="s">
        <v>30</v>
      </c>
      <c r="M2742" t="s">
        <v>58</v>
      </c>
      <c r="N2742" t="str">
        <f t="shared" si="69"/>
        <v>United Kingdom</v>
      </c>
      <c r="O2742" s="8">
        <f>IF(K2742&gt;=1,K2742,K2742*1000)</f>
        <v>85</v>
      </c>
      <c r="P2742">
        <f>ABS(H2742)</f>
        <v>1</v>
      </c>
      <c r="R2742"/>
    </row>
    <row r="2743" spans="1:18" x14ac:dyDescent="0.35">
      <c r="A2743" t="s">
        <v>4312</v>
      </c>
      <c r="B2743" s="2">
        <v>46106</v>
      </c>
      <c r="C2743" t="s">
        <v>2031</v>
      </c>
      <c r="D2743" s="3" t="s">
        <v>99</v>
      </c>
      <c r="E2743" t="s">
        <v>34</v>
      </c>
      <c r="F2743" t="s">
        <v>17</v>
      </c>
      <c r="G2743" t="s">
        <v>18</v>
      </c>
      <c r="H2743" s="8">
        <v>1</v>
      </c>
      <c r="I2743" s="10">
        <v>134.1</v>
      </c>
      <c r="J2743" s="14">
        <f>P2743*I2743</f>
        <v>134.1</v>
      </c>
      <c r="K2743" s="16">
        <v>520</v>
      </c>
      <c r="L2743" s="1" t="s">
        <v>30</v>
      </c>
      <c r="M2743" t="s">
        <v>22</v>
      </c>
      <c r="N2743" t="str">
        <f t="shared" si="69"/>
        <v>United Kingdom</v>
      </c>
      <c r="O2743" s="8">
        <f>IF(K2743&gt;=1,K2743,K2743*1000)</f>
        <v>520</v>
      </c>
      <c r="P2743">
        <f>ABS(H2743)</f>
        <v>1</v>
      </c>
      <c r="R2743"/>
    </row>
    <row r="2744" spans="1:18" x14ac:dyDescent="0.35">
      <c r="A2744" t="s">
        <v>4313</v>
      </c>
      <c r="B2744" s="2">
        <v>46157</v>
      </c>
      <c r="C2744" t="s">
        <v>1023</v>
      </c>
      <c r="D2744" s="3" t="s">
        <v>4612</v>
      </c>
      <c r="E2744" t="s">
        <v>67</v>
      </c>
      <c r="F2744" t="s">
        <v>42</v>
      </c>
      <c r="G2744" t="s">
        <v>43</v>
      </c>
      <c r="H2744" s="8">
        <v>3</v>
      </c>
      <c r="I2744" s="10">
        <v>11.25</v>
      </c>
      <c r="J2744" s="14">
        <f>P2744*I2744</f>
        <v>33.75</v>
      </c>
      <c r="K2744" s="16">
        <v>0.19</v>
      </c>
      <c r="L2744" s="1" t="s">
        <v>30</v>
      </c>
      <c r="M2744" t="s">
        <v>22</v>
      </c>
      <c r="N2744" t="str">
        <f t="shared" si="69"/>
        <v>United Kingdom</v>
      </c>
      <c r="O2744" s="8">
        <f>IF(K2744&gt;=1,K2744,K2744*1000)</f>
        <v>190</v>
      </c>
      <c r="P2744">
        <f>ABS(H2744)</f>
        <v>3</v>
      </c>
      <c r="R2744"/>
    </row>
    <row r="2745" spans="1:18" x14ac:dyDescent="0.35">
      <c r="A2745" t="s">
        <v>4314</v>
      </c>
      <c r="B2745" s="2" t="s">
        <v>4285</v>
      </c>
      <c r="C2745" t="s">
        <v>3574</v>
      </c>
      <c r="D2745" s="3" t="s">
        <v>46</v>
      </c>
      <c r="E2745" t="s">
        <v>67</v>
      </c>
      <c r="F2745" t="s">
        <v>89</v>
      </c>
      <c r="G2745" t="s">
        <v>90</v>
      </c>
      <c r="H2745" s="8">
        <v>2</v>
      </c>
      <c r="I2745" s="10">
        <v>21.6</v>
      </c>
      <c r="J2745" s="14">
        <f>P2745*I2745</f>
        <v>43.2</v>
      </c>
      <c r="K2745" s="16">
        <v>640</v>
      </c>
      <c r="L2745" s="1" t="s">
        <v>30</v>
      </c>
      <c r="M2745" t="s">
        <v>22</v>
      </c>
      <c r="N2745" t="str">
        <f t="shared" si="69"/>
        <v>Ireland</v>
      </c>
      <c r="O2745" s="8">
        <f>IF(K2745&gt;=1,K2745,K2745*1000)</f>
        <v>640</v>
      </c>
      <c r="P2745">
        <f>ABS(H2745)</f>
        <v>2</v>
      </c>
      <c r="R2745"/>
    </row>
    <row r="2746" spans="1:18" x14ac:dyDescent="0.35">
      <c r="A2746" t="s">
        <v>4315</v>
      </c>
      <c r="B2746" s="2">
        <v>46151</v>
      </c>
      <c r="C2746" t="s">
        <v>4316</v>
      </c>
      <c r="D2746" s="3" t="s">
        <v>99</v>
      </c>
      <c r="E2746" t="s">
        <v>34</v>
      </c>
      <c r="F2746" t="s">
        <v>83</v>
      </c>
      <c r="G2746" t="s">
        <v>84</v>
      </c>
      <c r="H2746" s="8">
        <v>2</v>
      </c>
      <c r="I2746" s="10">
        <v>149</v>
      </c>
      <c r="J2746" s="14">
        <f>P2746*I2746</f>
        <v>298</v>
      </c>
      <c r="K2746" s="16">
        <v>0.34</v>
      </c>
      <c r="L2746" s="1" t="s">
        <v>30</v>
      </c>
      <c r="M2746" t="s">
        <v>22</v>
      </c>
      <c r="N2746" t="str">
        <f t="shared" si="69"/>
        <v>United Kingdom</v>
      </c>
      <c r="O2746" s="8">
        <f>IF(K2746&gt;=1,K2746,K2746*1000)</f>
        <v>340</v>
      </c>
      <c r="P2746">
        <f>ABS(H2746)</f>
        <v>2</v>
      </c>
      <c r="R2746"/>
    </row>
    <row r="2747" spans="1:18" x14ac:dyDescent="0.35">
      <c r="A2747" t="s">
        <v>4317</v>
      </c>
      <c r="B2747" s="2">
        <v>46153</v>
      </c>
      <c r="C2747" t="s">
        <v>1870</v>
      </c>
      <c r="D2747" s="3" t="s">
        <v>15</v>
      </c>
      <c r="E2747" t="s">
        <v>34</v>
      </c>
      <c r="F2747" t="s">
        <v>89</v>
      </c>
      <c r="G2747" t="s">
        <v>90</v>
      </c>
      <c r="H2747" s="8">
        <v>1</v>
      </c>
      <c r="I2747" s="10">
        <v>21.6</v>
      </c>
      <c r="J2747" s="14">
        <f>P2747*I2747</f>
        <v>21.6</v>
      </c>
      <c r="K2747" s="16">
        <v>0.64</v>
      </c>
      <c r="L2747" s="1" t="s">
        <v>30</v>
      </c>
      <c r="M2747" t="s">
        <v>58</v>
      </c>
      <c r="N2747" t="str">
        <f t="shared" si="69"/>
        <v>France</v>
      </c>
      <c r="O2747" s="8">
        <f>IF(K2747&gt;=1,K2747,K2747*1000)</f>
        <v>640</v>
      </c>
      <c r="P2747">
        <f>ABS(H2747)</f>
        <v>1</v>
      </c>
      <c r="R2747"/>
    </row>
    <row r="2748" spans="1:18" x14ac:dyDescent="0.35">
      <c r="A2748" t="s">
        <v>4318</v>
      </c>
      <c r="B2748" s="2">
        <v>46078</v>
      </c>
      <c r="C2748" t="s">
        <v>1258</v>
      </c>
      <c r="D2748" s="3" t="s">
        <v>46</v>
      </c>
      <c r="E2748" t="s">
        <v>34</v>
      </c>
      <c r="F2748" t="s">
        <v>74</v>
      </c>
      <c r="G2748" t="s">
        <v>75</v>
      </c>
      <c r="H2748" s="8">
        <v>3</v>
      </c>
      <c r="I2748" s="10">
        <v>12.5</v>
      </c>
      <c r="J2748" s="14">
        <f>P2748*I2748</f>
        <v>37.5</v>
      </c>
      <c r="K2748" s="16">
        <v>410</v>
      </c>
      <c r="L2748" s="1" t="s">
        <v>30</v>
      </c>
      <c r="M2748" t="s">
        <v>58</v>
      </c>
      <c r="N2748" t="str">
        <f t="shared" si="69"/>
        <v>Ireland</v>
      </c>
      <c r="O2748" s="8">
        <f>IF(K2748&gt;=1,K2748,K2748*1000)</f>
        <v>410</v>
      </c>
      <c r="P2748">
        <f>ABS(H2748)</f>
        <v>3</v>
      </c>
      <c r="R2748"/>
    </row>
    <row r="2749" spans="1:18" x14ac:dyDescent="0.35">
      <c r="A2749" t="s">
        <v>4319</v>
      </c>
      <c r="B2749" s="2">
        <v>46118</v>
      </c>
      <c r="C2749" t="s">
        <v>1130</v>
      </c>
      <c r="D2749" s="3" t="s">
        <v>15</v>
      </c>
      <c r="E2749" t="s">
        <v>67</v>
      </c>
      <c r="F2749" t="s">
        <v>89</v>
      </c>
      <c r="G2749" t="s">
        <v>90</v>
      </c>
      <c r="H2749" s="8">
        <v>1</v>
      </c>
      <c r="I2749" s="10">
        <v>79</v>
      </c>
      <c r="J2749" s="14">
        <f>P2749*I2749</f>
        <v>79</v>
      </c>
      <c r="K2749" s="16">
        <v>640</v>
      </c>
      <c r="L2749" s="1" t="s">
        <v>30</v>
      </c>
      <c r="M2749" t="s">
        <v>22</v>
      </c>
      <c r="N2749" t="str">
        <f t="shared" si="69"/>
        <v>France</v>
      </c>
      <c r="O2749" s="8">
        <f>IF(K2749&gt;=1,K2749,K2749*1000)</f>
        <v>640</v>
      </c>
      <c r="P2749">
        <f>ABS(H2749)</f>
        <v>1</v>
      </c>
      <c r="R2749"/>
    </row>
    <row r="2750" spans="1:18" x14ac:dyDescent="0.35">
      <c r="A2750" t="s">
        <v>4320</v>
      </c>
      <c r="B2750" s="2">
        <v>46038</v>
      </c>
      <c r="C2750" t="s">
        <v>2806</v>
      </c>
      <c r="D2750" s="3" t="s">
        <v>4613</v>
      </c>
      <c r="E2750" t="s">
        <v>41</v>
      </c>
      <c r="F2750" t="s">
        <v>35</v>
      </c>
      <c r="G2750" t="s">
        <v>36</v>
      </c>
      <c r="H2750" s="8">
        <v>1</v>
      </c>
      <c r="I2750" s="10">
        <v>12.5</v>
      </c>
      <c r="J2750" s="14">
        <f>P2750*I2750</f>
        <v>12.5</v>
      </c>
      <c r="K2750" s="16">
        <v>85</v>
      </c>
      <c r="L2750" s="1" t="s">
        <v>21</v>
      </c>
      <c r="M2750" t="s">
        <v>22</v>
      </c>
      <c r="N2750" t="str">
        <f t="shared" si="69"/>
        <v>United Kingdom</v>
      </c>
      <c r="O2750" s="8">
        <f>IF(K2750&gt;=1,K2750,K2750*1000)</f>
        <v>85</v>
      </c>
      <c r="P2750">
        <f>ABS(H2750)</f>
        <v>1</v>
      </c>
      <c r="R2750"/>
    </row>
    <row r="2751" spans="1:18" x14ac:dyDescent="0.35">
      <c r="A2751" t="s">
        <v>4321</v>
      </c>
      <c r="B2751" s="2">
        <v>46098</v>
      </c>
      <c r="C2751" t="s">
        <v>1491</v>
      </c>
      <c r="D2751" s="3" t="s">
        <v>99</v>
      </c>
      <c r="E2751" t="s">
        <v>16</v>
      </c>
      <c r="F2751" t="s">
        <v>47</v>
      </c>
      <c r="G2751" t="s">
        <v>48</v>
      </c>
      <c r="H2751" s="8">
        <v>3</v>
      </c>
      <c r="I2751" s="10">
        <v>129</v>
      </c>
      <c r="J2751" s="14">
        <f>P2751*I2751</f>
        <v>387</v>
      </c>
      <c r="K2751" s="16">
        <v>380</v>
      </c>
      <c r="L2751" s="1" t="s">
        <v>21</v>
      </c>
      <c r="M2751" t="s">
        <v>22</v>
      </c>
      <c r="N2751" t="str">
        <f t="shared" si="69"/>
        <v>United Kingdom</v>
      </c>
      <c r="O2751" s="8">
        <f>IF(K2751&gt;=1,K2751,K2751*1000)</f>
        <v>380</v>
      </c>
      <c r="P2751">
        <f>ABS(H2751)</f>
        <v>3</v>
      </c>
      <c r="R2751"/>
    </row>
    <row r="2752" spans="1:18" x14ac:dyDescent="0.35">
      <c r="A2752" t="s">
        <v>4322</v>
      </c>
      <c r="B2752" s="2">
        <v>46078</v>
      </c>
      <c r="C2752" t="s">
        <v>852</v>
      </c>
      <c r="D2752" s="3" t="s">
        <v>66</v>
      </c>
      <c r="E2752" t="s">
        <v>41</v>
      </c>
      <c r="F2752" t="s">
        <v>74</v>
      </c>
      <c r="G2752" t="s">
        <v>75</v>
      </c>
      <c r="H2752" s="8">
        <v>1</v>
      </c>
      <c r="I2752" s="10">
        <v>149</v>
      </c>
      <c r="J2752" s="14">
        <f>P2752*I2752</f>
        <v>149</v>
      </c>
      <c r="K2752" s="16">
        <v>410</v>
      </c>
      <c r="L2752" s="1" t="s">
        <v>30</v>
      </c>
      <c r="M2752" t="s">
        <v>22</v>
      </c>
      <c r="N2752" t="str">
        <f t="shared" si="69"/>
        <v>Gb</v>
      </c>
      <c r="O2752" s="8">
        <f>IF(K2752&gt;=1,K2752,K2752*1000)</f>
        <v>410</v>
      </c>
      <c r="P2752">
        <f>ABS(H2752)</f>
        <v>1</v>
      </c>
      <c r="R2752"/>
    </row>
    <row r="2753" spans="1:18" x14ac:dyDescent="0.35">
      <c r="A2753" t="s">
        <v>4323</v>
      </c>
      <c r="B2753" s="2">
        <v>46121</v>
      </c>
      <c r="C2753" t="s">
        <v>2482</v>
      </c>
      <c r="D2753" s="3" t="s">
        <v>116</v>
      </c>
      <c r="E2753" t="s">
        <v>16</v>
      </c>
      <c r="F2753" t="s">
        <v>47</v>
      </c>
      <c r="G2753" t="s">
        <v>48</v>
      </c>
      <c r="H2753" s="8">
        <v>2</v>
      </c>
      <c r="I2753" s="10">
        <v>89</v>
      </c>
      <c r="J2753" s="14">
        <f>P2753*I2753</f>
        <v>178</v>
      </c>
      <c r="K2753" s="16">
        <v>380</v>
      </c>
      <c r="L2753" s="1" t="s">
        <v>30</v>
      </c>
      <c r="M2753" t="s">
        <v>22</v>
      </c>
      <c r="N2753" t="str">
        <f t="shared" si="69"/>
        <v>Germany</v>
      </c>
      <c r="O2753" s="8">
        <f>IF(K2753&gt;=1,K2753,K2753*1000)</f>
        <v>380</v>
      </c>
      <c r="P2753">
        <f>ABS(H2753)</f>
        <v>2</v>
      </c>
      <c r="R2753"/>
    </row>
    <row r="2754" spans="1:18" x14ac:dyDescent="0.35">
      <c r="A2754" t="s">
        <v>4324</v>
      </c>
      <c r="B2754" s="2">
        <v>46104</v>
      </c>
      <c r="C2754" t="s">
        <v>3422</v>
      </c>
      <c r="D2754" s="3" t="s">
        <v>99</v>
      </c>
      <c r="E2754" t="s">
        <v>41</v>
      </c>
      <c r="F2754" t="s">
        <v>17</v>
      </c>
      <c r="G2754" t="s">
        <v>18</v>
      </c>
      <c r="H2754" s="8">
        <v>2</v>
      </c>
      <c r="I2754" s="10">
        <v>89</v>
      </c>
      <c r="J2754" s="14">
        <f>P2754*I2754</f>
        <v>178</v>
      </c>
      <c r="K2754" s="16">
        <v>520</v>
      </c>
      <c r="L2754" s="1" t="s">
        <v>30</v>
      </c>
      <c r="M2754" t="s">
        <v>22</v>
      </c>
      <c r="N2754" t="str">
        <f t="shared" si="69"/>
        <v>United Kingdom</v>
      </c>
      <c r="O2754" s="8">
        <f>IF(K2754&gt;=1,K2754,K2754*1000)</f>
        <v>520</v>
      </c>
      <c r="P2754">
        <f>ABS(H2754)</f>
        <v>2</v>
      </c>
      <c r="R2754"/>
    </row>
    <row r="2755" spans="1:18" x14ac:dyDescent="0.35">
      <c r="A2755" t="s">
        <v>4325</v>
      </c>
      <c r="B2755" s="2" t="s">
        <v>4135</v>
      </c>
      <c r="C2755" t="s">
        <v>870</v>
      </c>
      <c r="D2755" s="3" t="s">
        <v>116</v>
      </c>
      <c r="E2755" t="s">
        <v>34</v>
      </c>
      <c r="F2755" t="s">
        <v>17</v>
      </c>
      <c r="G2755" t="s">
        <v>18</v>
      </c>
      <c r="H2755" s="8">
        <v>2</v>
      </c>
      <c r="I2755" s="10">
        <v>89</v>
      </c>
      <c r="J2755" s="14">
        <f>P2755*I2755</f>
        <v>178</v>
      </c>
      <c r="K2755" s="16">
        <v>0.52</v>
      </c>
      <c r="L2755" s="1" t="s">
        <v>30</v>
      </c>
      <c r="M2755" t="s">
        <v>58</v>
      </c>
      <c r="N2755" t="str">
        <f t="shared" ref="N2755:N2818" si="70">PROPER(TRIM(D2755))</f>
        <v>Germany</v>
      </c>
      <c r="O2755" s="8">
        <f>IF(K2755&gt;=1,K2755,K2755*1000)</f>
        <v>520</v>
      </c>
      <c r="P2755">
        <f>ABS(H2755)</f>
        <v>2</v>
      </c>
      <c r="R2755"/>
    </row>
    <row r="2756" spans="1:18" x14ac:dyDescent="0.35">
      <c r="A2756" t="s">
        <v>4326</v>
      </c>
      <c r="B2756" s="2">
        <v>46060</v>
      </c>
      <c r="C2756" t="s">
        <v>197</v>
      </c>
      <c r="D2756" s="3" t="s">
        <v>15</v>
      </c>
      <c r="E2756" t="s">
        <v>25</v>
      </c>
      <c r="F2756" t="s">
        <v>42</v>
      </c>
      <c r="G2756" t="s">
        <v>43</v>
      </c>
      <c r="H2756" s="8">
        <v>1</v>
      </c>
      <c r="I2756" s="10">
        <v>80.099999999999994</v>
      </c>
      <c r="J2756" s="14">
        <f>P2756*I2756</f>
        <v>80.099999999999994</v>
      </c>
      <c r="K2756" s="16">
        <v>0.19</v>
      </c>
      <c r="L2756" s="1" t="s">
        <v>30</v>
      </c>
      <c r="M2756" t="s">
        <v>58</v>
      </c>
      <c r="N2756" t="str">
        <f t="shared" si="70"/>
        <v>France</v>
      </c>
      <c r="O2756" s="8">
        <f>IF(K2756&gt;=1,K2756,K2756*1000)</f>
        <v>190</v>
      </c>
      <c r="P2756">
        <f>ABS(H2756)</f>
        <v>1</v>
      </c>
      <c r="R2756"/>
    </row>
    <row r="2757" spans="1:18" x14ac:dyDescent="0.35">
      <c r="A2757" t="s">
        <v>4327</v>
      </c>
      <c r="B2757" s="2">
        <v>46161</v>
      </c>
      <c r="C2757" t="s">
        <v>1585</v>
      </c>
      <c r="D2757" s="3" t="s">
        <v>4612</v>
      </c>
      <c r="E2757" t="s">
        <v>34</v>
      </c>
      <c r="F2757" t="s">
        <v>47</v>
      </c>
      <c r="G2757" t="s">
        <v>48</v>
      </c>
      <c r="H2757" s="8">
        <v>3</v>
      </c>
      <c r="I2757" s="10">
        <v>12.5</v>
      </c>
      <c r="J2757" s="14">
        <f>P2757*I2757</f>
        <v>37.5</v>
      </c>
      <c r="K2757" s="16">
        <v>0.38</v>
      </c>
      <c r="L2757" s="1" t="s">
        <v>30</v>
      </c>
      <c r="M2757" t="s">
        <v>22</v>
      </c>
      <c r="N2757" t="str">
        <f t="shared" si="70"/>
        <v>United Kingdom</v>
      </c>
      <c r="O2757" s="8">
        <f>IF(K2757&gt;=1,K2757,K2757*1000)</f>
        <v>380</v>
      </c>
      <c r="P2757">
        <f>ABS(H2757)</f>
        <v>3</v>
      </c>
      <c r="R2757"/>
    </row>
    <row r="2758" spans="1:18" x14ac:dyDescent="0.35">
      <c r="A2758" t="s">
        <v>4328</v>
      </c>
      <c r="B2758" s="2">
        <v>46166</v>
      </c>
      <c r="C2758" t="s">
        <v>1990</v>
      </c>
      <c r="D2758" s="3" t="s">
        <v>116</v>
      </c>
      <c r="E2758" t="s">
        <v>25</v>
      </c>
      <c r="F2758" t="s">
        <v>26</v>
      </c>
      <c r="G2758" t="s">
        <v>27</v>
      </c>
      <c r="H2758" s="8">
        <v>1</v>
      </c>
      <c r="I2758" s="10">
        <v>45</v>
      </c>
      <c r="J2758" s="14">
        <f>P2758*I2758</f>
        <v>45</v>
      </c>
      <c r="K2758" s="16">
        <v>0.52</v>
      </c>
      <c r="L2758" s="1" t="s">
        <v>21</v>
      </c>
      <c r="M2758" t="s">
        <v>22</v>
      </c>
      <c r="N2758" t="str">
        <f t="shared" si="70"/>
        <v>Germany</v>
      </c>
      <c r="O2758" s="8">
        <f>IF(K2758&gt;=1,K2758,K2758*1000)</f>
        <v>520</v>
      </c>
      <c r="P2758">
        <f>ABS(H2758)</f>
        <v>1</v>
      </c>
      <c r="R2758"/>
    </row>
    <row r="2759" spans="1:18" x14ac:dyDescent="0.35">
      <c r="A2759" t="s">
        <v>4329</v>
      </c>
      <c r="B2759" s="2">
        <v>46059</v>
      </c>
      <c r="C2759" t="s">
        <v>1733</v>
      </c>
      <c r="D2759" s="3" t="s">
        <v>66</v>
      </c>
      <c r="E2759" t="s">
        <v>67</v>
      </c>
      <c r="F2759" t="s">
        <v>42</v>
      </c>
      <c r="G2759" t="s">
        <v>43</v>
      </c>
      <c r="H2759" s="8">
        <v>2</v>
      </c>
      <c r="I2759" s="10">
        <v>21.6</v>
      </c>
      <c r="J2759" s="14">
        <f>P2759*I2759</f>
        <v>43.2</v>
      </c>
      <c r="K2759" s="16">
        <v>190</v>
      </c>
      <c r="L2759" s="1" t="s">
        <v>21</v>
      </c>
      <c r="M2759" t="s">
        <v>22</v>
      </c>
      <c r="N2759" t="str">
        <f t="shared" si="70"/>
        <v>Gb</v>
      </c>
      <c r="O2759" s="8">
        <f>IF(K2759&gt;=1,K2759,K2759*1000)</f>
        <v>190</v>
      </c>
      <c r="P2759">
        <f>ABS(H2759)</f>
        <v>2</v>
      </c>
      <c r="R2759"/>
    </row>
    <row r="2760" spans="1:18" x14ac:dyDescent="0.35">
      <c r="A2760" t="s">
        <v>4330</v>
      </c>
      <c r="B2760" s="2" t="s">
        <v>1439</v>
      </c>
      <c r="C2760" t="s">
        <v>1358</v>
      </c>
      <c r="D2760" s="3" t="s">
        <v>61</v>
      </c>
      <c r="E2760" t="s">
        <v>41</v>
      </c>
      <c r="F2760" t="s">
        <v>47</v>
      </c>
      <c r="G2760" t="s">
        <v>48</v>
      </c>
      <c r="H2760" s="8">
        <v>3</v>
      </c>
      <c r="I2760" s="12" t="s">
        <v>4647</v>
      </c>
      <c r="J2760" s="14">
        <f>P2760*R2760</f>
        <v>256.5</v>
      </c>
      <c r="K2760" s="16">
        <v>380</v>
      </c>
      <c r="L2760" s="1" t="s">
        <v>21</v>
      </c>
      <c r="M2760" t="s">
        <v>22</v>
      </c>
      <c r="N2760" t="str">
        <f t="shared" si="70"/>
        <v>Ireland</v>
      </c>
      <c r="O2760" s="8">
        <f>IF(K2760&gt;=1,K2760,K2760*1000)</f>
        <v>380</v>
      </c>
      <c r="P2760">
        <f>ABS(H2760)</f>
        <v>3</v>
      </c>
      <c r="Q2760" t="str">
        <f>LEFT(I2760,3)</f>
        <v>GBP</v>
      </c>
      <c r="R2760" s="10" t="str">
        <f>RIGHT(I2760,5)</f>
        <v>85,50</v>
      </c>
    </row>
    <row r="2761" spans="1:18" x14ac:dyDescent="0.35">
      <c r="A2761" t="s">
        <v>4331</v>
      </c>
      <c r="B2761" s="2">
        <v>46141</v>
      </c>
      <c r="C2761" t="s">
        <v>1103</v>
      </c>
      <c r="D2761" s="3" t="s">
        <v>4612</v>
      </c>
      <c r="E2761" t="s">
        <v>67</v>
      </c>
      <c r="F2761" t="s">
        <v>26</v>
      </c>
      <c r="G2761" t="s">
        <v>27</v>
      </c>
      <c r="H2761" s="8">
        <v>1</v>
      </c>
      <c r="I2761" s="10">
        <v>95</v>
      </c>
      <c r="J2761" s="14">
        <f>P2761*I2761</f>
        <v>95</v>
      </c>
      <c r="K2761" s="16">
        <v>0.52</v>
      </c>
      <c r="L2761" s="1" t="s">
        <v>30</v>
      </c>
      <c r="M2761" t="s">
        <v>22</v>
      </c>
      <c r="N2761" t="str">
        <f t="shared" si="70"/>
        <v>United Kingdom</v>
      </c>
      <c r="O2761" s="8">
        <f>IF(K2761&gt;=1,K2761,K2761*1000)</f>
        <v>520</v>
      </c>
      <c r="P2761">
        <f>ABS(H2761)</f>
        <v>1</v>
      </c>
      <c r="R2761"/>
    </row>
    <row r="2762" spans="1:18" x14ac:dyDescent="0.35">
      <c r="A2762" t="s">
        <v>4332</v>
      </c>
      <c r="B2762" s="2">
        <v>46165</v>
      </c>
      <c r="C2762" t="s">
        <v>3679</v>
      </c>
      <c r="D2762" s="3" t="s">
        <v>66</v>
      </c>
      <c r="E2762" t="s">
        <v>34</v>
      </c>
      <c r="F2762" t="s">
        <v>42</v>
      </c>
      <c r="G2762" t="s">
        <v>43</v>
      </c>
      <c r="H2762" s="8">
        <v>1</v>
      </c>
      <c r="I2762" s="10">
        <v>71.099999999999994</v>
      </c>
      <c r="J2762" s="14">
        <f>P2762*I2762</f>
        <v>71.099999999999994</v>
      </c>
      <c r="K2762" s="16">
        <v>0.19</v>
      </c>
      <c r="L2762" s="1" t="s">
        <v>30</v>
      </c>
      <c r="M2762" t="s">
        <v>22</v>
      </c>
      <c r="N2762" t="str">
        <f t="shared" si="70"/>
        <v>Gb</v>
      </c>
      <c r="O2762" s="8">
        <f>IF(K2762&gt;=1,K2762,K2762*1000)</f>
        <v>190</v>
      </c>
      <c r="P2762">
        <f>ABS(H2762)</f>
        <v>1</v>
      </c>
      <c r="R2762"/>
    </row>
    <row r="2763" spans="1:18" x14ac:dyDescent="0.35">
      <c r="A2763" t="s">
        <v>4333</v>
      </c>
      <c r="B2763" s="2">
        <v>46147</v>
      </c>
      <c r="C2763" t="s">
        <v>718</v>
      </c>
      <c r="D2763" s="3" t="s">
        <v>53</v>
      </c>
      <c r="E2763" t="s">
        <v>67</v>
      </c>
      <c r="F2763" t="s">
        <v>89</v>
      </c>
      <c r="G2763" t="s">
        <v>90</v>
      </c>
      <c r="H2763" s="8">
        <v>1</v>
      </c>
      <c r="I2763" s="10">
        <v>71.099999999999994</v>
      </c>
      <c r="J2763" s="14">
        <f>P2763*I2763</f>
        <v>71.099999999999994</v>
      </c>
      <c r="K2763" s="16">
        <v>0.64</v>
      </c>
      <c r="L2763" s="1" t="s">
        <v>21</v>
      </c>
      <c r="M2763" t="s">
        <v>22</v>
      </c>
      <c r="N2763" t="str">
        <f t="shared" si="70"/>
        <v>Gb</v>
      </c>
      <c r="O2763" s="8">
        <f>IF(K2763&gt;=1,K2763,K2763*1000)</f>
        <v>640</v>
      </c>
      <c r="P2763">
        <f>ABS(H2763)</f>
        <v>1</v>
      </c>
      <c r="R2763"/>
    </row>
    <row r="2764" spans="1:18" x14ac:dyDescent="0.35">
      <c r="A2764" t="s">
        <v>4334</v>
      </c>
      <c r="B2764" s="2">
        <v>46184</v>
      </c>
      <c r="C2764" t="s">
        <v>2158</v>
      </c>
      <c r="D2764" s="3" t="s">
        <v>99</v>
      </c>
      <c r="E2764" t="s">
        <v>16</v>
      </c>
      <c r="F2764" t="s">
        <v>17</v>
      </c>
      <c r="G2764" t="s">
        <v>18</v>
      </c>
      <c r="H2764" s="8">
        <v>2</v>
      </c>
      <c r="I2764" s="10">
        <v>116.1</v>
      </c>
      <c r="J2764" s="14">
        <f>P2764*I2764</f>
        <v>232.2</v>
      </c>
      <c r="K2764" s="16">
        <v>0.52</v>
      </c>
      <c r="L2764" s="1" t="s">
        <v>21</v>
      </c>
      <c r="M2764" t="s">
        <v>22</v>
      </c>
      <c r="N2764" t="str">
        <f t="shared" si="70"/>
        <v>United Kingdom</v>
      </c>
      <c r="O2764" s="8">
        <f>IF(K2764&gt;=1,K2764,K2764*1000)</f>
        <v>520</v>
      </c>
      <c r="P2764">
        <f>ABS(H2764)</f>
        <v>2</v>
      </c>
      <c r="R2764"/>
    </row>
    <row r="2765" spans="1:18" x14ac:dyDescent="0.35">
      <c r="A2765" t="s">
        <v>4335</v>
      </c>
      <c r="B2765" s="2">
        <v>46032</v>
      </c>
      <c r="C2765" t="s">
        <v>1868</v>
      </c>
      <c r="D2765" s="3" t="s">
        <v>53</v>
      </c>
      <c r="E2765" t="s">
        <v>41</v>
      </c>
      <c r="F2765" t="s">
        <v>74</v>
      </c>
      <c r="G2765" t="s">
        <v>75</v>
      </c>
      <c r="H2765" s="8">
        <v>2</v>
      </c>
      <c r="I2765" s="10">
        <v>129</v>
      </c>
      <c r="J2765" s="14">
        <f>P2765*I2765</f>
        <v>258</v>
      </c>
      <c r="K2765" s="16">
        <v>410</v>
      </c>
      <c r="L2765" s="1" t="s">
        <v>30</v>
      </c>
      <c r="M2765" t="s">
        <v>22</v>
      </c>
      <c r="N2765" t="str">
        <f t="shared" si="70"/>
        <v>Gb</v>
      </c>
      <c r="O2765" s="8">
        <f>IF(K2765&gt;=1,K2765,K2765*1000)</f>
        <v>410</v>
      </c>
      <c r="P2765">
        <f>ABS(H2765)</f>
        <v>2</v>
      </c>
      <c r="R2765"/>
    </row>
    <row r="2766" spans="1:18" x14ac:dyDescent="0.35">
      <c r="A2766" t="s">
        <v>4336</v>
      </c>
      <c r="B2766" s="2" t="s">
        <v>1414</v>
      </c>
      <c r="C2766" t="s">
        <v>2931</v>
      </c>
      <c r="D2766" s="3" t="s">
        <v>46</v>
      </c>
      <c r="E2766" t="s">
        <v>25</v>
      </c>
      <c r="F2766" t="s">
        <v>74</v>
      </c>
      <c r="G2766" t="s">
        <v>75</v>
      </c>
      <c r="H2766" s="8">
        <v>3</v>
      </c>
      <c r="I2766" s="10">
        <v>89</v>
      </c>
      <c r="J2766" s="14">
        <f>P2766*I2766</f>
        <v>267</v>
      </c>
      <c r="K2766" s="16">
        <v>0.41</v>
      </c>
      <c r="L2766" s="1" t="s">
        <v>30</v>
      </c>
      <c r="M2766" t="s">
        <v>22</v>
      </c>
      <c r="N2766" t="str">
        <f t="shared" si="70"/>
        <v>Ireland</v>
      </c>
      <c r="O2766" s="8">
        <f>IF(K2766&gt;=1,K2766,K2766*1000)</f>
        <v>410</v>
      </c>
      <c r="P2766">
        <f>ABS(H2766)</f>
        <v>3</v>
      </c>
      <c r="R2766"/>
    </row>
    <row r="2767" spans="1:18" x14ac:dyDescent="0.35">
      <c r="A2767" t="s">
        <v>4337</v>
      </c>
      <c r="B2767" s="2">
        <v>46159</v>
      </c>
      <c r="C2767" t="s">
        <v>3538</v>
      </c>
      <c r="D2767" s="3" t="s">
        <v>15</v>
      </c>
      <c r="E2767" t="s">
        <v>16</v>
      </c>
      <c r="F2767" t="s">
        <v>83</v>
      </c>
      <c r="G2767" t="s">
        <v>84</v>
      </c>
      <c r="H2767" s="8">
        <v>1</v>
      </c>
      <c r="I2767" s="10">
        <v>89</v>
      </c>
      <c r="J2767" s="14">
        <f>P2767*I2767</f>
        <v>89</v>
      </c>
      <c r="K2767" s="16">
        <v>0.34</v>
      </c>
      <c r="L2767" s="1" t="s">
        <v>30</v>
      </c>
      <c r="M2767" t="s">
        <v>22</v>
      </c>
      <c r="N2767" t="str">
        <f t="shared" si="70"/>
        <v>France</v>
      </c>
      <c r="O2767" s="8">
        <f>IF(K2767&gt;=1,K2767,K2767*1000)</f>
        <v>340</v>
      </c>
      <c r="P2767">
        <f>ABS(H2767)</f>
        <v>1</v>
      </c>
      <c r="R2767"/>
    </row>
    <row r="2768" spans="1:18" x14ac:dyDescent="0.35">
      <c r="A2768" t="s">
        <v>4338</v>
      </c>
      <c r="B2768" s="2">
        <v>46114</v>
      </c>
      <c r="C2768" t="s">
        <v>1467</v>
      </c>
      <c r="D2768" s="3" t="s">
        <v>116</v>
      </c>
      <c r="E2768" t="s">
        <v>67</v>
      </c>
      <c r="F2768" t="s">
        <v>47</v>
      </c>
      <c r="G2768" t="s">
        <v>48</v>
      </c>
      <c r="H2768" s="8">
        <v>1</v>
      </c>
      <c r="I2768" s="10">
        <v>71.099999999999994</v>
      </c>
      <c r="J2768" s="14">
        <f>P2768*I2768</f>
        <v>71.099999999999994</v>
      </c>
      <c r="K2768" s="16">
        <v>380</v>
      </c>
      <c r="L2768" s="1" t="s">
        <v>21</v>
      </c>
      <c r="M2768" t="s">
        <v>22</v>
      </c>
      <c r="N2768" t="str">
        <f t="shared" si="70"/>
        <v>Germany</v>
      </c>
      <c r="O2768" s="8">
        <f>IF(K2768&gt;=1,K2768,K2768*1000)</f>
        <v>380</v>
      </c>
      <c r="P2768">
        <f>ABS(H2768)</f>
        <v>1</v>
      </c>
      <c r="R2768"/>
    </row>
    <row r="2769" spans="1:18" x14ac:dyDescent="0.35">
      <c r="A2769" t="s">
        <v>4339</v>
      </c>
      <c r="B2769" s="2">
        <v>46043</v>
      </c>
      <c r="C2769" t="s">
        <v>2426</v>
      </c>
      <c r="D2769" s="3" t="s">
        <v>46</v>
      </c>
      <c r="E2769" t="s">
        <v>16</v>
      </c>
      <c r="F2769" t="s">
        <v>17</v>
      </c>
      <c r="G2769" t="s">
        <v>18</v>
      </c>
      <c r="H2769" s="8">
        <v>2</v>
      </c>
      <c r="I2769" s="10">
        <v>21.6</v>
      </c>
      <c r="J2769" s="14">
        <f>P2769*I2769</f>
        <v>43.2</v>
      </c>
      <c r="K2769" s="16">
        <v>520</v>
      </c>
      <c r="L2769" s="1" t="s">
        <v>30</v>
      </c>
      <c r="M2769" t="s">
        <v>58</v>
      </c>
      <c r="N2769" t="str">
        <f t="shared" si="70"/>
        <v>Ireland</v>
      </c>
      <c r="O2769" s="8">
        <f>IF(K2769&gt;=1,K2769,K2769*1000)</f>
        <v>520</v>
      </c>
      <c r="P2769">
        <f>ABS(H2769)</f>
        <v>2</v>
      </c>
      <c r="R2769"/>
    </row>
    <row r="2770" spans="1:18" x14ac:dyDescent="0.35">
      <c r="A2770" t="s">
        <v>4340</v>
      </c>
      <c r="B2770" s="2">
        <v>46154</v>
      </c>
      <c r="C2770" t="s">
        <v>288</v>
      </c>
      <c r="D2770" s="3" t="s">
        <v>99</v>
      </c>
      <c r="E2770" t="s">
        <v>67</v>
      </c>
      <c r="F2770" t="s">
        <v>89</v>
      </c>
      <c r="G2770" t="s">
        <v>90</v>
      </c>
      <c r="H2770" s="8">
        <v>3</v>
      </c>
      <c r="I2770" s="10">
        <v>40.5</v>
      </c>
      <c r="J2770" s="14">
        <f>P2770*I2770</f>
        <v>121.5</v>
      </c>
      <c r="K2770" s="16">
        <v>0.64</v>
      </c>
      <c r="L2770" s="1" t="s">
        <v>21</v>
      </c>
      <c r="M2770" t="s">
        <v>22</v>
      </c>
      <c r="N2770" t="str">
        <f t="shared" si="70"/>
        <v>United Kingdom</v>
      </c>
      <c r="O2770" s="8">
        <f>IF(K2770&gt;=1,K2770,K2770*1000)</f>
        <v>640</v>
      </c>
      <c r="P2770">
        <f>ABS(H2770)</f>
        <v>3</v>
      </c>
      <c r="R2770"/>
    </row>
    <row r="2771" spans="1:18" x14ac:dyDescent="0.35">
      <c r="A2771" t="s">
        <v>4341</v>
      </c>
      <c r="B2771" s="2">
        <v>46198</v>
      </c>
      <c r="C2771" t="s">
        <v>3178</v>
      </c>
      <c r="D2771" s="3" t="s">
        <v>4613</v>
      </c>
      <c r="E2771" t="s">
        <v>41</v>
      </c>
      <c r="F2771" t="s">
        <v>89</v>
      </c>
      <c r="G2771" t="s">
        <v>90</v>
      </c>
      <c r="H2771" s="8">
        <v>3</v>
      </c>
      <c r="I2771" s="10">
        <v>21.6</v>
      </c>
      <c r="J2771" s="14">
        <f>P2771*I2771</f>
        <v>64.800000000000011</v>
      </c>
      <c r="K2771" s="16">
        <v>0.64</v>
      </c>
      <c r="L2771" s="1" t="s">
        <v>30</v>
      </c>
      <c r="M2771" t="s">
        <v>58</v>
      </c>
      <c r="N2771" t="str">
        <f t="shared" si="70"/>
        <v>United Kingdom</v>
      </c>
      <c r="O2771" s="8">
        <f>IF(K2771&gt;=1,K2771,K2771*1000)</f>
        <v>640</v>
      </c>
      <c r="P2771">
        <f>ABS(H2771)</f>
        <v>3</v>
      </c>
      <c r="R2771"/>
    </row>
    <row r="2772" spans="1:18" x14ac:dyDescent="0.35">
      <c r="A2772" t="s">
        <v>4342</v>
      </c>
      <c r="B2772" s="2">
        <v>46184</v>
      </c>
      <c r="C2772" t="s">
        <v>2238</v>
      </c>
      <c r="D2772" s="3" t="s">
        <v>116</v>
      </c>
      <c r="E2772" t="s">
        <v>67</v>
      </c>
      <c r="F2772" t="s">
        <v>35</v>
      </c>
      <c r="G2772" t="s">
        <v>36</v>
      </c>
      <c r="H2772" s="8">
        <v>2</v>
      </c>
      <c r="I2772" s="10">
        <v>71.099999999999994</v>
      </c>
      <c r="J2772" s="14">
        <f>P2772*I2772</f>
        <v>142.19999999999999</v>
      </c>
      <c r="K2772" s="16">
        <v>8.5000000000000006E-2</v>
      </c>
      <c r="L2772" s="1" t="s">
        <v>30</v>
      </c>
      <c r="M2772" t="s">
        <v>22</v>
      </c>
      <c r="N2772" t="str">
        <f t="shared" si="70"/>
        <v>Germany</v>
      </c>
      <c r="O2772" s="8">
        <f>IF(K2772&gt;=1,K2772,K2772*1000)</f>
        <v>85</v>
      </c>
      <c r="P2772">
        <f>ABS(H2772)</f>
        <v>2</v>
      </c>
      <c r="R2772"/>
    </row>
    <row r="2773" spans="1:18" x14ac:dyDescent="0.35">
      <c r="A2773" t="s">
        <v>4343</v>
      </c>
      <c r="B2773" s="2">
        <v>46071</v>
      </c>
      <c r="C2773" t="s">
        <v>2138</v>
      </c>
      <c r="D2773" s="3" t="s">
        <v>4612</v>
      </c>
      <c r="E2773" t="s">
        <v>25</v>
      </c>
      <c r="F2773" t="s">
        <v>83</v>
      </c>
      <c r="G2773" t="s">
        <v>84</v>
      </c>
      <c r="H2773" s="8">
        <v>1</v>
      </c>
      <c r="I2773" s="10">
        <v>80.099999999999994</v>
      </c>
      <c r="J2773" s="14">
        <f>P2773*I2773</f>
        <v>80.099999999999994</v>
      </c>
      <c r="K2773" s="16">
        <v>340</v>
      </c>
      <c r="L2773" s="1" t="s">
        <v>30</v>
      </c>
      <c r="M2773" t="s">
        <v>22</v>
      </c>
      <c r="N2773" t="str">
        <f t="shared" si="70"/>
        <v>United Kingdom</v>
      </c>
      <c r="O2773" s="8">
        <f>IF(K2773&gt;=1,K2773,K2773*1000)</f>
        <v>340</v>
      </c>
      <c r="P2773">
        <f>ABS(H2773)</f>
        <v>1</v>
      </c>
      <c r="R2773"/>
    </row>
    <row r="2774" spans="1:18" x14ac:dyDescent="0.35">
      <c r="A2774" t="s">
        <v>4344</v>
      </c>
      <c r="B2774" s="2">
        <v>46134</v>
      </c>
      <c r="C2774" t="s">
        <v>2701</v>
      </c>
      <c r="D2774" s="3" t="s">
        <v>4612</v>
      </c>
      <c r="E2774" t="s">
        <v>41</v>
      </c>
      <c r="F2774" t="s">
        <v>42</v>
      </c>
      <c r="G2774" t="s">
        <v>43</v>
      </c>
      <c r="H2774" s="8">
        <v>2</v>
      </c>
      <c r="I2774" s="10">
        <v>95</v>
      </c>
      <c r="J2774" s="14">
        <f>P2774*I2774</f>
        <v>190</v>
      </c>
      <c r="K2774" s="16">
        <v>0.19</v>
      </c>
      <c r="L2774" s="1" t="s">
        <v>30</v>
      </c>
      <c r="M2774" t="s">
        <v>22</v>
      </c>
      <c r="N2774" t="str">
        <f t="shared" si="70"/>
        <v>United Kingdom</v>
      </c>
      <c r="O2774" s="8">
        <f>IF(K2774&gt;=1,K2774,K2774*1000)</f>
        <v>190</v>
      </c>
      <c r="P2774">
        <f>ABS(H2774)</f>
        <v>2</v>
      </c>
      <c r="R2774"/>
    </row>
    <row r="2775" spans="1:18" x14ac:dyDescent="0.35">
      <c r="A2775" t="s">
        <v>4345</v>
      </c>
      <c r="B2775" s="2">
        <v>46097</v>
      </c>
      <c r="C2775" t="s">
        <v>4346</v>
      </c>
      <c r="D2775" s="3" t="s">
        <v>15</v>
      </c>
      <c r="E2775" t="s">
        <v>34</v>
      </c>
      <c r="F2775" t="s">
        <v>74</v>
      </c>
      <c r="G2775" t="s">
        <v>75</v>
      </c>
      <c r="H2775" s="8">
        <v>1</v>
      </c>
      <c r="I2775" s="10">
        <v>71.099999999999994</v>
      </c>
      <c r="J2775" s="14">
        <f>P2775*I2775</f>
        <v>71.099999999999994</v>
      </c>
      <c r="K2775" s="16">
        <v>410</v>
      </c>
      <c r="L2775" s="1" t="s">
        <v>30</v>
      </c>
      <c r="M2775" t="s">
        <v>58</v>
      </c>
      <c r="N2775" t="str">
        <f t="shared" si="70"/>
        <v>France</v>
      </c>
      <c r="O2775" s="8">
        <f>IF(K2775&gt;=1,K2775,K2775*1000)</f>
        <v>410</v>
      </c>
      <c r="P2775">
        <f>ABS(H2775)</f>
        <v>1</v>
      </c>
      <c r="R2775"/>
    </row>
    <row r="2776" spans="1:18" x14ac:dyDescent="0.35">
      <c r="A2776" t="s">
        <v>4347</v>
      </c>
      <c r="B2776" s="2">
        <v>46111</v>
      </c>
      <c r="C2776" t="s">
        <v>2993</v>
      </c>
      <c r="D2776" s="3" t="s">
        <v>4612</v>
      </c>
      <c r="E2776" t="s">
        <v>67</v>
      </c>
      <c r="F2776" t="s">
        <v>35</v>
      </c>
      <c r="G2776" t="s">
        <v>36</v>
      </c>
      <c r="H2776" s="8">
        <v>2</v>
      </c>
      <c r="I2776" s="10">
        <v>11.25</v>
      </c>
      <c r="J2776" s="14">
        <f>P2776*I2776</f>
        <v>22.5</v>
      </c>
      <c r="K2776" s="16">
        <v>85</v>
      </c>
      <c r="L2776" s="1" t="s">
        <v>21</v>
      </c>
      <c r="M2776" t="s">
        <v>22</v>
      </c>
      <c r="N2776" t="str">
        <f t="shared" si="70"/>
        <v>United Kingdom</v>
      </c>
      <c r="O2776" s="8">
        <f>IF(K2776&gt;=1,K2776,K2776*1000)</f>
        <v>85</v>
      </c>
      <c r="P2776">
        <f>ABS(H2776)</f>
        <v>2</v>
      </c>
      <c r="R2776"/>
    </row>
    <row r="2777" spans="1:18" x14ac:dyDescent="0.35">
      <c r="A2777" t="s">
        <v>4348</v>
      </c>
      <c r="B2777" s="2">
        <v>46055</v>
      </c>
      <c r="C2777" t="s">
        <v>4349</v>
      </c>
      <c r="D2777" s="3" t="s">
        <v>66</v>
      </c>
      <c r="E2777" t="s">
        <v>16</v>
      </c>
      <c r="F2777" t="s">
        <v>17</v>
      </c>
      <c r="G2777" t="s">
        <v>18</v>
      </c>
      <c r="H2777" s="8">
        <v>3</v>
      </c>
      <c r="I2777" s="10">
        <v>95</v>
      </c>
      <c r="J2777" s="14">
        <f>P2777*I2777</f>
        <v>285</v>
      </c>
      <c r="K2777" s="16">
        <v>520</v>
      </c>
      <c r="L2777" s="1" t="s">
        <v>30</v>
      </c>
      <c r="M2777" t="s">
        <v>22</v>
      </c>
      <c r="N2777" t="str">
        <f t="shared" si="70"/>
        <v>Gb</v>
      </c>
      <c r="O2777" s="8">
        <f>IF(K2777&gt;=1,K2777,K2777*1000)</f>
        <v>520</v>
      </c>
      <c r="P2777">
        <f>ABS(H2777)</f>
        <v>3</v>
      </c>
      <c r="R2777"/>
    </row>
    <row r="2778" spans="1:18" x14ac:dyDescent="0.35">
      <c r="A2778" t="s">
        <v>4350</v>
      </c>
      <c r="B2778" s="2">
        <v>46057</v>
      </c>
      <c r="C2778" t="s">
        <v>2348</v>
      </c>
      <c r="D2778" s="3" t="s">
        <v>99</v>
      </c>
      <c r="E2778" t="s">
        <v>41</v>
      </c>
      <c r="F2778" t="s">
        <v>83</v>
      </c>
      <c r="G2778" t="s">
        <v>84</v>
      </c>
      <c r="H2778" s="8">
        <v>-2</v>
      </c>
      <c r="I2778" s="10">
        <v>116.1</v>
      </c>
      <c r="J2778" s="14">
        <f>P2778*I2778</f>
        <v>232.2</v>
      </c>
      <c r="K2778" s="16">
        <v>340</v>
      </c>
      <c r="L2778" s="1" t="s">
        <v>30</v>
      </c>
      <c r="M2778" t="s">
        <v>22</v>
      </c>
      <c r="N2778" t="str">
        <f t="shared" si="70"/>
        <v>United Kingdom</v>
      </c>
      <c r="O2778" s="8">
        <f>IF(K2778&gt;=1,K2778,K2778*1000)</f>
        <v>340</v>
      </c>
      <c r="P2778">
        <f>ABS(H2778)</f>
        <v>2</v>
      </c>
      <c r="R2778"/>
    </row>
    <row r="2779" spans="1:18" x14ac:dyDescent="0.35">
      <c r="A2779" t="s">
        <v>4351</v>
      </c>
      <c r="B2779" s="2">
        <v>46121</v>
      </c>
      <c r="C2779" t="s">
        <v>901</v>
      </c>
      <c r="D2779" s="3" t="s">
        <v>4613</v>
      </c>
      <c r="E2779" t="s">
        <v>16</v>
      </c>
      <c r="F2779" t="s">
        <v>74</v>
      </c>
      <c r="G2779" t="s">
        <v>75</v>
      </c>
      <c r="H2779" s="8">
        <v>1</v>
      </c>
      <c r="I2779" s="10">
        <v>79</v>
      </c>
      <c r="J2779" s="14">
        <f>P2779*I2779</f>
        <v>79</v>
      </c>
      <c r="K2779" s="16">
        <v>410</v>
      </c>
      <c r="L2779" s="1" t="s">
        <v>21</v>
      </c>
      <c r="M2779" t="s">
        <v>22</v>
      </c>
      <c r="N2779" t="str">
        <f t="shared" si="70"/>
        <v>United Kingdom</v>
      </c>
      <c r="O2779" s="8">
        <f>IF(K2779&gt;=1,K2779,K2779*1000)</f>
        <v>410</v>
      </c>
      <c r="P2779">
        <f>ABS(H2779)</f>
        <v>1</v>
      </c>
      <c r="R2779"/>
    </row>
    <row r="2780" spans="1:18" x14ac:dyDescent="0.35">
      <c r="A2780" t="s">
        <v>4352</v>
      </c>
      <c r="B2780" s="2">
        <v>46207</v>
      </c>
      <c r="C2780" t="s">
        <v>3427</v>
      </c>
      <c r="D2780" s="3" t="s">
        <v>99</v>
      </c>
      <c r="E2780" t="s">
        <v>41</v>
      </c>
      <c r="F2780" t="s">
        <v>83</v>
      </c>
      <c r="G2780" t="s">
        <v>84</v>
      </c>
      <c r="H2780" s="8">
        <v>1</v>
      </c>
      <c r="I2780" s="10">
        <v>89</v>
      </c>
      <c r="J2780" s="14">
        <f>P2780*I2780</f>
        <v>89</v>
      </c>
      <c r="K2780" s="16">
        <v>0.34</v>
      </c>
      <c r="L2780" s="1" t="s">
        <v>21</v>
      </c>
      <c r="M2780" t="s">
        <v>58</v>
      </c>
      <c r="N2780" t="str">
        <f t="shared" si="70"/>
        <v>United Kingdom</v>
      </c>
      <c r="O2780" s="8">
        <f>IF(K2780&gt;=1,K2780,K2780*1000)</f>
        <v>340</v>
      </c>
      <c r="P2780">
        <f>ABS(H2780)</f>
        <v>1</v>
      </c>
      <c r="R2780"/>
    </row>
    <row r="2781" spans="1:18" x14ac:dyDescent="0.35">
      <c r="A2781" t="s">
        <v>4353</v>
      </c>
      <c r="B2781" s="2">
        <v>46098</v>
      </c>
      <c r="C2781" t="s">
        <v>1346</v>
      </c>
      <c r="D2781" s="3" t="s">
        <v>53</v>
      </c>
      <c r="E2781" t="s">
        <v>34</v>
      </c>
      <c r="F2781" t="s">
        <v>83</v>
      </c>
      <c r="G2781" t="s">
        <v>84</v>
      </c>
      <c r="H2781" s="8">
        <v>1</v>
      </c>
      <c r="I2781" s="12" t="s">
        <v>4646</v>
      </c>
      <c r="J2781" s="14">
        <f>P2781*R2781</f>
        <v>95</v>
      </c>
      <c r="K2781" s="16">
        <v>340</v>
      </c>
      <c r="L2781" s="1" t="s">
        <v>30</v>
      </c>
      <c r="M2781" t="s">
        <v>22</v>
      </c>
      <c r="N2781" t="str">
        <f t="shared" si="70"/>
        <v>Gb</v>
      </c>
      <c r="O2781" s="8">
        <f>IF(K2781&gt;=1,K2781,K2781*1000)</f>
        <v>340</v>
      </c>
      <c r="P2781">
        <f>ABS(H2781)</f>
        <v>1</v>
      </c>
      <c r="Q2781" t="str">
        <f>LEFT(I2781,2)</f>
        <v>Â£</v>
      </c>
      <c r="R2781" t="str">
        <f>RIGHT(I2781,5)</f>
        <v>95,00</v>
      </c>
    </row>
    <row r="2782" spans="1:18" x14ac:dyDescent="0.35">
      <c r="A2782" t="s">
        <v>4354</v>
      </c>
      <c r="B2782" s="2">
        <v>46134</v>
      </c>
      <c r="C2782" t="s">
        <v>4355</v>
      </c>
      <c r="D2782" s="3" t="s">
        <v>99</v>
      </c>
      <c r="E2782" t="s">
        <v>25</v>
      </c>
      <c r="F2782" t="s">
        <v>26</v>
      </c>
      <c r="G2782" t="s">
        <v>27</v>
      </c>
      <c r="H2782" s="8">
        <v>1</v>
      </c>
      <c r="I2782" s="10">
        <v>40.5</v>
      </c>
      <c r="J2782" s="14">
        <f>P2782*I2782</f>
        <v>40.5</v>
      </c>
      <c r="K2782" s="16">
        <v>0.52</v>
      </c>
      <c r="L2782" s="1" t="s">
        <v>21</v>
      </c>
      <c r="M2782" t="s">
        <v>22</v>
      </c>
      <c r="N2782" t="str">
        <f t="shared" si="70"/>
        <v>United Kingdom</v>
      </c>
      <c r="O2782" s="8">
        <f>IF(K2782&gt;=1,K2782,K2782*1000)</f>
        <v>520</v>
      </c>
      <c r="P2782">
        <f>ABS(H2782)</f>
        <v>1</v>
      </c>
      <c r="R2782"/>
    </row>
    <row r="2783" spans="1:18" x14ac:dyDescent="0.35">
      <c r="A2783" t="s">
        <v>4356</v>
      </c>
      <c r="B2783" s="2">
        <v>46159</v>
      </c>
      <c r="C2783" t="s">
        <v>545</v>
      </c>
      <c r="D2783" s="3" t="s">
        <v>4612</v>
      </c>
      <c r="E2783" t="s">
        <v>25</v>
      </c>
      <c r="F2783" t="s">
        <v>89</v>
      </c>
      <c r="G2783" t="s">
        <v>90</v>
      </c>
      <c r="H2783" s="8">
        <v>2</v>
      </c>
      <c r="I2783" s="10">
        <v>85.5</v>
      </c>
      <c r="J2783" s="14">
        <f>P2783*I2783</f>
        <v>171</v>
      </c>
      <c r="K2783" s="16">
        <v>0.64</v>
      </c>
      <c r="L2783" s="1" t="s">
        <v>30</v>
      </c>
      <c r="M2783" t="s">
        <v>58</v>
      </c>
      <c r="N2783" t="str">
        <f t="shared" si="70"/>
        <v>United Kingdom</v>
      </c>
      <c r="O2783" s="8">
        <f>IF(K2783&gt;=1,K2783,K2783*1000)</f>
        <v>640</v>
      </c>
      <c r="P2783">
        <f>ABS(H2783)</f>
        <v>2</v>
      </c>
      <c r="R2783"/>
    </row>
    <row r="2784" spans="1:18" x14ac:dyDescent="0.35">
      <c r="A2784" t="s">
        <v>4357</v>
      </c>
      <c r="B2784" s="2">
        <v>46145</v>
      </c>
      <c r="C2784" t="s">
        <v>1467</v>
      </c>
      <c r="D2784" s="3" t="s">
        <v>4612</v>
      </c>
      <c r="E2784" t="s">
        <v>67</v>
      </c>
      <c r="F2784" t="s">
        <v>89</v>
      </c>
      <c r="G2784" t="s">
        <v>90</v>
      </c>
      <c r="H2784" s="8">
        <v>3</v>
      </c>
      <c r="I2784" s="10">
        <v>45</v>
      </c>
      <c r="J2784" s="14">
        <f>P2784*I2784</f>
        <v>135</v>
      </c>
      <c r="K2784" s="16">
        <v>0.64</v>
      </c>
      <c r="L2784" s="1" t="s">
        <v>30</v>
      </c>
      <c r="M2784" t="s">
        <v>58</v>
      </c>
      <c r="N2784" t="str">
        <f t="shared" si="70"/>
        <v>United Kingdom</v>
      </c>
      <c r="O2784" s="8">
        <f>IF(K2784&gt;=1,K2784,K2784*1000)</f>
        <v>640</v>
      </c>
      <c r="P2784">
        <f>ABS(H2784)</f>
        <v>3</v>
      </c>
      <c r="R2784"/>
    </row>
    <row r="2785" spans="1:18" x14ac:dyDescent="0.35">
      <c r="A2785" t="s">
        <v>4359</v>
      </c>
      <c r="B2785" s="2">
        <v>46074</v>
      </c>
      <c r="C2785" t="s">
        <v>1196</v>
      </c>
      <c r="D2785" s="3" t="s">
        <v>4612</v>
      </c>
      <c r="E2785" t="s">
        <v>41</v>
      </c>
      <c r="F2785" t="s">
        <v>47</v>
      </c>
      <c r="G2785" t="s">
        <v>48</v>
      </c>
      <c r="H2785" s="8">
        <v>1</v>
      </c>
      <c r="I2785" s="10">
        <v>40.5</v>
      </c>
      <c r="J2785" s="14">
        <f>P2785*I2785</f>
        <v>40.5</v>
      </c>
      <c r="K2785" s="16">
        <v>380</v>
      </c>
      <c r="L2785" s="1" t="s">
        <v>30</v>
      </c>
      <c r="M2785" t="s">
        <v>22</v>
      </c>
      <c r="N2785" t="str">
        <f t="shared" si="70"/>
        <v>United Kingdom</v>
      </c>
      <c r="O2785" s="8">
        <f>IF(K2785&gt;=1,K2785,K2785*1000)</f>
        <v>380</v>
      </c>
      <c r="P2785">
        <f>ABS(H2785)</f>
        <v>1</v>
      </c>
      <c r="R2785"/>
    </row>
    <row r="2786" spans="1:18" x14ac:dyDescent="0.35">
      <c r="A2786" t="s">
        <v>4360</v>
      </c>
      <c r="B2786" s="2">
        <v>46104</v>
      </c>
      <c r="C2786" t="s">
        <v>2031</v>
      </c>
      <c r="D2786" s="3" t="s">
        <v>61</v>
      </c>
      <c r="E2786" t="s">
        <v>25</v>
      </c>
      <c r="F2786" t="s">
        <v>26</v>
      </c>
      <c r="G2786" t="s">
        <v>27</v>
      </c>
      <c r="H2786" s="8">
        <v>1</v>
      </c>
      <c r="I2786" s="10">
        <v>129</v>
      </c>
      <c r="J2786" s="14">
        <f>P2786*I2786</f>
        <v>129</v>
      </c>
      <c r="K2786" s="16">
        <v>520</v>
      </c>
      <c r="L2786" s="1" t="s">
        <v>30</v>
      </c>
      <c r="M2786" t="s">
        <v>22</v>
      </c>
      <c r="N2786" t="str">
        <f t="shared" si="70"/>
        <v>Ireland</v>
      </c>
      <c r="O2786" s="8">
        <f>IF(K2786&gt;=1,K2786,K2786*1000)</f>
        <v>520</v>
      </c>
      <c r="P2786">
        <f>ABS(H2786)</f>
        <v>1</v>
      </c>
      <c r="R2786"/>
    </row>
    <row r="2787" spans="1:18" x14ac:dyDescent="0.35">
      <c r="A2787" t="s">
        <v>4361</v>
      </c>
      <c r="B2787" s="2" t="s">
        <v>1926</v>
      </c>
      <c r="C2787" t="s">
        <v>2189</v>
      </c>
      <c r="D2787" s="3" t="s">
        <v>4613</v>
      </c>
      <c r="E2787" t="s">
        <v>41</v>
      </c>
      <c r="F2787" t="s">
        <v>74</v>
      </c>
      <c r="G2787" t="s">
        <v>75</v>
      </c>
      <c r="H2787" s="8">
        <v>1</v>
      </c>
      <c r="I2787" s="10">
        <v>79</v>
      </c>
      <c r="J2787" s="14">
        <f>P2787*I2787</f>
        <v>79</v>
      </c>
      <c r="K2787" s="16">
        <v>0.41</v>
      </c>
      <c r="L2787" s="1" t="s">
        <v>30</v>
      </c>
      <c r="M2787" t="s">
        <v>58</v>
      </c>
      <c r="N2787" t="str">
        <f t="shared" si="70"/>
        <v>United Kingdom</v>
      </c>
      <c r="O2787" s="8">
        <f>IF(K2787&gt;=1,K2787,K2787*1000)</f>
        <v>410</v>
      </c>
      <c r="P2787">
        <f>ABS(H2787)</f>
        <v>1</v>
      </c>
      <c r="R2787"/>
    </row>
    <row r="2788" spans="1:18" x14ac:dyDescent="0.35">
      <c r="A2788" t="s">
        <v>4362</v>
      </c>
      <c r="B2788" s="2">
        <v>46203</v>
      </c>
      <c r="C2788" t="s">
        <v>1918</v>
      </c>
      <c r="D2788" s="3" t="s">
        <v>46</v>
      </c>
      <c r="E2788" t="s">
        <v>67</v>
      </c>
      <c r="F2788" t="s">
        <v>26</v>
      </c>
      <c r="G2788" t="s">
        <v>27</v>
      </c>
      <c r="H2788" s="8">
        <v>1</v>
      </c>
      <c r="I2788" s="10">
        <v>45</v>
      </c>
      <c r="J2788" s="14">
        <f>P2788*I2788</f>
        <v>45</v>
      </c>
      <c r="K2788" s="16">
        <v>0.52</v>
      </c>
      <c r="L2788" s="1" t="s">
        <v>21</v>
      </c>
      <c r="M2788" t="s">
        <v>22</v>
      </c>
      <c r="N2788" t="str">
        <f t="shared" si="70"/>
        <v>Ireland</v>
      </c>
      <c r="O2788" s="8">
        <f>IF(K2788&gt;=1,K2788,K2788*1000)</f>
        <v>520</v>
      </c>
      <c r="P2788">
        <f>ABS(H2788)</f>
        <v>1</v>
      </c>
      <c r="R2788"/>
    </row>
    <row r="2789" spans="1:18" x14ac:dyDescent="0.35">
      <c r="A2789" t="s">
        <v>4363</v>
      </c>
      <c r="B2789" s="2">
        <v>46196</v>
      </c>
      <c r="C2789" t="s">
        <v>4364</v>
      </c>
      <c r="D2789" s="3" t="s">
        <v>53</v>
      </c>
      <c r="E2789" t="s">
        <v>67</v>
      </c>
      <c r="F2789" t="s">
        <v>42</v>
      </c>
      <c r="G2789" t="s">
        <v>43</v>
      </c>
      <c r="H2789" s="8">
        <v>1</v>
      </c>
      <c r="I2789" s="10">
        <v>85.5</v>
      </c>
      <c r="J2789" s="14">
        <f>P2789*I2789</f>
        <v>85.5</v>
      </c>
      <c r="K2789" s="16">
        <v>0.19</v>
      </c>
      <c r="L2789" s="1" t="s">
        <v>30</v>
      </c>
      <c r="M2789" t="s">
        <v>58</v>
      </c>
      <c r="N2789" t="str">
        <f t="shared" si="70"/>
        <v>Gb</v>
      </c>
      <c r="O2789" s="8">
        <f>IF(K2789&gt;=1,K2789,K2789*1000)</f>
        <v>190</v>
      </c>
      <c r="P2789">
        <f>ABS(H2789)</f>
        <v>1</v>
      </c>
      <c r="R2789"/>
    </row>
    <row r="2790" spans="1:18" x14ac:dyDescent="0.35">
      <c r="A2790" t="s">
        <v>4365</v>
      </c>
      <c r="B2790" s="2">
        <v>46135</v>
      </c>
      <c r="C2790" t="s">
        <v>295</v>
      </c>
      <c r="D2790" s="3" t="s">
        <v>116</v>
      </c>
      <c r="E2790" t="s">
        <v>34</v>
      </c>
      <c r="F2790" t="s">
        <v>83</v>
      </c>
      <c r="G2790" t="s">
        <v>84</v>
      </c>
      <c r="H2790" s="8">
        <v>1</v>
      </c>
      <c r="I2790" s="10">
        <v>149</v>
      </c>
      <c r="J2790" s="14">
        <f>P2790*I2790</f>
        <v>149</v>
      </c>
      <c r="K2790" s="16">
        <v>0.34</v>
      </c>
      <c r="L2790" s="1" t="s">
        <v>30</v>
      </c>
      <c r="M2790" t="s">
        <v>58</v>
      </c>
      <c r="N2790" t="str">
        <f t="shared" si="70"/>
        <v>Germany</v>
      </c>
      <c r="O2790" s="8">
        <f>IF(K2790&gt;=1,K2790,K2790*1000)</f>
        <v>340</v>
      </c>
      <c r="P2790">
        <f>ABS(H2790)</f>
        <v>1</v>
      </c>
      <c r="R2790"/>
    </row>
    <row r="2791" spans="1:18" x14ac:dyDescent="0.35">
      <c r="A2791" t="s">
        <v>4366</v>
      </c>
      <c r="B2791" s="2">
        <v>46052</v>
      </c>
      <c r="C2791" t="s">
        <v>2752</v>
      </c>
      <c r="D2791" s="3" t="s">
        <v>116</v>
      </c>
      <c r="E2791" t="s">
        <v>25</v>
      </c>
      <c r="F2791" t="s">
        <v>89</v>
      </c>
      <c r="G2791" t="s">
        <v>90</v>
      </c>
      <c r="H2791" s="8">
        <v>1</v>
      </c>
      <c r="I2791" s="10">
        <v>89</v>
      </c>
      <c r="J2791" s="14">
        <f>P2791*I2791</f>
        <v>89</v>
      </c>
      <c r="K2791" s="16">
        <v>640</v>
      </c>
      <c r="L2791" s="1" t="s">
        <v>30</v>
      </c>
      <c r="M2791" t="s">
        <v>22</v>
      </c>
      <c r="N2791" t="str">
        <f t="shared" si="70"/>
        <v>Germany</v>
      </c>
      <c r="O2791" s="8">
        <f>IF(K2791&gt;=1,K2791,K2791*1000)</f>
        <v>640</v>
      </c>
      <c r="P2791">
        <f>ABS(H2791)</f>
        <v>1</v>
      </c>
      <c r="R2791"/>
    </row>
    <row r="2792" spans="1:18" x14ac:dyDescent="0.35">
      <c r="A2792" t="s">
        <v>4367</v>
      </c>
      <c r="B2792" s="2">
        <v>46038</v>
      </c>
      <c r="C2792" t="s">
        <v>559</v>
      </c>
      <c r="D2792" s="3" t="s">
        <v>99</v>
      </c>
      <c r="E2792" t="s">
        <v>16</v>
      </c>
      <c r="F2792" t="s">
        <v>42</v>
      </c>
      <c r="G2792" t="s">
        <v>43</v>
      </c>
      <c r="H2792" s="8">
        <v>2</v>
      </c>
      <c r="I2792" s="10">
        <v>21.6</v>
      </c>
      <c r="J2792" s="14">
        <f>P2792*I2792</f>
        <v>43.2</v>
      </c>
      <c r="K2792" s="16">
        <v>190</v>
      </c>
      <c r="L2792" s="1" t="s">
        <v>30</v>
      </c>
      <c r="M2792" t="s">
        <v>58</v>
      </c>
      <c r="N2792" t="str">
        <f t="shared" si="70"/>
        <v>United Kingdom</v>
      </c>
      <c r="O2792" s="8">
        <f>IF(K2792&gt;=1,K2792,K2792*1000)</f>
        <v>190</v>
      </c>
      <c r="P2792">
        <f>ABS(H2792)</f>
        <v>2</v>
      </c>
      <c r="R2792"/>
    </row>
    <row r="2793" spans="1:18" x14ac:dyDescent="0.35">
      <c r="A2793" t="s">
        <v>4368</v>
      </c>
      <c r="B2793" s="2">
        <v>46091</v>
      </c>
      <c r="C2793" t="s">
        <v>1976</v>
      </c>
      <c r="D2793" s="3" t="s">
        <v>99</v>
      </c>
      <c r="E2793" t="s">
        <v>16</v>
      </c>
      <c r="F2793" t="s">
        <v>35</v>
      </c>
      <c r="G2793" t="s">
        <v>36</v>
      </c>
      <c r="H2793" s="8">
        <v>2</v>
      </c>
      <c r="I2793" s="10">
        <v>80.099999999999994</v>
      </c>
      <c r="J2793" s="14">
        <f>P2793*I2793</f>
        <v>160.19999999999999</v>
      </c>
      <c r="K2793" s="16">
        <v>85</v>
      </c>
      <c r="L2793" s="1" t="s">
        <v>30</v>
      </c>
      <c r="M2793" t="s">
        <v>58</v>
      </c>
      <c r="N2793" t="str">
        <f t="shared" si="70"/>
        <v>United Kingdom</v>
      </c>
      <c r="O2793" s="8">
        <f>IF(K2793&gt;=1,K2793,K2793*1000)</f>
        <v>85</v>
      </c>
      <c r="P2793">
        <f>ABS(H2793)</f>
        <v>2</v>
      </c>
      <c r="R2793"/>
    </row>
    <row r="2794" spans="1:18" x14ac:dyDescent="0.35">
      <c r="A2794" t="s">
        <v>4369</v>
      </c>
      <c r="B2794" s="2">
        <v>46079</v>
      </c>
      <c r="C2794" t="s">
        <v>2380</v>
      </c>
      <c r="D2794" s="3" t="s">
        <v>53</v>
      </c>
      <c r="E2794" t="s">
        <v>34</v>
      </c>
      <c r="F2794" t="s">
        <v>42</v>
      </c>
      <c r="G2794" t="s">
        <v>43</v>
      </c>
      <c r="H2794" s="8">
        <v>2</v>
      </c>
      <c r="I2794" s="10">
        <v>116.1</v>
      </c>
      <c r="J2794" s="14">
        <f>P2794*I2794</f>
        <v>232.2</v>
      </c>
      <c r="K2794" s="16">
        <v>190</v>
      </c>
      <c r="L2794" s="1" t="s">
        <v>30</v>
      </c>
      <c r="M2794" t="s">
        <v>22</v>
      </c>
      <c r="N2794" t="str">
        <f t="shared" si="70"/>
        <v>Gb</v>
      </c>
      <c r="O2794" s="8">
        <f>IF(K2794&gt;=1,K2794,K2794*1000)</f>
        <v>190</v>
      </c>
      <c r="P2794">
        <f>ABS(H2794)</f>
        <v>2</v>
      </c>
      <c r="R2794"/>
    </row>
    <row r="2795" spans="1:18" x14ac:dyDescent="0.35">
      <c r="A2795" t="s">
        <v>4370</v>
      </c>
      <c r="B2795" s="2">
        <v>46140</v>
      </c>
      <c r="C2795" t="s">
        <v>1175</v>
      </c>
      <c r="D2795" s="3" t="s">
        <v>4613</v>
      </c>
      <c r="E2795" t="s">
        <v>16</v>
      </c>
      <c r="F2795" t="s">
        <v>47</v>
      </c>
      <c r="G2795" t="s">
        <v>48</v>
      </c>
      <c r="H2795" s="8">
        <v>2</v>
      </c>
      <c r="I2795" s="10">
        <v>129</v>
      </c>
      <c r="J2795" s="14">
        <f>P2795*I2795</f>
        <v>258</v>
      </c>
      <c r="K2795" s="16">
        <v>0.38</v>
      </c>
      <c r="L2795" s="1" t="s">
        <v>21</v>
      </c>
      <c r="M2795" t="s">
        <v>22</v>
      </c>
      <c r="N2795" t="str">
        <f t="shared" si="70"/>
        <v>United Kingdom</v>
      </c>
      <c r="O2795" s="8">
        <f>IF(K2795&gt;=1,K2795,K2795*1000)</f>
        <v>380</v>
      </c>
      <c r="P2795">
        <f>ABS(H2795)</f>
        <v>2</v>
      </c>
      <c r="R2795"/>
    </row>
    <row r="2796" spans="1:18" x14ac:dyDescent="0.35">
      <c r="A2796" t="s">
        <v>4371</v>
      </c>
      <c r="B2796" s="2">
        <v>46056</v>
      </c>
      <c r="C2796" t="s">
        <v>944</v>
      </c>
      <c r="D2796" s="3" t="s">
        <v>116</v>
      </c>
      <c r="E2796" t="s">
        <v>25</v>
      </c>
      <c r="F2796" t="s">
        <v>42</v>
      </c>
      <c r="G2796" t="s">
        <v>43</v>
      </c>
      <c r="H2796" s="8">
        <v>2</v>
      </c>
      <c r="I2796" s="10">
        <v>24</v>
      </c>
      <c r="J2796" s="14">
        <f>P2796*I2796</f>
        <v>48</v>
      </c>
      <c r="K2796" s="16">
        <v>190</v>
      </c>
      <c r="L2796" s="1" t="s">
        <v>30</v>
      </c>
      <c r="M2796" t="s">
        <v>22</v>
      </c>
      <c r="N2796" t="str">
        <f t="shared" si="70"/>
        <v>Germany</v>
      </c>
      <c r="O2796" s="8">
        <f>IF(K2796&gt;=1,K2796,K2796*1000)</f>
        <v>190</v>
      </c>
      <c r="P2796">
        <f>ABS(H2796)</f>
        <v>2</v>
      </c>
      <c r="R2796"/>
    </row>
    <row r="2797" spans="1:18" x14ac:dyDescent="0.35">
      <c r="A2797" t="s">
        <v>4372</v>
      </c>
      <c r="B2797" s="2">
        <v>46101</v>
      </c>
      <c r="C2797" t="s">
        <v>328</v>
      </c>
      <c r="D2797" s="3" t="s">
        <v>46</v>
      </c>
      <c r="E2797" t="s">
        <v>16</v>
      </c>
      <c r="F2797" t="s">
        <v>47</v>
      </c>
      <c r="G2797" t="s">
        <v>48</v>
      </c>
      <c r="H2797" s="8">
        <v>3</v>
      </c>
      <c r="I2797" s="10">
        <v>80.099999999999994</v>
      </c>
      <c r="J2797" s="14">
        <f>P2797*I2797</f>
        <v>240.29999999999998</v>
      </c>
      <c r="K2797" s="16">
        <v>380</v>
      </c>
      <c r="L2797" s="1" t="s">
        <v>21</v>
      </c>
      <c r="M2797" t="s">
        <v>22</v>
      </c>
      <c r="N2797" t="str">
        <f t="shared" si="70"/>
        <v>Ireland</v>
      </c>
      <c r="O2797" s="8">
        <f>IF(K2797&gt;=1,K2797,K2797*1000)</f>
        <v>380</v>
      </c>
      <c r="P2797">
        <f>ABS(H2797)</f>
        <v>3</v>
      </c>
      <c r="R2797"/>
    </row>
    <row r="2798" spans="1:18" x14ac:dyDescent="0.35">
      <c r="A2798" t="s">
        <v>4374</v>
      </c>
      <c r="B2798" s="2">
        <v>46093</v>
      </c>
      <c r="C2798" t="s">
        <v>3886</v>
      </c>
      <c r="D2798" s="3" t="s">
        <v>53</v>
      </c>
      <c r="E2798" t="s">
        <v>41</v>
      </c>
      <c r="F2798" t="s">
        <v>26</v>
      </c>
      <c r="G2798" t="s">
        <v>27</v>
      </c>
      <c r="H2798" s="8">
        <v>1</v>
      </c>
      <c r="I2798" s="10">
        <v>89</v>
      </c>
      <c r="J2798" s="14">
        <f>P2798*I2798</f>
        <v>89</v>
      </c>
      <c r="K2798" s="16">
        <v>520</v>
      </c>
      <c r="L2798" s="1" t="s">
        <v>21</v>
      </c>
      <c r="M2798" t="s">
        <v>58</v>
      </c>
      <c r="N2798" t="str">
        <f t="shared" si="70"/>
        <v>Gb</v>
      </c>
      <c r="O2798" s="8">
        <f>IF(K2798&gt;=1,K2798,K2798*1000)</f>
        <v>520</v>
      </c>
      <c r="P2798">
        <f>ABS(H2798)</f>
        <v>1</v>
      </c>
      <c r="R2798"/>
    </row>
    <row r="2799" spans="1:18" x14ac:dyDescent="0.35">
      <c r="A2799" t="s">
        <v>4375</v>
      </c>
      <c r="B2799" s="2">
        <v>46135</v>
      </c>
      <c r="C2799" t="s">
        <v>4376</v>
      </c>
      <c r="D2799" s="3" t="s">
        <v>99</v>
      </c>
      <c r="E2799" t="s">
        <v>67</v>
      </c>
      <c r="F2799" t="s">
        <v>74</v>
      </c>
      <c r="G2799" t="s">
        <v>75</v>
      </c>
      <c r="H2799" s="8">
        <v>2</v>
      </c>
      <c r="I2799" s="10">
        <v>21.6</v>
      </c>
      <c r="J2799" s="14">
        <f>P2799*I2799</f>
        <v>43.2</v>
      </c>
      <c r="K2799" s="16">
        <v>0.41</v>
      </c>
      <c r="L2799" s="1" t="s">
        <v>30</v>
      </c>
      <c r="M2799" t="s">
        <v>22</v>
      </c>
      <c r="N2799" t="str">
        <f t="shared" si="70"/>
        <v>United Kingdom</v>
      </c>
      <c r="O2799" s="8">
        <f>IF(K2799&gt;=1,K2799,K2799*1000)</f>
        <v>410</v>
      </c>
      <c r="P2799">
        <f>ABS(H2799)</f>
        <v>2</v>
      </c>
      <c r="R2799"/>
    </row>
    <row r="2800" spans="1:18" x14ac:dyDescent="0.35">
      <c r="A2800" t="s">
        <v>4377</v>
      </c>
      <c r="B2800" s="2">
        <v>46167</v>
      </c>
      <c r="C2800" t="s">
        <v>1638</v>
      </c>
      <c r="D2800" s="3" t="s">
        <v>15</v>
      </c>
      <c r="E2800" t="s">
        <v>41</v>
      </c>
      <c r="F2800" t="s">
        <v>74</v>
      </c>
      <c r="G2800" t="s">
        <v>75</v>
      </c>
      <c r="H2800" s="8">
        <v>1</v>
      </c>
      <c r="I2800" s="10">
        <v>129</v>
      </c>
      <c r="J2800" s="14">
        <f>P2800*I2800</f>
        <v>129</v>
      </c>
      <c r="K2800" s="16">
        <v>0.41</v>
      </c>
      <c r="L2800" s="1" t="s">
        <v>30</v>
      </c>
      <c r="M2800" t="s">
        <v>22</v>
      </c>
      <c r="N2800" t="str">
        <f t="shared" si="70"/>
        <v>France</v>
      </c>
      <c r="O2800" s="8">
        <f>IF(K2800&gt;=1,K2800,K2800*1000)</f>
        <v>410</v>
      </c>
      <c r="P2800">
        <f>ABS(H2800)</f>
        <v>1</v>
      </c>
      <c r="R2800"/>
    </row>
    <row r="2801" spans="1:18" x14ac:dyDescent="0.35">
      <c r="A2801" t="s">
        <v>4378</v>
      </c>
      <c r="B2801" s="2">
        <v>46111</v>
      </c>
      <c r="C2801" t="s">
        <v>4379</v>
      </c>
      <c r="D2801" s="3" t="s">
        <v>116</v>
      </c>
      <c r="E2801" t="s">
        <v>16</v>
      </c>
      <c r="F2801" t="s">
        <v>17</v>
      </c>
      <c r="G2801" t="s">
        <v>18</v>
      </c>
      <c r="H2801" s="8">
        <v>-1</v>
      </c>
      <c r="I2801" s="10">
        <v>89</v>
      </c>
      <c r="J2801" s="14">
        <f>P2801*I2801</f>
        <v>89</v>
      </c>
      <c r="K2801" s="16">
        <v>520</v>
      </c>
      <c r="L2801" s="1" t="s">
        <v>21</v>
      </c>
      <c r="M2801" t="s">
        <v>22</v>
      </c>
      <c r="N2801" t="str">
        <f t="shared" si="70"/>
        <v>Germany</v>
      </c>
      <c r="O2801" s="8">
        <f>IF(K2801&gt;=1,K2801,K2801*1000)</f>
        <v>520</v>
      </c>
      <c r="P2801">
        <f>ABS(H2801)</f>
        <v>1</v>
      </c>
      <c r="R2801"/>
    </row>
    <row r="2802" spans="1:18" x14ac:dyDescent="0.35">
      <c r="A2802" t="s">
        <v>4380</v>
      </c>
      <c r="B2802" s="2" t="s">
        <v>4381</v>
      </c>
      <c r="C2802" t="s">
        <v>3129</v>
      </c>
      <c r="D2802" s="3" t="s">
        <v>61</v>
      </c>
      <c r="E2802" t="s">
        <v>25</v>
      </c>
      <c r="F2802" t="s">
        <v>35</v>
      </c>
      <c r="G2802" t="s">
        <v>36</v>
      </c>
      <c r="H2802" s="8">
        <v>2</v>
      </c>
      <c r="I2802" s="10">
        <v>45</v>
      </c>
      <c r="J2802" s="14">
        <f>P2802*I2802</f>
        <v>90</v>
      </c>
      <c r="K2802" s="16">
        <v>85</v>
      </c>
      <c r="L2802" s="1" t="s">
        <v>30</v>
      </c>
      <c r="M2802" t="s">
        <v>22</v>
      </c>
      <c r="N2802" t="str">
        <f t="shared" si="70"/>
        <v>Ireland</v>
      </c>
      <c r="O2802" s="8">
        <f>IF(K2802&gt;=1,K2802,K2802*1000)</f>
        <v>85</v>
      </c>
      <c r="P2802">
        <f>ABS(H2802)</f>
        <v>2</v>
      </c>
      <c r="R2802"/>
    </row>
    <row r="2803" spans="1:18" x14ac:dyDescent="0.35">
      <c r="A2803" t="s">
        <v>4382</v>
      </c>
      <c r="B2803" s="2">
        <v>46107</v>
      </c>
      <c r="C2803" t="s">
        <v>4383</v>
      </c>
      <c r="D2803" s="3" t="s">
        <v>4612</v>
      </c>
      <c r="E2803" t="s">
        <v>67</v>
      </c>
      <c r="F2803" t="s">
        <v>83</v>
      </c>
      <c r="G2803" t="s">
        <v>84</v>
      </c>
      <c r="H2803" s="8">
        <v>1</v>
      </c>
      <c r="I2803" s="10">
        <v>89</v>
      </c>
      <c r="J2803" s="14">
        <f>P2803*I2803</f>
        <v>89</v>
      </c>
      <c r="K2803" s="16">
        <v>340</v>
      </c>
      <c r="L2803" s="1" t="s">
        <v>30</v>
      </c>
      <c r="M2803" t="s">
        <v>22</v>
      </c>
      <c r="N2803" t="str">
        <f t="shared" si="70"/>
        <v>United Kingdom</v>
      </c>
      <c r="O2803" s="8">
        <f>IF(K2803&gt;=1,K2803,K2803*1000)</f>
        <v>340</v>
      </c>
      <c r="P2803">
        <f>ABS(H2803)</f>
        <v>1</v>
      </c>
      <c r="R2803"/>
    </row>
    <row r="2804" spans="1:18" x14ac:dyDescent="0.35">
      <c r="A2804" t="s">
        <v>4384</v>
      </c>
      <c r="B2804" s="2">
        <v>46332</v>
      </c>
      <c r="C2804" t="s">
        <v>736</v>
      </c>
      <c r="D2804" s="3" t="s">
        <v>99</v>
      </c>
      <c r="E2804" t="s">
        <v>41</v>
      </c>
      <c r="F2804" t="s">
        <v>74</v>
      </c>
      <c r="G2804" t="s">
        <v>75</v>
      </c>
      <c r="H2804" s="8">
        <v>1</v>
      </c>
      <c r="I2804" s="10">
        <v>149</v>
      </c>
      <c r="J2804" s="14">
        <f>P2804*I2804</f>
        <v>149</v>
      </c>
      <c r="K2804" s="16">
        <v>0.41</v>
      </c>
      <c r="L2804" s="1" t="s">
        <v>21</v>
      </c>
      <c r="M2804" t="s">
        <v>58</v>
      </c>
      <c r="N2804" t="str">
        <f t="shared" si="70"/>
        <v>United Kingdom</v>
      </c>
      <c r="O2804" s="8">
        <f>IF(K2804&gt;=1,K2804,K2804*1000)</f>
        <v>410</v>
      </c>
      <c r="P2804">
        <f>ABS(H2804)</f>
        <v>1</v>
      </c>
      <c r="R2804"/>
    </row>
    <row r="2805" spans="1:18" x14ac:dyDescent="0.35">
      <c r="A2805" t="s">
        <v>4385</v>
      </c>
      <c r="B2805" s="2">
        <v>46172</v>
      </c>
      <c r="C2805" t="s">
        <v>1409</v>
      </c>
      <c r="D2805" s="3" t="s">
        <v>61</v>
      </c>
      <c r="E2805" t="s">
        <v>25</v>
      </c>
      <c r="F2805" t="s">
        <v>74</v>
      </c>
      <c r="G2805" t="s">
        <v>75</v>
      </c>
      <c r="H2805" s="8">
        <v>1</v>
      </c>
      <c r="I2805" s="10">
        <v>79</v>
      </c>
      <c r="J2805" s="14">
        <f>P2805*I2805</f>
        <v>79</v>
      </c>
      <c r="K2805" s="16">
        <v>0.41</v>
      </c>
      <c r="L2805" s="1" t="s">
        <v>21</v>
      </c>
      <c r="M2805" t="s">
        <v>22</v>
      </c>
      <c r="N2805" t="str">
        <f t="shared" si="70"/>
        <v>Ireland</v>
      </c>
      <c r="O2805" s="8">
        <f>IF(K2805&gt;=1,K2805,K2805*1000)</f>
        <v>410</v>
      </c>
      <c r="P2805">
        <f>ABS(H2805)</f>
        <v>1</v>
      </c>
      <c r="R2805"/>
    </row>
    <row r="2806" spans="1:18" x14ac:dyDescent="0.35">
      <c r="A2806" t="s">
        <v>4386</v>
      </c>
      <c r="B2806" s="2">
        <v>46204</v>
      </c>
      <c r="C2806" t="s">
        <v>1678</v>
      </c>
      <c r="D2806" s="3" t="s">
        <v>4612</v>
      </c>
      <c r="E2806" t="s">
        <v>67</v>
      </c>
      <c r="F2806" t="s">
        <v>17</v>
      </c>
      <c r="G2806" t="s">
        <v>18</v>
      </c>
      <c r="H2806" s="8">
        <v>3</v>
      </c>
      <c r="I2806" s="10">
        <v>149</v>
      </c>
      <c r="J2806" s="14">
        <f>P2806*I2806</f>
        <v>447</v>
      </c>
      <c r="K2806" s="16">
        <v>0.52</v>
      </c>
      <c r="L2806" s="1" t="s">
        <v>30</v>
      </c>
      <c r="M2806" t="s">
        <v>58</v>
      </c>
      <c r="N2806" t="str">
        <f t="shared" si="70"/>
        <v>United Kingdom</v>
      </c>
      <c r="O2806" s="8">
        <f>IF(K2806&gt;=1,K2806,K2806*1000)</f>
        <v>520</v>
      </c>
      <c r="P2806">
        <f>ABS(H2806)</f>
        <v>3</v>
      </c>
      <c r="R2806"/>
    </row>
    <row r="2807" spans="1:18" x14ac:dyDescent="0.35">
      <c r="A2807" t="s">
        <v>4387</v>
      </c>
      <c r="B2807" s="2">
        <v>46176</v>
      </c>
      <c r="C2807" t="s">
        <v>4388</v>
      </c>
      <c r="D2807" s="3" t="s">
        <v>53</v>
      </c>
      <c r="E2807" t="s">
        <v>16</v>
      </c>
      <c r="F2807" t="s">
        <v>35</v>
      </c>
      <c r="G2807" t="s">
        <v>36</v>
      </c>
      <c r="H2807" s="8">
        <v>1</v>
      </c>
      <c r="I2807" s="10">
        <v>149</v>
      </c>
      <c r="J2807" s="14">
        <f>P2807*I2807</f>
        <v>149</v>
      </c>
      <c r="K2807" s="16">
        <v>85</v>
      </c>
      <c r="L2807" s="1" t="s">
        <v>30</v>
      </c>
      <c r="M2807" t="s">
        <v>58</v>
      </c>
      <c r="N2807" t="str">
        <f t="shared" si="70"/>
        <v>Gb</v>
      </c>
      <c r="O2807" s="8">
        <f>IF(K2807&gt;=1,K2807,K2807*1000)</f>
        <v>85</v>
      </c>
      <c r="P2807">
        <f>ABS(H2807)</f>
        <v>1</v>
      </c>
      <c r="R2807"/>
    </row>
    <row r="2808" spans="1:18" x14ac:dyDescent="0.35">
      <c r="A2808" t="s">
        <v>4389</v>
      </c>
      <c r="B2808" s="2" t="s">
        <v>2929</v>
      </c>
      <c r="C2808" t="s">
        <v>2020</v>
      </c>
      <c r="D2808" s="3" t="s">
        <v>99</v>
      </c>
      <c r="E2808" t="s">
        <v>25</v>
      </c>
      <c r="F2808" t="s">
        <v>83</v>
      </c>
      <c r="G2808" t="s">
        <v>84</v>
      </c>
      <c r="H2808" s="8">
        <v>3</v>
      </c>
      <c r="I2808" s="10">
        <v>12.5</v>
      </c>
      <c r="J2808" s="14">
        <f>P2808*I2808</f>
        <v>37.5</v>
      </c>
      <c r="K2808" s="16">
        <v>340</v>
      </c>
      <c r="L2808" s="1" t="s">
        <v>30</v>
      </c>
      <c r="M2808" t="s">
        <v>58</v>
      </c>
      <c r="N2808" t="str">
        <f t="shared" si="70"/>
        <v>United Kingdom</v>
      </c>
      <c r="O2808" s="8">
        <f>IF(K2808&gt;=1,K2808,K2808*1000)</f>
        <v>340</v>
      </c>
      <c r="P2808">
        <f>ABS(H2808)</f>
        <v>3</v>
      </c>
      <c r="R2808"/>
    </row>
    <row r="2809" spans="1:18" x14ac:dyDescent="0.35">
      <c r="A2809" t="s">
        <v>4390</v>
      </c>
      <c r="B2809" s="2">
        <v>46063</v>
      </c>
      <c r="C2809" t="s">
        <v>420</v>
      </c>
      <c r="D2809" s="3" t="s">
        <v>4613</v>
      </c>
      <c r="E2809" t="s">
        <v>34</v>
      </c>
      <c r="F2809" t="s">
        <v>35</v>
      </c>
      <c r="G2809" t="s">
        <v>36</v>
      </c>
      <c r="H2809" s="8">
        <v>1</v>
      </c>
      <c r="I2809" s="10">
        <v>71.099999999999994</v>
      </c>
      <c r="J2809" s="14">
        <f>P2809*I2809</f>
        <v>71.099999999999994</v>
      </c>
      <c r="K2809" s="16">
        <v>85</v>
      </c>
      <c r="L2809" s="1" t="s">
        <v>30</v>
      </c>
      <c r="M2809" t="s">
        <v>58</v>
      </c>
      <c r="N2809" t="str">
        <f t="shared" si="70"/>
        <v>United Kingdom</v>
      </c>
      <c r="O2809" s="8">
        <f>IF(K2809&gt;=1,K2809,K2809*1000)</f>
        <v>85</v>
      </c>
      <c r="P2809">
        <f>ABS(H2809)</f>
        <v>1</v>
      </c>
      <c r="R2809"/>
    </row>
    <row r="2810" spans="1:18" x14ac:dyDescent="0.35">
      <c r="A2810" t="s">
        <v>4391</v>
      </c>
      <c r="B2810" s="2">
        <v>46153</v>
      </c>
      <c r="C2810" t="s">
        <v>1813</v>
      </c>
      <c r="D2810" s="3" t="s">
        <v>116</v>
      </c>
      <c r="E2810" t="s">
        <v>41</v>
      </c>
      <c r="F2810" t="s">
        <v>26</v>
      </c>
      <c r="G2810" t="s">
        <v>27</v>
      </c>
      <c r="H2810" s="8">
        <v>1</v>
      </c>
      <c r="I2810" s="10">
        <v>24</v>
      </c>
      <c r="J2810" s="14">
        <f>P2810*I2810</f>
        <v>24</v>
      </c>
      <c r="K2810" s="16">
        <v>0.52</v>
      </c>
      <c r="L2810" s="1" t="s">
        <v>30</v>
      </c>
      <c r="M2810" t="s">
        <v>22</v>
      </c>
      <c r="N2810" t="str">
        <f t="shared" si="70"/>
        <v>Germany</v>
      </c>
      <c r="O2810" s="8">
        <f>IF(K2810&gt;=1,K2810,K2810*1000)</f>
        <v>520</v>
      </c>
      <c r="P2810">
        <f>ABS(H2810)</f>
        <v>1</v>
      </c>
      <c r="R2810"/>
    </row>
    <row r="2811" spans="1:18" x14ac:dyDescent="0.35">
      <c r="A2811" t="s">
        <v>4392</v>
      </c>
      <c r="B2811" s="2">
        <v>46080</v>
      </c>
      <c r="C2811" t="s">
        <v>4185</v>
      </c>
      <c r="D2811" s="3" t="s">
        <v>99</v>
      </c>
      <c r="E2811" t="s">
        <v>16</v>
      </c>
      <c r="F2811" t="s">
        <v>83</v>
      </c>
      <c r="G2811" t="s">
        <v>84</v>
      </c>
      <c r="H2811" s="8">
        <v>2</v>
      </c>
      <c r="I2811" s="10">
        <v>45</v>
      </c>
      <c r="J2811" s="14">
        <f>P2811*I2811</f>
        <v>90</v>
      </c>
      <c r="K2811" s="16">
        <v>340</v>
      </c>
      <c r="L2811" s="1" t="s">
        <v>21</v>
      </c>
      <c r="M2811" t="s">
        <v>22</v>
      </c>
      <c r="N2811" t="str">
        <f t="shared" si="70"/>
        <v>United Kingdom</v>
      </c>
      <c r="O2811" s="8">
        <f>IF(K2811&gt;=1,K2811,K2811*1000)</f>
        <v>340</v>
      </c>
      <c r="P2811">
        <f>ABS(H2811)</f>
        <v>2</v>
      </c>
      <c r="R2811"/>
    </row>
    <row r="2812" spans="1:18" x14ac:dyDescent="0.35">
      <c r="A2812" t="s">
        <v>4393</v>
      </c>
      <c r="B2812" s="2">
        <v>46169</v>
      </c>
      <c r="C2812" t="s">
        <v>1442</v>
      </c>
      <c r="D2812" s="3" t="s">
        <v>4613</v>
      </c>
      <c r="E2812" t="s">
        <v>25</v>
      </c>
      <c r="F2812" t="s">
        <v>17</v>
      </c>
      <c r="G2812" t="s">
        <v>18</v>
      </c>
      <c r="H2812" s="8">
        <v>2</v>
      </c>
      <c r="I2812" s="10">
        <v>80.099999999999994</v>
      </c>
      <c r="J2812" s="14">
        <f>P2812*I2812</f>
        <v>160.19999999999999</v>
      </c>
      <c r="K2812" s="16">
        <v>0.52</v>
      </c>
      <c r="L2812" s="1" t="s">
        <v>30</v>
      </c>
      <c r="M2812" t="s">
        <v>22</v>
      </c>
      <c r="N2812" t="str">
        <f t="shared" si="70"/>
        <v>United Kingdom</v>
      </c>
      <c r="O2812" s="8">
        <f>IF(K2812&gt;=1,K2812,K2812*1000)</f>
        <v>520</v>
      </c>
      <c r="P2812">
        <f>ABS(H2812)</f>
        <v>2</v>
      </c>
      <c r="R2812"/>
    </row>
    <row r="2813" spans="1:18" x14ac:dyDescent="0.35">
      <c r="A2813" t="s">
        <v>4394</v>
      </c>
      <c r="B2813" s="2">
        <v>46072</v>
      </c>
      <c r="C2813" t="s">
        <v>1647</v>
      </c>
      <c r="D2813" s="3" t="s">
        <v>4612</v>
      </c>
      <c r="E2813" t="s">
        <v>16</v>
      </c>
      <c r="F2813" t="s">
        <v>35</v>
      </c>
      <c r="G2813" t="s">
        <v>36</v>
      </c>
      <c r="H2813" s="8">
        <v>1</v>
      </c>
      <c r="I2813" s="10">
        <v>129</v>
      </c>
      <c r="J2813" s="14">
        <f>P2813*I2813</f>
        <v>129</v>
      </c>
      <c r="K2813" s="16">
        <v>85</v>
      </c>
      <c r="L2813" s="1" t="s">
        <v>21</v>
      </c>
      <c r="M2813" t="s">
        <v>22</v>
      </c>
      <c r="N2813" t="str">
        <f t="shared" si="70"/>
        <v>United Kingdom</v>
      </c>
      <c r="O2813" s="8">
        <f>IF(K2813&gt;=1,K2813,K2813*1000)</f>
        <v>85</v>
      </c>
      <c r="P2813">
        <f>ABS(H2813)</f>
        <v>1</v>
      </c>
      <c r="R2813"/>
    </row>
    <row r="2814" spans="1:18" x14ac:dyDescent="0.35">
      <c r="A2814" t="s">
        <v>4395</v>
      </c>
      <c r="B2814" s="2">
        <v>46151</v>
      </c>
      <c r="C2814" t="s">
        <v>1210</v>
      </c>
      <c r="D2814" s="3" t="s">
        <v>99</v>
      </c>
      <c r="E2814" t="s">
        <v>41</v>
      </c>
      <c r="F2814" t="s">
        <v>89</v>
      </c>
      <c r="G2814" t="s">
        <v>90</v>
      </c>
      <c r="H2814" s="8">
        <v>2</v>
      </c>
      <c r="I2814" s="10">
        <v>24</v>
      </c>
      <c r="J2814" s="14">
        <f>P2814*I2814</f>
        <v>48</v>
      </c>
      <c r="K2814" s="16">
        <v>0.64</v>
      </c>
      <c r="L2814" s="1" t="s">
        <v>30</v>
      </c>
      <c r="M2814" t="s">
        <v>22</v>
      </c>
      <c r="N2814" t="str">
        <f t="shared" si="70"/>
        <v>United Kingdom</v>
      </c>
      <c r="O2814" s="8">
        <f>IF(K2814&gt;=1,K2814,K2814*1000)</f>
        <v>640</v>
      </c>
      <c r="P2814">
        <f>ABS(H2814)</f>
        <v>2</v>
      </c>
      <c r="R2814"/>
    </row>
    <row r="2815" spans="1:18" x14ac:dyDescent="0.35">
      <c r="A2815" t="s">
        <v>4396</v>
      </c>
      <c r="B2815" s="2">
        <v>46118</v>
      </c>
      <c r="C2815" t="s">
        <v>1314</v>
      </c>
      <c r="D2815" s="3" t="s">
        <v>4613</v>
      </c>
      <c r="E2815" t="s">
        <v>67</v>
      </c>
      <c r="F2815" t="s">
        <v>89</v>
      </c>
      <c r="G2815" t="s">
        <v>90</v>
      </c>
      <c r="H2815" s="8">
        <v>1</v>
      </c>
      <c r="I2815" s="10">
        <v>80.099999999999994</v>
      </c>
      <c r="J2815" s="14">
        <f>P2815*I2815</f>
        <v>80.099999999999994</v>
      </c>
      <c r="K2815" s="16">
        <v>640</v>
      </c>
      <c r="L2815" s="1" t="s">
        <v>30</v>
      </c>
      <c r="M2815" t="s">
        <v>22</v>
      </c>
      <c r="N2815" t="str">
        <f t="shared" si="70"/>
        <v>United Kingdom</v>
      </c>
      <c r="O2815" s="8">
        <f>IF(K2815&gt;=1,K2815,K2815*1000)</f>
        <v>640</v>
      </c>
      <c r="P2815">
        <f>ABS(H2815)</f>
        <v>1</v>
      </c>
      <c r="R2815"/>
    </row>
    <row r="2816" spans="1:18" x14ac:dyDescent="0.35">
      <c r="A2816" t="s">
        <v>4397</v>
      </c>
      <c r="B2816" s="2">
        <v>46174</v>
      </c>
      <c r="C2816" t="s">
        <v>1046</v>
      </c>
      <c r="D2816" s="3" t="s">
        <v>46</v>
      </c>
      <c r="E2816" t="s">
        <v>34</v>
      </c>
      <c r="F2816" t="s">
        <v>89</v>
      </c>
      <c r="G2816" t="s">
        <v>90</v>
      </c>
      <c r="H2816" s="8">
        <v>3</v>
      </c>
      <c r="I2816" s="10">
        <v>40.5</v>
      </c>
      <c r="J2816" s="14">
        <f>P2816*I2816</f>
        <v>121.5</v>
      </c>
      <c r="K2816" s="16">
        <v>640</v>
      </c>
      <c r="L2816" s="1" t="s">
        <v>30</v>
      </c>
      <c r="M2816" t="s">
        <v>22</v>
      </c>
      <c r="N2816" t="str">
        <f t="shared" si="70"/>
        <v>Ireland</v>
      </c>
      <c r="O2816" s="8">
        <f>IF(K2816&gt;=1,K2816,K2816*1000)</f>
        <v>640</v>
      </c>
      <c r="P2816">
        <f>ABS(H2816)</f>
        <v>3</v>
      </c>
      <c r="R2816"/>
    </row>
    <row r="2817" spans="1:18" x14ac:dyDescent="0.35">
      <c r="A2817" t="s">
        <v>4398</v>
      </c>
      <c r="B2817" s="2">
        <v>46199</v>
      </c>
      <c r="C2817" t="s">
        <v>492</v>
      </c>
      <c r="D2817" s="3" t="s">
        <v>99</v>
      </c>
      <c r="E2817" t="s">
        <v>41</v>
      </c>
      <c r="F2817" t="s">
        <v>89</v>
      </c>
      <c r="G2817" t="s">
        <v>90</v>
      </c>
      <c r="H2817" s="8">
        <v>2</v>
      </c>
      <c r="I2817" s="10">
        <v>45</v>
      </c>
      <c r="J2817" s="14">
        <f>P2817*I2817</f>
        <v>90</v>
      </c>
      <c r="K2817" s="16">
        <v>0.64</v>
      </c>
      <c r="L2817" s="1" t="s">
        <v>30</v>
      </c>
      <c r="M2817" t="s">
        <v>22</v>
      </c>
      <c r="N2817" t="str">
        <f t="shared" si="70"/>
        <v>United Kingdom</v>
      </c>
      <c r="O2817" s="8">
        <f>IF(K2817&gt;=1,K2817,K2817*1000)</f>
        <v>640</v>
      </c>
      <c r="P2817">
        <f>ABS(H2817)</f>
        <v>2</v>
      </c>
      <c r="R2817"/>
    </row>
    <row r="2818" spans="1:18" x14ac:dyDescent="0.35">
      <c r="A2818" t="s">
        <v>4399</v>
      </c>
      <c r="B2818" s="2">
        <v>46051</v>
      </c>
      <c r="C2818" t="s">
        <v>2281</v>
      </c>
      <c r="D2818" s="3" t="s">
        <v>4613</v>
      </c>
      <c r="E2818" t="s">
        <v>41</v>
      </c>
      <c r="F2818" t="s">
        <v>35</v>
      </c>
      <c r="G2818" t="s">
        <v>36</v>
      </c>
      <c r="H2818" s="8">
        <v>1</v>
      </c>
      <c r="I2818" s="10">
        <v>116.1</v>
      </c>
      <c r="J2818" s="14">
        <f>P2818*I2818</f>
        <v>116.1</v>
      </c>
      <c r="K2818" s="16">
        <v>85</v>
      </c>
      <c r="L2818" s="1" t="s">
        <v>21</v>
      </c>
      <c r="M2818" t="s">
        <v>22</v>
      </c>
      <c r="N2818" t="str">
        <f t="shared" si="70"/>
        <v>United Kingdom</v>
      </c>
      <c r="O2818" s="8">
        <f>IF(K2818&gt;=1,K2818,K2818*1000)</f>
        <v>85</v>
      </c>
      <c r="P2818">
        <f>ABS(H2818)</f>
        <v>1</v>
      </c>
      <c r="R2818"/>
    </row>
    <row r="2819" spans="1:18" x14ac:dyDescent="0.35">
      <c r="A2819" t="s">
        <v>4400</v>
      </c>
      <c r="B2819" s="2">
        <v>46131</v>
      </c>
      <c r="C2819" t="s">
        <v>385</v>
      </c>
      <c r="D2819" s="3" t="s">
        <v>99</v>
      </c>
      <c r="E2819" t="s">
        <v>16</v>
      </c>
      <c r="F2819" t="s">
        <v>74</v>
      </c>
      <c r="G2819" t="s">
        <v>75</v>
      </c>
      <c r="H2819" s="8">
        <v>1</v>
      </c>
      <c r="I2819" s="10">
        <v>129</v>
      </c>
      <c r="J2819" s="14">
        <f>P2819*I2819</f>
        <v>129</v>
      </c>
      <c r="K2819" s="16">
        <v>410</v>
      </c>
      <c r="L2819" s="1" t="s">
        <v>30</v>
      </c>
      <c r="M2819" t="s">
        <v>22</v>
      </c>
      <c r="N2819" t="str">
        <f t="shared" ref="N2819:N2882" si="71">PROPER(TRIM(D2819))</f>
        <v>United Kingdom</v>
      </c>
      <c r="O2819" s="8">
        <f>IF(K2819&gt;=1,K2819,K2819*1000)</f>
        <v>410</v>
      </c>
      <c r="P2819">
        <f>ABS(H2819)</f>
        <v>1</v>
      </c>
      <c r="R2819"/>
    </row>
    <row r="2820" spans="1:18" x14ac:dyDescent="0.35">
      <c r="A2820" t="s">
        <v>4401</v>
      </c>
      <c r="B2820" s="2">
        <v>46050</v>
      </c>
      <c r="C2820" t="s">
        <v>696</v>
      </c>
      <c r="D2820" s="3" t="s">
        <v>99</v>
      </c>
      <c r="E2820" t="s">
        <v>34</v>
      </c>
      <c r="F2820" t="s">
        <v>83</v>
      </c>
      <c r="G2820" t="s">
        <v>84</v>
      </c>
      <c r="H2820" s="8">
        <v>2</v>
      </c>
      <c r="I2820" s="10">
        <v>89</v>
      </c>
      <c r="J2820" s="14">
        <f>P2820*I2820</f>
        <v>178</v>
      </c>
      <c r="K2820" s="16">
        <v>340</v>
      </c>
      <c r="L2820" s="1" t="s">
        <v>30</v>
      </c>
      <c r="M2820" t="s">
        <v>22</v>
      </c>
      <c r="N2820" t="str">
        <f t="shared" si="71"/>
        <v>United Kingdom</v>
      </c>
      <c r="O2820" s="8">
        <f>IF(K2820&gt;=1,K2820,K2820*1000)</f>
        <v>340</v>
      </c>
      <c r="P2820">
        <f>ABS(H2820)</f>
        <v>2</v>
      </c>
      <c r="R2820"/>
    </row>
    <row r="2821" spans="1:18" x14ac:dyDescent="0.35">
      <c r="A2821" t="s">
        <v>4402</v>
      </c>
      <c r="B2821" s="2">
        <v>46043</v>
      </c>
      <c r="C2821" t="s">
        <v>1358</v>
      </c>
      <c r="D2821" s="3" t="s">
        <v>46</v>
      </c>
      <c r="E2821" t="s">
        <v>67</v>
      </c>
      <c r="F2821" t="s">
        <v>17</v>
      </c>
      <c r="G2821" t="s">
        <v>18</v>
      </c>
      <c r="H2821" s="8">
        <v>1</v>
      </c>
      <c r="I2821" s="10">
        <v>134.1</v>
      </c>
      <c r="J2821" s="14">
        <f>P2821*I2821</f>
        <v>134.1</v>
      </c>
      <c r="K2821" s="16">
        <v>520</v>
      </c>
      <c r="L2821" s="1" t="s">
        <v>30</v>
      </c>
      <c r="M2821" t="s">
        <v>22</v>
      </c>
      <c r="N2821" t="str">
        <f t="shared" si="71"/>
        <v>Ireland</v>
      </c>
      <c r="O2821" s="8">
        <f>IF(K2821&gt;=1,K2821,K2821*1000)</f>
        <v>520</v>
      </c>
      <c r="P2821">
        <f>ABS(H2821)</f>
        <v>1</v>
      </c>
      <c r="R2821"/>
    </row>
    <row r="2822" spans="1:18" x14ac:dyDescent="0.35">
      <c r="A2822" t="s">
        <v>4403</v>
      </c>
      <c r="B2822" s="2" t="s">
        <v>4404</v>
      </c>
      <c r="C2822" t="s">
        <v>4405</v>
      </c>
      <c r="D2822" s="3" t="s">
        <v>4612</v>
      </c>
      <c r="E2822" t="s">
        <v>25</v>
      </c>
      <c r="F2822" t="s">
        <v>74</v>
      </c>
      <c r="G2822" t="s">
        <v>75</v>
      </c>
      <c r="H2822" s="8">
        <v>3</v>
      </c>
      <c r="I2822" s="10">
        <v>89</v>
      </c>
      <c r="J2822" s="14">
        <f>P2822*I2822</f>
        <v>267</v>
      </c>
      <c r="K2822" s="16">
        <v>410</v>
      </c>
      <c r="L2822" s="1" t="s">
        <v>21</v>
      </c>
      <c r="M2822" t="s">
        <v>22</v>
      </c>
      <c r="N2822" t="str">
        <f t="shared" si="71"/>
        <v>United Kingdom</v>
      </c>
      <c r="O2822" s="8">
        <f>IF(K2822&gt;=1,K2822,K2822*1000)</f>
        <v>410</v>
      </c>
      <c r="P2822">
        <f>ABS(H2822)</f>
        <v>3</v>
      </c>
      <c r="R2822"/>
    </row>
    <row r="2823" spans="1:18" x14ac:dyDescent="0.35">
      <c r="A2823" t="s">
        <v>4406</v>
      </c>
      <c r="B2823" s="2">
        <v>46116</v>
      </c>
      <c r="C2823" t="s">
        <v>4407</v>
      </c>
      <c r="D2823" s="3" t="s">
        <v>53</v>
      </c>
      <c r="E2823" t="s">
        <v>41</v>
      </c>
      <c r="F2823" t="s">
        <v>42</v>
      </c>
      <c r="G2823" t="s">
        <v>43</v>
      </c>
      <c r="H2823" s="8">
        <v>2</v>
      </c>
      <c r="I2823" s="10">
        <v>24</v>
      </c>
      <c r="J2823" s="14">
        <f>P2823*I2823</f>
        <v>48</v>
      </c>
      <c r="K2823" s="16">
        <v>190</v>
      </c>
      <c r="L2823" s="1" t="s">
        <v>21</v>
      </c>
      <c r="M2823" t="s">
        <v>22</v>
      </c>
      <c r="N2823" t="str">
        <f t="shared" si="71"/>
        <v>Gb</v>
      </c>
      <c r="O2823" s="8">
        <f>IF(K2823&gt;=1,K2823,K2823*1000)</f>
        <v>190</v>
      </c>
      <c r="P2823">
        <f>ABS(H2823)</f>
        <v>2</v>
      </c>
      <c r="R2823"/>
    </row>
    <row r="2824" spans="1:18" x14ac:dyDescent="0.35">
      <c r="A2824" t="s">
        <v>4408</v>
      </c>
      <c r="B2824" s="2">
        <v>46195</v>
      </c>
      <c r="C2824" t="s">
        <v>502</v>
      </c>
      <c r="D2824" s="3" t="s">
        <v>46</v>
      </c>
      <c r="E2824" t="s">
        <v>34</v>
      </c>
      <c r="F2824" t="s">
        <v>35</v>
      </c>
      <c r="G2824" t="s">
        <v>36</v>
      </c>
      <c r="H2824" s="8">
        <v>2</v>
      </c>
      <c r="I2824" s="10">
        <v>95</v>
      </c>
      <c r="J2824" s="14">
        <f>P2824*I2824</f>
        <v>190</v>
      </c>
      <c r="K2824" s="16">
        <v>8.5000000000000006E-2</v>
      </c>
      <c r="L2824" s="1" t="s">
        <v>30</v>
      </c>
      <c r="M2824" t="s">
        <v>58</v>
      </c>
      <c r="N2824" t="str">
        <f t="shared" si="71"/>
        <v>Ireland</v>
      </c>
      <c r="O2824" s="8">
        <f>IF(K2824&gt;=1,K2824,K2824*1000)</f>
        <v>85</v>
      </c>
      <c r="P2824">
        <f>ABS(H2824)</f>
        <v>2</v>
      </c>
      <c r="R2824"/>
    </row>
    <row r="2825" spans="1:18" x14ac:dyDescent="0.35">
      <c r="A2825" t="s">
        <v>4409</v>
      </c>
      <c r="B2825" s="2" t="s">
        <v>2122</v>
      </c>
      <c r="C2825" t="s">
        <v>2264</v>
      </c>
      <c r="D2825" s="3" t="s">
        <v>4613</v>
      </c>
      <c r="E2825" t="s">
        <v>25</v>
      </c>
      <c r="F2825" t="s">
        <v>17</v>
      </c>
      <c r="G2825" t="s">
        <v>18</v>
      </c>
      <c r="H2825" s="8">
        <v>1</v>
      </c>
      <c r="I2825" s="10">
        <v>85.5</v>
      </c>
      <c r="J2825" s="14">
        <f>P2825*I2825</f>
        <v>85.5</v>
      </c>
      <c r="K2825" s="16">
        <v>520</v>
      </c>
      <c r="L2825" s="1" t="s">
        <v>30</v>
      </c>
      <c r="M2825" t="s">
        <v>22</v>
      </c>
      <c r="N2825" t="str">
        <f t="shared" si="71"/>
        <v>United Kingdom</v>
      </c>
      <c r="O2825" s="8">
        <f>IF(K2825&gt;=1,K2825,K2825*1000)</f>
        <v>520</v>
      </c>
      <c r="P2825">
        <f>ABS(H2825)</f>
        <v>1</v>
      </c>
      <c r="R2825"/>
    </row>
    <row r="2826" spans="1:18" x14ac:dyDescent="0.35">
      <c r="A2826" t="s">
        <v>4410</v>
      </c>
      <c r="B2826" s="2">
        <v>46203</v>
      </c>
      <c r="C2826" t="s">
        <v>4411</v>
      </c>
      <c r="D2826" s="3" t="s">
        <v>99</v>
      </c>
      <c r="E2826" t="s">
        <v>67</v>
      </c>
      <c r="F2826" t="s">
        <v>74</v>
      </c>
      <c r="G2826" t="s">
        <v>75</v>
      </c>
      <c r="H2826" s="8">
        <v>2</v>
      </c>
      <c r="I2826" s="10">
        <v>80.099999999999994</v>
      </c>
      <c r="J2826" s="14">
        <f>P2826*I2826</f>
        <v>160.19999999999999</v>
      </c>
      <c r="K2826" s="16">
        <v>0.41</v>
      </c>
      <c r="L2826" s="1" t="s">
        <v>21</v>
      </c>
      <c r="M2826" t="s">
        <v>22</v>
      </c>
      <c r="N2826" t="str">
        <f t="shared" si="71"/>
        <v>United Kingdom</v>
      </c>
      <c r="O2826" s="8">
        <f>IF(K2826&gt;=1,K2826,K2826*1000)</f>
        <v>410</v>
      </c>
      <c r="P2826">
        <f>ABS(H2826)</f>
        <v>2</v>
      </c>
      <c r="R2826"/>
    </row>
    <row r="2827" spans="1:18" x14ac:dyDescent="0.35">
      <c r="A2827" t="s">
        <v>4412</v>
      </c>
      <c r="B2827" s="2">
        <v>46108</v>
      </c>
      <c r="C2827" t="s">
        <v>769</v>
      </c>
      <c r="D2827" s="3" t="s">
        <v>99</v>
      </c>
      <c r="E2827" t="s">
        <v>25</v>
      </c>
      <c r="F2827" t="s">
        <v>89</v>
      </c>
      <c r="G2827" t="s">
        <v>90</v>
      </c>
      <c r="H2827" s="8">
        <v>1</v>
      </c>
      <c r="I2827" s="10">
        <v>45</v>
      </c>
      <c r="J2827" s="14">
        <f>P2827*I2827</f>
        <v>45</v>
      </c>
      <c r="K2827" s="16">
        <v>640</v>
      </c>
      <c r="L2827" s="1" t="s">
        <v>30</v>
      </c>
      <c r="M2827" t="s">
        <v>22</v>
      </c>
      <c r="N2827" t="str">
        <f t="shared" si="71"/>
        <v>United Kingdom</v>
      </c>
      <c r="O2827" s="8">
        <f>IF(K2827&gt;=1,K2827,K2827*1000)</f>
        <v>640</v>
      </c>
      <c r="P2827">
        <f>ABS(H2827)</f>
        <v>1</v>
      </c>
      <c r="R2827"/>
    </row>
    <row r="2828" spans="1:18" x14ac:dyDescent="0.35">
      <c r="A2828" t="s">
        <v>4413</v>
      </c>
      <c r="B2828" s="2">
        <v>46098</v>
      </c>
      <c r="C2828" t="s">
        <v>397</v>
      </c>
      <c r="D2828" s="3" t="s">
        <v>53</v>
      </c>
      <c r="E2828" t="s">
        <v>67</v>
      </c>
      <c r="F2828" t="s">
        <v>42</v>
      </c>
      <c r="G2828" t="s">
        <v>43</v>
      </c>
      <c r="H2828" s="8">
        <v>2</v>
      </c>
      <c r="I2828" s="10">
        <v>79</v>
      </c>
      <c r="J2828" s="14">
        <f>P2828*I2828</f>
        <v>158</v>
      </c>
      <c r="K2828" s="16">
        <v>190</v>
      </c>
      <c r="L2828" s="1" t="s">
        <v>30</v>
      </c>
      <c r="M2828" t="s">
        <v>22</v>
      </c>
      <c r="N2828" t="str">
        <f t="shared" si="71"/>
        <v>Gb</v>
      </c>
      <c r="O2828" s="8">
        <f>IF(K2828&gt;=1,K2828,K2828*1000)</f>
        <v>190</v>
      </c>
      <c r="P2828">
        <f>ABS(H2828)</f>
        <v>2</v>
      </c>
      <c r="R2828"/>
    </row>
    <row r="2829" spans="1:18" x14ac:dyDescent="0.35">
      <c r="A2829" t="s">
        <v>4414</v>
      </c>
      <c r="B2829" s="2">
        <v>46169</v>
      </c>
      <c r="C2829" t="s">
        <v>4415</v>
      </c>
      <c r="D2829" s="3" t="s">
        <v>4613</v>
      </c>
      <c r="E2829" t="s">
        <v>34</v>
      </c>
      <c r="F2829" t="s">
        <v>89</v>
      </c>
      <c r="G2829" t="s">
        <v>90</v>
      </c>
      <c r="H2829" s="8">
        <v>1</v>
      </c>
      <c r="I2829" s="10">
        <v>129</v>
      </c>
      <c r="J2829" s="14">
        <f>P2829*I2829</f>
        <v>129</v>
      </c>
      <c r="K2829" s="16">
        <v>0.64</v>
      </c>
      <c r="L2829" s="1" t="s">
        <v>30</v>
      </c>
      <c r="M2829" t="s">
        <v>22</v>
      </c>
      <c r="N2829" t="str">
        <f t="shared" si="71"/>
        <v>United Kingdom</v>
      </c>
      <c r="O2829" s="8">
        <f>IF(K2829&gt;=1,K2829,K2829*1000)</f>
        <v>640</v>
      </c>
      <c r="P2829">
        <f>ABS(H2829)</f>
        <v>1</v>
      </c>
      <c r="R2829"/>
    </row>
    <row r="2830" spans="1:18" x14ac:dyDescent="0.35">
      <c r="A2830" t="s">
        <v>4416</v>
      </c>
      <c r="B2830" s="2">
        <v>46155</v>
      </c>
      <c r="C2830" t="s">
        <v>1369</v>
      </c>
      <c r="D2830" s="3" t="s">
        <v>99</v>
      </c>
      <c r="E2830" t="s">
        <v>41</v>
      </c>
      <c r="F2830" t="s">
        <v>47</v>
      </c>
      <c r="G2830" t="s">
        <v>48</v>
      </c>
      <c r="H2830" s="8">
        <v>3</v>
      </c>
      <c r="I2830" s="10">
        <v>89</v>
      </c>
      <c r="J2830" s="14">
        <f>P2830*I2830</f>
        <v>267</v>
      </c>
      <c r="K2830" s="16">
        <v>0.38</v>
      </c>
      <c r="L2830" s="1" t="s">
        <v>30</v>
      </c>
      <c r="M2830" t="s">
        <v>22</v>
      </c>
      <c r="N2830" t="str">
        <f t="shared" si="71"/>
        <v>United Kingdom</v>
      </c>
      <c r="O2830" s="8">
        <f>IF(K2830&gt;=1,K2830,K2830*1000)</f>
        <v>380</v>
      </c>
      <c r="P2830">
        <f>ABS(H2830)</f>
        <v>3</v>
      </c>
      <c r="R2830"/>
    </row>
    <row r="2831" spans="1:18" x14ac:dyDescent="0.35">
      <c r="A2831" t="s">
        <v>4417</v>
      </c>
      <c r="B2831" s="2" t="s">
        <v>236</v>
      </c>
      <c r="C2831" t="s">
        <v>996</v>
      </c>
      <c r="D2831" s="3" t="s">
        <v>99</v>
      </c>
      <c r="E2831" t="s">
        <v>67</v>
      </c>
      <c r="F2831" t="s">
        <v>26</v>
      </c>
      <c r="G2831" t="s">
        <v>27</v>
      </c>
      <c r="H2831" s="8">
        <v>1</v>
      </c>
      <c r="I2831" s="10">
        <v>89</v>
      </c>
      <c r="J2831" s="14">
        <f>P2831*I2831</f>
        <v>89</v>
      </c>
      <c r="K2831" s="16">
        <v>520</v>
      </c>
      <c r="L2831" s="1" t="s">
        <v>30</v>
      </c>
      <c r="M2831" t="s">
        <v>22</v>
      </c>
      <c r="N2831" t="str">
        <f t="shared" si="71"/>
        <v>United Kingdom</v>
      </c>
      <c r="O2831" s="8">
        <f>IF(K2831&gt;=1,K2831,K2831*1000)</f>
        <v>520</v>
      </c>
      <c r="P2831">
        <f>ABS(H2831)</f>
        <v>1</v>
      </c>
      <c r="R2831"/>
    </row>
    <row r="2832" spans="1:18" x14ac:dyDescent="0.35">
      <c r="A2832" t="s">
        <v>4418</v>
      </c>
      <c r="B2832" s="2">
        <v>46029</v>
      </c>
      <c r="C2832" t="s">
        <v>4349</v>
      </c>
      <c r="D2832" s="3" t="s">
        <v>99</v>
      </c>
      <c r="E2832" t="s">
        <v>16</v>
      </c>
      <c r="F2832" t="s">
        <v>35</v>
      </c>
      <c r="G2832" t="s">
        <v>36</v>
      </c>
      <c r="H2832" s="8">
        <v>2</v>
      </c>
      <c r="I2832" s="10">
        <v>134.1</v>
      </c>
      <c r="J2832" s="14">
        <f>P2832*I2832</f>
        <v>268.2</v>
      </c>
      <c r="K2832" s="16">
        <v>85</v>
      </c>
      <c r="L2832" s="1" t="s">
        <v>30</v>
      </c>
      <c r="M2832" t="s">
        <v>58</v>
      </c>
      <c r="N2832" t="str">
        <f t="shared" si="71"/>
        <v>United Kingdom</v>
      </c>
      <c r="O2832" s="8">
        <f>IF(K2832&gt;=1,K2832,K2832*1000)</f>
        <v>85</v>
      </c>
      <c r="P2832">
        <f>ABS(H2832)</f>
        <v>2</v>
      </c>
      <c r="R2832"/>
    </row>
    <row r="2833" spans="1:18" x14ac:dyDescent="0.35">
      <c r="A2833" t="s">
        <v>4419</v>
      </c>
      <c r="B2833" s="2" t="s">
        <v>1063</v>
      </c>
      <c r="C2833" t="s">
        <v>720</v>
      </c>
      <c r="D2833" s="3" t="s">
        <v>99</v>
      </c>
      <c r="E2833" t="s">
        <v>34</v>
      </c>
      <c r="F2833" t="s">
        <v>47</v>
      </c>
      <c r="G2833" t="s">
        <v>48</v>
      </c>
      <c r="H2833" s="8">
        <v>2</v>
      </c>
      <c r="I2833" s="10">
        <v>12.5</v>
      </c>
      <c r="J2833" s="14">
        <f>P2833*I2833</f>
        <v>25</v>
      </c>
      <c r="K2833" s="16">
        <v>380</v>
      </c>
      <c r="L2833" s="1" t="s">
        <v>21</v>
      </c>
      <c r="M2833" t="s">
        <v>22</v>
      </c>
      <c r="N2833" t="str">
        <f t="shared" si="71"/>
        <v>United Kingdom</v>
      </c>
      <c r="O2833" s="8">
        <f>IF(K2833&gt;=1,K2833,K2833*1000)</f>
        <v>380</v>
      </c>
      <c r="P2833">
        <f>ABS(H2833)</f>
        <v>2</v>
      </c>
      <c r="R2833"/>
    </row>
    <row r="2834" spans="1:18" x14ac:dyDescent="0.35">
      <c r="A2834" t="s">
        <v>4420</v>
      </c>
      <c r="B2834" s="2">
        <v>46088</v>
      </c>
      <c r="C2834" t="s">
        <v>4421</v>
      </c>
      <c r="D2834" s="3" t="s">
        <v>4612</v>
      </c>
      <c r="E2834" t="s">
        <v>25</v>
      </c>
      <c r="F2834" t="s">
        <v>89</v>
      </c>
      <c r="G2834" t="s">
        <v>90</v>
      </c>
      <c r="H2834" s="8">
        <v>2</v>
      </c>
      <c r="I2834" s="10">
        <v>12.5</v>
      </c>
      <c r="J2834" s="14">
        <f>P2834*I2834</f>
        <v>25</v>
      </c>
      <c r="K2834" s="16">
        <v>640</v>
      </c>
      <c r="L2834" s="1" t="s">
        <v>21</v>
      </c>
      <c r="M2834" t="s">
        <v>22</v>
      </c>
      <c r="N2834" t="str">
        <f t="shared" si="71"/>
        <v>United Kingdom</v>
      </c>
      <c r="O2834" s="8">
        <f>IF(K2834&gt;=1,K2834,K2834*1000)</f>
        <v>640</v>
      </c>
      <c r="P2834">
        <f>ABS(H2834)</f>
        <v>2</v>
      </c>
      <c r="R2834"/>
    </row>
    <row r="2835" spans="1:18" x14ac:dyDescent="0.35">
      <c r="A2835" t="s">
        <v>4422</v>
      </c>
      <c r="B2835" s="2">
        <v>46091</v>
      </c>
      <c r="C2835" t="s">
        <v>1459</v>
      </c>
      <c r="D2835" s="3" t="s">
        <v>4613</v>
      </c>
      <c r="E2835" t="s">
        <v>34</v>
      </c>
      <c r="F2835" t="s">
        <v>17</v>
      </c>
      <c r="G2835" t="s">
        <v>18</v>
      </c>
      <c r="H2835" s="8">
        <v>1</v>
      </c>
      <c r="I2835" s="10">
        <v>129</v>
      </c>
      <c r="J2835" s="14">
        <f>P2835*I2835</f>
        <v>129</v>
      </c>
      <c r="K2835" s="16">
        <v>520</v>
      </c>
      <c r="L2835" s="1" t="s">
        <v>30</v>
      </c>
      <c r="M2835" t="s">
        <v>22</v>
      </c>
      <c r="N2835" t="str">
        <f t="shared" si="71"/>
        <v>United Kingdom</v>
      </c>
      <c r="O2835" s="8">
        <f>IF(K2835&gt;=1,K2835,K2835*1000)</f>
        <v>520</v>
      </c>
      <c r="P2835">
        <f>ABS(H2835)</f>
        <v>1</v>
      </c>
      <c r="R2835"/>
    </row>
    <row r="2836" spans="1:18" x14ac:dyDescent="0.35">
      <c r="A2836" t="s">
        <v>4423</v>
      </c>
      <c r="B2836" s="2" t="s">
        <v>1439</v>
      </c>
      <c r="C2836" t="s">
        <v>1651</v>
      </c>
      <c r="D2836" s="3" t="s">
        <v>46</v>
      </c>
      <c r="E2836" t="s">
        <v>25</v>
      </c>
      <c r="F2836" t="s">
        <v>83</v>
      </c>
      <c r="G2836" t="s">
        <v>84</v>
      </c>
      <c r="H2836" s="8">
        <v>1</v>
      </c>
      <c r="I2836" s="10">
        <v>40.5</v>
      </c>
      <c r="J2836" s="14">
        <f>P2836*I2836</f>
        <v>40.5</v>
      </c>
      <c r="K2836" s="16">
        <v>340</v>
      </c>
      <c r="L2836" s="1" t="s">
        <v>30</v>
      </c>
      <c r="M2836" t="s">
        <v>22</v>
      </c>
      <c r="N2836" t="str">
        <f t="shared" si="71"/>
        <v>Ireland</v>
      </c>
      <c r="O2836" s="8">
        <f>IF(K2836&gt;=1,K2836,K2836*1000)</f>
        <v>340</v>
      </c>
      <c r="P2836">
        <f>ABS(H2836)</f>
        <v>1</v>
      </c>
      <c r="R2836"/>
    </row>
    <row r="2837" spans="1:18" x14ac:dyDescent="0.35">
      <c r="A2837" t="s">
        <v>4424</v>
      </c>
      <c r="B2837" s="2">
        <v>46147</v>
      </c>
      <c r="C2837" t="s">
        <v>2995</v>
      </c>
      <c r="D2837" s="3" t="s">
        <v>99</v>
      </c>
      <c r="E2837" t="s">
        <v>41</v>
      </c>
      <c r="F2837" t="s">
        <v>47</v>
      </c>
      <c r="G2837" t="s">
        <v>48</v>
      </c>
      <c r="H2837" s="8">
        <v>1</v>
      </c>
      <c r="I2837" s="10">
        <v>12.5</v>
      </c>
      <c r="J2837" s="14">
        <f>P2837*I2837</f>
        <v>12.5</v>
      </c>
      <c r="K2837" s="16">
        <v>0.38</v>
      </c>
      <c r="L2837" s="1" t="s">
        <v>30</v>
      </c>
      <c r="M2837" t="s">
        <v>22</v>
      </c>
      <c r="N2837" t="str">
        <f t="shared" si="71"/>
        <v>United Kingdom</v>
      </c>
      <c r="O2837" s="8">
        <f>IF(K2837&gt;=1,K2837,K2837*1000)</f>
        <v>380</v>
      </c>
      <c r="P2837">
        <f>ABS(H2837)</f>
        <v>1</v>
      </c>
      <c r="R2837"/>
    </row>
    <row r="2838" spans="1:18" x14ac:dyDescent="0.35">
      <c r="A2838" t="s">
        <v>4425</v>
      </c>
      <c r="B2838" s="2">
        <v>46153</v>
      </c>
      <c r="C2838" t="s">
        <v>1117</v>
      </c>
      <c r="D2838" s="3" t="s">
        <v>66</v>
      </c>
      <c r="E2838" t="s">
        <v>34</v>
      </c>
      <c r="F2838" t="s">
        <v>74</v>
      </c>
      <c r="G2838" t="s">
        <v>75</v>
      </c>
      <c r="H2838" s="8">
        <v>1</v>
      </c>
      <c r="I2838" s="10">
        <v>80.099999999999994</v>
      </c>
      <c r="J2838" s="14">
        <f>P2838*I2838</f>
        <v>80.099999999999994</v>
      </c>
      <c r="K2838" s="16">
        <v>0.41</v>
      </c>
      <c r="L2838" s="1" t="s">
        <v>21</v>
      </c>
      <c r="M2838" t="s">
        <v>22</v>
      </c>
      <c r="N2838" t="str">
        <f t="shared" si="71"/>
        <v>Gb</v>
      </c>
      <c r="O2838" s="8">
        <f>IF(K2838&gt;=1,K2838,K2838*1000)</f>
        <v>410</v>
      </c>
      <c r="P2838">
        <f>ABS(H2838)</f>
        <v>1</v>
      </c>
      <c r="R2838"/>
    </row>
    <row r="2839" spans="1:18" x14ac:dyDescent="0.35">
      <c r="A2839" t="s">
        <v>4426</v>
      </c>
      <c r="B2839" s="2">
        <v>46190</v>
      </c>
      <c r="C2839" t="s">
        <v>3795</v>
      </c>
      <c r="D2839" s="3" t="s">
        <v>116</v>
      </c>
      <c r="E2839" t="s">
        <v>25</v>
      </c>
      <c r="F2839" t="s">
        <v>83</v>
      </c>
      <c r="G2839" t="s">
        <v>84</v>
      </c>
      <c r="H2839" s="8">
        <v>3</v>
      </c>
      <c r="I2839" s="10">
        <v>80.099999999999994</v>
      </c>
      <c r="J2839" s="14">
        <f>P2839*I2839</f>
        <v>240.29999999999998</v>
      </c>
      <c r="K2839" s="16">
        <v>0.34</v>
      </c>
      <c r="L2839" s="1" t="s">
        <v>30</v>
      </c>
      <c r="M2839" t="s">
        <v>22</v>
      </c>
      <c r="N2839" t="str">
        <f t="shared" si="71"/>
        <v>Germany</v>
      </c>
      <c r="O2839" s="8">
        <f>IF(K2839&gt;=1,K2839,K2839*1000)</f>
        <v>340</v>
      </c>
      <c r="P2839">
        <f>ABS(H2839)</f>
        <v>3</v>
      </c>
      <c r="R2839"/>
    </row>
    <row r="2840" spans="1:18" x14ac:dyDescent="0.35">
      <c r="A2840" t="s">
        <v>4427</v>
      </c>
      <c r="B2840" s="2">
        <v>46065</v>
      </c>
      <c r="C2840" t="s">
        <v>1332</v>
      </c>
      <c r="D2840" s="3" t="s">
        <v>53</v>
      </c>
      <c r="E2840" t="s">
        <v>41</v>
      </c>
      <c r="F2840" t="s">
        <v>35</v>
      </c>
      <c r="G2840" t="s">
        <v>36</v>
      </c>
      <c r="H2840" s="8">
        <v>1</v>
      </c>
      <c r="I2840" s="12" t="s">
        <v>4624</v>
      </c>
      <c r="J2840" s="14">
        <f>P2840*R2840</f>
        <v>24</v>
      </c>
      <c r="K2840" s="16">
        <v>85</v>
      </c>
      <c r="L2840" s="1" t="s">
        <v>30</v>
      </c>
      <c r="M2840" t="s">
        <v>58</v>
      </c>
      <c r="N2840" t="str">
        <f t="shared" si="71"/>
        <v>Gb</v>
      </c>
      <c r="O2840" s="8">
        <f>IF(K2840&gt;=1,K2840,K2840*1000)</f>
        <v>85</v>
      </c>
      <c r="P2840">
        <f>ABS(H2840)</f>
        <v>1</v>
      </c>
      <c r="Q2840" t="str">
        <f>LEFT(I2840,2)</f>
        <v>Â£</v>
      </c>
      <c r="R2840" t="str">
        <f>RIGHT(I2840,5)</f>
        <v>24,00</v>
      </c>
    </row>
    <row r="2841" spans="1:18" x14ac:dyDescent="0.35">
      <c r="A2841" t="s">
        <v>4428</v>
      </c>
      <c r="B2841" s="2">
        <v>46156</v>
      </c>
      <c r="C2841" t="s">
        <v>315</v>
      </c>
      <c r="D2841" s="3" t="s">
        <v>4612</v>
      </c>
      <c r="E2841" t="s">
        <v>16</v>
      </c>
      <c r="F2841" t="s">
        <v>42</v>
      </c>
      <c r="G2841" t="s">
        <v>43</v>
      </c>
      <c r="H2841" s="8">
        <v>2</v>
      </c>
      <c r="I2841" s="10">
        <v>12.5</v>
      </c>
      <c r="J2841" s="14">
        <f>P2841*I2841</f>
        <v>25</v>
      </c>
      <c r="K2841" s="16">
        <v>0.19</v>
      </c>
      <c r="L2841" s="1" t="s">
        <v>30</v>
      </c>
      <c r="M2841" t="s">
        <v>22</v>
      </c>
      <c r="N2841" t="str">
        <f t="shared" si="71"/>
        <v>United Kingdom</v>
      </c>
      <c r="O2841" s="8">
        <f>IF(K2841&gt;=1,K2841,K2841*1000)</f>
        <v>190</v>
      </c>
      <c r="P2841">
        <f>ABS(H2841)</f>
        <v>2</v>
      </c>
      <c r="R2841"/>
    </row>
    <row r="2842" spans="1:18" x14ac:dyDescent="0.35">
      <c r="A2842" t="s">
        <v>4429</v>
      </c>
      <c r="B2842" s="2">
        <v>46029</v>
      </c>
      <c r="C2842" t="s">
        <v>938</v>
      </c>
      <c r="D2842" s="3" t="s">
        <v>15</v>
      </c>
      <c r="E2842" t="s">
        <v>34</v>
      </c>
      <c r="F2842" t="s">
        <v>47</v>
      </c>
      <c r="G2842" t="s">
        <v>48</v>
      </c>
      <c r="H2842" s="8">
        <v>2</v>
      </c>
      <c r="I2842" s="10">
        <v>80.099999999999994</v>
      </c>
      <c r="J2842" s="14">
        <f>P2842*I2842</f>
        <v>160.19999999999999</v>
      </c>
      <c r="K2842" s="16">
        <v>380</v>
      </c>
      <c r="L2842" s="1" t="s">
        <v>30</v>
      </c>
      <c r="M2842" t="s">
        <v>22</v>
      </c>
      <c r="N2842" t="str">
        <f t="shared" si="71"/>
        <v>France</v>
      </c>
      <c r="O2842" s="8">
        <f>IF(K2842&gt;=1,K2842,K2842*1000)</f>
        <v>380</v>
      </c>
      <c r="P2842">
        <f>ABS(H2842)</f>
        <v>2</v>
      </c>
      <c r="R2842"/>
    </row>
    <row r="2843" spans="1:18" x14ac:dyDescent="0.35">
      <c r="A2843" t="s">
        <v>4430</v>
      </c>
      <c r="B2843" s="2">
        <v>46183</v>
      </c>
      <c r="C2843" t="s">
        <v>509</v>
      </c>
      <c r="D2843" s="3" t="s">
        <v>61</v>
      </c>
      <c r="E2843" t="s">
        <v>25</v>
      </c>
      <c r="F2843" t="s">
        <v>26</v>
      </c>
      <c r="G2843" t="s">
        <v>27</v>
      </c>
      <c r="H2843" s="8">
        <v>1</v>
      </c>
      <c r="I2843" s="10">
        <v>95</v>
      </c>
      <c r="J2843" s="14">
        <f>P2843*I2843</f>
        <v>95</v>
      </c>
      <c r="K2843" s="16">
        <v>0.52</v>
      </c>
      <c r="L2843" s="1" t="s">
        <v>21</v>
      </c>
      <c r="M2843" t="s">
        <v>22</v>
      </c>
      <c r="N2843" t="str">
        <f t="shared" si="71"/>
        <v>Ireland</v>
      </c>
      <c r="O2843" s="8">
        <f>IF(K2843&gt;=1,K2843,K2843*1000)</f>
        <v>520</v>
      </c>
      <c r="P2843">
        <f>ABS(H2843)</f>
        <v>1</v>
      </c>
      <c r="R2843"/>
    </row>
    <row r="2844" spans="1:18" x14ac:dyDescent="0.35">
      <c r="A2844" t="s">
        <v>4431</v>
      </c>
      <c r="B2844" s="2">
        <v>46064</v>
      </c>
      <c r="C2844" t="s">
        <v>328</v>
      </c>
      <c r="D2844" s="3" t="s">
        <v>99</v>
      </c>
      <c r="E2844" t="s">
        <v>41</v>
      </c>
      <c r="F2844" t="s">
        <v>17</v>
      </c>
      <c r="G2844" t="s">
        <v>18</v>
      </c>
      <c r="H2844" s="8">
        <v>1</v>
      </c>
      <c r="I2844" s="10">
        <v>129</v>
      </c>
      <c r="J2844" s="14">
        <f>P2844*I2844</f>
        <v>129</v>
      </c>
      <c r="K2844" s="16">
        <v>520</v>
      </c>
      <c r="L2844" s="1" t="s">
        <v>21</v>
      </c>
      <c r="M2844" t="s">
        <v>22</v>
      </c>
      <c r="N2844" t="str">
        <f t="shared" si="71"/>
        <v>United Kingdom</v>
      </c>
      <c r="O2844" s="8">
        <f>IF(K2844&gt;=1,K2844,K2844*1000)</f>
        <v>520</v>
      </c>
      <c r="P2844">
        <f>ABS(H2844)</f>
        <v>1</v>
      </c>
      <c r="R2844"/>
    </row>
    <row r="2845" spans="1:18" x14ac:dyDescent="0.35">
      <c r="A2845" t="s">
        <v>4432</v>
      </c>
      <c r="B2845" s="2" t="s">
        <v>1398</v>
      </c>
      <c r="C2845" t="s">
        <v>1540</v>
      </c>
      <c r="D2845" s="3" t="s">
        <v>66</v>
      </c>
      <c r="E2845" t="s">
        <v>25</v>
      </c>
      <c r="F2845" t="s">
        <v>83</v>
      </c>
      <c r="G2845" t="s">
        <v>84</v>
      </c>
      <c r="H2845" s="8">
        <v>1</v>
      </c>
      <c r="I2845" s="10">
        <v>12.5</v>
      </c>
      <c r="J2845" s="14">
        <f>P2845*I2845</f>
        <v>12.5</v>
      </c>
      <c r="K2845" s="16">
        <v>340</v>
      </c>
      <c r="L2845" s="1" t="s">
        <v>30</v>
      </c>
      <c r="M2845" t="s">
        <v>22</v>
      </c>
      <c r="N2845" t="str">
        <f t="shared" si="71"/>
        <v>Gb</v>
      </c>
      <c r="O2845" s="8">
        <f>IF(K2845&gt;=1,K2845,K2845*1000)</f>
        <v>340</v>
      </c>
      <c r="P2845">
        <f>ABS(H2845)</f>
        <v>1</v>
      </c>
      <c r="R2845"/>
    </row>
    <row r="2846" spans="1:18" x14ac:dyDescent="0.35">
      <c r="A2846" t="s">
        <v>4433</v>
      </c>
      <c r="B2846" s="2">
        <v>46130</v>
      </c>
      <c r="C2846" t="s">
        <v>940</v>
      </c>
      <c r="D2846" s="3" t="s">
        <v>99</v>
      </c>
      <c r="E2846" t="s">
        <v>67</v>
      </c>
      <c r="F2846" t="s">
        <v>17</v>
      </c>
      <c r="G2846" t="s">
        <v>18</v>
      </c>
      <c r="H2846" s="8">
        <v>3</v>
      </c>
      <c r="I2846" s="10">
        <v>71.099999999999994</v>
      </c>
      <c r="J2846" s="14">
        <f>P2846*I2846</f>
        <v>213.29999999999998</v>
      </c>
      <c r="K2846" s="16">
        <v>520</v>
      </c>
      <c r="L2846" s="1" t="s">
        <v>30</v>
      </c>
      <c r="M2846" t="s">
        <v>58</v>
      </c>
      <c r="N2846" t="str">
        <f t="shared" si="71"/>
        <v>United Kingdom</v>
      </c>
      <c r="O2846" s="8">
        <f>IF(K2846&gt;=1,K2846,K2846*1000)</f>
        <v>520</v>
      </c>
      <c r="P2846">
        <f>ABS(H2846)</f>
        <v>3</v>
      </c>
      <c r="R2846"/>
    </row>
    <row r="2847" spans="1:18" x14ac:dyDescent="0.35">
      <c r="A2847" t="s">
        <v>4434</v>
      </c>
      <c r="B2847" s="2">
        <v>46134</v>
      </c>
      <c r="C2847" t="s">
        <v>3479</v>
      </c>
      <c r="D2847" s="3" t="s">
        <v>116</v>
      </c>
      <c r="E2847" t="s">
        <v>16</v>
      </c>
      <c r="F2847" t="s">
        <v>26</v>
      </c>
      <c r="G2847" t="s">
        <v>27</v>
      </c>
      <c r="H2847" s="8">
        <v>1</v>
      </c>
      <c r="I2847" s="12" t="s">
        <v>4641</v>
      </c>
      <c r="J2847" s="14">
        <f>P2847*R2847</f>
        <v>49</v>
      </c>
      <c r="K2847" s="16">
        <v>0.52</v>
      </c>
      <c r="L2847" s="1" t="s">
        <v>21</v>
      </c>
      <c r="M2847" t="s">
        <v>22</v>
      </c>
      <c r="N2847" t="str">
        <f t="shared" si="71"/>
        <v>Germany</v>
      </c>
      <c r="O2847" s="8">
        <f>IF(K2847&gt;=1,K2847,K2847*1000)</f>
        <v>520</v>
      </c>
      <c r="P2847">
        <f>ABS(H2847)</f>
        <v>1</v>
      </c>
      <c r="Q2847" t="str">
        <f>LEFT(I2847,3)</f>
        <v>GBP</v>
      </c>
      <c r="R2847" s="10" t="str">
        <f>RIGHT(I2847,5)</f>
        <v>49,00</v>
      </c>
    </row>
    <row r="2848" spans="1:18" x14ac:dyDescent="0.35">
      <c r="A2848" t="s">
        <v>4435</v>
      </c>
      <c r="B2848" s="2">
        <v>46181</v>
      </c>
      <c r="C2848" t="s">
        <v>4436</v>
      </c>
      <c r="D2848" s="3" t="s">
        <v>53</v>
      </c>
      <c r="E2848" t="s">
        <v>41</v>
      </c>
      <c r="F2848" t="s">
        <v>83</v>
      </c>
      <c r="G2848" t="s">
        <v>84</v>
      </c>
      <c r="H2848" s="8">
        <v>2</v>
      </c>
      <c r="I2848" s="10">
        <v>40.5</v>
      </c>
      <c r="J2848" s="14">
        <f>P2848*I2848</f>
        <v>81</v>
      </c>
      <c r="K2848" s="16">
        <v>0.34</v>
      </c>
      <c r="L2848" s="1" t="s">
        <v>30</v>
      </c>
      <c r="M2848" t="s">
        <v>22</v>
      </c>
      <c r="N2848" t="str">
        <f t="shared" si="71"/>
        <v>Gb</v>
      </c>
      <c r="O2848" s="8">
        <f>IF(K2848&gt;=1,K2848,K2848*1000)</f>
        <v>340</v>
      </c>
      <c r="P2848">
        <f>ABS(H2848)</f>
        <v>2</v>
      </c>
      <c r="R2848"/>
    </row>
    <row r="2849" spans="1:18" x14ac:dyDescent="0.35">
      <c r="A2849" t="s">
        <v>4438</v>
      </c>
      <c r="B2849" s="2">
        <v>46157</v>
      </c>
      <c r="C2849" t="s">
        <v>580</v>
      </c>
      <c r="D2849" s="3" t="s">
        <v>61</v>
      </c>
      <c r="E2849" t="s">
        <v>16</v>
      </c>
      <c r="F2849" t="s">
        <v>42</v>
      </c>
      <c r="G2849" t="s">
        <v>43</v>
      </c>
      <c r="H2849" s="8">
        <v>1</v>
      </c>
      <c r="I2849" s="10">
        <v>24</v>
      </c>
      <c r="J2849" s="14">
        <f>P2849*I2849</f>
        <v>24</v>
      </c>
      <c r="K2849" s="16">
        <v>0.19</v>
      </c>
      <c r="L2849" s="1" t="s">
        <v>21</v>
      </c>
      <c r="M2849" t="s">
        <v>22</v>
      </c>
      <c r="N2849" t="str">
        <f t="shared" si="71"/>
        <v>Ireland</v>
      </c>
      <c r="O2849" s="8">
        <f>IF(K2849&gt;=1,K2849,K2849*1000)</f>
        <v>190</v>
      </c>
      <c r="P2849">
        <f>ABS(H2849)</f>
        <v>1</v>
      </c>
      <c r="R2849"/>
    </row>
    <row r="2850" spans="1:18" x14ac:dyDescent="0.35">
      <c r="A2850" t="s">
        <v>4439</v>
      </c>
      <c r="B2850" s="2">
        <v>46029</v>
      </c>
      <c r="C2850" t="s">
        <v>2112</v>
      </c>
      <c r="D2850" s="3" t="s">
        <v>99</v>
      </c>
      <c r="E2850" t="s">
        <v>25</v>
      </c>
      <c r="F2850" t="s">
        <v>74</v>
      </c>
      <c r="G2850" t="s">
        <v>75</v>
      </c>
      <c r="H2850" s="8">
        <v>1</v>
      </c>
      <c r="I2850" s="10">
        <v>134.1</v>
      </c>
      <c r="J2850" s="14">
        <f>P2850*I2850</f>
        <v>134.1</v>
      </c>
      <c r="K2850" s="16">
        <v>410</v>
      </c>
      <c r="L2850" s="1" t="s">
        <v>30</v>
      </c>
      <c r="M2850" t="s">
        <v>22</v>
      </c>
      <c r="N2850" t="str">
        <f t="shared" si="71"/>
        <v>United Kingdom</v>
      </c>
      <c r="O2850" s="8">
        <f>IF(K2850&gt;=1,K2850,K2850*1000)</f>
        <v>410</v>
      </c>
      <c r="P2850">
        <f>ABS(H2850)</f>
        <v>1</v>
      </c>
      <c r="R2850"/>
    </row>
    <row r="2851" spans="1:18" x14ac:dyDescent="0.35">
      <c r="A2851" t="s">
        <v>4440</v>
      </c>
      <c r="B2851" s="2">
        <v>46159</v>
      </c>
      <c r="C2851" t="s">
        <v>4441</v>
      </c>
      <c r="D2851" s="3" t="s">
        <v>66</v>
      </c>
      <c r="E2851" t="s">
        <v>34</v>
      </c>
      <c r="F2851" t="s">
        <v>47</v>
      </c>
      <c r="G2851" t="s">
        <v>48</v>
      </c>
      <c r="H2851" s="8">
        <v>1</v>
      </c>
      <c r="I2851" s="10">
        <v>79</v>
      </c>
      <c r="J2851" s="14">
        <f>P2851*I2851</f>
        <v>79</v>
      </c>
      <c r="K2851" s="16">
        <v>0.38</v>
      </c>
      <c r="L2851" s="1" t="s">
        <v>21</v>
      </c>
      <c r="M2851" t="s">
        <v>22</v>
      </c>
      <c r="N2851" t="str">
        <f t="shared" si="71"/>
        <v>Gb</v>
      </c>
      <c r="O2851" s="8">
        <f>IF(K2851&gt;=1,K2851,K2851*1000)</f>
        <v>380</v>
      </c>
      <c r="P2851">
        <f>ABS(H2851)</f>
        <v>1</v>
      </c>
      <c r="R2851"/>
    </row>
    <row r="2852" spans="1:18" x14ac:dyDescent="0.35">
      <c r="A2852" t="s">
        <v>4442</v>
      </c>
      <c r="B2852" s="2">
        <v>46102</v>
      </c>
      <c r="C2852" t="s">
        <v>4107</v>
      </c>
      <c r="D2852" s="3" t="s">
        <v>99</v>
      </c>
      <c r="E2852" t="s">
        <v>67</v>
      </c>
      <c r="F2852" t="s">
        <v>26</v>
      </c>
      <c r="G2852" t="s">
        <v>27</v>
      </c>
      <c r="H2852" s="8">
        <v>3</v>
      </c>
      <c r="I2852" s="12" t="s">
        <v>4627</v>
      </c>
      <c r="J2852" s="14">
        <f>P2852*R2852</f>
        <v>285</v>
      </c>
      <c r="K2852" s="16">
        <v>520</v>
      </c>
      <c r="L2852" s="1" t="s">
        <v>21</v>
      </c>
      <c r="M2852" t="s">
        <v>22</v>
      </c>
      <c r="N2852" t="str">
        <f t="shared" si="71"/>
        <v>United Kingdom</v>
      </c>
      <c r="O2852" s="8">
        <f>IF(K2852&gt;=1,K2852,K2852*1000)</f>
        <v>520</v>
      </c>
      <c r="P2852">
        <f>ABS(H2852)</f>
        <v>3</v>
      </c>
      <c r="Q2852" t="str">
        <f>LEFT(I2852,3)</f>
        <v>GBP</v>
      </c>
      <c r="R2852" s="10" t="str">
        <f>RIGHT(I2852,5)</f>
        <v>95,00</v>
      </c>
    </row>
    <row r="2853" spans="1:18" x14ac:dyDescent="0.35">
      <c r="A2853" t="s">
        <v>4443</v>
      </c>
      <c r="B2853" s="2">
        <v>46095</v>
      </c>
      <c r="C2853" t="s">
        <v>564</v>
      </c>
      <c r="D2853" s="3" t="s">
        <v>99</v>
      </c>
      <c r="E2853" t="s">
        <v>25</v>
      </c>
      <c r="F2853" t="s">
        <v>74</v>
      </c>
      <c r="G2853" t="s">
        <v>75</v>
      </c>
      <c r="H2853" s="8">
        <v>2</v>
      </c>
      <c r="I2853" s="10">
        <v>149</v>
      </c>
      <c r="J2853" s="14">
        <f>P2853*I2853</f>
        <v>298</v>
      </c>
      <c r="K2853" s="16">
        <v>410</v>
      </c>
      <c r="L2853" s="1" t="s">
        <v>30</v>
      </c>
      <c r="M2853" t="s">
        <v>22</v>
      </c>
      <c r="N2853" t="str">
        <f t="shared" si="71"/>
        <v>United Kingdom</v>
      </c>
      <c r="O2853" s="8">
        <f>IF(K2853&gt;=1,K2853,K2853*1000)</f>
        <v>410</v>
      </c>
      <c r="P2853">
        <f>ABS(H2853)</f>
        <v>2</v>
      </c>
      <c r="R2853"/>
    </row>
    <row r="2854" spans="1:18" x14ac:dyDescent="0.35">
      <c r="A2854" t="s">
        <v>4444</v>
      </c>
      <c r="B2854" s="2">
        <v>46085</v>
      </c>
      <c r="C2854" t="s">
        <v>4445</v>
      </c>
      <c r="D2854" s="3" t="s">
        <v>61</v>
      </c>
      <c r="E2854" t="s">
        <v>25</v>
      </c>
      <c r="F2854" t="s">
        <v>35</v>
      </c>
      <c r="G2854" t="s">
        <v>36</v>
      </c>
      <c r="H2854" s="8">
        <v>3</v>
      </c>
      <c r="I2854" s="10">
        <v>95</v>
      </c>
      <c r="J2854" s="14">
        <f>P2854*I2854</f>
        <v>285</v>
      </c>
      <c r="K2854" s="16">
        <v>85</v>
      </c>
      <c r="L2854" s="1" t="s">
        <v>30</v>
      </c>
      <c r="M2854" t="s">
        <v>58</v>
      </c>
      <c r="N2854" t="str">
        <f t="shared" si="71"/>
        <v>Ireland</v>
      </c>
      <c r="O2854" s="8">
        <f>IF(K2854&gt;=1,K2854,K2854*1000)</f>
        <v>85</v>
      </c>
      <c r="P2854">
        <f>ABS(H2854)</f>
        <v>3</v>
      </c>
      <c r="R2854"/>
    </row>
    <row r="2855" spans="1:18" x14ac:dyDescent="0.35">
      <c r="A2855" t="s">
        <v>4446</v>
      </c>
      <c r="B2855" s="2">
        <v>46196</v>
      </c>
      <c r="C2855" t="s">
        <v>1124</v>
      </c>
      <c r="D2855" s="3" t="s">
        <v>116</v>
      </c>
      <c r="E2855" t="s">
        <v>25</v>
      </c>
      <c r="F2855" t="s">
        <v>74</v>
      </c>
      <c r="G2855" t="s">
        <v>75</v>
      </c>
      <c r="H2855" s="8">
        <v>1</v>
      </c>
      <c r="I2855" s="12" t="s">
        <v>4641</v>
      </c>
      <c r="J2855" s="14">
        <f>P2855*R2855</f>
        <v>49</v>
      </c>
      <c r="K2855" s="16">
        <v>0.41</v>
      </c>
      <c r="L2855" s="1" t="s">
        <v>30</v>
      </c>
      <c r="M2855" t="s">
        <v>22</v>
      </c>
      <c r="N2855" t="str">
        <f t="shared" si="71"/>
        <v>Germany</v>
      </c>
      <c r="O2855" s="8">
        <f>IF(K2855&gt;=1,K2855,K2855*1000)</f>
        <v>410</v>
      </c>
      <c r="P2855">
        <f>ABS(H2855)</f>
        <v>1</v>
      </c>
      <c r="Q2855" t="str">
        <f>LEFT(I2855,3)</f>
        <v>GBP</v>
      </c>
      <c r="R2855" s="10" t="str">
        <f>RIGHT(I2855,5)</f>
        <v>49,00</v>
      </c>
    </row>
    <row r="2856" spans="1:18" x14ac:dyDescent="0.35">
      <c r="A2856" t="s">
        <v>4447</v>
      </c>
      <c r="B2856" s="2">
        <v>46066</v>
      </c>
      <c r="C2856" t="s">
        <v>613</v>
      </c>
      <c r="D2856" s="3" t="s">
        <v>66</v>
      </c>
      <c r="E2856" t="s">
        <v>16</v>
      </c>
      <c r="F2856" t="s">
        <v>47</v>
      </c>
      <c r="G2856" t="s">
        <v>48</v>
      </c>
      <c r="H2856" s="8">
        <v>2</v>
      </c>
      <c r="I2856" s="10">
        <v>45</v>
      </c>
      <c r="J2856" s="14">
        <f>P2856*I2856</f>
        <v>90</v>
      </c>
      <c r="K2856" s="16">
        <v>380</v>
      </c>
      <c r="L2856" s="1" t="s">
        <v>21</v>
      </c>
      <c r="M2856" t="s">
        <v>22</v>
      </c>
      <c r="N2856" t="str">
        <f t="shared" si="71"/>
        <v>Gb</v>
      </c>
      <c r="O2856" s="8">
        <f>IF(K2856&gt;=1,K2856,K2856*1000)</f>
        <v>380</v>
      </c>
      <c r="P2856">
        <f>ABS(H2856)</f>
        <v>2</v>
      </c>
      <c r="R2856"/>
    </row>
    <row r="2857" spans="1:18" x14ac:dyDescent="0.35">
      <c r="A2857" t="s">
        <v>4448</v>
      </c>
      <c r="B2857" s="2">
        <v>46098</v>
      </c>
      <c r="C2857" t="s">
        <v>2273</v>
      </c>
      <c r="D2857" s="3" t="s">
        <v>4612</v>
      </c>
      <c r="E2857" t="s">
        <v>41</v>
      </c>
      <c r="F2857" t="s">
        <v>35</v>
      </c>
      <c r="G2857" t="s">
        <v>36</v>
      </c>
      <c r="H2857" s="8">
        <v>1</v>
      </c>
      <c r="I2857" s="10">
        <v>12.5</v>
      </c>
      <c r="J2857" s="14">
        <f>P2857*I2857</f>
        <v>12.5</v>
      </c>
      <c r="K2857" s="16">
        <v>85</v>
      </c>
      <c r="L2857" s="1" t="s">
        <v>21</v>
      </c>
      <c r="M2857" t="s">
        <v>58</v>
      </c>
      <c r="N2857" t="str">
        <f t="shared" si="71"/>
        <v>United Kingdom</v>
      </c>
      <c r="O2857" s="8">
        <f>IF(K2857&gt;=1,K2857,K2857*1000)</f>
        <v>85</v>
      </c>
      <c r="P2857">
        <f>ABS(H2857)</f>
        <v>1</v>
      </c>
      <c r="R2857"/>
    </row>
    <row r="2858" spans="1:18" x14ac:dyDescent="0.35">
      <c r="A2858" t="s">
        <v>4449</v>
      </c>
      <c r="B2858" s="2">
        <v>46199</v>
      </c>
      <c r="C2858" t="s">
        <v>3847</v>
      </c>
      <c r="D2858" s="3" t="s">
        <v>4612</v>
      </c>
      <c r="E2858" t="s">
        <v>16</v>
      </c>
      <c r="F2858" t="s">
        <v>89</v>
      </c>
      <c r="G2858" t="s">
        <v>90</v>
      </c>
      <c r="H2858" s="8">
        <v>1</v>
      </c>
      <c r="I2858" s="10">
        <v>11.25</v>
      </c>
      <c r="J2858" s="14">
        <f>P2858*I2858</f>
        <v>11.25</v>
      </c>
      <c r="K2858" s="16">
        <v>0.64</v>
      </c>
      <c r="L2858" s="1" t="s">
        <v>30</v>
      </c>
      <c r="M2858" t="s">
        <v>22</v>
      </c>
      <c r="N2858" t="str">
        <f t="shared" si="71"/>
        <v>United Kingdom</v>
      </c>
      <c r="O2858" s="8">
        <f>IF(K2858&gt;=1,K2858,K2858*1000)</f>
        <v>640</v>
      </c>
      <c r="P2858">
        <f>ABS(H2858)</f>
        <v>1</v>
      </c>
      <c r="R2858"/>
    </row>
    <row r="2859" spans="1:18" x14ac:dyDescent="0.35">
      <c r="A2859" t="s">
        <v>4450</v>
      </c>
      <c r="B2859" s="2">
        <v>46121</v>
      </c>
      <c r="C2859" t="s">
        <v>2633</v>
      </c>
      <c r="D2859" s="3" t="s">
        <v>46</v>
      </c>
      <c r="E2859" t="s">
        <v>67</v>
      </c>
      <c r="F2859" t="s">
        <v>35</v>
      </c>
      <c r="G2859" t="s">
        <v>36</v>
      </c>
      <c r="H2859" s="8">
        <v>1</v>
      </c>
      <c r="I2859" s="10">
        <v>21.6</v>
      </c>
      <c r="J2859" s="14">
        <f>P2859*I2859</f>
        <v>21.6</v>
      </c>
      <c r="K2859" s="16">
        <v>85</v>
      </c>
      <c r="L2859" s="1" t="s">
        <v>30</v>
      </c>
      <c r="M2859" t="s">
        <v>22</v>
      </c>
      <c r="N2859" t="str">
        <f t="shared" si="71"/>
        <v>Ireland</v>
      </c>
      <c r="O2859" s="8">
        <f>IF(K2859&gt;=1,K2859,K2859*1000)</f>
        <v>85</v>
      </c>
      <c r="P2859">
        <f>ABS(H2859)</f>
        <v>1</v>
      </c>
      <c r="R2859"/>
    </row>
    <row r="2860" spans="1:18" x14ac:dyDescent="0.35">
      <c r="A2860" t="s">
        <v>4451</v>
      </c>
      <c r="B2860" s="2">
        <v>46083</v>
      </c>
      <c r="C2860" t="s">
        <v>2187</v>
      </c>
      <c r="D2860" s="3" t="s">
        <v>66</v>
      </c>
      <c r="E2860" t="s">
        <v>25</v>
      </c>
      <c r="F2860" t="s">
        <v>74</v>
      </c>
      <c r="G2860" t="s">
        <v>75</v>
      </c>
      <c r="H2860" s="8">
        <v>2</v>
      </c>
      <c r="I2860" s="10">
        <v>11.25</v>
      </c>
      <c r="J2860" s="14">
        <f>P2860*I2860</f>
        <v>22.5</v>
      </c>
      <c r="K2860" s="16">
        <v>410</v>
      </c>
      <c r="L2860" s="1" t="s">
        <v>30</v>
      </c>
      <c r="M2860" t="s">
        <v>22</v>
      </c>
      <c r="N2860" t="str">
        <f t="shared" si="71"/>
        <v>Gb</v>
      </c>
      <c r="O2860" s="8">
        <f>IF(K2860&gt;=1,K2860,K2860*1000)</f>
        <v>410</v>
      </c>
      <c r="P2860">
        <f>ABS(H2860)</f>
        <v>2</v>
      </c>
      <c r="R2860"/>
    </row>
    <row r="2861" spans="1:18" x14ac:dyDescent="0.35">
      <c r="A2861" t="s">
        <v>4452</v>
      </c>
      <c r="B2861" s="2">
        <v>46182</v>
      </c>
      <c r="C2861" t="s">
        <v>4453</v>
      </c>
      <c r="D2861" s="3" t="s">
        <v>99</v>
      </c>
      <c r="E2861" t="s">
        <v>25</v>
      </c>
      <c r="F2861" t="s">
        <v>74</v>
      </c>
      <c r="G2861" t="s">
        <v>75</v>
      </c>
      <c r="H2861" s="8">
        <v>3</v>
      </c>
      <c r="I2861" s="10">
        <v>149</v>
      </c>
      <c r="J2861" s="14">
        <f>P2861*I2861</f>
        <v>447</v>
      </c>
      <c r="K2861" s="16">
        <v>0.41</v>
      </c>
      <c r="L2861" s="1" t="s">
        <v>30</v>
      </c>
      <c r="M2861" t="s">
        <v>22</v>
      </c>
      <c r="N2861" t="str">
        <f t="shared" si="71"/>
        <v>United Kingdom</v>
      </c>
      <c r="O2861" s="8">
        <f>IF(K2861&gt;=1,K2861,K2861*1000)</f>
        <v>410</v>
      </c>
      <c r="P2861">
        <f>ABS(H2861)</f>
        <v>3</v>
      </c>
      <c r="R2861"/>
    </row>
    <row r="2862" spans="1:18" x14ac:dyDescent="0.35">
      <c r="A2862" t="s">
        <v>4454</v>
      </c>
      <c r="B2862" s="2">
        <v>46181</v>
      </c>
      <c r="C2862" t="s">
        <v>3251</v>
      </c>
      <c r="D2862" s="3" t="s">
        <v>15</v>
      </c>
      <c r="E2862" t="s">
        <v>34</v>
      </c>
      <c r="F2862" t="s">
        <v>47</v>
      </c>
      <c r="G2862" t="s">
        <v>48</v>
      </c>
      <c r="H2862" s="8">
        <v>2</v>
      </c>
      <c r="I2862" s="10">
        <v>89</v>
      </c>
      <c r="J2862" s="14">
        <f>P2862*I2862</f>
        <v>178</v>
      </c>
      <c r="K2862" s="16">
        <v>0.38</v>
      </c>
      <c r="L2862" s="1" t="s">
        <v>30</v>
      </c>
      <c r="M2862" t="s">
        <v>22</v>
      </c>
      <c r="N2862" t="str">
        <f t="shared" si="71"/>
        <v>France</v>
      </c>
      <c r="O2862" s="8">
        <f>IF(K2862&gt;=1,K2862,K2862*1000)</f>
        <v>380</v>
      </c>
      <c r="P2862">
        <f>ABS(H2862)</f>
        <v>2</v>
      </c>
      <c r="R2862"/>
    </row>
    <row r="2863" spans="1:18" x14ac:dyDescent="0.35">
      <c r="A2863" t="s">
        <v>4455</v>
      </c>
      <c r="B2863" s="2">
        <v>46172</v>
      </c>
      <c r="C2863" t="s">
        <v>2650</v>
      </c>
      <c r="D2863" s="3" t="s">
        <v>116</v>
      </c>
      <c r="E2863" t="s">
        <v>34</v>
      </c>
      <c r="F2863" t="s">
        <v>89</v>
      </c>
      <c r="G2863" t="s">
        <v>90</v>
      </c>
      <c r="H2863" s="8">
        <v>2</v>
      </c>
      <c r="I2863" s="10">
        <v>45</v>
      </c>
      <c r="J2863" s="14">
        <f>P2863*I2863</f>
        <v>90</v>
      </c>
      <c r="K2863" s="16">
        <v>0.64</v>
      </c>
      <c r="L2863" s="1" t="s">
        <v>30</v>
      </c>
      <c r="M2863" t="s">
        <v>22</v>
      </c>
      <c r="N2863" t="str">
        <f t="shared" si="71"/>
        <v>Germany</v>
      </c>
      <c r="O2863" s="8">
        <f>IF(K2863&gt;=1,K2863,K2863*1000)</f>
        <v>640</v>
      </c>
      <c r="P2863">
        <f>ABS(H2863)</f>
        <v>2</v>
      </c>
      <c r="R2863"/>
    </row>
    <row r="2864" spans="1:18" x14ac:dyDescent="0.35">
      <c r="A2864" t="s">
        <v>4456</v>
      </c>
      <c r="B2864" s="2">
        <v>46162</v>
      </c>
      <c r="C2864" t="s">
        <v>1243</v>
      </c>
      <c r="D2864" s="3" t="s">
        <v>66</v>
      </c>
      <c r="E2864" t="s">
        <v>41</v>
      </c>
      <c r="F2864" t="s">
        <v>26</v>
      </c>
      <c r="G2864" t="s">
        <v>27</v>
      </c>
      <c r="H2864" s="8">
        <v>2</v>
      </c>
      <c r="I2864" s="10">
        <v>80.099999999999994</v>
      </c>
      <c r="J2864" s="14">
        <f>P2864*I2864</f>
        <v>160.19999999999999</v>
      </c>
      <c r="K2864" s="16">
        <v>0.52</v>
      </c>
      <c r="L2864" s="1" t="s">
        <v>30</v>
      </c>
      <c r="M2864" t="s">
        <v>22</v>
      </c>
      <c r="N2864" t="str">
        <f t="shared" si="71"/>
        <v>Gb</v>
      </c>
      <c r="O2864" s="8">
        <f>IF(K2864&gt;=1,K2864,K2864*1000)</f>
        <v>520</v>
      </c>
      <c r="P2864">
        <f>ABS(H2864)</f>
        <v>2</v>
      </c>
      <c r="R2864"/>
    </row>
    <row r="2865" spans="1:18" x14ac:dyDescent="0.35">
      <c r="A2865" t="s">
        <v>4457</v>
      </c>
      <c r="B2865" s="2" t="s">
        <v>4458</v>
      </c>
      <c r="C2865" t="s">
        <v>3244</v>
      </c>
      <c r="D2865" s="3" t="s">
        <v>15</v>
      </c>
      <c r="E2865" t="s">
        <v>34</v>
      </c>
      <c r="F2865" t="s">
        <v>83</v>
      </c>
      <c r="G2865" t="s">
        <v>84</v>
      </c>
      <c r="H2865" s="8">
        <v>1</v>
      </c>
      <c r="I2865" s="10">
        <v>40.5</v>
      </c>
      <c r="J2865" s="14">
        <f>P2865*I2865</f>
        <v>40.5</v>
      </c>
      <c r="K2865" s="16">
        <v>0.34</v>
      </c>
      <c r="L2865" s="1" t="s">
        <v>30</v>
      </c>
      <c r="M2865" t="s">
        <v>22</v>
      </c>
      <c r="N2865" t="str">
        <f t="shared" si="71"/>
        <v>France</v>
      </c>
      <c r="O2865" s="8">
        <f>IF(K2865&gt;=1,K2865,K2865*1000)</f>
        <v>340</v>
      </c>
      <c r="P2865">
        <f>ABS(H2865)</f>
        <v>1</v>
      </c>
      <c r="R2865"/>
    </row>
    <row r="2866" spans="1:18" x14ac:dyDescent="0.35">
      <c r="A2866" t="s">
        <v>4459</v>
      </c>
      <c r="B2866" s="2">
        <v>46119</v>
      </c>
      <c r="C2866" t="s">
        <v>585</v>
      </c>
      <c r="D2866" s="3" t="s">
        <v>116</v>
      </c>
      <c r="E2866" t="s">
        <v>25</v>
      </c>
      <c r="F2866" t="s">
        <v>42</v>
      </c>
      <c r="G2866" t="s">
        <v>43</v>
      </c>
      <c r="H2866" s="8">
        <v>1</v>
      </c>
      <c r="I2866" s="12" t="s">
        <v>4632</v>
      </c>
      <c r="J2866" s="14">
        <f>P2866*R2866</f>
        <v>89</v>
      </c>
      <c r="K2866" s="16">
        <v>190</v>
      </c>
      <c r="L2866" s="1" t="s">
        <v>30</v>
      </c>
      <c r="M2866" t="s">
        <v>22</v>
      </c>
      <c r="N2866" t="str">
        <f t="shared" si="71"/>
        <v>Germany</v>
      </c>
      <c r="O2866" s="8">
        <f>IF(K2866&gt;=1,K2866,K2866*1000)</f>
        <v>190</v>
      </c>
      <c r="P2866">
        <f>ABS(H2866)</f>
        <v>1</v>
      </c>
      <c r="Q2866" t="str">
        <f>LEFT(I2866,3)</f>
        <v>GBP</v>
      </c>
      <c r="R2866" s="10" t="str">
        <f>RIGHT(I2866,5)</f>
        <v>89,00</v>
      </c>
    </row>
    <row r="2867" spans="1:18" x14ac:dyDescent="0.35">
      <c r="A2867" t="s">
        <v>4460</v>
      </c>
      <c r="B2867" s="2">
        <v>46188</v>
      </c>
      <c r="C2867" t="s">
        <v>4225</v>
      </c>
      <c r="D2867" s="3" t="s">
        <v>4613</v>
      </c>
      <c r="E2867" t="s">
        <v>16</v>
      </c>
      <c r="F2867" t="s">
        <v>35</v>
      </c>
      <c r="G2867" t="s">
        <v>36</v>
      </c>
      <c r="H2867" s="8">
        <v>2</v>
      </c>
      <c r="I2867" s="10">
        <v>149</v>
      </c>
      <c r="J2867" s="14">
        <f>P2867*I2867</f>
        <v>298</v>
      </c>
      <c r="K2867" s="16">
        <v>8.5000000000000006E-2</v>
      </c>
      <c r="L2867" s="1" t="s">
        <v>30</v>
      </c>
      <c r="M2867" t="s">
        <v>22</v>
      </c>
      <c r="N2867" t="str">
        <f t="shared" si="71"/>
        <v>United Kingdom</v>
      </c>
      <c r="O2867" s="8">
        <f>IF(K2867&gt;=1,K2867,K2867*1000)</f>
        <v>85</v>
      </c>
      <c r="P2867">
        <f>ABS(H2867)</f>
        <v>2</v>
      </c>
      <c r="R2867"/>
    </row>
    <row r="2868" spans="1:18" x14ac:dyDescent="0.35">
      <c r="A2868" t="s">
        <v>4461</v>
      </c>
      <c r="B2868" s="2" t="s">
        <v>590</v>
      </c>
      <c r="C2868" t="s">
        <v>1437</v>
      </c>
      <c r="D2868" s="3" t="s">
        <v>61</v>
      </c>
      <c r="E2868" t="s">
        <v>67</v>
      </c>
      <c r="F2868" t="s">
        <v>83</v>
      </c>
      <c r="G2868" t="s">
        <v>84</v>
      </c>
      <c r="H2868" s="8">
        <v>2</v>
      </c>
      <c r="I2868" s="12" t="s">
        <v>4646</v>
      </c>
      <c r="J2868" s="14">
        <f>P2868*R2868</f>
        <v>190</v>
      </c>
      <c r="K2868" s="16">
        <v>340</v>
      </c>
      <c r="L2868" s="1" t="s">
        <v>30</v>
      </c>
      <c r="M2868" t="s">
        <v>22</v>
      </c>
      <c r="N2868" t="str">
        <f t="shared" si="71"/>
        <v>Ireland</v>
      </c>
      <c r="O2868" s="8">
        <f>IF(K2868&gt;=1,K2868,K2868*1000)</f>
        <v>340</v>
      </c>
      <c r="P2868">
        <f>ABS(H2868)</f>
        <v>2</v>
      </c>
      <c r="Q2868" t="str">
        <f>LEFT(I2868,2)</f>
        <v>Â£</v>
      </c>
      <c r="R2868" t="str">
        <f>RIGHT(I2868,5)</f>
        <v>95,00</v>
      </c>
    </row>
    <row r="2869" spans="1:18" x14ac:dyDescent="0.35">
      <c r="A2869" t="s">
        <v>4462</v>
      </c>
      <c r="B2869" s="2">
        <v>46082</v>
      </c>
      <c r="C2869" t="s">
        <v>256</v>
      </c>
      <c r="D2869" s="3" t="s">
        <v>116</v>
      </c>
      <c r="E2869" t="s">
        <v>67</v>
      </c>
      <c r="F2869" t="s">
        <v>89</v>
      </c>
      <c r="G2869" t="s">
        <v>90</v>
      </c>
      <c r="H2869" s="8">
        <v>1</v>
      </c>
      <c r="I2869" s="10">
        <v>149</v>
      </c>
      <c r="J2869" s="14">
        <f>P2869*I2869</f>
        <v>149</v>
      </c>
      <c r="K2869" s="16">
        <v>640</v>
      </c>
      <c r="L2869" s="1" t="s">
        <v>30</v>
      </c>
      <c r="M2869" t="s">
        <v>22</v>
      </c>
      <c r="N2869" t="str">
        <f t="shared" si="71"/>
        <v>Germany</v>
      </c>
      <c r="O2869" s="8">
        <f>IF(K2869&gt;=1,K2869,K2869*1000)</f>
        <v>640</v>
      </c>
      <c r="P2869">
        <f>ABS(H2869)</f>
        <v>1</v>
      </c>
      <c r="R2869"/>
    </row>
    <row r="2870" spans="1:18" x14ac:dyDescent="0.35">
      <c r="A2870" t="s">
        <v>4463</v>
      </c>
      <c r="B2870" s="2">
        <v>46194</v>
      </c>
      <c r="C2870" t="s">
        <v>3033</v>
      </c>
      <c r="D2870" s="3" t="s">
        <v>53</v>
      </c>
      <c r="E2870" t="s">
        <v>16</v>
      </c>
      <c r="F2870" t="s">
        <v>74</v>
      </c>
      <c r="G2870" t="s">
        <v>75</v>
      </c>
      <c r="H2870" s="8">
        <v>2</v>
      </c>
      <c r="I2870" s="10">
        <v>80.099999999999994</v>
      </c>
      <c r="J2870" s="14">
        <f>P2870*I2870</f>
        <v>160.19999999999999</v>
      </c>
      <c r="K2870" s="16">
        <v>0.41</v>
      </c>
      <c r="L2870" s="1" t="s">
        <v>30</v>
      </c>
      <c r="M2870" t="s">
        <v>22</v>
      </c>
      <c r="N2870" t="str">
        <f t="shared" si="71"/>
        <v>Gb</v>
      </c>
      <c r="O2870" s="8">
        <f>IF(K2870&gt;=1,K2870,K2870*1000)</f>
        <v>410</v>
      </c>
      <c r="P2870">
        <f>ABS(H2870)</f>
        <v>2</v>
      </c>
      <c r="R2870"/>
    </row>
    <row r="2871" spans="1:18" x14ac:dyDescent="0.35">
      <c r="A2871" t="s">
        <v>4464</v>
      </c>
      <c r="B2871" s="2">
        <v>46148</v>
      </c>
      <c r="C2871" t="s">
        <v>703</v>
      </c>
      <c r="D2871" s="3" t="s">
        <v>53</v>
      </c>
      <c r="E2871" t="s">
        <v>41</v>
      </c>
      <c r="F2871" t="s">
        <v>74</v>
      </c>
      <c r="G2871" t="s">
        <v>75</v>
      </c>
      <c r="H2871" s="8">
        <v>1</v>
      </c>
      <c r="I2871" s="10">
        <v>129</v>
      </c>
      <c r="J2871" s="14">
        <f>P2871*I2871</f>
        <v>129</v>
      </c>
      <c r="K2871" s="16">
        <v>0.41</v>
      </c>
      <c r="L2871" s="1" t="s">
        <v>30</v>
      </c>
      <c r="M2871" t="s">
        <v>22</v>
      </c>
      <c r="N2871" t="str">
        <f t="shared" si="71"/>
        <v>Gb</v>
      </c>
      <c r="O2871" s="8">
        <f>IF(K2871&gt;=1,K2871,K2871*1000)</f>
        <v>410</v>
      </c>
      <c r="P2871">
        <f>ABS(H2871)</f>
        <v>1</v>
      </c>
      <c r="R2871"/>
    </row>
    <row r="2872" spans="1:18" x14ac:dyDescent="0.35">
      <c r="A2872" t="s">
        <v>4465</v>
      </c>
      <c r="B2872" s="2">
        <v>46049</v>
      </c>
      <c r="C2872" t="s">
        <v>4466</v>
      </c>
      <c r="D2872" s="3" t="s">
        <v>99</v>
      </c>
      <c r="E2872" t="s">
        <v>16</v>
      </c>
      <c r="F2872" t="s">
        <v>35</v>
      </c>
      <c r="G2872" t="s">
        <v>36</v>
      </c>
      <c r="H2872" s="8">
        <v>1</v>
      </c>
      <c r="I2872" s="10">
        <v>129</v>
      </c>
      <c r="J2872" s="14">
        <f>P2872*I2872</f>
        <v>129</v>
      </c>
      <c r="K2872" s="16">
        <v>85</v>
      </c>
      <c r="L2872" s="1" t="s">
        <v>30</v>
      </c>
      <c r="M2872" t="s">
        <v>22</v>
      </c>
      <c r="N2872" t="str">
        <f t="shared" si="71"/>
        <v>United Kingdom</v>
      </c>
      <c r="O2872" s="8">
        <f>IF(K2872&gt;=1,K2872,K2872*1000)</f>
        <v>85</v>
      </c>
      <c r="P2872">
        <f>ABS(H2872)</f>
        <v>1</v>
      </c>
      <c r="R2872"/>
    </row>
    <row r="2873" spans="1:18" x14ac:dyDescent="0.35">
      <c r="A2873" t="s">
        <v>4467</v>
      </c>
      <c r="B2873" s="2">
        <v>46136</v>
      </c>
      <c r="C2873" t="s">
        <v>358</v>
      </c>
      <c r="D2873" s="3" t="s">
        <v>99</v>
      </c>
      <c r="E2873" t="s">
        <v>34</v>
      </c>
      <c r="F2873" t="s">
        <v>47</v>
      </c>
      <c r="G2873" t="s">
        <v>48</v>
      </c>
      <c r="H2873" s="8">
        <v>1</v>
      </c>
      <c r="I2873" s="10">
        <v>71.099999999999994</v>
      </c>
      <c r="J2873" s="14">
        <f>P2873*I2873</f>
        <v>71.099999999999994</v>
      </c>
      <c r="K2873" s="16">
        <v>0.38</v>
      </c>
      <c r="L2873" s="1" t="s">
        <v>30</v>
      </c>
      <c r="M2873" t="s">
        <v>58</v>
      </c>
      <c r="N2873" t="str">
        <f t="shared" si="71"/>
        <v>United Kingdom</v>
      </c>
      <c r="O2873" s="8">
        <f>IF(K2873&gt;=1,K2873,K2873*1000)</f>
        <v>380</v>
      </c>
      <c r="P2873">
        <f>ABS(H2873)</f>
        <v>1</v>
      </c>
      <c r="R2873"/>
    </row>
    <row r="2874" spans="1:18" x14ac:dyDescent="0.35">
      <c r="A2874" t="s">
        <v>4468</v>
      </c>
      <c r="B2874" s="2">
        <v>46207</v>
      </c>
      <c r="C2874" t="s">
        <v>2993</v>
      </c>
      <c r="D2874" s="3" t="s">
        <v>99</v>
      </c>
      <c r="E2874" t="s">
        <v>25</v>
      </c>
      <c r="F2874" t="s">
        <v>26</v>
      </c>
      <c r="G2874" t="s">
        <v>27</v>
      </c>
      <c r="H2874" s="8">
        <v>1</v>
      </c>
      <c r="I2874" s="12" t="s">
        <v>4631</v>
      </c>
      <c r="J2874" s="14">
        <f>P2874*R2874</f>
        <v>79</v>
      </c>
      <c r="K2874" s="16">
        <v>0.52</v>
      </c>
      <c r="L2874" s="1" t="s">
        <v>30</v>
      </c>
      <c r="M2874" t="s">
        <v>58</v>
      </c>
      <c r="N2874" t="str">
        <f t="shared" si="71"/>
        <v>United Kingdom</v>
      </c>
      <c r="O2874" s="8">
        <f>IF(K2874&gt;=1,K2874,K2874*1000)</f>
        <v>520</v>
      </c>
      <c r="P2874">
        <f>ABS(H2874)</f>
        <v>1</v>
      </c>
      <c r="Q2874" t="str">
        <f>LEFT(I2874,2)</f>
        <v>Â£</v>
      </c>
      <c r="R2874" t="str">
        <f>RIGHT(I2874,5)</f>
        <v>79,00</v>
      </c>
    </row>
    <row r="2875" spans="1:18" x14ac:dyDescent="0.35">
      <c r="A2875" t="s">
        <v>4469</v>
      </c>
      <c r="B2875" s="2">
        <v>46204</v>
      </c>
      <c r="C2875" t="s">
        <v>1642</v>
      </c>
      <c r="D2875" s="3" t="s">
        <v>53</v>
      </c>
      <c r="E2875" t="s">
        <v>67</v>
      </c>
      <c r="F2875" t="s">
        <v>42</v>
      </c>
      <c r="G2875" t="s">
        <v>43</v>
      </c>
      <c r="H2875" s="8">
        <v>2</v>
      </c>
      <c r="I2875" s="10">
        <v>71.099999999999994</v>
      </c>
      <c r="J2875" s="14">
        <f>P2875*I2875</f>
        <v>142.19999999999999</v>
      </c>
      <c r="K2875" s="16">
        <v>0.19</v>
      </c>
      <c r="L2875" s="1" t="s">
        <v>30</v>
      </c>
      <c r="M2875" t="s">
        <v>22</v>
      </c>
      <c r="N2875" t="str">
        <f t="shared" si="71"/>
        <v>Gb</v>
      </c>
      <c r="O2875" s="8">
        <f>IF(K2875&gt;=1,K2875,K2875*1000)</f>
        <v>190</v>
      </c>
      <c r="P2875">
        <f>ABS(H2875)</f>
        <v>2</v>
      </c>
      <c r="R2875"/>
    </row>
    <row r="2876" spans="1:18" x14ac:dyDescent="0.35">
      <c r="A2876" t="s">
        <v>4470</v>
      </c>
      <c r="B2876" s="2">
        <v>46163</v>
      </c>
      <c r="C2876" t="s">
        <v>1628</v>
      </c>
      <c r="D2876" s="3" t="s">
        <v>66</v>
      </c>
      <c r="E2876" t="s">
        <v>34</v>
      </c>
      <c r="F2876" t="s">
        <v>35</v>
      </c>
      <c r="G2876" t="s">
        <v>36</v>
      </c>
      <c r="H2876" s="8">
        <v>1</v>
      </c>
      <c r="I2876" s="10">
        <v>129</v>
      </c>
      <c r="J2876" s="14">
        <f>P2876*I2876</f>
        <v>129</v>
      </c>
      <c r="K2876" s="16">
        <v>8.5000000000000006E-2</v>
      </c>
      <c r="L2876" s="1" t="s">
        <v>30</v>
      </c>
      <c r="M2876" t="s">
        <v>22</v>
      </c>
      <c r="N2876" t="str">
        <f t="shared" si="71"/>
        <v>Gb</v>
      </c>
      <c r="O2876" s="8">
        <f>IF(K2876&gt;=1,K2876,K2876*1000)</f>
        <v>85</v>
      </c>
      <c r="P2876">
        <f>ABS(H2876)</f>
        <v>1</v>
      </c>
      <c r="R2876"/>
    </row>
    <row r="2877" spans="1:18" x14ac:dyDescent="0.35">
      <c r="A2877" t="s">
        <v>4471</v>
      </c>
      <c r="B2877" s="2">
        <v>46031</v>
      </c>
      <c r="C2877" t="s">
        <v>3172</v>
      </c>
      <c r="D2877" s="3" t="s">
        <v>66</v>
      </c>
      <c r="E2877" t="s">
        <v>16</v>
      </c>
      <c r="F2877" t="s">
        <v>74</v>
      </c>
      <c r="G2877" t="s">
        <v>75</v>
      </c>
      <c r="H2877" s="8">
        <v>3</v>
      </c>
      <c r="I2877" s="10">
        <v>45</v>
      </c>
      <c r="J2877" s="14">
        <f>P2877*I2877</f>
        <v>135</v>
      </c>
      <c r="K2877" s="16">
        <v>410</v>
      </c>
      <c r="L2877" s="1" t="s">
        <v>30</v>
      </c>
      <c r="M2877" t="s">
        <v>22</v>
      </c>
      <c r="N2877" t="str">
        <f t="shared" si="71"/>
        <v>Gb</v>
      </c>
      <c r="O2877" s="8">
        <f>IF(K2877&gt;=1,K2877,K2877*1000)</f>
        <v>410</v>
      </c>
      <c r="P2877">
        <f>ABS(H2877)</f>
        <v>3</v>
      </c>
      <c r="R2877"/>
    </row>
    <row r="2878" spans="1:18" x14ac:dyDescent="0.35">
      <c r="A2878" t="s">
        <v>4472</v>
      </c>
      <c r="B2878" s="2">
        <v>46140</v>
      </c>
      <c r="C2878" t="s">
        <v>288</v>
      </c>
      <c r="D2878" s="3" t="s">
        <v>116</v>
      </c>
      <c r="E2878" t="s">
        <v>34</v>
      </c>
      <c r="F2878" t="s">
        <v>26</v>
      </c>
      <c r="G2878" t="s">
        <v>27</v>
      </c>
      <c r="H2878" s="8">
        <v>-1</v>
      </c>
      <c r="I2878" s="10">
        <v>89</v>
      </c>
      <c r="J2878" s="14">
        <f>P2878*I2878</f>
        <v>89</v>
      </c>
      <c r="K2878" s="16">
        <v>0.52</v>
      </c>
      <c r="L2878" s="1" t="s">
        <v>30</v>
      </c>
      <c r="M2878" t="s">
        <v>22</v>
      </c>
      <c r="N2878" t="str">
        <f t="shared" si="71"/>
        <v>Germany</v>
      </c>
      <c r="O2878" s="8">
        <f>IF(K2878&gt;=1,K2878,K2878*1000)</f>
        <v>520</v>
      </c>
      <c r="P2878">
        <f>ABS(H2878)</f>
        <v>1</v>
      </c>
      <c r="R2878"/>
    </row>
    <row r="2879" spans="1:18" x14ac:dyDescent="0.35">
      <c r="A2879" t="s">
        <v>4473</v>
      </c>
      <c r="B2879" s="2" t="s">
        <v>4474</v>
      </c>
      <c r="C2879" t="s">
        <v>1888</v>
      </c>
      <c r="D2879" s="3" t="s">
        <v>61</v>
      </c>
      <c r="E2879" t="s">
        <v>16</v>
      </c>
      <c r="F2879" t="s">
        <v>17</v>
      </c>
      <c r="G2879" t="s">
        <v>18</v>
      </c>
      <c r="H2879" s="8">
        <v>2</v>
      </c>
      <c r="I2879" s="10">
        <v>24</v>
      </c>
      <c r="J2879" s="14">
        <f>P2879*I2879</f>
        <v>48</v>
      </c>
      <c r="K2879" s="16">
        <v>0.52</v>
      </c>
      <c r="L2879" s="1" t="s">
        <v>30</v>
      </c>
      <c r="M2879" t="s">
        <v>22</v>
      </c>
      <c r="N2879" t="str">
        <f t="shared" si="71"/>
        <v>Ireland</v>
      </c>
      <c r="O2879" s="8">
        <f>IF(K2879&gt;=1,K2879,K2879*1000)</f>
        <v>520</v>
      </c>
      <c r="P2879">
        <f>ABS(H2879)</f>
        <v>2</v>
      </c>
      <c r="R2879"/>
    </row>
    <row r="2880" spans="1:18" x14ac:dyDescent="0.35">
      <c r="A2880" t="s">
        <v>4475</v>
      </c>
      <c r="B2880" s="2">
        <v>46093</v>
      </c>
      <c r="C2880" t="s">
        <v>694</v>
      </c>
      <c r="D2880" s="3" t="s">
        <v>4613</v>
      </c>
      <c r="E2880" t="s">
        <v>67</v>
      </c>
      <c r="F2880" t="s">
        <v>74</v>
      </c>
      <c r="G2880" t="s">
        <v>75</v>
      </c>
      <c r="H2880" s="8">
        <v>1</v>
      </c>
      <c r="I2880" s="12" t="s">
        <v>4636</v>
      </c>
      <c r="J2880" s="14">
        <f>P2880*R2880</f>
        <v>89</v>
      </c>
      <c r="K2880" s="16">
        <v>410</v>
      </c>
      <c r="L2880" s="1" t="s">
        <v>21</v>
      </c>
      <c r="M2880" t="s">
        <v>22</v>
      </c>
      <c r="N2880" t="str">
        <f t="shared" si="71"/>
        <v>United Kingdom</v>
      </c>
      <c r="O2880" s="8">
        <f>IF(K2880&gt;=1,K2880,K2880*1000)</f>
        <v>410</v>
      </c>
      <c r="P2880">
        <f>ABS(H2880)</f>
        <v>1</v>
      </c>
      <c r="Q2880" t="str">
        <f>LEFT(I2880,2)</f>
        <v>Â£</v>
      </c>
      <c r="R2880" t="str">
        <f>RIGHT(I2880,5)</f>
        <v>89,00</v>
      </c>
    </row>
    <row r="2881" spans="1:18" x14ac:dyDescent="0.35">
      <c r="A2881" t="s">
        <v>4476</v>
      </c>
      <c r="B2881" s="2">
        <v>46137</v>
      </c>
      <c r="C2881" t="s">
        <v>2779</v>
      </c>
      <c r="D2881" s="3" t="s">
        <v>15</v>
      </c>
      <c r="E2881" t="s">
        <v>25</v>
      </c>
      <c r="F2881" t="s">
        <v>42</v>
      </c>
      <c r="G2881" t="s">
        <v>43</v>
      </c>
      <c r="H2881" s="8">
        <v>1</v>
      </c>
      <c r="I2881" s="10">
        <v>79</v>
      </c>
      <c r="J2881" s="14">
        <f>P2881*I2881</f>
        <v>79</v>
      </c>
      <c r="K2881" s="16">
        <v>0.19</v>
      </c>
      <c r="L2881" s="1" t="s">
        <v>30</v>
      </c>
      <c r="M2881" t="s">
        <v>22</v>
      </c>
      <c r="N2881" t="str">
        <f t="shared" si="71"/>
        <v>France</v>
      </c>
      <c r="O2881" s="8">
        <f>IF(K2881&gt;=1,K2881,K2881*1000)</f>
        <v>190</v>
      </c>
      <c r="P2881">
        <f>ABS(H2881)</f>
        <v>1</v>
      </c>
      <c r="R2881"/>
    </row>
    <row r="2882" spans="1:18" x14ac:dyDescent="0.35">
      <c r="A2882" t="s">
        <v>4477</v>
      </c>
      <c r="B2882" s="2">
        <v>46076</v>
      </c>
      <c r="C2882" t="s">
        <v>832</v>
      </c>
      <c r="D2882" s="3" t="s">
        <v>4612</v>
      </c>
      <c r="E2882" t="s">
        <v>34</v>
      </c>
      <c r="F2882" t="s">
        <v>74</v>
      </c>
      <c r="G2882" t="s">
        <v>75</v>
      </c>
      <c r="H2882" s="8">
        <v>1</v>
      </c>
      <c r="I2882" s="10">
        <v>89</v>
      </c>
      <c r="J2882" s="14">
        <f>P2882*I2882</f>
        <v>89</v>
      </c>
      <c r="K2882" s="16">
        <v>410</v>
      </c>
      <c r="L2882" s="1" t="s">
        <v>30</v>
      </c>
      <c r="M2882" t="s">
        <v>22</v>
      </c>
      <c r="N2882" t="str">
        <f t="shared" si="71"/>
        <v>United Kingdom</v>
      </c>
      <c r="O2882" s="8">
        <f>IF(K2882&gt;=1,K2882,K2882*1000)</f>
        <v>410</v>
      </c>
      <c r="P2882">
        <f>ABS(H2882)</f>
        <v>1</v>
      </c>
      <c r="R2882"/>
    </row>
    <row r="2883" spans="1:18" x14ac:dyDescent="0.35">
      <c r="A2883" t="s">
        <v>4478</v>
      </c>
      <c r="B2883" s="2">
        <v>46038</v>
      </c>
      <c r="C2883" t="s">
        <v>1407</v>
      </c>
      <c r="D2883" s="3" t="s">
        <v>53</v>
      </c>
      <c r="E2883" t="s">
        <v>16</v>
      </c>
      <c r="F2883" t="s">
        <v>17</v>
      </c>
      <c r="G2883" t="s">
        <v>18</v>
      </c>
      <c r="H2883" s="8">
        <v>1</v>
      </c>
      <c r="I2883" s="10">
        <v>71.099999999999994</v>
      </c>
      <c r="J2883" s="14">
        <f>P2883*I2883</f>
        <v>71.099999999999994</v>
      </c>
      <c r="K2883" s="16">
        <v>520</v>
      </c>
      <c r="L2883" s="1" t="s">
        <v>30</v>
      </c>
      <c r="M2883" t="s">
        <v>22</v>
      </c>
      <c r="N2883" t="str">
        <f t="shared" ref="N2883:N2946" si="72">PROPER(TRIM(D2883))</f>
        <v>Gb</v>
      </c>
      <c r="O2883" s="8">
        <f>IF(K2883&gt;=1,K2883,K2883*1000)</f>
        <v>520</v>
      </c>
      <c r="P2883">
        <f>ABS(H2883)</f>
        <v>1</v>
      </c>
      <c r="R2883"/>
    </row>
    <row r="2884" spans="1:18" x14ac:dyDescent="0.35">
      <c r="A2884" t="s">
        <v>4479</v>
      </c>
      <c r="B2884" s="2">
        <v>46298</v>
      </c>
      <c r="C2884" t="s">
        <v>1072</v>
      </c>
      <c r="D2884" s="3" t="s">
        <v>99</v>
      </c>
      <c r="E2884" t="s">
        <v>16</v>
      </c>
      <c r="F2884" t="s">
        <v>83</v>
      </c>
      <c r="G2884" t="s">
        <v>84</v>
      </c>
      <c r="H2884" s="8">
        <v>2</v>
      </c>
      <c r="I2884" s="10">
        <v>24</v>
      </c>
      <c r="J2884" s="14">
        <f>P2884*I2884</f>
        <v>48</v>
      </c>
      <c r="K2884" s="16">
        <v>340</v>
      </c>
      <c r="L2884" s="1" t="s">
        <v>30</v>
      </c>
      <c r="M2884" t="s">
        <v>22</v>
      </c>
      <c r="N2884" t="str">
        <f t="shared" si="72"/>
        <v>United Kingdom</v>
      </c>
      <c r="O2884" s="8">
        <f>IF(K2884&gt;=1,K2884,K2884*1000)</f>
        <v>340</v>
      </c>
      <c r="P2884">
        <f>ABS(H2884)</f>
        <v>2</v>
      </c>
      <c r="R2884"/>
    </row>
    <row r="2885" spans="1:18" x14ac:dyDescent="0.35">
      <c r="A2885" t="s">
        <v>4480</v>
      </c>
      <c r="B2885" s="2">
        <v>46058</v>
      </c>
      <c r="C2885" t="s">
        <v>3589</v>
      </c>
      <c r="D2885" s="3" t="s">
        <v>61</v>
      </c>
      <c r="E2885" t="s">
        <v>16</v>
      </c>
      <c r="F2885" t="s">
        <v>89</v>
      </c>
      <c r="G2885" t="s">
        <v>90</v>
      </c>
      <c r="H2885" s="8">
        <v>2</v>
      </c>
      <c r="I2885" s="10">
        <v>12.5</v>
      </c>
      <c r="J2885" s="14">
        <f>P2885*I2885</f>
        <v>25</v>
      </c>
      <c r="K2885" s="16">
        <v>0.64</v>
      </c>
      <c r="L2885" s="1" t="s">
        <v>30</v>
      </c>
      <c r="M2885" t="s">
        <v>58</v>
      </c>
      <c r="N2885" t="str">
        <f t="shared" si="72"/>
        <v>Ireland</v>
      </c>
      <c r="O2885" s="8">
        <f>IF(K2885&gt;=1,K2885,K2885*1000)</f>
        <v>640</v>
      </c>
      <c r="P2885">
        <f>ABS(H2885)</f>
        <v>2</v>
      </c>
      <c r="R2885"/>
    </row>
    <row r="2886" spans="1:18" x14ac:dyDescent="0.35">
      <c r="A2886" t="s">
        <v>4481</v>
      </c>
      <c r="B2886" s="2">
        <v>46045</v>
      </c>
      <c r="C2886" t="s">
        <v>139</v>
      </c>
      <c r="D2886" s="3" t="s">
        <v>46</v>
      </c>
      <c r="E2886" t="s">
        <v>34</v>
      </c>
      <c r="F2886" t="s">
        <v>35</v>
      </c>
      <c r="G2886" t="s">
        <v>36</v>
      </c>
      <c r="H2886" s="8">
        <v>2</v>
      </c>
      <c r="I2886" s="10">
        <v>95</v>
      </c>
      <c r="J2886" s="14">
        <f>P2886*I2886</f>
        <v>190</v>
      </c>
      <c r="K2886" s="16">
        <v>85</v>
      </c>
      <c r="L2886" s="1" t="s">
        <v>30</v>
      </c>
      <c r="M2886" t="s">
        <v>22</v>
      </c>
      <c r="N2886" t="str">
        <f t="shared" si="72"/>
        <v>Ireland</v>
      </c>
      <c r="O2886" s="8">
        <f>IF(K2886&gt;=1,K2886,K2886*1000)</f>
        <v>85</v>
      </c>
      <c r="P2886">
        <f>ABS(H2886)</f>
        <v>2</v>
      </c>
      <c r="R2886"/>
    </row>
    <row r="2887" spans="1:18" x14ac:dyDescent="0.35">
      <c r="A2887" t="s">
        <v>4482</v>
      </c>
      <c r="B2887" s="2">
        <v>46029</v>
      </c>
      <c r="C2887" t="s">
        <v>2199</v>
      </c>
      <c r="D2887" s="3" t="s">
        <v>99</v>
      </c>
      <c r="E2887" t="s">
        <v>34</v>
      </c>
      <c r="F2887" t="s">
        <v>35</v>
      </c>
      <c r="G2887" t="s">
        <v>36</v>
      </c>
      <c r="H2887" s="8">
        <v>-2</v>
      </c>
      <c r="I2887" s="10">
        <v>24</v>
      </c>
      <c r="J2887" s="14">
        <f>P2887*I2887</f>
        <v>48</v>
      </c>
      <c r="K2887" s="16">
        <v>85</v>
      </c>
      <c r="L2887" s="1" t="s">
        <v>21</v>
      </c>
      <c r="M2887" t="s">
        <v>22</v>
      </c>
      <c r="N2887" t="str">
        <f t="shared" si="72"/>
        <v>United Kingdom</v>
      </c>
      <c r="O2887" s="8">
        <f>IF(K2887&gt;=1,K2887,K2887*1000)</f>
        <v>85</v>
      </c>
      <c r="P2887">
        <f>ABS(H2887)</f>
        <v>2</v>
      </c>
      <c r="R2887"/>
    </row>
    <row r="2888" spans="1:18" x14ac:dyDescent="0.35">
      <c r="A2888" t="s">
        <v>4483</v>
      </c>
      <c r="B2888" s="2">
        <v>46092</v>
      </c>
      <c r="C2888" t="s">
        <v>3138</v>
      </c>
      <c r="D2888" s="3" t="s">
        <v>99</v>
      </c>
      <c r="E2888" t="s">
        <v>67</v>
      </c>
      <c r="F2888" t="s">
        <v>35</v>
      </c>
      <c r="G2888" t="s">
        <v>36</v>
      </c>
      <c r="H2888" s="8">
        <v>1</v>
      </c>
      <c r="I2888" s="10">
        <v>24</v>
      </c>
      <c r="J2888" s="14">
        <f>P2888*I2888</f>
        <v>24</v>
      </c>
      <c r="K2888" s="16">
        <v>85</v>
      </c>
      <c r="L2888" s="1" t="s">
        <v>30</v>
      </c>
      <c r="M2888" t="s">
        <v>58</v>
      </c>
      <c r="N2888" t="str">
        <f t="shared" si="72"/>
        <v>United Kingdom</v>
      </c>
      <c r="O2888" s="8">
        <f>IF(K2888&gt;=1,K2888,K2888*1000)</f>
        <v>85</v>
      </c>
      <c r="P2888">
        <f>ABS(H2888)</f>
        <v>1</v>
      </c>
      <c r="R2888"/>
    </row>
    <row r="2889" spans="1:18" x14ac:dyDescent="0.35">
      <c r="A2889" t="s">
        <v>4484</v>
      </c>
      <c r="B2889" s="2">
        <v>46049</v>
      </c>
      <c r="C2889" t="s">
        <v>3149</v>
      </c>
      <c r="D2889" s="3" t="s">
        <v>99</v>
      </c>
      <c r="E2889" t="s">
        <v>67</v>
      </c>
      <c r="F2889" t="s">
        <v>74</v>
      </c>
      <c r="G2889" t="s">
        <v>75</v>
      </c>
      <c r="H2889" s="8">
        <v>3</v>
      </c>
      <c r="I2889" s="10">
        <v>79</v>
      </c>
      <c r="J2889" s="14">
        <f>P2889*I2889</f>
        <v>237</v>
      </c>
      <c r="K2889" s="16">
        <v>410</v>
      </c>
      <c r="L2889" s="1" t="s">
        <v>21</v>
      </c>
      <c r="M2889" t="s">
        <v>58</v>
      </c>
      <c r="N2889" t="str">
        <f t="shared" si="72"/>
        <v>United Kingdom</v>
      </c>
      <c r="O2889" s="8">
        <f>IF(K2889&gt;=1,K2889,K2889*1000)</f>
        <v>410</v>
      </c>
      <c r="P2889">
        <f>ABS(H2889)</f>
        <v>3</v>
      </c>
      <c r="R2889"/>
    </row>
    <row r="2890" spans="1:18" x14ac:dyDescent="0.35">
      <c r="A2890" t="s">
        <v>4485</v>
      </c>
      <c r="B2890" s="2">
        <v>46035</v>
      </c>
      <c r="C2890" t="s">
        <v>2348</v>
      </c>
      <c r="D2890" s="3" t="s">
        <v>61</v>
      </c>
      <c r="E2890" t="s">
        <v>41</v>
      </c>
      <c r="F2890" t="s">
        <v>42</v>
      </c>
      <c r="G2890" t="s">
        <v>43</v>
      </c>
      <c r="H2890" s="8">
        <v>1</v>
      </c>
      <c r="I2890" s="10">
        <v>12.5</v>
      </c>
      <c r="J2890" s="14">
        <f>P2890*I2890</f>
        <v>12.5</v>
      </c>
      <c r="K2890" s="16">
        <v>190</v>
      </c>
      <c r="L2890" s="1" t="s">
        <v>21</v>
      </c>
      <c r="M2890" t="s">
        <v>22</v>
      </c>
      <c r="N2890" t="str">
        <f t="shared" si="72"/>
        <v>Ireland</v>
      </c>
      <c r="O2890" s="8">
        <f>IF(K2890&gt;=1,K2890,K2890*1000)</f>
        <v>190</v>
      </c>
      <c r="P2890">
        <f>ABS(H2890)</f>
        <v>1</v>
      </c>
      <c r="R2890"/>
    </row>
    <row r="2891" spans="1:18" x14ac:dyDescent="0.35">
      <c r="A2891" t="s">
        <v>4486</v>
      </c>
      <c r="B2891" s="2">
        <v>46130</v>
      </c>
      <c r="C2891" t="s">
        <v>389</v>
      </c>
      <c r="D2891" s="3" t="s">
        <v>99</v>
      </c>
      <c r="E2891" t="s">
        <v>16</v>
      </c>
      <c r="F2891" t="s">
        <v>74</v>
      </c>
      <c r="G2891" t="s">
        <v>75</v>
      </c>
      <c r="H2891" s="8">
        <v>3</v>
      </c>
      <c r="I2891" s="10">
        <v>21.6</v>
      </c>
      <c r="J2891" s="14">
        <f>P2891*I2891</f>
        <v>64.800000000000011</v>
      </c>
      <c r="K2891" s="16">
        <v>410</v>
      </c>
      <c r="L2891" s="1" t="s">
        <v>30</v>
      </c>
      <c r="M2891" t="s">
        <v>58</v>
      </c>
      <c r="N2891" t="str">
        <f t="shared" si="72"/>
        <v>United Kingdom</v>
      </c>
      <c r="O2891" s="8">
        <f>IF(K2891&gt;=1,K2891,K2891*1000)</f>
        <v>410</v>
      </c>
      <c r="P2891">
        <f>ABS(H2891)</f>
        <v>3</v>
      </c>
      <c r="R2891"/>
    </row>
    <row r="2892" spans="1:18" x14ac:dyDescent="0.35">
      <c r="A2892" t="s">
        <v>4487</v>
      </c>
      <c r="B2892" s="2">
        <v>46117</v>
      </c>
      <c r="C2892" t="s">
        <v>537</v>
      </c>
      <c r="D2892" s="3" t="s">
        <v>66</v>
      </c>
      <c r="E2892" t="s">
        <v>16</v>
      </c>
      <c r="F2892" t="s">
        <v>89</v>
      </c>
      <c r="G2892" t="s">
        <v>90</v>
      </c>
      <c r="H2892" s="8">
        <v>1</v>
      </c>
      <c r="I2892" s="10">
        <v>116.1</v>
      </c>
      <c r="J2892" s="14">
        <f>P2892*I2892</f>
        <v>116.1</v>
      </c>
      <c r="K2892" s="16">
        <v>640</v>
      </c>
      <c r="L2892" s="1" t="s">
        <v>30</v>
      </c>
      <c r="M2892" t="s">
        <v>22</v>
      </c>
      <c r="N2892" t="str">
        <f t="shared" si="72"/>
        <v>Gb</v>
      </c>
      <c r="O2892" s="8">
        <f>IF(K2892&gt;=1,K2892,K2892*1000)</f>
        <v>640</v>
      </c>
      <c r="P2892">
        <f>ABS(H2892)</f>
        <v>1</v>
      </c>
      <c r="R2892"/>
    </row>
    <row r="2893" spans="1:18" x14ac:dyDescent="0.35">
      <c r="A2893" t="s">
        <v>4488</v>
      </c>
      <c r="B2893" s="2">
        <v>46207</v>
      </c>
      <c r="C2893" t="s">
        <v>2550</v>
      </c>
      <c r="D2893" s="3" t="s">
        <v>99</v>
      </c>
      <c r="E2893" t="s">
        <v>67</v>
      </c>
      <c r="F2893" t="s">
        <v>47</v>
      </c>
      <c r="G2893" t="s">
        <v>48</v>
      </c>
      <c r="H2893" s="8">
        <v>2</v>
      </c>
      <c r="I2893" s="10">
        <v>89</v>
      </c>
      <c r="J2893" s="14">
        <f>P2893*I2893</f>
        <v>178</v>
      </c>
      <c r="K2893" s="16">
        <v>0.38</v>
      </c>
      <c r="L2893" s="1" t="s">
        <v>30</v>
      </c>
      <c r="M2893" t="s">
        <v>22</v>
      </c>
      <c r="N2893" t="str">
        <f t="shared" si="72"/>
        <v>United Kingdom</v>
      </c>
      <c r="O2893" s="8">
        <f>IF(K2893&gt;=1,K2893,K2893*1000)</f>
        <v>380</v>
      </c>
      <c r="P2893">
        <f>ABS(H2893)</f>
        <v>2</v>
      </c>
      <c r="R2893"/>
    </row>
    <row r="2894" spans="1:18" x14ac:dyDescent="0.35">
      <c r="A2894" t="s">
        <v>4489</v>
      </c>
      <c r="B2894" s="2">
        <v>46087</v>
      </c>
      <c r="C2894" t="s">
        <v>159</v>
      </c>
      <c r="D2894" s="3" t="s">
        <v>99</v>
      </c>
      <c r="E2894" t="s">
        <v>67</v>
      </c>
      <c r="F2894" t="s">
        <v>89</v>
      </c>
      <c r="G2894" t="s">
        <v>90</v>
      </c>
      <c r="H2894" s="8">
        <v>-2</v>
      </c>
      <c r="I2894" s="10">
        <v>85.5</v>
      </c>
      <c r="J2894" s="14">
        <f>P2894*I2894</f>
        <v>171</v>
      </c>
      <c r="K2894" s="16">
        <v>640</v>
      </c>
      <c r="L2894" s="1" t="s">
        <v>21</v>
      </c>
      <c r="M2894" t="s">
        <v>22</v>
      </c>
      <c r="N2894" t="str">
        <f t="shared" si="72"/>
        <v>United Kingdom</v>
      </c>
      <c r="O2894" s="8">
        <f>IF(K2894&gt;=1,K2894,K2894*1000)</f>
        <v>640</v>
      </c>
      <c r="P2894">
        <f>ABS(H2894)</f>
        <v>2</v>
      </c>
      <c r="R2894"/>
    </row>
    <row r="2895" spans="1:18" x14ac:dyDescent="0.35">
      <c r="A2895" t="s">
        <v>4491</v>
      </c>
      <c r="B2895" s="2">
        <v>46186</v>
      </c>
      <c r="C2895" t="s">
        <v>905</v>
      </c>
      <c r="D2895" s="3" t="s">
        <v>15</v>
      </c>
      <c r="E2895" t="s">
        <v>67</v>
      </c>
      <c r="F2895" t="s">
        <v>74</v>
      </c>
      <c r="G2895" t="s">
        <v>75</v>
      </c>
      <c r="H2895" s="8">
        <v>3</v>
      </c>
      <c r="I2895" s="10">
        <v>79</v>
      </c>
      <c r="J2895" s="14">
        <f>P2895*I2895</f>
        <v>237</v>
      </c>
      <c r="K2895" s="16">
        <v>0.41</v>
      </c>
      <c r="L2895" s="1" t="s">
        <v>30</v>
      </c>
      <c r="M2895" t="s">
        <v>22</v>
      </c>
      <c r="N2895" t="str">
        <f t="shared" si="72"/>
        <v>France</v>
      </c>
      <c r="O2895" s="8">
        <f>IF(K2895&gt;=1,K2895,K2895*1000)</f>
        <v>410</v>
      </c>
      <c r="P2895">
        <f>ABS(H2895)</f>
        <v>3</v>
      </c>
      <c r="R2895"/>
    </row>
    <row r="2896" spans="1:18" x14ac:dyDescent="0.35">
      <c r="A2896" t="s">
        <v>4493</v>
      </c>
      <c r="B2896" s="2">
        <v>46044</v>
      </c>
      <c r="C2896" t="s">
        <v>4355</v>
      </c>
      <c r="D2896" s="3" t="s">
        <v>15</v>
      </c>
      <c r="E2896" t="s">
        <v>67</v>
      </c>
      <c r="F2896" t="s">
        <v>42</v>
      </c>
      <c r="G2896" t="s">
        <v>43</v>
      </c>
      <c r="H2896" s="8">
        <v>2</v>
      </c>
      <c r="I2896" s="10">
        <v>45</v>
      </c>
      <c r="J2896" s="14">
        <f>P2896*I2896</f>
        <v>90</v>
      </c>
      <c r="K2896" s="16">
        <v>190</v>
      </c>
      <c r="L2896" s="1" t="s">
        <v>30</v>
      </c>
      <c r="M2896" t="s">
        <v>22</v>
      </c>
      <c r="N2896" t="str">
        <f t="shared" si="72"/>
        <v>France</v>
      </c>
      <c r="O2896" s="8">
        <f>IF(K2896&gt;=1,K2896,K2896*1000)</f>
        <v>190</v>
      </c>
      <c r="P2896">
        <f>ABS(H2896)</f>
        <v>2</v>
      </c>
      <c r="R2896"/>
    </row>
    <row r="2897" spans="1:18" x14ac:dyDescent="0.35">
      <c r="A2897" t="s">
        <v>4494</v>
      </c>
      <c r="B2897" s="2">
        <v>46151</v>
      </c>
      <c r="C2897" t="s">
        <v>4495</v>
      </c>
      <c r="D2897" s="3" t="s">
        <v>15</v>
      </c>
      <c r="E2897" t="s">
        <v>16</v>
      </c>
      <c r="F2897" t="s">
        <v>74</v>
      </c>
      <c r="G2897" t="s">
        <v>75</v>
      </c>
      <c r="H2897" s="8">
        <v>1</v>
      </c>
      <c r="I2897" s="10">
        <v>116.1</v>
      </c>
      <c r="J2897" s="14">
        <f>P2897*I2897</f>
        <v>116.1</v>
      </c>
      <c r="K2897" s="16">
        <v>0.41</v>
      </c>
      <c r="L2897" s="1" t="s">
        <v>21</v>
      </c>
      <c r="M2897" t="s">
        <v>22</v>
      </c>
      <c r="N2897" t="str">
        <f t="shared" si="72"/>
        <v>France</v>
      </c>
      <c r="O2897" s="8">
        <f>IF(K2897&gt;=1,K2897,K2897*1000)</f>
        <v>410</v>
      </c>
      <c r="P2897">
        <f>ABS(H2897)</f>
        <v>1</v>
      </c>
      <c r="R2897"/>
    </row>
    <row r="2898" spans="1:18" x14ac:dyDescent="0.35">
      <c r="A2898" t="s">
        <v>4496</v>
      </c>
      <c r="B2898" s="2">
        <v>46149</v>
      </c>
      <c r="C2898" t="s">
        <v>1221</v>
      </c>
      <c r="D2898" s="3" t="s">
        <v>4612</v>
      </c>
      <c r="E2898" t="s">
        <v>41</v>
      </c>
      <c r="F2898" t="s">
        <v>74</v>
      </c>
      <c r="G2898" t="s">
        <v>75</v>
      </c>
      <c r="H2898" s="8">
        <v>2</v>
      </c>
      <c r="I2898" s="10">
        <v>11.25</v>
      </c>
      <c r="J2898" s="14">
        <f>P2898*I2898</f>
        <v>22.5</v>
      </c>
      <c r="K2898" s="16">
        <v>0.41</v>
      </c>
      <c r="L2898" s="1" t="s">
        <v>30</v>
      </c>
      <c r="M2898" t="s">
        <v>22</v>
      </c>
      <c r="N2898" t="str">
        <f t="shared" si="72"/>
        <v>United Kingdom</v>
      </c>
      <c r="O2898" s="8">
        <f>IF(K2898&gt;=1,K2898,K2898*1000)</f>
        <v>410</v>
      </c>
      <c r="P2898">
        <f>ABS(H2898)</f>
        <v>2</v>
      </c>
      <c r="R2898"/>
    </row>
    <row r="2899" spans="1:18" x14ac:dyDescent="0.35">
      <c r="A2899" t="s">
        <v>4497</v>
      </c>
      <c r="B2899" s="2">
        <v>46097</v>
      </c>
      <c r="C2899" t="s">
        <v>2273</v>
      </c>
      <c r="D2899" s="3" t="s">
        <v>46</v>
      </c>
      <c r="E2899" t="s">
        <v>34</v>
      </c>
      <c r="F2899" t="s">
        <v>42</v>
      </c>
      <c r="G2899" t="s">
        <v>43</v>
      </c>
      <c r="H2899" s="8">
        <v>1</v>
      </c>
      <c r="I2899" s="10">
        <v>134.1</v>
      </c>
      <c r="J2899" s="14">
        <f>P2899*I2899</f>
        <v>134.1</v>
      </c>
      <c r="K2899" s="16">
        <v>190</v>
      </c>
      <c r="L2899" s="1" t="s">
        <v>30</v>
      </c>
      <c r="M2899" t="s">
        <v>22</v>
      </c>
      <c r="N2899" t="str">
        <f t="shared" si="72"/>
        <v>Ireland</v>
      </c>
      <c r="O2899" s="8">
        <f>IF(K2899&gt;=1,K2899,K2899*1000)</f>
        <v>190</v>
      </c>
      <c r="P2899">
        <f>ABS(H2899)</f>
        <v>1</v>
      </c>
      <c r="R2899"/>
    </row>
    <row r="2900" spans="1:18" x14ac:dyDescent="0.35">
      <c r="A2900" t="s">
        <v>4498</v>
      </c>
      <c r="B2900" s="2">
        <v>46048</v>
      </c>
      <c r="C2900" t="s">
        <v>2489</v>
      </c>
      <c r="D2900" s="3" t="s">
        <v>116</v>
      </c>
      <c r="E2900" t="s">
        <v>67</v>
      </c>
      <c r="F2900" t="s">
        <v>35</v>
      </c>
      <c r="G2900" t="s">
        <v>36</v>
      </c>
      <c r="H2900" s="8">
        <v>2</v>
      </c>
      <c r="I2900" s="10">
        <v>12.5</v>
      </c>
      <c r="J2900" s="14">
        <f>P2900*I2900</f>
        <v>25</v>
      </c>
      <c r="K2900" s="16">
        <v>85</v>
      </c>
      <c r="L2900" s="1" t="s">
        <v>30</v>
      </c>
      <c r="M2900" t="s">
        <v>58</v>
      </c>
      <c r="N2900" t="str">
        <f t="shared" si="72"/>
        <v>Germany</v>
      </c>
      <c r="O2900" s="8">
        <f>IF(K2900&gt;=1,K2900,K2900*1000)</f>
        <v>85</v>
      </c>
      <c r="P2900">
        <f>ABS(H2900)</f>
        <v>2</v>
      </c>
      <c r="R2900"/>
    </row>
    <row r="2901" spans="1:18" x14ac:dyDescent="0.35">
      <c r="A2901" t="s">
        <v>4499</v>
      </c>
      <c r="B2901" s="2">
        <v>46153</v>
      </c>
      <c r="C2901" t="s">
        <v>1986</v>
      </c>
      <c r="D2901" s="3" t="s">
        <v>53</v>
      </c>
      <c r="E2901" t="s">
        <v>34</v>
      </c>
      <c r="F2901" t="s">
        <v>74</v>
      </c>
      <c r="G2901" t="s">
        <v>75</v>
      </c>
      <c r="H2901" s="8">
        <v>1</v>
      </c>
      <c r="I2901" s="10">
        <v>71.099999999999994</v>
      </c>
      <c r="J2901" s="14">
        <f>P2901*I2901</f>
        <v>71.099999999999994</v>
      </c>
      <c r="K2901" s="16">
        <v>0.41</v>
      </c>
      <c r="L2901" s="1" t="s">
        <v>30</v>
      </c>
      <c r="M2901" t="s">
        <v>22</v>
      </c>
      <c r="N2901" t="str">
        <f t="shared" si="72"/>
        <v>Gb</v>
      </c>
      <c r="O2901" s="8">
        <f>IF(K2901&gt;=1,K2901,K2901*1000)</f>
        <v>410</v>
      </c>
      <c r="P2901">
        <f>ABS(H2901)</f>
        <v>1</v>
      </c>
      <c r="R2901"/>
    </row>
    <row r="2902" spans="1:18" x14ac:dyDescent="0.35">
      <c r="A2902" t="s">
        <v>4500</v>
      </c>
      <c r="B2902" s="2">
        <v>46116</v>
      </c>
      <c r="C2902" t="s">
        <v>1931</v>
      </c>
      <c r="D2902" s="3" t="s">
        <v>61</v>
      </c>
      <c r="E2902" t="s">
        <v>67</v>
      </c>
      <c r="F2902" t="s">
        <v>74</v>
      </c>
      <c r="G2902" t="s">
        <v>75</v>
      </c>
      <c r="H2902" s="8">
        <v>2</v>
      </c>
      <c r="I2902" s="10">
        <v>85.5</v>
      </c>
      <c r="J2902" s="14">
        <f>P2902*I2902</f>
        <v>171</v>
      </c>
      <c r="K2902" s="16">
        <v>410</v>
      </c>
      <c r="L2902" s="1" t="s">
        <v>30</v>
      </c>
      <c r="M2902" t="s">
        <v>22</v>
      </c>
      <c r="N2902" t="str">
        <f t="shared" si="72"/>
        <v>Ireland</v>
      </c>
      <c r="O2902" s="8">
        <f>IF(K2902&gt;=1,K2902,K2902*1000)</f>
        <v>410</v>
      </c>
      <c r="P2902">
        <f>ABS(H2902)</f>
        <v>2</v>
      </c>
      <c r="R2902"/>
    </row>
    <row r="2903" spans="1:18" x14ac:dyDescent="0.35">
      <c r="A2903" t="s">
        <v>4501</v>
      </c>
      <c r="B2903" s="2">
        <v>46173</v>
      </c>
      <c r="C2903" t="s">
        <v>537</v>
      </c>
      <c r="D2903" s="3" t="s">
        <v>66</v>
      </c>
      <c r="E2903" t="s">
        <v>25</v>
      </c>
      <c r="F2903" t="s">
        <v>26</v>
      </c>
      <c r="G2903" t="s">
        <v>27</v>
      </c>
      <c r="H2903" s="8">
        <v>1</v>
      </c>
      <c r="I2903" s="10">
        <v>149</v>
      </c>
      <c r="J2903" s="14">
        <f>P2903*I2903</f>
        <v>149</v>
      </c>
      <c r="K2903" s="16">
        <v>0.52</v>
      </c>
      <c r="L2903" s="1" t="s">
        <v>21</v>
      </c>
      <c r="M2903" t="s">
        <v>22</v>
      </c>
      <c r="N2903" t="str">
        <f t="shared" si="72"/>
        <v>Gb</v>
      </c>
      <c r="O2903" s="8">
        <f>IF(K2903&gt;=1,K2903,K2903*1000)</f>
        <v>520</v>
      </c>
      <c r="P2903">
        <f>ABS(H2903)</f>
        <v>1</v>
      </c>
      <c r="R2903"/>
    </row>
    <row r="2904" spans="1:18" x14ac:dyDescent="0.35">
      <c r="A2904" t="s">
        <v>4502</v>
      </c>
      <c r="B2904" s="2">
        <v>46092</v>
      </c>
      <c r="C2904" t="s">
        <v>4503</v>
      </c>
      <c r="D2904" s="3" t="s">
        <v>99</v>
      </c>
      <c r="E2904" t="s">
        <v>67</v>
      </c>
      <c r="F2904" t="s">
        <v>47</v>
      </c>
      <c r="G2904" t="s">
        <v>48</v>
      </c>
      <c r="H2904" s="8">
        <v>3</v>
      </c>
      <c r="I2904" s="10">
        <v>12.5</v>
      </c>
      <c r="J2904" s="14">
        <f>P2904*I2904</f>
        <v>37.5</v>
      </c>
      <c r="K2904" s="16">
        <v>380</v>
      </c>
      <c r="L2904" s="1" t="s">
        <v>30</v>
      </c>
      <c r="M2904" t="s">
        <v>22</v>
      </c>
      <c r="N2904" t="str">
        <f t="shared" si="72"/>
        <v>United Kingdom</v>
      </c>
      <c r="O2904" s="8">
        <f>IF(K2904&gt;=1,K2904,K2904*1000)</f>
        <v>380</v>
      </c>
      <c r="P2904">
        <f>ABS(H2904)</f>
        <v>3</v>
      </c>
      <c r="R2904"/>
    </row>
    <row r="2905" spans="1:18" x14ac:dyDescent="0.35">
      <c r="A2905" t="s">
        <v>4504</v>
      </c>
      <c r="B2905" s="2">
        <v>46043</v>
      </c>
      <c r="C2905" t="s">
        <v>1688</v>
      </c>
      <c r="D2905" s="3" t="s">
        <v>15</v>
      </c>
      <c r="E2905" t="s">
        <v>41</v>
      </c>
      <c r="F2905" t="s">
        <v>35</v>
      </c>
      <c r="G2905" t="s">
        <v>36</v>
      </c>
      <c r="H2905" s="8">
        <v>1</v>
      </c>
      <c r="I2905" s="10">
        <v>21.6</v>
      </c>
      <c r="J2905" s="14">
        <f>P2905*I2905</f>
        <v>21.6</v>
      </c>
      <c r="K2905" s="16">
        <v>85</v>
      </c>
      <c r="L2905" s="1" t="s">
        <v>30</v>
      </c>
      <c r="M2905" t="s">
        <v>22</v>
      </c>
      <c r="N2905" t="str">
        <f t="shared" si="72"/>
        <v>France</v>
      </c>
      <c r="O2905" s="8">
        <f>IF(K2905&gt;=1,K2905,K2905*1000)</f>
        <v>85</v>
      </c>
      <c r="P2905">
        <f>ABS(H2905)</f>
        <v>1</v>
      </c>
      <c r="R2905"/>
    </row>
    <row r="2906" spans="1:18" x14ac:dyDescent="0.35">
      <c r="A2906" t="s">
        <v>4505</v>
      </c>
      <c r="B2906" s="2">
        <v>46329</v>
      </c>
      <c r="C2906" t="s">
        <v>1608</v>
      </c>
      <c r="D2906" s="3" t="s">
        <v>61</v>
      </c>
      <c r="E2906" t="s">
        <v>41</v>
      </c>
      <c r="F2906" t="s">
        <v>83</v>
      </c>
      <c r="G2906" t="s">
        <v>84</v>
      </c>
      <c r="H2906" s="8">
        <v>2</v>
      </c>
      <c r="I2906" s="10">
        <v>95</v>
      </c>
      <c r="J2906" s="14">
        <f>P2906*I2906</f>
        <v>190</v>
      </c>
      <c r="K2906" s="16">
        <v>340</v>
      </c>
      <c r="L2906" s="1" t="s">
        <v>30</v>
      </c>
      <c r="M2906" t="s">
        <v>22</v>
      </c>
      <c r="N2906" t="str">
        <f t="shared" si="72"/>
        <v>Ireland</v>
      </c>
      <c r="O2906" s="8">
        <f>IF(K2906&gt;=1,K2906,K2906*1000)</f>
        <v>340</v>
      </c>
      <c r="P2906">
        <f>ABS(H2906)</f>
        <v>2</v>
      </c>
      <c r="R2906"/>
    </row>
    <row r="2907" spans="1:18" x14ac:dyDescent="0.35">
      <c r="A2907" t="s">
        <v>4506</v>
      </c>
      <c r="B2907" s="2">
        <v>46114</v>
      </c>
      <c r="C2907" t="s">
        <v>1036</v>
      </c>
      <c r="D2907" s="3" t="s">
        <v>99</v>
      </c>
      <c r="E2907" t="s">
        <v>41</v>
      </c>
      <c r="F2907" t="s">
        <v>35</v>
      </c>
      <c r="G2907" t="s">
        <v>36</v>
      </c>
      <c r="H2907" s="8">
        <v>1</v>
      </c>
      <c r="I2907" s="10">
        <v>85.5</v>
      </c>
      <c r="J2907" s="14">
        <f>P2907*I2907</f>
        <v>85.5</v>
      </c>
      <c r="K2907" s="16">
        <v>85</v>
      </c>
      <c r="L2907" s="1" t="s">
        <v>30</v>
      </c>
      <c r="M2907" t="s">
        <v>58</v>
      </c>
      <c r="N2907" t="str">
        <f t="shared" si="72"/>
        <v>United Kingdom</v>
      </c>
      <c r="O2907" s="8">
        <f>IF(K2907&gt;=1,K2907,K2907*1000)</f>
        <v>85</v>
      </c>
      <c r="P2907">
        <f>ABS(H2907)</f>
        <v>1</v>
      </c>
      <c r="R2907"/>
    </row>
    <row r="2908" spans="1:18" x14ac:dyDescent="0.35">
      <c r="A2908" t="s">
        <v>4507</v>
      </c>
      <c r="B2908" s="2" t="s">
        <v>590</v>
      </c>
      <c r="C2908" t="s">
        <v>1142</v>
      </c>
      <c r="D2908" s="3" t="s">
        <v>4613</v>
      </c>
      <c r="E2908" t="s">
        <v>67</v>
      </c>
      <c r="F2908" t="s">
        <v>83</v>
      </c>
      <c r="G2908" t="s">
        <v>84</v>
      </c>
      <c r="H2908" s="8">
        <v>2</v>
      </c>
      <c r="I2908" s="10">
        <v>80.099999999999994</v>
      </c>
      <c r="J2908" s="14">
        <f>P2908*I2908</f>
        <v>160.19999999999999</v>
      </c>
      <c r="K2908" s="16">
        <v>340</v>
      </c>
      <c r="L2908" s="1" t="s">
        <v>30</v>
      </c>
      <c r="M2908" t="s">
        <v>22</v>
      </c>
      <c r="N2908" t="str">
        <f t="shared" si="72"/>
        <v>United Kingdom</v>
      </c>
      <c r="O2908" s="8">
        <f>IF(K2908&gt;=1,K2908,K2908*1000)</f>
        <v>340</v>
      </c>
      <c r="P2908">
        <f>ABS(H2908)</f>
        <v>2</v>
      </c>
      <c r="R2908"/>
    </row>
    <row r="2909" spans="1:18" x14ac:dyDescent="0.35">
      <c r="A2909" t="s">
        <v>4508</v>
      </c>
      <c r="B2909" s="2">
        <v>46156</v>
      </c>
      <c r="C2909" t="s">
        <v>1076</v>
      </c>
      <c r="D2909" s="3" t="s">
        <v>116</v>
      </c>
      <c r="E2909" t="s">
        <v>25</v>
      </c>
      <c r="F2909" t="s">
        <v>74</v>
      </c>
      <c r="G2909" t="s">
        <v>75</v>
      </c>
      <c r="H2909" s="8">
        <v>3</v>
      </c>
      <c r="I2909" s="10">
        <v>134.1</v>
      </c>
      <c r="J2909" s="14">
        <f>P2909*I2909</f>
        <v>402.29999999999995</v>
      </c>
      <c r="K2909" s="16">
        <v>0.41</v>
      </c>
      <c r="L2909" s="1" t="s">
        <v>30</v>
      </c>
      <c r="M2909" t="s">
        <v>22</v>
      </c>
      <c r="N2909" t="str">
        <f t="shared" si="72"/>
        <v>Germany</v>
      </c>
      <c r="O2909" s="8">
        <f>IF(K2909&gt;=1,K2909,K2909*1000)</f>
        <v>410</v>
      </c>
      <c r="P2909">
        <f>ABS(H2909)</f>
        <v>3</v>
      </c>
      <c r="R2909"/>
    </row>
    <row r="2910" spans="1:18" x14ac:dyDescent="0.35">
      <c r="A2910" t="s">
        <v>4509</v>
      </c>
      <c r="B2910" s="2">
        <v>46038</v>
      </c>
      <c r="C2910" t="s">
        <v>2468</v>
      </c>
      <c r="D2910" s="3" t="s">
        <v>66</v>
      </c>
      <c r="E2910" t="s">
        <v>34</v>
      </c>
      <c r="F2910" t="s">
        <v>17</v>
      </c>
      <c r="G2910" t="s">
        <v>18</v>
      </c>
      <c r="H2910" s="8">
        <v>3</v>
      </c>
      <c r="I2910" s="10">
        <v>40.5</v>
      </c>
      <c r="J2910" s="14">
        <f>P2910*I2910</f>
        <v>121.5</v>
      </c>
      <c r="K2910" s="16">
        <v>520</v>
      </c>
      <c r="L2910" s="1" t="s">
        <v>21</v>
      </c>
      <c r="M2910" t="s">
        <v>22</v>
      </c>
      <c r="N2910" t="str">
        <f t="shared" si="72"/>
        <v>Gb</v>
      </c>
      <c r="O2910" s="8">
        <f>IF(K2910&gt;=1,K2910,K2910*1000)</f>
        <v>520</v>
      </c>
      <c r="P2910">
        <f>ABS(H2910)</f>
        <v>3</v>
      </c>
      <c r="R2910"/>
    </row>
    <row r="2911" spans="1:18" x14ac:dyDescent="0.35">
      <c r="A2911" t="s">
        <v>4510</v>
      </c>
      <c r="B2911" s="2">
        <v>46164</v>
      </c>
      <c r="C2911" t="s">
        <v>473</v>
      </c>
      <c r="D2911" s="3" t="s">
        <v>66</v>
      </c>
      <c r="E2911" t="s">
        <v>25</v>
      </c>
      <c r="F2911" t="s">
        <v>35</v>
      </c>
      <c r="G2911" t="s">
        <v>36</v>
      </c>
      <c r="H2911" s="8">
        <v>1</v>
      </c>
      <c r="I2911" s="10">
        <v>95</v>
      </c>
      <c r="J2911" s="14">
        <f>P2911*I2911</f>
        <v>95</v>
      </c>
      <c r="K2911" s="16">
        <v>8.5000000000000006E-2</v>
      </c>
      <c r="L2911" s="1" t="s">
        <v>21</v>
      </c>
      <c r="M2911" t="s">
        <v>22</v>
      </c>
      <c r="N2911" t="str">
        <f t="shared" si="72"/>
        <v>Gb</v>
      </c>
      <c r="O2911" s="8">
        <f>IF(K2911&gt;=1,K2911,K2911*1000)</f>
        <v>85</v>
      </c>
      <c r="P2911">
        <f>ABS(H2911)</f>
        <v>1</v>
      </c>
      <c r="R2911"/>
    </row>
    <row r="2912" spans="1:18" x14ac:dyDescent="0.35">
      <c r="A2912" t="s">
        <v>4511</v>
      </c>
      <c r="B2912" s="2">
        <v>46162</v>
      </c>
      <c r="C2912" t="s">
        <v>947</v>
      </c>
      <c r="D2912" s="3" t="s">
        <v>15</v>
      </c>
      <c r="E2912" t="s">
        <v>34</v>
      </c>
      <c r="F2912" t="s">
        <v>89</v>
      </c>
      <c r="G2912" t="s">
        <v>90</v>
      </c>
      <c r="H2912" s="8">
        <v>2</v>
      </c>
      <c r="I2912" s="10">
        <v>71.099999999999994</v>
      </c>
      <c r="J2912" s="14">
        <f>P2912*I2912</f>
        <v>142.19999999999999</v>
      </c>
      <c r="K2912" s="16">
        <v>0.64</v>
      </c>
      <c r="L2912" s="1" t="s">
        <v>30</v>
      </c>
      <c r="M2912" t="s">
        <v>58</v>
      </c>
      <c r="N2912" t="str">
        <f t="shared" si="72"/>
        <v>France</v>
      </c>
      <c r="O2912" s="8">
        <f>IF(K2912&gt;=1,K2912,K2912*1000)</f>
        <v>640</v>
      </c>
      <c r="P2912">
        <f>ABS(H2912)</f>
        <v>2</v>
      </c>
      <c r="R2912"/>
    </row>
    <row r="2913" spans="1:18" x14ac:dyDescent="0.35">
      <c r="A2913" t="s">
        <v>4512</v>
      </c>
      <c r="B2913" s="2">
        <v>46155</v>
      </c>
      <c r="C2913" t="s">
        <v>3669</v>
      </c>
      <c r="D2913" s="3" t="s">
        <v>4613</v>
      </c>
      <c r="E2913" t="s">
        <v>34</v>
      </c>
      <c r="F2913" t="s">
        <v>26</v>
      </c>
      <c r="G2913" t="s">
        <v>27</v>
      </c>
      <c r="H2913" s="8">
        <v>1</v>
      </c>
      <c r="I2913" s="10">
        <v>45</v>
      </c>
      <c r="J2913" s="14">
        <f>P2913*I2913</f>
        <v>45</v>
      </c>
      <c r="K2913" s="16">
        <v>0.52</v>
      </c>
      <c r="L2913" s="1" t="s">
        <v>30</v>
      </c>
      <c r="M2913" t="s">
        <v>22</v>
      </c>
      <c r="N2913" t="str">
        <f t="shared" si="72"/>
        <v>United Kingdom</v>
      </c>
      <c r="O2913" s="8">
        <f>IF(K2913&gt;=1,K2913,K2913*1000)</f>
        <v>520</v>
      </c>
      <c r="P2913">
        <f>ABS(H2913)</f>
        <v>1</v>
      </c>
      <c r="R2913"/>
    </row>
    <row r="2914" spans="1:18" x14ac:dyDescent="0.35">
      <c r="A2914" t="s">
        <v>4513</v>
      </c>
      <c r="B2914" s="2">
        <v>46196</v>
      </c>
      <c r="C2914" t="s">
        <v>2660</v>
      </c>
      <c r="D2914" s="3" t="s">
        <v>46</v>
      </c>
      <c r="E2914" t="s">
        <v>41</v>
      </c>
      <c r="F2914" t="s">
        <v>47</v>
      </c>
      <c r="G2914" t="s">
        <v>48</v>
      </c>
      <c r="H2914" s="8">
        <v>1</v>
      </c>
      <c r="I2914" s="10">
        <v>149</v>
      </c>
      <c r="J2914" s="14">
        <f>P2914*I2914</f>
        <v>149</v>
      </c>
      <c r="K2914" s="16">
        <v>0.38</v>
      </c>
      <c r="L2914" s="1" t="s">
        <v>21</v>
      </c>
      <c r="M2914" t="s">
        <v>22</v>
      </c>
      <c r="N2914" t="str">
        <f t="shared" si="72"/>
        <v>Ireland</v>
      </c>
      <c r="O2914" s="8">
        <f>IF(K2914&gt;=1,K2914,K2914*1000)</f>
        <v>380</v>
      </c>
      <c r="P2914">
        <f>ABS(H2914)</f>
        <v>1</v>
      </c>
      <c r="R2914"/>
    </row>
    <row r="2915" spans="1:18" x14ac:dyDescent="0.35">
      <c r="A2915" t="s">
        <v>4514</v>
      </c>
      <c r="B2915" s="2" t="s">
        <v>1530</v>
      </c>
      <c r="C2915" t="s">
        <v>2315</v>
      </c>
      <c r="D2915" s="3" t="s">
        <v>116</v>
      </c>
      <c r="E2915" t="s">
        <v>25</v>
      </c>
      <c r="F2915" t="s">
        <v>47</v>
      </c>
      <c r="G2915" t="s">
        <v>48</v>
      </c>
      <c r="H2915" s="8">
        <v>1</v>
      </c>
      <c r="I2915" s="10">
        <v>71.099999999999994</v>
      </c>
      <c r="J2915" s="14">
        <f>P2915*I2915</f>
        <v>71.099999999999994</v>
      </c>
      <c r="K2915" s="16">
        <v>380</v>
      </c>
      <c r="L2915" s="1" t="s">
        <v>30</v>
      </c>
      <c r="M2915" t="s">
        <v>58</v>
      </c>
      <c r="N2915" t="str">
        <f t="shared" si="72"/>
        <v>Germany</v>
      </c>
      <c r="O2915" s="8">
        <f>IF(K2915&gt;=1,K2915,K2915*1000)</f>
        <v>380</v>
      </c>
      <c r="P2915">
        <f>ABS(H2915)</f>
        <v>1</v>
      </c>
      <c r="R2915"/>
    </row>
    <row r="2916" spans="1:18" x14ac:dyDescent="0.35">
      <c r="A2916" t="s">
        <v>4515</v>
      </c>
      <c r="B2916" s="2">
        <v>46028</v>
      </c>
      <c r="C2916" t="s">
        <v>1777</v>
      </c>
      <c r="D2916" s="3" t="s">
        <v>99</v>
      </c>
      <c r="E2916" t="s">
        <v>16</v>
      </c>
      <c r="F2916" t="s">
        <v>89</v>
      </c>
      <c r="G2916" t="s">
        <v>90</v>
      </c>
      <c r="H2916" s="8">
        <v>-1</v>
      </c>
      <c r="I2916" s="10">
        <v>116.1</v>
      </c>
      <c r="J2916" s="14">
        <f>P2916*I2916</f>
        <v>116.1</v>
      </c>
      <c r="K2916" s="16">
        <v>640</v>
      </c>
      <c r="L2916" s="1" t="s">
        <v>21</v>
      </c>
      <c r="M2916" t="s">
        <v>22</v>
      </c>
      <c r="N2916" t="str">
        <f t="shared" si="72"/>
        <v>United Kingdom</v>
      </c>
      <c r="O2916" s="8">
        <f>IF(K2916&gt;=1,K2916,K2916*1000)</f>
        <v>640</v>
      </c>
      <c r="P2916">
        <f>ABS(H2916)</f>
        <v>1</v>
      </c>
      <c r="R2916"/>
    </row>
    <row r="2917" spans="1:18" x14ac:dyDescent="0.35">
      <c r="A2917" t="s">
        <v>4516</v>
      </c>
      <c r="B2917" s="2">
        <v>46029</v>
      </c>
      <c r="C2917" t="s">
        <v>368</v>
      </c>
      <c r="D2917" s="3" t="s">
        <v>99</v>
      </c>
      <c r="E2917" t="s">
        <v>41</v>
      </c>
      <c r="F2917" t="s">
        <v>35</v>
      </c>
      <c r="G2917" t="s">
        <v>36</v>
      </c>
      <c r="H2917" s="8">
        <v>1</v>
      </c>
      <c r="I2917" s="10">
        <v>24</v>
      </c>
      <c r="J2917" s="14">
        <f>P2917*I2917</f>
        <v>24</v>
      </c>
      <c r="K2917" s="16">
        <v>8.5000000000000006E-2</v>
      </c>
      <c r="L2917" s="1" t="s">
        <v>21</v>
      </c>
      <c r="M2917" t="s">
        <v>22</v>
      </c>
      <c r="N2917" t="str">
        <f t="shared" si="72"/>
        <v>United Kingdom</v>
      </c>
      <c r="O2917" s="8">
        <f>IF(K2917&gt;=1,K2917,K2917*1000)</f>
        <v>85</v>
      </c>
      <c r="P2917">
        <f>ABS(H2917)</f>
        <v>1</v>
      </c>
      <c r="R2917"/>
    </row>
    <row r="2918" spans="1:18" x14ac:dyDescent="0.35">
      <c r="A2918" t="s">
        <v>4517</v>
      </c>
      <c r="B2918" s="2">
        <v>46090</v>
      </c>
      <c r="C2918" t="s">
        <v>4050</v>
      </c>
      <c r="D2918" s="3" t="s">
        <v>15</v>
      </c>
      <c r="E2918" t="s">
        <v>25</v>
      </c>
      <c r="F2918" t="s">
        <v>89</v>
      </c>
      <c r="G2918" t="s">
        <v>90</v>
      </c>
      <c r="H2918" s="8">
        <v>2</v>
      </c>
      <c r="I2918" s="10">
        <v>24</v>
      </c>
      <c r="J2918" s="14">
        <f>P2918*I2918</f>
        <v>48</v>
      </c>
      <c r="K2918" s="16">
        <v>640</v>
      </c>
      <c r="L2918" s="1" t="s">
        <v>21</v>
      </c>
      <c r="M2918" t="s">
        <v>22</v>
      </c>
      <c r="N2918" t="str">
        <f t="shared" si="72"/>
        <v>France</v>
      </c>
      <c r="O2918" s="8">
        <f>IF(K2918&gt;=1,K2918,K2918*1000)</f>
        <v>640</v>
      </c>
      <c r="P2918">
        <f>ABS(H2918)</f>
        <v>2</v>
      </c>
      <c r="R2918"/>
    </row>
    <row r="2919" spans="1:18" x14ac:dyDescent="0.35">
      <c r="A2919" t="s">
        <v>4518</v>
      </c>
      <c r="B2919" s="2">
        <v>46110</v>
      </c>
      <c r="C2919" t="s">
        <v>3084</v>
      </c>
      <c r="D2919" s="3" t="s">
        <v>99</v>
      </c>
      <c r="E2919" t="s">
        <v>16</v>
      </c>
      <c r="F2919" t="s">
        <v>47</v>
      </c>
      <c r="G2919" t="s">
        <v>48</v>
      </c>
      <c r="H2919" s="8">
        <v>2</v>
      </c>
      <c r="I2919" s="10">
        <v>95</v>
      </c>
      <c r="J2919" s="14">
        <f>P2919*I2919</f>
        <v>190</v>
      </c>
      <c r="K2919" s="16">
        <v>380</v>
      </c>
      <c r="L2919" s="1" t="s">
        <v>30</v>
      </c>
      <c r="M2919" t="s">
        <v>58</v>
      </c>
      <c r="N2919" t="str">
        <f t="shared" si="72"/>
        <v>United Kingdom</v>
      </c>
      <c r="O2919" s="8">
        <f>IF(K2919&gt;=1,K2919,K2919*1000)</f>
        <v>380</v>
      </c>
      <c r="P2919">
        <f>ABS(H2919)</f>
        <v>2</v>
      </c>
      <c r="R2919"/>
    </row>
    <row r="2920" spans="1:18" x14ac:dyDescent="0.35">
      <c r="A2920" t="s">
        <v>4519</v>
      </c>
      <c r="B2920" s="2">
        <v>46117</v>
      </c>
      <c r="C2920" t="s">
        <v>3257</v>
      </c>
      <c r="D2920" s="3" t="s">
        <v>4612</v>
      </c>
      <c r="E2920" t="s">
        <v>34</v>
      </c>
      <c r="F2920" t="s">
        <v>35</v>
      </c>
      <c r="G2920" t="s">
        <v>36</v>
      </c>
      <c r="H2920" s="8">
        <v>1</v>
      </c>
      <c r="I2920" s="10">
        <v>95</v>
      </c>
      <c r="J2920" s="14">
        <f>P2920*I2920</f>
        <v>95</v>
      </c>
      <c r="K2920" s="16">
        <v>85</v>
      </c>
      <c r="L2920" s="1" t="s">
        <v>30</v>
      </c>
      <c r="M2920" t="s">
        <v>22</v>
      </c>
      <c r="N2920" t="str">
        <f t="shared" si="72"/>
        <v>United Kingdom</v>
      </c>
      <c r="O2920" s="8">
        <f>IF(K2920&gt;=1,K2920,K2920*1000)</f>
        <v>85</v>
      </c>
      <c r="P2920">
        <f>ABS(H2920)</f>
        <v>1</v>
      </c>
      <c r="R2920"/>
    </row>
    <row r="2921" spans="1:18" x14ac:dyDescent="0.35">
      <c r="A2921" t="s">
        <v>4520</v>
      </c>
      <c r="B2921" s="2">
        <v>46042</v>
      </c>
      <c r="C2921" t="s">
        <v>4521</v>
      </c>
      <c r="D2921" s="3" t="s">
        <v>99</v>
      </c>
      <c r="E2921" t="s">
        <v>41</v>
      </c>
      <c r="F2921" t="s">
        <v>17</v>
      </c>
      <c r="G2921" t="s">
        <v>18</v>
      </c>
      <c r="H2921" s="8">
        <v>2</v>
      </c>
      <c r="I2921" s="10">
        <v>12.5</v>
      </c>
      <c r="J2921" s="14">
        <f>P2921*I2921</f>
        <v>25</v>
      </c>
      <c r="K2921" s="16">
        <v>520</v>
      </c>
      <c r="L2921" s="1" t="s">
        <v>30</v>
      </c>
      <c r="M2921" t="s">
        <v>58</v>
      </c>
      <c r="N2921" t="str">
        <f t="shared" si="72"/>
        <v>United Kingdom</v>
      </c>
      <c r="O2921" s="8">
        <f>IF(K2921&gt;=1,K2921,K2921*1000)</f>
        <v>520</v>
      </c>
      <c r="P2921">
        <f>ABS(H2921)</f>
        <v>2</v>
      </c>
      <c r="R2921"/>
    </row>
    <row r="2922" spans="1:18" x14ac:dyDescent="0.35">
      <c r="A2922" t="s">
        <v>4522</v>
      </c>
      <c r="B2922" s="2">
        <v>46190</v>
      </c>
      <c r="C2922" t="s">
        <v>2908</v>
      </c>
      <c r="D2922" s="3" t="s">
        <v>66</v>
      </c>
      <c r="E2922" t="s">
        <v>34</v>
      </c>
      <c r="F2922" t="s">
        <v>47</v>
      </c>
      <c r="G2922" t="s">
        <v>48</v>
      </c>
      <c r="H2922" s="8">
        <v>2</v>
      </c>
      <c r="I2922" s="10">
        <v>95</v>
      </c>
      <c r="J2922" s="14">
        <f>P2922*I2922</f>
        <v>190</v>
      </c>
      <c r="K2922" s="16">
        <v>0.38</v>
      </c>
      <c r="L2922" s="1" t="s">
        <v>30</v>
      </c>
      <c r="M2922" t="s">
        <v>22</v>
      </c>
      <c r="N2922" t="str">
        <f t="shared" si="72"/>
        <v>Gb</v>
      </c>
      <c r="O2922" s="8">
        <f>IF(K2922&gt;=1,K2922,K2922*1000)</f>
        <v>380</v>
      </c>
      <c r="P2922">
        <f>ABS(H2922)</f>
        <v>2</v>
      </c>
      <c r="R2922"/>
    </row>
    <row r="2923" spans="1:18" x14ac:dyDescent="0.35">
      <c r="A2923" t="s">
        <v>4523</v>
      </c>
      <c r="B2923" s="2">
        <v>46144</v>
      </c>
      <c r="C2923" t="s">
        <v>1850</v>
      </c>
      <c r="D2923" s="3" t="s">
        <v>116</v>
      </c>
      <c r="E2923" t="s">
        <v>34</v>
      </c>
      <c r="F2923" t="s">
        <v>35</v>
      </c>
      <c r="G2923" t="s">
        <v>36</v>
      </c>
      <c r="H2923" s="8">
        <v>3</v>
      </c>
      <c r="I2923" s="12" t="s">
        <v>4631</v>
      </c>
      <c r="J2923" s="14">
        <f>P2923*R2923</f>
        <v>237</v>
      </c>
      <c r="K2923" s="16">
        <v>8.5000000000000006E-2</v>
      </c>
      <c r="L2923" s="1" t="s">
        <v>30</v>
      </c>
      <c r="M2923" t="s">
        <v>58</v>
      </c>
      <c r="N2923" t="str">
        <f t="shared" si="72"/>
        <v>Germany</v>
      </c>
      <c r="O2923" s="8">
        <f>IF(K2923&gt;=1,K2923,K2923*1000)</f>
        <v>85</v>
      </c>
      <c r="P2923">
        <f>ABS(H2923)</f>
        <v>3</v>
      </c>
      <c r="Q2923" t="str">
        <f>LEFT(I2923,2)</f>
        <v>Â£</v>
      </c>
      <c r="R2923" t="str">
        <f>RIGHT(I2923,5)</f>
        <v>79,00</v>
      </c>
    </row>
    <row r="2924" spans="1:18" x14ac:dyDescent="0.35">
      <c r="A2924" t="s">
        <v>4524</v>
      </c>
      <c r="B2924" s="2">
        <v>46121</v>
      </c>
      <c r="C2924" t="s">
        <v>1130</v>
      </c>
      <c r="D2924" s="3" t="s">
        <v>4612</v>
      </c>
      <c r="E2924" t="s">
        <v>41</v>
      </c>
      <c r="F2924" t="s">
        <v>17</v>
      </c>
      <c r="G2924" t="s">
        <v>18</v>
      </c>
      <c r="H2924" s="8">
        <v>3</v>
      </c>
      <c r="I2924" s="10">
        <v>149</v>
      </c>
      <c r="J2924" s="14">
        <f>P2924*I2924</f>
        <v>447</v>
      </c>
      <c r="K2924" s="16">
        <v>520</v>
      </c>
      <c r="L2924" s="1" t="s">
        <v>21</v>
      </c>
      <c r="M2924" t="s">
        <v>58</v>
      </c>
      <c r="N2924" t="str">
        <f t="shared" si="72"/>
        <v>United Kingdom</v>
      </c>
      <c r="O2924" s="8">
        <f>IF(K2924&gt;=1,K2924,K2924*1000)</f>
        <v>520</v>
      </c>
      <c r="P2924">
        <f>ABS(H2924)</f>
        <v>3</v>
      </c>
      <c r="R2924"/>
    </row>
    <row r="2925" spans="1:18" x14ac:dyDescent="0.35">
      <c r="A2925" t="s">
        <v>4525</v>
      </c>
      <c r="B2925" s="2" t="s">
        <v>339</v>
      </c>
      <c r="C2925" t="s">
        <v>1597</v>
      </c>
      <c r="D2925" s="3" t="s">
        <v>46</v>
      </c>
      <c r="E2925" t="s">
        <v>41</v>
      </c>
      <c r="F2925" t="s">
        <v>74</v>
      </c>
      <c r="G2925" t="s">
        <v>75</v>
      </c>
      <c r="H2925" s="8">
        <v>3</v>
      </c>
      <c r="I2925" s="10">
        <v>134.1</v>
      </c>
      <c r="J2925" s="14">
        <f>P2925*I2925</f>
        <v>402.29999999999995</v>
      </c>
      <c r="K2925" s="16">
        <v>410</v>
      </c>
      <c r="L2925" s="1" t="s">
        <v>30</v>
      </c>
      <c r="M2925" t="s">
        <v>22</v>
      </c>
      <c r="N2925" t="str">
        <f t="shared" si="72"/>
        <v>Ireland</v>
      </c>
      <c r="O2925" s="8">
        <f>IF(K2925&gt;=1,K2925,K2925*1000)</f>
        <v>410</v>
      </c>
      <c r="P2925">
        <f>ABS(H2925)</f>
        <v>3</v>
      </c>
      <c r="R2925"/>
    </row>
    <row r="2926" spans="1:18" x14ac:dyDescent="0.35">
      <c r="A2926" t="s">
        <v>4526</v>
      </c>
      <c r="B2926" s="2">
        <v>46205</v>
      </c>
      <c r="C2926" t="s">
        <v>2003</v>
      </c>
      <c r="D2926" s="3" t="s">
        <v>61</v>
      </c>
      <c r="E2926" t="s">
        <v>16</v>
      </c>
      <c r="F2926" t="s">
        <v>74</v>
      </c>
      <c r="G2926" t="s">
        <v>75</v>
      </c>
      <c r="H2926" s="8">
        <v>1</v>
      </c>
      <c r="I2926" s="10">
        <v>24</v>
      </c>
      <c r="J2926" s="14">
        <f>P2926*I2926</f>
        <v>24</v>
      </c>
      <c r="K2926" s="16">
        <v>410</v>
      </c>
      <c r="L2926" s="1" t="s">
        <v>21</v>
      </c>
      <c r="M2926" t="s">
        <v>58</v>
      </c>
      <c r="N2926" t="str">
        <f t="shared" si="72"/>
        <v>Ireland</v>
      </c>
      <c r="O2926" s="8">
        <f>IF(K2926&gt;=1,K2926,K2926*1000)</f>
        <v>410</v>
      </c>
      <c r="P2926">
        <f>ABS(H2926)</f>
        <v>1</v>
      </c>
      <c r="R2926"/>
    </row>
    <row r="2927" spans="1:18" x14ac:dyDescent="0.35">
      <c r="A2927" t="s">
        <v>4527</v>
      </c>
      <c r="B2927" s="2">
        <v>46117</v>
      </c>
      <c r="C2927" t="s">
        <v>4528</v>
      </c>
      <c r="D2927" s="3" t="s">
        <v>66</v>
      </c>
      <c r="E2927" t="s">
        <v>41</v>
      </c>
      <c r="F2927" t="s">
        <v>17</v>
      </c>
      <c r="G2927" t="s">
        <v>18</v>
      </c>
      <c r="H2927" s="8">
        <v>3</v>
      </c>
      <c r="I2927" s="10">
        <v>95</v>
      </c>
      <c r="J2927" s="14">
        <f>P2927*I2927</f>
        <v>285</v>
      </c>
      <c r="K2927" s="16">
        <v>0.52</v>
      </c>
      <c r="L2927" s="1" t="s">
        <v>30</v>
      </c>
      <c r="M2927" t="s">
        <v>58</v>
      </c>
      <c r="N2927" t="str">
        <f t="shared" si="72"/>
        <v>Gb</v>
      </c>
      <c r="O2927" s="8">
        <f>IF(K2927&gt;=1,K2927,K2927*1000)</f>
        <v>520</v>
      </c>
      <c r="P2927">
        <f>ABS(H2927)</f>
        <v>3</v>
      </c>
      <c r="R2927"/>
    </row>
    <row r="2928" spans="1:18" x14ac:dyDescent="0.35">
      <c r="A2928" t="s">
        <v>4529</v>
      </c>
      <c r="B2928" s="2">
        <v>46052</v>
      </c>
      <c r="C2928" t="s">
        <v>844</v>
      </c>
      <c r="D2928" s="3" t="s">
        <v>66</v>
      </c>
      <c r="E2928" t="s">
        <v>41</v>
      </c>
      <c r="F2928" t="s">
        <v>17</v>
      </c>
      <c r="G2928" t="s">
        <v>18</v>
      </c>
      <c r="H2928" s="8">
        <v>3</v>
      </c>
      <c r="I2928" s="10">
        <v>40.5</v>
      </c>
      <c r="J2928" s="14">
        <f>P2928*I2928</f>
        <v>121.5</v>
      </c>
      <c r="K2928" s="16">
        <v>520</v>
      </c>
      <c r="L2928" s="1" t="s">
        <v>30</v>
      </c>
      <c r="M2928" t="s">
        <v>22</v>
      </c>
      <c r="N2928" t="str">
        <f t="shared" si="72"/>
        <v>Gb</v>
      </c>
      <c r="O2928" s="8">
        <f>IF(K2928&gt;=1,K2928,K2928*1000)</f>
        <v>520</v>
      </c>
      <c r="P2928">
        <f>ABS(H2928)</f>
        <v>3</v>
      </c>
      <c r="R2928"/>
    </row>
    <row r="2929" spans="1:18" x14ac:dyDescent="0.35">
      <c r="A2929" t="s">
        <v>4530</v>
      </c>
      <c r="B2929" s="2">
        <v>46142</v>
      </c>
      <c r="C2929" t="s">
        <v>4052</v>
      </c>
      <c r="D2929" s="3" t="s">
        <v>61</v>
      </c>
      <c r="E2929" t="s">
        <v>16</v>
      </c>
      <c r="F2929" t="s">
        <v>74</v>
      </c>
      <c r="G2929" t="s">
        <v>75</v>
      </c>
      <c r="H2929" s="8">
        <v>2</v>
      </c>
      <c r="I2929" s="12" t="s">
        <v>4622</v>
      </c>
      <c r="J2929" s="14">
        <f>P2929*R2929</f>
        <v>32.200000000000003</v>
      </c>
      <c r="K2929" s="16">
        <v>0.41</v>
      </c>
      <c r="L2929" s="1" t="s">
        <v>30</v>
      </c>
      <c r="M2929" t="s">
        <v>22</v>
      </c>
      <c r="N2929" t="str">
        <f t="shared" si="72"/>
        <v>Ireland</v>
      </c>
      <c r="O2929" s="8">
        <f>IF(K2929&gt;=1,K2929,K2929*1000)</f>
        <v>410</v>
      </c>
      <c r="P2929">
        <f>ABS(H2929)</f>
        <v>2</v>
      </c>
      <c r="Q2929" t="str">
        <f>LEFT(I2929,2)</f>
        <v>Â£</v>
      </c>
      <c r="R2929" t="str">
        <f>RIGHT(I2929,5)</f>
        <v>16,10</v>
      </c>
    </row>
    <row r="2930" spans="1:18" x14ac:dyDescent="0.35">
      <c r="A2930" t="s">
        <v>4531</v>
      </c>
      <c r="B2930" s="2">
        <v>46052</v>
      </c>
      <c r="C2930" t="s">
        <v>1463</v>
      </c>
      <c r="D2930" s="3" t="s">
        <v>4612</v>
      </c>
      <c r="E2930" t="s">
        <v>67</v>
      </c>
      <c r="F2930" t="s">
        <v>74</v>
      </c>
      <c r="G2930" t="s">
        <v>75</v>
      </c>
      <c r="H2930" s="8">
        <v>3</v>
      </c>
      <c r="I2930" s="10">
        <v>129</v>
      </c>
      <c r="J2930" s="14">
        <f>P2930*I2930</f>
        <v>387</v>
      </c>
      <c r="K2930" s="16">
        <v>410</v>
      </c>
      <c r="L2930" s="1" t="s">
        <v>21</v>
      </c>
      <c r="M2930" t="s">
        <v>22</v>
      </c>
      <c r="N2930" t="str">
        <f t="shared" si="72"/>
        <v>United Kingdom</v>
      </c>
      <c r="O2930" s="8">
        <f>IF(K2930&gt;=1,K2930,K2930*1000)</f>
        <v>410</v>
      </c>
      <c r="P2930">
        <f>ABS(H2930)</f>
        <v>3</v>
      </c>
      <c r="R2930"/>
    </row>
    <row r="2931" spans="1:18" x14ac:dyDescent="0.35">
      <c r="A2931" t="s">
        <v>4532</v>
      </c>
      <c r="B2931" s="2" t="s">
        <v>2067</v>
      </c>
      <c r="C2931" t="s">
        <v>1252</v>
      </c>
      <c r="D2931" s="3" t="s">
        <v>53</v>
      </c>
      <c r="E2931" t="s">
        <v>16</v>
      </c>
      <c r="F2931" t="s">
        <v>17</v>
      </c>
      <c r="G2931" t="s">
        <v>18</v>
      </c>
      <c r="H2931" s="8">
        <v>1</v>
      </c>
      <c r="I2931" s="10">
        <v>85.5</v>
      </c>
      <c r="J2931" s="14">
        <f>P2931*I2931</f>
        <v>85.5</v>
      </c>
      <c r="K2931" s="16">
        <v>0.52</v>
      </c>
      <c r="L2931" s="1" t="s">
        <v>30</v>
      </c>
      <c r="M2931" t="s">
        <v>58</v>
      </c>
      <c r="N2931" t="str">
        <f t="shared" si="72"/>
        <v>Gb</v>
      </c>
      <c r="O2931" s="8">
        <f>IF(K2931&gt;=1,K2931,K2931*1000)</f>
        <v>520</v>
      </c>
      <c r="P2931">
        <f>ABS(H2931)</f>
        <v>1</v>
      </c>
      <c r="R2931"/>
    </row>
    <row r="2932" spans="1:18" x14ac:dyDescent="0.35">
      <c r="A2932" t="s">
        <v>4533</v>
      </c>
      <c r="B2932" s="2">
        <v>46167</v>
      </c>
      <c r="C2932" t="s">
        <v>295</v>
      </c>
      <c r="D2932" s="3" t="s">
        <v>116</v>
      </c>
      <c r="E2932" t="s">
        <v>16</v>
      </c>
      <c r="F2932" t="s">
        <v>35</v>
      </c>
      <c r="G2932" t="s">
        <v>36</v>
      </c>
      <c r="H2932" s="8">
        <v>1</v>
      </c>
      <c r="I2932" s="10">
        <v>134.1</v>
      </c>
      <c r="J2932" s="14">
        <f>P2932*I2932</f>
        <v>134.1</v>
      </c>
      <c r="K2932" s="16">
        <v>8.5000000000000006E-2</v>
      </c>
      <c r="L2932" s="1" t="s">
        <v>30</v>
      </c>
      <c r="M2932" t="s">
        <v>58</v>
      </c>
      <c r="N2932" t="str">
        <f t="shared" si="72"/>
        <v>Germany</v>
      </c>
      <c r="O2932" s="8">
        <f>IF(K2932&gt;=1,K2932,K2932*1000)</f>
        <v>85</v>
      </c>
      <c r="P2932">
        <f>ABS(H2932)</f>
        <v>1</v>
      </c>
      <c r="R2932"/>
    </row>
    <row r="2933" spans="1:18" x14ac:dyDescent="0.35">
      <c r="A2933" t="s">
        <v>4534</v>
      </c>
      <c r="B2933" s="2">
        <v>46118</v>
      </c>
      <c r="C2933" t="s">
        <v>3503</v>
      </c>
      <c r="D2933" s="3" t="s">
        <v>61</v>
      </c>
      <c r="E2933" t="s">
        <v>41</v>
      </c>
      <c r="F2933" t="s">
        <v>17</v>
      </c>
      <c r="G2933" t="s">
        <v>18</v>
      </c>
      <c r="H2933" s="8">
        <v>2</v>
      </c>
      <c r="I2933" s="12" t="s">
        <v>4636</v>
      </c>
      <c r="J2933" s="14">
        <f>P2933*R2933</f>
        <v>178</v>
      </c>
      <c r="K2933" s="16">
        <v>0.52</v>
      </c>
      <c r="L2933" s="1" t="s">
        <v>30</v>
      </c>
      <c r="M2933" t="s">
        <v>58</v>
      </c>
      <c r="N2933" t="str">
        <f t="shared" si="72"/>
        <v>Ireland</v>
      </c>
      <c r="O2933" s="8">
        <f>IF(K2933&gt;=1,K2933,K2933*1000)</f>
        <v>520</v>
      </c>
      <c r="P2933">
        <f>ABS(H2933)</f>
        <v>2</v>
      </c>
      <c r="Q2933" t="str">
        <f>LEFT(I2933,2)</f>
        <v>Â£</v>
      </c>
      <c r="R2933" t="str">
        <f>RIGHT(I2933,5)</f>
        <v>89,00</v>
      </c>
    </row>
    <row r="2934" spans="1:18" x14ac:dyDescent="0.35">
      <c r="A2934" t="s">
        <v>4535</v>
      </c>
      <c r="B2934" s="2">
        <v>46189</v>
      </c>
      <c r="C2934" t="s">
        <v>4536</v>
      </c>
      <c r="D2934" s="3" t="s">
        <v>4613</v>
      </c>
      <c r="E2934" t="s">
        <v>41</v>
      </c>
      <c r="F2934" t="s">
        <v>83</v>
      </c>
      <c r="G2934" t="s">
        <v>84</v>
      </c>
      <c r="H2934" s="8">
        <v>2</v>
      </c>
      <c r="I2934" s="10">
        <v>129</v>
      </c>
      <c r="J2934" s="14">
        <f>P2934*I2934</f>
        <v>258</v>
      </c>
      <c r="K2934" s="16">
        <v>0.34</v>
      </c>
      <c r="L2934" s="1" t="s">
        <v>30</v>
      </c>
      <c r="M2934" t="s">
        <v>58</v>
      </c>
      <c r="N2934" t="str">
        <f t="shared" si="72"/>
        <v>United Kingdom</v>
      </c>
      <c r="O2934" s="8">
        <f>IF(K2934&gt;=1,K2934,K2934*1000)</f>
        <v>340</v>
      </c>
      <c r="P2934">
        <f>ABS(H2934)</f>
        <v>2</v>
      </c>
      <c r="R2934"/>
    </row>
    <row r="2935" spans="1:18" x14ac:dyDescent="0.35">
      <c r="A2935" t="s">
        <v>4538</v>
      </c>
      <c r="B2935" s="2" t="s">
        <v>120</v>
      </c>
      <c r="C2935" t="s">
        <v>1597</v>
      </c>
      <c r="D2935" s="3" t="s">
        <v>15</v>
      </c>
      <c r="E2935" t="s">
        <v>34</v>
      </c>
      <c r="F2935" t="s">
        <v>47</v>
      </c>
      <c r="G2935" t="s">
        <v>48</v>
      </c>
      <c r="H2935" s="8">
        <v>2</v>
      </c>
      <c r="I2935" s="10">
        <v>149</v>
      </c>
      <c r="J2935" s="14">
        <f>P2935*I2935</f>
        <v>298</v>
      </c>
      <c r="K2935" s="16">
        <v>380</v>
      </c>
      <c r="L2935" s="1" t="s">
        <v>21</v>
      </c>
      <c r="M2935" t="s">
        <v>22</v>
      </c>
      <c r="N2935" t="str">
        <f t="shared" si="72"/>
        <v>France</v>
      </c>
      <c r="O2935" s="8">
        <f>IF(K2935&gt;=1,K2935,K2935*1000)</f>
        <v>380</v>
      </c>
      <c r="P2935">
        <f>ABS(H2935)</f>
        <v>2</v>
      </c>
      <c r="R2935"/>
    </row>
    <row r="2936" spans="1:18" x14ac:dyDescent="0.35">
      <c r="A2936" t="s">
        <v>4539</v>
      </c>
      <c r="B2936" s="2">
        <v>46054</v>
      </c>
      <c r="C2936" t="s">
        <v>1828</v>
      </c>
      <c r="D2936" s="3" t="s">
        <v>99</v>
      </c>
      <c r="E2936" t="s">
        <v>41</v>
      </c>
      <c r="F2936" t="s">
        <v>26</v>
      </c>
      <c r="G2936" t="s">
        <v>27</v>
      </c>
      <c r="H2936" s="8">
        <v>1</v>
      </c>
      <c r="I2936" s="12" t="s">
        <v>4620</v>
      </c>
      <c r="J2936" s="14">
        <f>P2936*R2936</f>
        <v>80.099999999999994</v>
      </c>
      <c r="K2936" s="16">
        <v>520</v>
      </c>
      <c r="L2936" s="1" t="s">
        <v>30</v>
      </c>
      <c r="M2936" t="s">
        <v>22</v>
      </c>
      <c r="N2936" t="str">
        <f t="shared" si="72"/>
        <v>United Kingdom</v>
      </c>
      <c r="O2936" s="8">
        <f>IF(K2936&gt;=1,K2936,K2936*1000)</f>
        <v>520</v>
      </c>
      <c r="P2936">
        <f>ABS(H2936)</f>
        <v>1</v>
      </c>
      <c r="Q2936" t="str">
        <f>LEFT(I2936,3)</f>
        <v>GBP</v>
      </c>
      <c r="R2936" s="10" t="str">
        <f>RIGHT(I2936,5)</f>
        <v>80,10</v>
      </c>
    </row>
    <row r="2937" spans="1:18" x14ac:dyDescent="0.35">
      <c r="A2937" t="s">
        <v>4540</v>
      </c>
      <c r="B2937" s="2">
        <v>46196</v>
      </c>
      <c r="C2937" t="s">
        <v>4541</v>
      </c>
      <c r="D2937" s="3" t="s">
        <v>99</v>
      </c>
      <c r="E2937" t="s">
        <v>67</v>
      </c>
      <c r="F2937" t="s">
        <v>35</v>
      </c>
      <c r="G2937" t="s">
        <v>36</v>
      </c>
      <c r="H2937" s="8">
        <v>2</v>
      </c>
      <c r="I2937" s="10">
        <v>79</v>
      </c>
      <c r="J2937" s="14">
        <f>P2937*I2937</f>
        <v>158</v>
      </c>
      <c r="K2937" s="16">
        <v>8.5000000000000006E-2</v>
      </c>
      <c r="L2937" s="1" t="s">
        <v>30</v>
      </c>
      <c r="M2937" t="s">
        <v>58</v>
      </c>
      <c r="N2937" t="str">
        <f t="shared" si="72"/>
        <v>United Kingdom</v>
      </c>
      <c r="O2937" s="8">
        <f>IF(K2937&gt;=1,K2937,K2937*1000)</f>
        <v>85</v>
      </c>
      <c r="P2937">
        <f>ABS(H2937)</f>
        <v>2</v>
      </c>
      <c r="R2937"/>
    </row>
    <row r="2938" spans="1:18" x14ac:dyDescent="0.35">
      <c r="A2938" t="s">
        <v>4542</v>
      </c>
      <c r="B2938" s="2">
        <v>46070</v>
      </c>
      <c r="C2938" t="s">
        <v>2238</v>
      </c>
      <c r="D2938" s="3" t="s">
        <v>66</v>
      </c>
      <c r="E2938" t="s">
        <v>25</v>
      </c>
      <c r="F2938" t="s">
        <v>47</v>
      </c>
      <c r="G2938" t="s">
        <v>48</v>
      </c>
      <c r="H2938" s="8">
        <v>1</v>
      </c>
      <c r="I2938" s="10">
        <v>80.099999999999994</v>
      </c>
      <c r="J2938" s="14">
        <f>P2938*I2938</f>
        <v>80.099999999999994</v>
      </c>
      <c r="K2938" s="16">
        <v>380</v>
      </c>
      <c r="L2938" s="1" t="s">
        <v>30</v>
      </c>
      <c r="M2938" t="s">
        <v>58</v>
      </c>
      <c r="N2938" t="str">
        <f t="shared" si="72"/>
        <v>Gb</v>
      </c>
      <c r="O2938" s="8">
        <f>IF(K2938&gt;=1,K2938,K2938*1000)</f>
        <v>380</v>
      </c>
      <c r="P2938">
        <f>ABS(H2938)</f>
        <v>1</v>
      </c>
      <c r="R2938"/>
    </row>
    <row r="2939" spans="1:18" x14ac:dyDescent="0.35">
      <c r="A2939" t="s">
        <v>4543</v>
      </c>
      <c r="B2939" s="2">
        <v>46101</v>
      </c>
      <c r="C2939" t="s">
        <v>1150</v>
      </c>
      <c r="D2939" s="3" t="s">
        <v>66</v>
      </c>
      <c r="E2939" t="s">
        <v>16</v>
      </c>
      <c r="F2939" t="s">
        <v>74</v>
      </c>
      <c r="G2939" t="s">
        <v>75</v>
      </c>
      <c r="H2939" s="8">
        <v>1</v>
      </c>
      <c r="I2939" s="10">
        <v>12.5</v>
      </c>
      <c r="J2939" s="14">
        <f>P2939*I2939</f>
        <v>12.5</v>
      </c>
      <c r="K2939" s="16">
        <v>410</v>
      </c>
      <c r="L2939" s="1" t="s">
        <v>21</v>
      </c>
      <c r="M2939" t="s">
        <v>22</v>
      </c>
      <c r="N2939" t="str">
        <f t="shared" si="72"/>
        <v>Gb</v>
      </c>
      <c r="O2939" s="8">
        <f>IF(K2939&gt;=1,K2939,K2939*1000)</f>
        <v>410</v>
      </c>
      <c r="P2939">
        <f>ABS(H2939)</f>
        <v>1</v>
      </c>
      <c r="R2939"/>
    </row>
    <row r="2940" spans="1:18" x14ac:dyDescent="0.35">
      <c r="A2940" t="s">
        <v>4544</v>
      </c>
      <c r="B2940" s="2">
        <v>46148</v>
      </c>
      <c r="C2940" t="s">
        <v>1491</v>
      </c>
      <c r="D2940" s="3" t="s">
        <v>15</v>
      </c>
      <c r="E2940" t="s">
        <v>16</v>
      </c>
      <c r="F2940" t="s">
        <v>89</v>
      </c>
      <c r="G2940" t="s">
        <v>90</v>
      </c>
      <c r="H2940" s="8">
        <v>2</v>
      </c>
      <c r="I2940" s="10">
        <v>40.5</v>
      </c>
      <c r="J2940" s="14">
        <f>P2940*I2940</f>
        <v>81</v>
      </c>
      <c r="K2940" s="16">
        <v>0.64</v>
      </c>
      <c r="L2940" s="1" t="s">
        <v>21</v>
      </c>
      <c r="M2940" t="s">
        <v>22</v>
      </c>
      <c r="N2940" t="str">
        <f t="shared" si="72"/>
        <v>France</v>
      </c>
      <c r="O2940" s="8">
        <f>IF(K2940&gt;=1,K2940,K2940*1000)</f>
        <v>640</v>
      </c>
      <c r="P2940">
        <f>ABS(H2940)</f>
        <v>2</v>
      </c>
      <c r="R2940"/>
    </row>
    <row r="2941" spans="1:18" x14ac:dyDescent="0.35">
      <c r="A2941" t="s">
        <v>4545</v>
      </c>
      <c r="B2941" s="2" t="s">
        <v>596</v>
      </c>
      <c r="C2941" t="s">
        <v>4546</v>
      </c>
      <c r="D2941" s="3" t="s">
        <v>99</v>
      </c>
      <c r="E2941" t="s">
        <v>67</v>
      </c>
      <c r="F2941" t="s">
        <v>83</v>
      </c>
      <c r="G2941" t="s">
        <v>84</v>
      </c>
      <c r="H2941" s="8">
        <v>1</v>
      </c>
      <c r="I2941" s="10">
        <v>12.5</v>
      </c>
      <c r="J2941" s="14">
        <f>P2941*I2941</f>
        <v>12.5</v>
      </c>
      <c r="K2941" s="16">
        <v>340</v>
      </c>
      <c r="L2941" s="1" t="s">
        <v>21</v>
      </c>
      <c r="M2941" t="s">
        <v>22</v>
      </c>
      <c r="N2941" t="str">
        <f t="shared" si="72"/>
        <v>United Kingdom</v>
      </c>
      <c r="O2941" s="8">
        <f>IF(K2941&gt;=1,K2941,K2941*1000)</f>
        <v>340</v>
      </c>
      <c r="P2941">
        <f>ABS(H2941)</f>
        <v>1</v>
      </c>
      <c r="R2941"/>
    </row>
    <row r="2942" spans="1:18" x14ac:dyDescent="0.35">
      <c r="A2942" t="s">
        <v>4547</v>
      </c>
      <c r="B2942" s="2">
        <v>46192</v>
      </c>
      <c r="C2942" t="s">
        <v>1755</v>
      </c>
      <c r="D2942" s="3" t="s">
        <v>61</v>
      </c>
      <c r="E2942" t="s">
        <v>41</v>
      </c>
      <c r="F2942" t="s">
        <v>35</v>
      </c>
      <c r="G2942" t="s">
        <v>36</v>
      </c>
      <c r="H2942" s="8">
        <v>1</v>
      </c>
      <c r="I2942" s="10">
        <v>45</v>
      </c>
      <c r="J2942" s="14">
        <f>P2942*I2942</f>
        <v>45</v>
      </c>
      <c r="K2942" s="16">
        <v>8.5000000000000006E-2</v>
      </c>
      <c r="L2942" s="1" t="s">
        <v>30</v>
      </c>
      <c r="M2942" t="s">
        <v>22</v>
      </c>
      <c r="N2942" t="str">
        <f t="shared" si="72"/>
        <v>Ireland</v>
      </c>
      <c r="O2942" s="8">
        <f>IF(K2942&gt;=1,K2942,K2942*1000)</f>
        <v>85</v>
      </c>
      <c r="P2942">
        <f>ABS(H2942)</f>
        <v>1</v>
      </c>
      <c r="R2942"/>
    </row>
    <row r="2943" spans="1:18" x14ac:dyDescent="0.35">
      <c r="A2943" t="s">
        <v>4548</v>
      </c>
      <c r="B2943" s="2">
        <v>46028</v>
      </c>
      <c r="C2943" t="s">
        <v>1119</v>
      </c>
      <c r="D2943" s="3" t="s">
        <v>4612</v>
      </c>
      <c r="E2943" t="s">
        <v>34</v>
      </c>
      <c r="F2943" t="s">
        <v>83</v>
      </c>
      <c r="G2943" t="s">
        <v>84</v>
      </c>
      <c r="H2943" s="8">
        <v>1</v>
      </c>
      <c r="I2943" s="10">
        <v>71.099999999999994</v>
      </c>
      <c r="J2943" s="14">
        <f>P2943*I2943</f>
        <v>71.099999999999994</v>
      </c>
      <c r="K2943" s="16">
        <v>0.34</v>
      </c>
      <c r="L2943" s="1" t="s">
        <v>30</v>
      </c>
      <c r="M2943" t="s">
        <v>22</v>
      </c>
      <c r="N2943" t="str">
        <f t="shared" si="72"/>
        <v>United Kingdom</v>
      </c>
      <c r="O2943" s="8">
        <f>IF(K2943&gt;=1,K2943,K2943*1000)</f>
        <v>340</v>
      </c>
      <c r="P2943">
        <f>ABS(H2943)</f>
        <v>1</v>
      </c>
      <c r="R2943"/>
    </row>
    <row r="2944" spans="1:18" x14ac:dyDescent="0.35">
      <c r="A2944" t="s">
        <v>4549</v>
      </c>
      <c r="B2944" s="2">
        <v>46156</v>
      </c>
      <c r="C2944" t="s">
        <v>757</v>
      </c>
      <c r="D2944" s="3" t="s">
        <v>53</v>
      </c>
      <c r="E2944" t="s">
        <v>41</v>
      </c>
      <c r="F2944" t="s">
        <v>89</v>
      </c>
      <c r="G2944" t="s">
        <v>90</v>
      </c>
      <c r="H2944" s="8">
        <v>-3</v>
      </c>
      <c r="I2944" s="10">
        <v>79</v>
      </c>
      <c r="J2944" s="14">
        <f>P2944*I2944</f>
        <v>237</v>
      </c>
      <c r="K2944" s="16">
        <v>0.64</v>
      </c>
      <c r="L2944" s="1" t="s">
        <v>30</v>
      </c>
      <c r="M2944" t="s">
        <v>22</v>
      </c>
      <c r="N2944" t="str">
        <f t="shared" si="72"/>
        <v>Gb</v>
      </c>
      <c r="O2944" s="8">
        <f>IF(K2944&gt;=1,K2944,K2944*1000)</f>
        <v>640</v>
      </c>
      <c r="P2944">
        <f>ABS(H2944)</f>
        <v>3</v>
      </c>
      <c r="R2944"/>
    </row>
    <row r="2945" spans="1:18" x14ac:dyDescent="0.35">
      <c r="A2945" t="s">
        <v>4550</v>
      </c>
      <c r="B2945" s="2">
        <v>46031</v>
      </c>
      <c r="C2945" t="s">
        <v>1519</v>
      </c>
      <c r="D2945" s="3" t="s">
        <v>46</v>
      </c>
      <c r="E2945" t="s">
        <v>16</v>
      </c>
      <c r="F2945" t="s">
        <v>17</v>
      </c>
      <c r="G2945" t="s">
        <v>18</v>
      </c>
      <c r="H2945" s="8">
        <v>3</v>
      </c>
      <c r="I2945" s="10">
        <v>40.5</v>
      </c>
      <c r="J2945" s="14">
        <f>P2945*I2945</f>
        <v>121.5</v>
      </c>
      <c r="K2945" s="16">
        <v>520</v>
      </c>
      <c r="L2945" s="1" t="s">
        <v>30</v>
      </c>
      <c r="M2945" t="s">
        <v>22</v>
      </c>
      <c r="N2945" t="str">
        <f t="shared" si="72"/>
        <v>Ireland</v>
      </c>
      <c r="O2945" s="8">
        <f>IF(K2945&gt;=1,K2945,K2945*1000)</f>
        <v>520</v>
      </c>
      <c r="P2945">
        <f>ABS(H2945)</f>
        <v>3</v>
      </c>
      <c r="R2945"/>
    </row>
    <row r="2946" spans="1:18" x14ac:dyDescent="0.35">
      <c r="A2946" t="s">
        <v>4551</v>
      </c>
      <c r="B2946" s="2">
        <v>46135</v>
      </c>
      <c r="C2946" t="s">
        <v>2452</v>
      </c>
      <c r="D2946" s="3" t="s">
        <v>4612</v>
      </c>
      <c r="E2946" t="s">
        <v>16</v>
      </c>
      <c r="F2946" t="s">
        <v>42</v>
      </c>
      <c r="G2946" t="s">
        <v>43</v>
      </c>
      <c r="H2946" s="8">
        <v>1</v>
      </c>
      <c r="I2946" s="10">
        <v>129</v>
      </c>
      <c r="J2946" s="14">
        <f>P2946*I2946</f>
        <v>129</v>
      </c>
      <c r="K2946" s="16">
        <v>0.19</v>
      </c>
      <c r="L2946" s="1" t="s">
        <v>21</v>
      </c>
      <c r="M2946" t="s">
        <v>22</v>
      </c>
      <c r="N2946" t="str">
        <f t="shared" si="72"/>
        <v>United Kingdom</v>
      </c>
      <c r="O2946" s="8">
        <f>IF(K2946&gt;=1,K2946,K2946*1000)</f>
        <v>190</v>
      </c>
      <c r="P2946">
        <f>ABS(H2946)</f>
        <v>1</v>
      </c>
      <c r="R2946"/>
    </row>
    <row r="2947" spans="1:18" x14ac:dyDescent="0.35">
      <c r="A2947" t="s">
        <v>4552</v>
      </c>
      <c r="B2947" s="2">
        <v>46121</v>
      </c>
      <c r="C2947" t="s">
        <v>3869</v>
      </c>
      <c r="D2947" s="3" t="s">
        <v>46</v>
      </c>
      <c r="E2947" t="s">
        <v>67</v>
      </c>
      <c r="F2947" t="s">
        <v>35</v>
      </c>
      <c r="G2947" t="s">
        <v>36</v>
      </c>
      <c r="H2947" s="8">
        <v>3</v>
      </c>
      <c r="I2947" s="10">
        <v>116.1</v>
      </c>
      <c r="J2947" s="14">
        <f>P2947*I2947</f>
        <v>348.29999999999995</v>
      </c>
      <c r="K2947" s="16">
        <v>85</v>
      </c>
      <c r="L2947" s="1" t="s">
        <v>30</v>
      </c>
      <c r="M2947" t="s">
        <v>22</v>
      </c>
      <c r="N2947" t="str">
        <f t="shared" ref="N2947:N3001" si="73">PROPER(TRIM(D2947))</f>
        <v>Ireland</v>
      </c>
      <c r="O2947" s="8">
        <f>IF(K2947&gt;=1,K2947,K2947*1000)</f>
        <v>85</v>
      </c>
      <c r="P2947">
        <f t="shared" ref="P2947:P3001" si="74">ABS(H2947)</f>
        <v>3</v>
      </c>
      <c r="R2947"/>
    </row>
    <row r="2948" spans="1:18" x14ac:dyDescent="0.35">
      <c r="A2948" t="s">
        <v>4553</v>
      </c>
      <c r="B2948" s="2">
        <v>46205</v>
      </c>
      <c r="C2948" t="s">
        <v>720</v>
      </c>
      <c r="D2948" s="3" t="s">
        <v>66</v>
      </c>
      <c r="E2948" t="s">
        <v>16</v>
      </c>
      <c r="F2948" t="s">
        <v>17</v>
      </c>
      <c r="G2948" t="s">
        <v>18</v>
      </c>
      <c r="H2948" s="8">
        <v>2</v>
      </c>
      <c r="I2948" s="10">
        <v>95</v>
      </c>
      <c r="J2948" s="14">
        <f>P2948*I2948</f>
        <v>190</v>
      </c>
      <c r="K2948" s="16">
        <v>520</v>
      </c>
      <c r="L2948" s="1" t="s">
        <v>21</v>
      </c>
      <c r="M2948" t="s">
        <v>58</v>
      </c>
      <c r="N2948" t="str">
        <f t="shared" si="73"/>
        <v>Gb</v>
      </c>
      <c r="O2948" s="8">
        <f>IF(K2948&gt;=1,K2948,K2948*1000)</f>
        <v>520</v>
      </c>
      <c r="P2948">
        <f t="shared" si="74"/>
        <v>2</v>
      </c>
      <c r="R2948"/>
    </row>
    <row r="2949" spans="1:18" x14ac:dyDescent="0.35">
      <c r="A2949" t="s">
        <v>4554</v>
      </c>
      <c r="B2949" s="2" t="s">
        <v>120</v>
      </c>
      <c r="C2949" t="s">
        <v>724</v>
      </c>
      <c r="D2949" s="3" t="s">
        <v>15</v>
      </c>
      <c r="E2949" t="s">
        <v>34</v>
      </c>
      <c r="F2949" t="s">
        <v>17</v>
      </c>
      <c r="G2949" t="s">
        <v>18</v>
      </c>
      <c r="H2949" s="8">
        <v>1</v>
      </c>
      <c r="I2949" s="10">
        <v>134.1</v>
      </c>
      <c r="J2949" s="14">
        <f>P2949*I2949</f>
        <v>134.1</v>
      </c>
      <c r="K2949" s="16">
        <v>520</v>
      </c>
      <c r="L2949" s="1" t="s">
        <v>30</v>
      </c>
      <c r="M2949" t="s">
        <v>22</v>
      </c>
      <c r="N2949" t="str">
        <f t="shared" si="73"/>
        <v>France</v>
      </c>
      <c r="O2949" s="8">
        <f>IF(K2949&gt;=1,K2949,K2949*1000)</f>
        <v>520</v>
      </c>
      <c r="P2949">
        <f t="shared" si="74"/>
        <v>1</v>
      </c>
      <c r="R2949"/>
    </row>
    <row r="2950" spans="1:18" x14ac:dyDescent="0.35">
      <c r="A2950" t="s">
        <v>4555</v>
      </c>
      <c r="B2950" s="2">
        <v>46061</v>
      </c>
      <c r="C2950" t="s">
        <v>1111</v>
      </c>
      <c r="D2950" s="3" t="s">
        <v>61</v>
      </c>
      <c r="E2950" t="s">
        <v>41</v>
      </c>
      <c r="F2950" t="s">
        <v>47</v>
      </c>
      <c r="G2950" t="s">
        <v>48</v>
      </c>
      <c r="H2950" s="8">
        <v>1</v>
      </c>
      <c r="I2950" s="10">
        <v>11.25</v>
      </c>
      <c r="J2950" s="14">
        <f>P2950*I2950</f>
        <v>11.25</v>
      </c>
      <c r="K2950" s="16">
        <v>380</v>
      </c>
      <c r="L2950" s="1" t="s">
        <v>30</v>
      </c>
      <c r="M2950" t="s">
        <v>58</v>
      </c>
      <c r="N2950" t="str">
        <f t="shared" si="73"/>
        <v>Ireland</v>
      </c>
      <c r="O2950" s="8">
        <f>IF(K2950&gt;=1,K2950,K2950*1000)</f>
        <v>380</v>
      </c>
      <c r="P2950">
        <f t="shared" si="74"/>
        <v>1</v>
      </c>
      <c r="R2950"/>
    </row>
    <row r="2951" spans="1:18" x14ac:dyDescent="0.35">
      <c r="A2951" t="s">
        <v>4556</v>
      </c>
      <c r="B2951" s="2">
        <v>46073</v>
      </c>
      <c r="C2951" t="s">
        <v>1237</v>
      </c>
      <c r="D2951" s="3" t="s">
        <v>46</v>
      </c>
      <c r="E2951" t="s">
        <v>34</v>
      </c>
      <c r="F2951" t="s">
        <v>83</v>
      </c>
      <c r="G2951" t="s">
        <v>84</v>
      </c>
      <c r="H2951" s="8">
        <v>1</v>
      </c>
      <c r="I2951" s="10">
        <v>40.5</v>
      </c>
      <c r="J2951" s="14">
        <f>P2951*I2951</f>
        <v>40.5</v>
      </c>
      <c r="K2951" s="16">
        <v>340</v>
      </c>
      <c r="L2951" s="1" t="s">
        <v>30</v>
      </c>
      <c r="M2951" t="s">
        <v>22</v>
      </c>
      <c r="N2951" t="str">
        <f t="shared" si="73"/>
        <v>Ireland</v>
      </c>
      <c r="O2951" s="8">
        <f>IF(K2951&gt;=1,K2951,K2951*1000)</f>
        <v>340</v>
      </c>
      <c r="P2951">
        <f t="shared" si="74"/>
        <v>1</v>
      </c>
      <c r="R2951"/>
    </row>
    <row r="2952" spans="1:18" x14ac:dyDescent="0.35">
      <c r="A2952" t="s">
        <v>4557</v>
      </c>
      <c r="B2952" s="2">
        <v>46155</v>
      </c>
      <c r="C2952" t="s">
        <v>2660</v>
      </c>
      <c r="D2952" s="3" t="s">
        <v>61</v>
      </c>
      <c r="E2952" t="s">
        <v>34</v>
      </c>
      <c r="F2952" t="s">
        <v>83</v>
      </c>
      <c r="G2952" t="s">
        <v>84</v>
      </c>
      <c r="H2952" s="8">
        <v>1</v>
      </c>
      <c r="I2952" s="10">
        <v>80.099999999999994</v>
      </c>
      <c r="J2952" s="14">
        <f>P2952*I2952</f>
        <v>80.099999999999994</v>
      </c>
      <c r="K2952" s="16">
        <v>0.34</v>
      </c>
      <c r="L2952" s="1" t="s">
        <v>30</v>
      </c>
      <c r="M2952" t="s">
        <v>22</v>
      </c>
      <c r="N2952" t="str">
        <f t="shared" si="73"/>
        <v>Ireland</v>
      </c>
      <c r="O2952" s="8">
        <f>IF(K2952&gt;=1,K2952,K2952*1000)</f>
        <v>340</v>
      </c>
      <c r="P2952">
        <f t="shared" si="74"/>
        <v>1</v>
      </c>
      <c r="R2952"/>
    </row>
    <row r="2953" spans="1:18" x14ac:dyDescent="0.35">
      <c r="A2953" t="s">
        <v>4558</v>
      </c>
      <c r="B2953" s="2">
        <v>46203</v>
      </c>
      <c r="C2953" t="s">
        <v>509</v>
      </c>
      <c r="D2953" s="3" t="s">
        <v>66</v>
      </c>
      <c r="E2953" t="s">
        <v>41</v>
      </c>
      <c r="F2953" t="s">
        <v>26</v>
      </c>
      <c r="G2953" t="s">
        <v>27</v>
      </c>
      <c r="H2953" s="8">
        <v>2</v>
      </c>
      <c r="I2953" s="10">
        <v>12.5</v>
      </c>
      <c r="J2953" s="14">
        <f>P2953*I2953</f>
        <v>25</v>
      </c>
      <c r="K2953" s="16">
        <v>0.52</v>
      </c>
      <c r="L2953" s="1" t="s">
        <v>30</v>
      </c>
      <c r="M2953" t="s">
        <v>58</v>
      </c>
      <c r="N2953" t="str">
        <f t="shared" si="73"/>
        <v>Gb</v>
      </c>
      <c r="O2953" s="8">
        <f>IF(K2953&gt;=1,K2953,K2953*1000)</f>
        <v>520</v>
      </c>
      <c r="P2953">
        <f t="shared" si="74"/>
        <v>2</v>
      </c>
      <c r="R2953"/>
    </row>
    <row r="2954" spans="1:18" x14ac:dyDescent="0.35">
      <c r="A2954" t="s">
        <v>4559</v>
      </c>
      <c r="B2954" s="2">
        <v>46080</v>
      </c>
      <c r="C2954" t="s">
        <v>3166</v>
      </c>
      <c r="D2954" s="3" t="s">
        <v>15</v>
      </c>
      <c r="E2954" t="s">
        <v>25</v>
      </c>
      <c r="F2954" t="s">
        <v>83</v>
      </c>
      <c r="G2954" t="s">
        <v>84</v>
      </c>
      <c r="H2954" s="8">
        <v>3</v>
      </c>
      <c r="I2954" s="10">
        <v>85.5</v>
      </c>
      <c r="J2954" s="14">
        <f>P2954*I2954</f>
        <v>256.5</v>
      </c>
      <c r="K2954" s="16">
        <v>340</v>
      </c>
      <c r="L2954" s="1" t="s">
        <v>30</v>
      </c>
      <c r="M2954" t="s">
        <v>22</v>
      </c>
      <c r="N2954" t="str">
        <f t="shared" si="73"/>
        <v>France</v>
      </c>
      <c r="O2954" s="8">
        <f>IF(K2954&gt;=1,K2954,K2954*1000)</f>
        <v>340</v>
      </c>
      <c r="P2954">
        <f t="shared" si="74"/>
        <v>3</v>
      </c>
      <c r="R2954"/>
    </row>
    <row r="2955" spans="1:18" x14ac:dyDescent="0.35">
      <c r="A2955" t="s">
        <v>4560</v>
      </c>
      <c r="B2955" s="2">
        <v>46154</v>
      </c>
      <c r="C2955" t="s">
        <v>718</v>
      </c>
      <c r="D2955" s="3" t="s">
        <v>61</v>
      </c>
      <c r="E2955" t="s">
        <v>16</v>
      </c>
      <c r="F2955" t="s">
        <v>74</v>
      </c>
      <c r="G2955" t="s">
        <v>75</v>
      </c>
      <c r="H2955" s="8">
        <v>1</v>
      </c>
      <c r="I2955" s="10">
        <v>89</v>
      </c>
      <c r="J2955" s="14">
        <f>P2955*I2955</f>
        <v>89</v>
      </c>
      <c r="K2955" s="16">
        <v>0.41</v>
      </c>
      <c r="L2955" s="1" t="s">
        <v>30</v>
      </c>
      <c r="M2955" t="s">
        <v>58</v>
      </c>
      <c r="N2955" t="str">
        <f t="shared" si="73"/>
        <v>Ireland</v>
      </c>
      <c r="O2955" s="8">
        <f>IF(K2955&gt;=1,K2955,K2955*1000)</f>
        <v>410</v>
      </c>
      <c r="P2955">
        <f t="shared" si="74"/>
        <v>1</v>
      </c>
      <c r="R2955"/>
    </row>
    <row r="2956" spans="1:18" x14ac:dyDescent="0.35">
      <c r="A2956" t="s">
        <v>4561</v>
      </c>
      <c r="B2956" s="2">
        <v>46135</v>
      </c>
      <c r="C2956" t="s">
        <v>1039</v>
      </c>
      <c r="D2956" s="3" t="s">
        <v>61</v>
      </c>
      <c r="E2956" t="s">
        <v>16</v>
      </c>
      <c r="F2956" t="s">
        <v>26</v>
      </c>
      <c r="G2956" t="s">
        <v>27</v>
      </c>
      <c r="H2956" s="8">
        <v>1</v>
      </c>
      <c r="I2956" s="10">
        <v>21.6</v>
      </c>
      <c r="J2956" s="14">
        <f>P2956*I2956</f>
        <v>21.6</v>
      </c>
      <c r="K2956" s="16">
        <v>0.52</v>
      </c>
      <c r="L2956" s="1" t="s">
        <v>30</v>
      </c>
      <c r="M2956" t="s">
        <v>58</v>
      </c>
      <c r="N2956" t="str">
        <f t="shared" si="73"/>
        <v>Ireland</v>
      </c>
      <c r="O2956" s="8">
        <f>IF(K2956&gt;=1,K2956,K2956*1000)</f>
        <v>520</v>
      </c>
      <c r="P2956">
        <f t="shared" si="74"/>
        <v>1</v>
      </c>
      <c r="R2956"/>
    </row>
    <row r="2957" spans="1:18" x14ac:dyDescent="0.35">
      <c r="A2957" t="s">
        <v>4562</v>
      </c>
      <c r="B2957" s="2">
        <v>46033</v>
      </c>
      <c r="C2957" t="s">
        <v>4175</v>
      </c>
      <c r="D2957" s="3" t="s">
        <v>116</v>
      </c>
      <c r="E2957" t="s">
        <v>16</v>
      </c>
      <c r="F2957" t="s">
        <v>26</v>
      </c>
      <c r="G2957" t="s">
        <v>27</v>
      </c>
      <c r="H2957" s="8">
        <v>2</v>
      </c>
      <c r="I2957" s="10">
        <v>149</v>
      </c>
      <c r="J2957" s="14">
        <f>P2957*I2957</f>
        <v>298</v>
      </c>
      <c r="K2957" s="16">
        <v>520</v>
      </c>
      <c r="L2957" s="1" t="s">
        <v>30</v>
      </c>
      <c r="M2957" t="s">
        <v>58</v>
      </c>
      <c r="N2957" t="str">
        <f t="shared" si="73"/>
        <v>Germany</v>
      </c>
      <c r="O2957" s="8">
        <f>IF(K2957&gt;=1,K2957,K2957*1000)</f>
        <v>520</v>
      </c>
      <c r="P2957">
        <f t="shared" si="74"/>
        <v>2</v>
      </c>
      <c r="R2957"/>
    </row>
    <row r="2958" spans="1:18" x14ac:dyDescent="0.35">
      <c r="A2958" t="s">
        <v>4563</v>
      </c>
      <c r="B2958" s="2">
        <v>46151</v>
      </c>
      <c r="C2958" t="s">
        <v>2024</v>
      </c>
      <c r="D2958" s="3" t="s">
        <v>4613</v>
      </c>
      <c r="E2958" t="s">
        <v>25</v>
      </c>
      <c r="F2958" t="s">
        <v>26</v>
      </c>
      <c r="G2958" t="s">
        <v>27</v>
      </c>
      <c r="H2958" s="8">
        <v>3</v>
      </c>
      <c r="I2958" s="10">
        <v>45</v>
      </c>
      <c r="J2958" s="14">
        <f>P2958*I2958</f>
        <v>135</v>
      </c>
      <c r="K2958" s="16">
        <v>0.52</v>
      </c>
      <c r="L2958" s="1" t="s">
        <v>21</v>
      </c>
      <c r="M2958" t="s">
        <v>22</v>
      </c>
      <c r="N2958" t="str">
        <f t="shared" si="73"/>
        <v>United Kingdom</v>
      </c>
      <c r="O2958" s="8">
        <f>IF(K2958&gt;=1,K2958,K2958*1000)</f>
        <v>520</v>
      </c>
      <c r="P2958">
        <f t="shared" si="74"/>
        <v>3</v>
      </c>
      <c r="R2958"/>
    </row>
    <row r="2959" spans="1:18" x14ac:dyDescent="0.35">
      <c r="A2959" t="s">
        <v>4564</v>
      </c>
      <c r="B2959" s="2">
        <v>46161</v>
      </c>
      <c r="C2959" t="s">
        <v>585</v>
      </c>
      <c r="D2959" s="3" t="s">
        <v>46</v>
      </c>
      <c r="E2959" t="s">
        <v>41</v>
      </c>
      <c r="F2959" t="s">
        <v>74</v>
      </c>
      <c r="G2959" t="s">
        <v>75</v>
      </c>
      <c r="H2959" s="8">
        <v>2</v>
      </c>
      <c r="I2959" s="10">
        <v>80.099999999999994</v>
      </c>
      <c r="J2959" s="14">
        <f>P2959*I2959</f>
        <v>160.19999999999999</v>
      </c>
      <c r="K2959" s="16">
        <v>0.41</v>
      </c>
      <c r="L2959" s="1" t="s">
        <v>30</v>
      </c>
      <c r="M2959" t="s">
        <v>22</v>
      </c>
      <c r="N2959" t="str">
        <f t="shared" si="73"/>
        <v>Ireland</v>
      </c>
      <c r="O2959" s="8">
        <f>IF(K2959&gt;=1,K2959,K2959*1000)</f>
        <v>410</v>
      </c>
      <c r="P2959">
        <f t="shared" si="74"/>
        <v>2</v>
      </c>
      <c r="R2959"/>
    </row>
    <row r="2960" spans="1:18" x14ac:dyDescent="0.35">
      <c r="A2960" t="s">
        <v>4565</v>
      </c>
      <c r="B2960" s="2">
        <v>46048</v>
      </c>
      <c r="C2960" t="s">
        <v>1953</v>
      </c>
      <c r="D2960" s="3" t="s">
        <v>46</v>
      </c>
      <c r="E2960" t="s">
        <v>34</v>
      </c>
      <c r="F2960" t="s">
        <v>74</v>
      </c>
      <c r="G2960" t="s">
        <v>75</v>
      </c>
      <c r="H2960" s="8">
        <v>1</v>
      </c>
      <c r="I2960" s="10">
        <v>40.5</v>
      </c>
      <c r="J2960" s="14">
        <f>P2960*I2960</f>
        <v>40.5</v>
      </c>
      <c r="K2960" s="16">
        <v>410</v>
      </c>
      <c r="L2960" s="1" t="s">
        <v>21</v>
      </c>
      <c r="M2960" t="s">
        <v>22</v>
      </c>
      <c r="N2960" t="str">
        <f t="shared" si="73"/>
        <v>Ireland</v>
      </c>
      <c r="O2960" s="8">
        <f>IF(K2960&gt;=1,K2960,K2960*1000)</f>
        <v>410</v>
      </c>
      <c r="P2960">
        <f t="shared" si="74"/>
        <v>1</v>
      </c>
      <c r="R2960"/>
    </row>
    <row r="2961" spans="1:18" x14ac:dyDescent="0.35">
      <c r="A2961" t="s">
        <v>4566</v>
      </c>
      <c r="B2961" s="2">
        <v>46040</v>
      </c>
      <c r="C2961" t="s">
        <v>2850</v>
      </c>
      <c r="D2961" s="3" t="s">
        <v>15</v>
      </c>
      <c r="E2961" t="s">
        <v>67</v>
      </c>
      <c r="F2961" t="s">
        <v>17</v>
      </c>
      <c r="G2961" t="s">
        <v>18</v>
      </c>
      <c r="H2961" s="8">
        <v>-3</v>
      </c>
      <c r="I2961" s="10">
        <v>89</v>
      </c>
      <c r="J2961" s="14">
        <f>P2961*I2961</f>
        <v>267</v>
      </c>
      <c r="K2961" s="16">
        <v>520</v>
      </c>
      <c r="L2961" s="1" t="s">
        <v>30</v>
      </c>
      <c r="M2961" t="s">
        <v>22</v>
      </c>
      <c r="N2961" t="str">
        <f t="shared" si="73"/>
        <v>France</v>
      </c>
      <c r="O2961" s="8">
        <f>IF(K2961&gt;=1,K2961,K2961*1000)</f>
        <v>520</v>
      </c>
      <c r="P2961">
        <f t="shared" si="74"/>
        <v>3</v>
      </c>
      <c r="R2961"/>
    </row>
    <row r="2962" spans="1:18" x14ac:dyDescent="0.35">
      <c r="A2962" t="s">
        <v>4567</v>
      </c>
      <c r="B2962" s="2">
        <v>46063</v>
      </c>
      <c r="C2962" t="s">
        <v>3899</v>
      </c>
      <c r="D2962" s="3" t="s">
        <v>61</v>
      </c>
      <c r="E2962" t="s">
        <v>67</v>
      </c>
      <c r="F2962" t="s">
        <v>26</v>
      </c>
      <c r="G2962" t="s">
        <v>27</v>
      </c>
      <c r="H2962" s="8">
        <v>3</v>
      </c>
      <c r="I2962" s="12" t="s">
        <v>4632</v>
      </c>
      <c r="J2962" s="14">
        <f>P2962*R2962</f>
        <v>267</v>
      </c>
      <c r="K2962" s="16">
        <v>520</v>
      </c>
      <c r="L2962" s="1" t="s">
        <v>21</v>
      </c>
      <c r="M2962" t="s">
        <v>22</v>
      </c>
      <c r="N2962" t="str">
        <f t="shared" si="73"/>
        <v>Ireland</v>
      </c>
      <c r="O2962" s="8">
        <f>IF(K2962&gt;=1,K2962,K2962*1000)</f>
        <v>520</v>
      </c>
      <c r="P2962">
        <f t="shared" si="74"/>
        <v>3</v>
      </c>
      <c r="Q2962" t="str">
        <f>LEFT(I2962,3)</f>
        <v>GBP</v>
      </c>
      <c r="R2962" s="10" t="str">
        <f>RIGHT(I2962,5)</f>
        <v>89,00</v>
      </c>
    </row>
    <row r="2963" spans="1:18" x14ac:dyDescent="0.35">
      <c r="A2963" t="s">
        <v>4568</v>
      </c>
      <c r="B2963" s="2">
        <v>46122</v>
      </c>
      <c r="C2963" t="s">
        <v>3079</v>
      </c>
      <c r="D2963" s="3" t="s">
        <v>53</v>
      </c>
      <c r="E2963" t="s">
        <v>41</v>
      </c>
      <c r="F2963" t="s">
        <v>35</v>
      </c>
      <c r="G2963" t="s">
        <v>36</v>
      </c>
      <c r="H2963" s="8">
        <v>1</v>
      </c>
      <c r="I2963" s="10">
        <v>12.5</v>
      </c>
      <c r="J2963" s="14">
        <f>P2963*I2963</f>
        <v>12.5</v>
      </c>
      <c r="K2963" s="16">
        <v>85</v>
      </c>
      <c r="L2963" s="1" t="s">
        <v>21</v>
      </c>
      <c r="M2963" t="s">
        <v>22</v>
      </c>
      <c r="N2963" t="str">
        <f t="shared" si="73"/>
        <v>Gb</v>
      </c>
      <c r="O2963" s="8">
        <f>IF(K2963&gt;=1,K2963,K2963*1000)</f>
        <v>85</v>
      </c>
      <c r="P2963">
        <f t="shared" si="74"/>
        <v>1</v>
      </c>
      <c r="R2963"/>
    </row>
    <row r="2964" spans="1:18" x14ac:dyDescent="0.35">
      <c r="A2964" t="s">
        <v>4569</v>
      </c>
      <c r="B2964" s="2" t="s">
        <v>888</v>
      </c>
      <c r="C2964" t="s">
        <v>3949</v>
      </c>
      <c r="D2964" s="3" t="s">
        <v>61</v>
      </c>
      <c r="E2964" t="s">
        <v>16</v>
      </c>
      <c r="F2964" t="s">
        <v>26</v>
      </c>
      <c r="G2964" t="s">
        <v>27</v>
      </c>
      <c r="H2964" s="8">
        <v>3</v>
      </c>
      <c r="I2964" s="10">
        <v>95</v>
      </c>
      <c r="J2964" s="14">
        <f>P2964*I2964</f>
        <v>285</v>
      </c>
      <c r="K2964" s="16">
        <v>520</v>
      </c>
      <c r="L2964" s="1" t="s">
        <v>30</v>
      </c>
      <c r="M2964" t="s">
        <v>22</v>
      </c>
      <c r="N2964" t="str">
        <f t="shared" si="73"/>
        <v>Ireland</v>
      </c>
      <c r="O2964" s="8">
        <f>IF(K2964&gt;=1,K2964,K2964*1000)</f>
        <v>520</v>
      </c>
      <c r="P2964">
        <f t="shared" si="74"/>
        <v>3</v>
      </c>
      <c r="R2964"/>
    </row>
    <row r="2965" spans="1:18" x14ac:dyDescent="0.35">
      <c r="A2965" t="s">
        <v>4570</v>
      </c>
      <c r="B2965" s="2">
        <v>46176</v>
      </c>
      <c r="C2965" t="s">
        <v>3479</v>
      </c>
      <c r="D2965" s="3" t="s">
        <v>99</v>
      </c>
      <c r="E2965" t="s">
        <v>25</v>
      </c>
      <c r="F2965" t="s">
        <v>74</v>
      </c>
      <c r="G2965" t="s">
        <v>75</v>
      </c>
      <c r="H2965" s="8">
        <v>1</v>
      </c>
      <c r="I2965" s="10">
        <v>79</v>
      </c>
      <c r="J2965" s="14">
        <f>P2965*I2965</f>
        <v>79</v>
      </c>
      <c r="K2965" s="16">
        <v>0.41</v>
      </c>
      <c r="L2965" s="1" t="s">
        <v>30</v>
      </c>
      <c r="M2965" t="s">
        <v>22</v>
      </c>
      <c r="N2965" t="str">
        <f t="shared" si="73"/>
        <v>United Kingdom</v>
      </c>
      <c r="O2965" s="8">
        <f>IF(K2965&gt;=1,K2965,K2965*1000)</f>
        <v>410</v>
      </c>
      <c r="P2965">
        <f t="shared" si="74"/>
        <v>1</v>
      </c>
      <c r="R2965"/>
    </row>
    <row r="2966" spans="1:18" x14ac:dyDescent="0.35">
      <c r="A2966" t="s">
        <v>4571</v>
      </c>
      <c r="B2966" s="2">
        <v>46039</v>
      </c>
      <c r="C2966" t="s">
        <v>229</v>
      </c>
      <c r="D2966" s="3" t="s">
        <v>53</v>
      </c>
      <c r="E2966" t="s">
        <v>34</v>
      </c>
      <c r="F2966" t="s">
        <v>74</v>
      </c>
      <c r="G2966" t="s">
        <v>75</v>
      </c>
      <c r="H2966" s="8">
        <v>2</v>
      </c>
      <c r="I2966" s="10">
        <v>12.5</v>
      </c>
      <c r="J2966" s="14">
        <f>P2966*I2966</f>
        <v>25</v>
      </c>
      <c r="K2966" s="16">
        <v>410</v>
      </c>
      <c r="L2966" s="1" t="s">
        <v>30</v>
      </c>
      <c r="M2966" t="s">
        <v>58</v>
      </c>
      <c r="N2966" t="str">
        <f t="shared" si="73"/>
        <v>Gb</v>
      </c>
      <c r="O2966" s="8">
        <f>IF(K2966&gt;=1,K2966,K2966*1000)</f>
        <v>410</v>
      </c>
      <c r="P2966">
        <f t="shared" si="74"/>
        <v>2</v>
      </c>
      <c r="R2966"/>
    </row>
    <row r="2967" spans="1:18" x14ac:dyDescent="0.35">
      <c r="A2967" t="s">
        <v>4572</v>
      </c>
      <c r="B2967" s="2">
        <v>46160</v>
      </c>
      <c r="C2967" t="s">
        <v>1179</v>
      </c>
      <c r="D2967" s="3" t="s">
        <v>99</v>
      </c>
      <c r="E2967" t="s">
        <v>34</v>
      </c>
      <c r="F2967" t="s">
        <v>74</v>
      </c>
      <c r="G2967" t="s">
        <v>75</v>
      </c>
      <c r="H2967" s="8">
        <v>-2</v>
      </c>
      <c r="I2967" s="10">
        <v>40.5</v>
      </c>
      <c r="J2967" s="14">
        <f>P2967*I2967</f>
        <v>81</v>
      </c>
      <c r="K2967" s="16">
        <v>0.41</v>
      </c>
      <c r="L2967" s="1" t="s">
        <v>30</v>
      </c>
      <c r="M2967" t="s">
        <v>22</v>
      </c>
      <c r="N2967" t="str">
        <f t="shared" si="73"/>
        <v>United Kingdom</v>
      </c>
      <c r="O2967" s="8">
        <f>IF(K2967&gt;=1,K2967,K2967*1000)</f>
        <v>410</v>
      </c>
      <c r="P2967">
        <f t="shared" si="74"/>
        <v>2</v>
      </c>
      <c r="R2967"/>
    </row>
    <row r="2968" spans="1:18" x14ac:dyDescent="0.35">
      <c r="A2968" t="s">
        <v>4573</v>
      </c>
      <c r="B2968" s="2">
        <v>46054</v>
      </c>
      <c r="C2968" t="s">
        <v>443</v>
      </c>
      <c r="D2968" s="3" t="s">
        <v>4612</v>
      </c>
      <c r="E2968" t="s">
        <v>25</v>
      </c>
      <c r="F2968" t="s">
        <v>42</v>
      </c>
      <c r="G2968" t="s">
        <v>43</v>
      </c>
      <c r="H2968" s="8">
        <v>2</v>
      </c>
      <c r="I2968" s="10">
        <v>129</v>
      </c>
      <c r="J2968" s="14">
        <f>P2968*I2968</f>
        <v>258</v>
      </c>
      <c r="K2968" s="16">
        <v>190</v>
      </c>
      <c r="L2968" s="1" t="s">
        <v>21</v>
      </c>
      <c r="M2968" t="s">
        <v>58</v>
      </c>
      <c r="N2968" t="str">
        <f t="shared" si="73"/>
        <v>United Kingdom</v>
      </c>
      <c r="O2968" s="8">
        <f>IF(K2968&gt;=1,K2968,K2968*1000)</f>
        <v>190</v>
      </c>
      <c r="P2968">
        <f t="shared" si="74"/>
        <v>2</v>
      </c>
      <c r="R2968"/>
    </row>
    <row r="2969" spans="1:18" x14ac:dyDescent="0.35">
      <c r="A2969" t="s">
        <v>4574</v>
      </c>
      <c r="B2969" s="2">
        <v>46176</v>
      </c>
      <c r="C2969" t="s">
        <v>3809</v>
      </c>
      <c r="D2969" s="3" t="s">
        <v>53</v>
      </c>
      <c r="E2969" t="s">
        <v>25</v>
      </c>
      <c r="F2969" t="s">
        <v>89</v>
      </c>
      <c r="G2969" t="s">
        <v>90</v>
      </c>
      <c r="H2969" s="8">
        <v>1</v>
      </c>
      <c r="I2969" s="10">
        <v>80.099999999999994</v>
      </c>
      <c r="J2969" s="14">
        <f>P2969*I2969</f>
        <v>80.099999999999994</v>
      </c>
      <c r="K2969" s="16">
        <v>640</v>
      </c>
      <c r="L2969" s="1" t="s">
        <v>21</v>
      </c>
      <c r="M2969" t="s">
        <v>22</v>
      </c>
      <c r="N2969" t="str">
        <f t="shared" si="73"/>
        <v>Gb</v>
      </c>
      <c r="O2969" s="8">
        <f>IF(K2969&gt;=1,K2969,K2969*1000)</f>
        <v>640</v>
      </c>
      <c r="P2969">
        <f t="shared" si="74"/>
        <v>1</v>
      </c>
      <c r="R2969"/>
    </row>
    <row r="2970" spans="1:18" x14ac:dyDescent="0.35">
      <c r="A2970" t="s">
        <v>4575</v>
      </c>
      <c r="B2970" s="2">
        <v>46197</v>
      </c>
      <c r="C2970" t="s">
        <v>4576</v>
      </c>
      <c r="D2970" s="3" t="s">
        <v>116</v>
      </c>
      <c r="E2970" t="s">
        <v>41</v>
      </c>
      <c r="F2970" t="s">
        <v>35</v>
      </c>
      <c r="G2970" t="s">
        <v>36</v>
      </c>
      <c r="H2970" s="8">
        <v>3</v>
      </c>
      <c r="I2970" s="10">
        <v>149</v>
      </c>
      <c r="J2970" s="14">
        <f>P2970*I2970</f>
        <v>447</v>
      </c>
      <c r="K2970" s="16">
        <v>8.5000000000000006E-2</v>
      </c>
      <c r="L2970" s="1" t="s">
        <v>30</v>
      </c>
      <c r="M2970" t="s">
        <v>22</v>
      </c>
      <c r="N2970" t="str">
        <f t="shared" si="73"/>
        <v>Germany</v>
      </c>
      <c r="O2970" s="8">
        <f>IF(K2970&gt;=1,K2970,K2970*1000)</f>
        <v>85</v>
      </c>
      <c r="P2970">
        <f t="shared" si="74"/>
        <v>3</v>
      </c>
      <c r="R2970"/>
    </row>
    <row r="2971" spans="1:18" x14ac:dyDescent="0.35">
      <c r="A2971" t="s">
        <v>4577</v>
      </c>
      <c r="B2971" s="2">
        <v>46062</v>
      </c>
      <c r="C2971" t="s">
        <v>2657</v>
      </c>
      <c r="D2971" s="3" t="s">
        <v>53</v>
      </c>
      <c r="E2971" t="s">
        <v>34</v>
      </c>
      <c r="F2971" t="s">
        <v>74</v>
      </c>
      <c r="G2971" t="s">
        <v>75</v>
      </c>
      <c r="H2971" s="8">
        <v>2</v>
      </c>
      <c r="I2971" s="10">
        <v>149</v>
      </c>
      <c r="J2971" s="14">
        <f>P2971*I2971</f>
        <v>298</v>
      </c>
      <c r="K2971" s="16">
        <v>410</v>
      </c>
      <c r="L2971" s="1" t="s">
        <v>21</v>
      </c>
      <c r="M2971" t="s">
        <v>22</v>
      </c>
      <c r="N2971" t="str">
        <f t="shared" si="73"/>
        <v>Gb</v>
      </c>
      <c r="O2971" s="8">
        <f>IF(K2971&gt;=1,K2971,K2971*1000)</f>
        <v>410</v>
      </c>
      <c r="P2971">
        <f t="shared" si="74"/>
        <v>2</v>
      </c>
      <c r="R2971"/>
    </row>
    <row r="2972" spans="1:18" x14ac:dyDescent="0.35">
      <c r="A2972" t="s">
        <v>4578</v>
      </c>
      <c r="B2972" s="2">
        <v>46051</v>
      </c>
      <c r="C2972" t="s">
        <v>4579</v>
      </c>
      <c r="D2972" s="3" t="s">
        <v>116</v>
      </c>
      <c r="E2972" t="s">
        <v>67</v>
      </c>
      <c r="F2972" t="s">
        <v>17</v>
      </c>
      <c r="G2972" t="s">
        <v>18</v>
      </c>
      <c r="H2972" s="8">
        <v>3</v>
      </c>
      <c r="I2972" s="10">
        <v>149</v>
      </c>
      <c r="J2972" s="14">
        <f>P2972*I2972</f>
        <v>447</v>
      </c>
      <c r="K2972" s="16">
        <v>520</v>
      </c>
      <c r="L2972" s="1" t="s">
        <v>30</v>
      </c>
      <c r="M2972" t="s">
        <v>58</v>
      </c>
      <c r="N2972" t="str">
        <f t="shared" si="73"/>
        <v>Germany</v>
      </c>
      <c r="O2972" s="8">
        <f>IF(K2972&gt;=1,K2972,K2972*1000)</f>
        <v>520</v>
      </c>
      <c r="P2972">
        <f t="shared" si="74"/>
        <v>3</v>
      </c>
      <c r="R2972"/>
    </row>
    <row r="2973" spans="1:18" x14ac:dyDescent="0.35">
      <c r="A2973" t="s">
        <v>4580</v>
      </c>
      <c r="B2973" s="2">
        <v>46067</v>
      </c>
      <c r="C2973" t="s">
        <v>4581</v>
      </c>
      <c r="D2973" s="3" t="s">
        <v>116</v>
      </c>
      <c r="E2973" t="s">
        <v>25</v>
      </c>
      <c r="F2973" t="s">
        <v>47</v>
      </c>
      <c r="G2973" t="s">
        <v>48</v>
      </c>
      <c r="H2973" s="8">
        <v>1</v>
      </c>
      <c r="I2973" s="10">
        <v>129</v>
      </c>
      <c r="J2973" s="14">
        <f>P2973*I2973</f>
        <v>129</v>
      </c>
      <c r="K2973" s="16">
        <v>380</v>
      </c>
      <c r="L2973" s="1" t="s">
        <v>30</v>
      </c>
      <c r="M2973" t="s">
        <v>22</v>
      </c>
      <c r="N2973" t="str">
        <f t="shared" si="73"/>
        <v>Germany</v>
      </c>
      <c r="O2973" s="8">
        <f>IF(K2973&gt;=1,K2973,K2973*1000)</f>
        <v>380</v>
      </c>
      <c r="P2973">
        <f t="shared" si="74"/>
        <v>1</v>
      </c>
      <c r="R2973"/>
    </row>
    <row r="2974" spans="1:18" x14ac:dyDescent="0.35">
      <c r="A2974" t="s">
        <v>4582</v>
      </c>
      <c r="B2974" s="2">
        <v>46028</v>
      </c>
      <c r="C2974" t="s">
        <v>1324</v>
      </c>
      <c r="D2974" s="3" t="s">
        <v>4613</v>
      </c>
      <c r="E2974" t="s">
        <v>67</v>
      </c>
      <c r="F2974" t="s">
        <v>17</v>
      </c>
      <c r="G2974" t="s">
        <v>18</v>
      </c>
      <c r="H2974" s="8">
        <v>2</v>
      </c>
      <c r="I2974" s="10">
        <v>45</v>
      </c>
      <c r="J2974" s="14">
        <f>P2974*I2974</f>
        <v>90</v>
      </c>
      <c r="K2974" s="16">
        <v>520</v>
      </c>
      <c r="L2974" s="1" t="s">
        <v>30</v>
      </c>
      <c r="M2974" t="s">
        <v>22</v>
      </c>
      <c r="N2974" t="str">
        <f t="shared" si="73"/>
        <v>United Kingdom</v>
      </c>
      <c r="O2974" s="8">
        <f>IF(K2974&gt;=1,K2974,K2974*1000)</f>
        <v>520</v>
      </c>
      <c r="P2974">
        <f t="shared" si="74"/>
        <v>2</v>
      </c>
      <c r="R2974"/>
    </row>
    <row r="2975" spans="1:18" x14ac:dyDescent="0.35">
      <c r="A2975" t="s">
        <v>4583</v>
      </c>
      <c r="B2975" s="2">
        <v>46204</v>
      </c>
      <c r="C2975" t="s">
        <v>1272</v>
      </c>
      <c r="D2975" s="3" t="s">
        <v>53</v>
      </c>
      <c r="E2975" t="s">
        <v>16</v>
      </c>
      <c r="F2975" t="s">
        <v>83</v>
      </c>
      <c r="G2975" t="s">
        <v>84</v>
      </c>
      <c r="H2975" s="8">
        <v>1</v>
      </c>
      <c r="I2975" s="10">
        <v>89</v>
      </c>
      <c r="J2975" s="14">
        <f>P2975*I2975</f>
        <v>89</v>
      </c>
      <c r="K2975" s="16">
        <v>0.34</v>
      </c>
      <c r="L2975" s="1" t="s">
        <v>30</v>
      </c>
      <c r="M2975" t="s">
        <v>22</v>
      </c>
      <c r="N2975" t="str">
        <f t="shared" si="73"/>
        <v>Gb</v>
      </c>
      <c r="O2975" s="8">
        <f>IF(K2975&gt;=1,K2975,K2975*1000)</f>
        <v>340</v>
      </c>
      <c r="P2975">
        <f t="shared" si="74"/>
        <v>1</v>
      </c>
      <c r="R2975"/>
    </row>
    <row r="2976" spans="1:18" x14ac:dyDescent="0.35">
      <c r="A2976" t="s">
        <v>4584</v>
      </c>
      <c r="B2976" s="2">
        <v>46154</v>
      </c>
      <c r="C2976" t="s">
        <v>305</v>
      </c>
      <c r="D2976" s="3" t="s">
        <v>15</v>
      </c>
      <c r="E2976" t="s">
        <v>34</v>
      </c>
      <c r="F2976" t="s">
        <v>26</v>
      </c>
      <c r="G2976" t="s">
        <v>27</v>
      </c>
      <c r="H2976" s="8">
        <v>2</v>
      </c>
      <c r="I2976" s="10">
        <v>45</v>
      </c>
      <c r="J2976" s="14">
        <f>P2976*I2976</f>
        <v>90</v>
      </c>
      <c r="K2976" s="16">
        <v>0.52</v>
      </c>
      <c r="L2976" s="1" t="s">
        <v>30</v>
      </c>
      <c r="M2976" t="s">
        <v>58</v>
      </c>
      <c r="N2976" t="str">
        <f t="shared" si="73"/>
        <v>France</v>
      </c>
      <c r="O2976" s="8">
        <f>IF(K2976&gt;=1,K2976,K2976*1000)</f>
        <v>520</v>
      </c>
      <c r="P2976">
        <f t="shared" si="74"/>
        <v>2</v>
      </c>
      <c r="R2976"/>
    </row>
    <row r="2977" spans="1:18" x14ac:dyDescent="0.35">
      <c r="A2977" t="s">
        <v>4585</v>
      </c>
      <c r="B2977" s="2">
        <v>46143</v>
      </c>
      <c r="C2977" t="s">
        <v>4466</v>
      </c>
      <c r="D2977" s="3" t="s">
        <v>53</v>
      </c>
      <c r="E2977" t="s">
        <v>41</v>
      </c>
      <c r="F2977" t="s">
        <v>47</v>
      </c>
      <c r="G2977" t="s">
        <v>48</v>
      </c>
      <c r="H2977" s="8">
        <v>1</v>
      </c>
      <c r="I2977" s="10">
        <v>79</v>
      </c>
      <c r="J2977" s="14">
        <f>P2977*I2977</f>
        <v>79</v>
      </c>
      <c r="K2977" s="16">
        <v>0.38</v>
      </c>
      <c r="L2977" s="1" t="s">
        <v>30</v>
      </c>
      <c r="M2977" t="s">
        <v>22</v>
      </c>
      <c r="N2977" t="str">
        <f t="shared" si="73"/>
        <v>Gb</v>
      </c>
      <c r="O2977" s="8">
        <f>IF(K2977&gt;=1,K2977,K2977*1000)</f>
        <v>380</v>
      </c>
      <c r="P2977">
        <f t="shared" si="74"/>
        <v>1</v>
      </c>
      <c r="R2977"/>
    </row>
    <row r="2978" spans="1:18" x14ac:dyDescent="0.35">
      <c r="A2978" t="s">
        <v>4586</v>
      </c>
      <c r="B2978" s="2">
        <v>46168</v>
      </c>
      <c r="C2978" t="s">
        <v>2670</v>
      </c>
      <c r="D2978" s="3" t="s">
        <v>99</v>
      </c>
      <c r="E2978" t="s">
        <v>34</v>
      </c>
      <c r="F2978" t="s">
        <v>83</v>
      </c>
      <c r="G2978" t="s">
        <v>84</v>
      </c>
      <c r="H2978" s="8">
        <v>2</v>
      </c>
      <c r="I2978" s="10">
        <v>24</v>
      </c>
      <c r="J2978" s="14">
        <f>P2978*I2978</f>
        <v>48</v>
      </c>
      <c r="K2978" s="16">
        <v>0.34</v>
      </c>
      <c r="L2978" s="1" t="s">
        <v>30</v>
      </c>
      <c r="M2978" t="s">
        <v>22</v>
      </c>
      <c r="N2978" t="str">
        <f t="shared" si="73"/>
        <v>United Kingdom</v>
      </c>
      <c r="O2978" s="8">
        <f>IF(K2978&gt;=1,K2978,K2978*1000)</f>
        <v>340</v>
      </c>
      <c r="P2978">
        <f t="shared" si="74"/>
        <v>2</v>
      </c>
      <c r="R2978"/>
    </row>
    <row r="2979" spans="1:18" x14ac:dyDescent="0.35">
      <c r="A2979" t="s">
        <v>4587</v>
      </c>
      <c r="B2979" s="2">
        <v>46035</v>
      </c>
      <c r="C2979" t="s">
        <v>462</v>
      </c>
      <c r="D2979" s="3" t="s">
        <v>99</v>
      </c>
      <c r="E2979" t="s">
        <v>67</v>
      </c>
      <c r="F2979" t="s">
        <v>47</v>
      </c>
      <c r="G2979" t="s">
        <v>48</v>
      </c>
      <c r="H2979" s="8">
        <v>2</v>
      </c>
      <c r="I2979" s="10">
        <v>12.5</v>
      </c>
      <c r="J2979" s="14">
        <f>P2979*I2979</f>
        <v>25</v>
      </c>
      <c r="K2979" s="16">
        <v>380</v>
      </c>
      <c r="L2979" s="1" t="s">
        <v>30</v>
      </c>
      <c r="M2979" t="s">
        <v>22</v>
      </c>
      <c r="N2979" t="str">
        <f t="shared" si="73"/>
        <v>United Kingdom</v>
      </c>
      <c r="O2979" s="8">
        <f>IF(K2979&gt;=1,K2979,K2979*1000)</f>
        <v>380</v>
      </c>
      <c r="P2979">
        <f t="shared" si="74"/>
        <v>2</v>
      </c>
      <c r="R2979"/>
    </row>
    <row r="2980" spans="1:18" x14ac:dyDescent="0.35">
      <c r="A2980" t="s">
        <v>4588</v>
      </c>
      <c r="B2980" s="2">
        <v>46050</v>
      </c>
      <c r="C2980" t="s">
        <v>3953</v>
      </c>
      <c r="D2980" s="3" t="s">
        <v>61</v>
      </c>
      <c r="E2980" t="s">
        <v>67</v>
      </c>
      <c r="F2980" t="s">
        <v>35</v>
      </c>
      <c r="G2980" t="s">
        <v>36</v>
      </c>
      <c r="H2980" s="8">
        <v>-2</v>
      </c>
      <c r="I2980" s="10">
        <v>134.1</v>
      </c>
      <c r="J2980" s="14">
        <f>P2980*I2980</f>
        <v>268.2</v>
      </c>
      <c r="K2980" s="16">
        <v>85</v>
      </c>
      <c r="L2980" s="1" t="s">
        <v>30</v>
      </c>
      <c r="M2980" t="s">
        <v>22</v>
      </c>
      <c r="N2980" t="str">
        <f t="shared" si="73"/>
        <v>Ireland</v>
      </c>
      <c r="O2980" s="8">
        <f>IF(K2980&gt;=1,K2980,K2980*1000)</f>
        <v>85</v>
      </c>
      <c r="P2980">
        <f t="shared" si="74"/>
        <v>2</v>
      </c>
      <c r="R2980"/>
    </row>
    <row r="2981" spans="1:18" x14ac:dyDescent="0.35">
      <c r="A2981" t="s">
        <v>4589</v>
      </c>
      <c r="B2981" s="2">
        <v>46053</v>
      </c>
      <c r="C2981" t="s">
        <v>2387</v>
      </c>
      <c r="D2981" s="3" t="s">
        <v>4612</v>
      </c>
      <c r="E2981" t="s">
        <v>67</v>
      </c>
      <c r="F2981" t="s">
        <v>35</v>
      </c>
      <c r="G2981" t="s">
        <v>36</v>
      </c>
      <c r="H2981" s="8">
        <v>2</v>
      </c>
      <c r="I2981" s="10">
        <v>85.5</v>
      </c>
      <c r="J2981" s="14">
        <f>P2981*I2981</f>
        <v>171</v>
      </c>
      <c r="K2981" s="16">
        <v>85</v>
      </c>
      <c r="L2981" s="1" t="s">
        <v>30</v>
      </c>
      <c r="M2981" t="s">
        <v>22</v>
      </c>
      <c r="N2981" t="str">
        <f t="shared" si="73"/>
        <v>United Kingdom</v>
      </c>
      <c r="O2981" s="8">
        <f>IF(K2981&gt;=1,K2981,K2981*1000)</f>
        <v>85</v>
      </c>
      <c r="P2981">
        <f t="shared" si="74"/>
        <v>2</v>
      </c>
      <c r="R2981"/>
    </row>
    <row r="2982" spans="1:18" x14ac:dyDescent="0.35">
      <c r="A2982" t="s">
        <v>4590</v>
      </c>
      <c r="B2982" s="2">
        <v>46101</v>
      </c>
      <c r="C2982" t="s">
        <v>539</v>
      </c>
      <c r="D2982" s="3" t="s">
        <v>46</v>
      </c>
      <c r="E2982" t="s">
        <v>41</v>
      </c>
      <c r="F2982" t="s">
        <v>74</v>
      </c>
      <c r="G2982" t="s">
        <v>75</v>
      </c>
      <c r="H2982" s="8">
        <v>2</v>
      </c>
      <c r="I2982" s="10">
        <v>149</v>
      </c>
      <c r="J2982" s="14">
        <f>P2982*I2982</f>
        <v>298</v>
      </c>
      <c r="K2982" s="16">
        <v>410</v>
      </c>
      <c r="L2982" s="1" t="s">
        <v>30</v>
      </c>
      <c r="M2982" t="s">
        <v>22</v>
      </c>
      <c r="N2982" t="str">
        <f t="shared" si="73"/>
        <v>Ireland</v>
      </c>
      <c r="O2982" s="8">
        <f>IF(K2982&gt;=1,K2982,K2982*1000)</f>
        <v>410</v>
      </c>
      <c r="P2982">
        <f t="shared" si="74"/>
        <v>2</v>
      </c>
      <c r="R2982"/>
    </row>
    <row r="2983" spans="1:18" x14ac:dyDescent="0.35">
      <c r="A2983" t="s">
        <v>4591</v>
      </c>
      <c r="B2983" s="2">
        <v>46082</v>
      </c>
      <c r="C2983" t="s">
        <v>1612</v>
      </c>
      <c r="D2983" s="3" t="s">
        <v>15</v>
      </c>
      <c r="E2983" t="s">
        <v>16</v>
      </c>
      <c r="F2983" t="s">
        <v>26</v>
      </c>
      <c r="G2983" t="s">
        <v>27</v>
      </c>
      <c r="H2983" s="8">
        <v>3</v>
      </c>
      <c r="I2983" s="10">
        <v>85.5</v>
      </c>
      <c r="J2983" s="14">
        <f>P2983*I2983</f>
        <v>256.5</v>
      </c>
      <c r="K2983" s="16">
        <v>520</v>
      </c>
      <c r="L2983" s="1" t="s">
        <v>30</v>
      </c>
      <c r="M2983" t="s">
        <v>22</v>
      </c>
      <c r="N2983" t="str">
        <f t="shared" si="73"/>
        <v>France</v>
      </c>
      <c r="O2983" s="8">
        <f>IF(K2983&gt;=1,K2983,K2983*1000)</f>
        <v>520</v>
      </c>
      <c r="P2983">
        <f t="shared" si="74"/>
        <v>3</v>
      </c>
      <c r="R2983"/>
    </row>
    <row r="2984" spans="1:18" x14ac:dyDescent="0.35">
      <c r="A2984" t="s">
        <v>4592</v>
      </c>
      <c r="B2984" s="2">
        <v>46055</v>
      </c>
      <c r="C2984" t="s">
        <v>4118</v>
      </c>
      <c r="D2984" s="3" t="s">
        <v>116</v>
      </c>
      <c r="E2984" t="s">
        <v>41</v>
      </c>
      <c r="F2984" t="s">
        <v>89</v>
      </c>
      <c r="G2984" t="s">
        <v>90</v>
      </c>
      <c r="H2984" s="8">
        <v>1</v>
      </c>
      <c r="I2984" s="10">
        <v>89</v>
      </c>
      <c r="J2984" s="14">
        <f>P2984*I2984</f>
        <v>89</v>
      </c>
      <c r="K2984" s="16">
        <v>640</v>
      </c>
      <c r="L2984" s="1" t="s">
        <v>21</v>
      </c>
      <c r="M2984" t="s">
        <v>22</v>
      </c>
      <c r="N2984" t="str">
        <f t="shared" si="73"/>
        <v>Germany</v>
      </c>
      <c r="O2984" s="8">
        <f>IF(K2984&gt;=1,K2984,K2984*1000)</f>
        <v>640</v>
      </c>
      <c r="P2984">
        <f t="shared" si="74"/>
        <v>1</v>
      </c>
      <c r="R2984"/>
    </row>
    <row r="2985" spans="1:18" x14ac:dyDescent="0.35">
      <c r="A2985" t="s">
        <v>4593</v>
      </c>
      <c r="B2985" s="2">
        <v>46085</v>
      </c>
      <c r="C2985" t="s">
        <v>3344</v>
      </c>
      <c r="D2985" s="3" t="s">
        <v>46</v>
      </c>
      <c r="E2985" t="s">
        <v>16</v>
      </c>
      <c r="F2985" t="s">
        <v>17</v>
      </c>
      <c r="G2985" t="s">
        <v>18</v>
      </c>
      <c r="H2985" s="8">
        <v>2</v>
      </c>
      <c r="I2985" s="10">
        <v>95</v>
      </c>
      <c r="J2985" s="14">
        <f>P2985*I2985</f>
        <v>190</v>
      </c>
      <c r="K2985" s="16">
        <v>520</v>
      </c>
      <c r="L2985" s="1" t="s">
        <v>30</v>
      </c>
      <c r="M2985" t="s">
        <v>22</v>
      </c>
      <c r="N2985" t="str">
        <f t="shared" si="73"/>
        <v>Ireland</v>
      </c>
      <c r="O2985" s="8">
        <f>IF(K2985&gt;=1,K2985,K2985*1000)</f>
        <v>520</v>
      </c>
      <c r="P2985">
        <f t="shared" si="74"/>
        <v>2</v>
      </c>
      <c r="R2985"/>
    </row>
    <row r="2986" spans="1:18" x14ac:dyDescent="0.35">
      <c r="A2986" t="s">
        <v>4595</v>
      </c>
      <c r="B2986" s="2">
        <v>46039</v>
      </c>
      <c r="C2986" t="s">
        <v>305</v>
      </c>
      <c r="D2986" s="3" t="s">
        <v>61</v>
      </c>
      <c r="E2986" t="s">
        <v>67</v>
      </c>
      <c r="F2986" t="s">
        <v>47</v>
      </c>
      <c r="G2986" t="s">
        <v>48</v>
      </c>
      <c r="H2986" s="8">
        <v>3</v>
      </c>
      <c r="I2986" s="10">
        <v>11.25</v>
      </c>
      <c r="J2986" s="14">
        <f>P2986*I2986</f>
        <v>33.75</v>
      </c>
      <c r="K2986" s="16">
        <v>380</v>
      </c>
      <c r="L2986" s="1" t="s">
        <v>30</v>
      </c>
      <c r="M2986" t="s">
        <v>58</v>
      </c>
      <c r="N2986" t="str">
        <f t="shared" si="73"/>
        <v>Ireland</v>
      </c>
      <c r="O2986" s="8">
        <f>IF(K2986&gt;=1,K2986,K2986*1000)</f>
        <v>380</v>
      </c>
      <c r="P2986">
        <f t="shared" si="74"/>
        <v>3</v>
      </c>
      <c r="R2986"/>
    </row>
    <row r="2987" spans="1:18" x14ac:dyDescent="0.35">
      <c r="A2987" t="s">
        <v>4596</v>
      </c>
      <c r="B2987" s="2">
        <v>46204</v>
      </c>
      <c r="C2987" t="s">
        <v>2650</v>
      </c>
      <c r="D2987" s="3" t="s">
        <v>99</v>
      </c>
      <c r="E2987" t="s">
        <v>67</v>
      </c>
      <c r="F2987" t="s">
        <v>17</v>
      </c>
      <c r="G2987" t="s">
        <v>18</v>
      </c>
      <c r="H2987" s="8">
        <v>1</v>
      </c>
      <c r="I2987" s="10">
        <v>85.5</v>
      </c>
      <c r="J2987" s="14">
        <f>P2987*I2987</f>
        <v>85.5</v>
      </c>
      <c r="K2987" s="16">
        <v>0.52</v>
      </c>
      <c r="L2987" s="1" t="s">
        <v>30</v>
      </c>
      <c r="M2987" t="s">
        <v>22</v>
      </c>
      <c r="N2987" t="str">
        <f t="shared" si="73"/>
        <v>United Kingdom</v>
      </c>
      <c r="O2987" s="8">
        <f>IF(K2987&gt;=1,K2987,K2987*1000)</f>
        <v>520</v>
      </c>
      <c r="P2987">
        <f t="shared" si="74"/>
        <v>1</v>
      </c>
      <c r="R2987"/>
    </row>
    <row r="2988" spans="1:18" x14ac:dyDescent="0.35">
      <c r="A2988" t="s">
        <v>4597</v>
      </c>
      <c r="B2988" s="2">
        <v>46161</v>
      </c>
      <c r="C2988" t="s">
        <v>2245</v>
      </c>
      <c r="D2988" s="3" t="s">
        <v>116</v>
      </c>
      <c r="E2988" t="s">
        <v>41</v>
      </c>
      <c r="F2988" t="s">
        <v>47</v>
      </c>
      <c r="G2988" t="s">
        <v>48</v>
      </c>
      <c r="H2988" s="8">
        <v>3</v>
      </c>
      <c r="I2988" s="10">
        <v>95</v>
      </c>
      <c r="J2988" s="14">
        <f>P2988*I2988</f>
        <v>285</v>
      </c>
      <c r="K2988" s="16">
        <v>0.38</v>
      </c>
      <c r="L2988" s="1" t="s">
        <v>30</v>
      </c>
      <c r="M2988" t="s">
        <v>58</v>
      </c>
      <c r="N2988" t="str">
        <f t="shared" si="73"/>
        <v>Germany</v>
      </c>
      <c r="O2988" s="8">
        <f>IF(K2988&gt;=1,K2988,K2988*1000)</f>
        <v>380</v>
      </c>
      <c r="P2988">
        <f t="shared" si="74"/>
        <v>3</v>
      </c>
      <c r="R2988"/>
    </row>
    <row r="2989" spans="1:18" x14ac:dyDescent="0.35">
      <c r="A2989" t="s">
        <v>4598</v>
      </c>
      <c r="B2989" s="2" t="s">
        <v>1095</v>
      </c>
      <c r="C2989" t="s">
        <v>1839</v>
      </c>
      <c r="D2989" s="3" t="s">
        <v>53</v>
      </c>
      <c r="E2989" t="s">
        <v>34</v>
      </c>
      <c r="F2989" t="s">
        <v>17</v>
      </c>
      <c r="G2989" t="s">
        <v>18</v>
      </c>
      <c r="H2989" s="8">
        <v>1</v>
      </c>
      <c r="I2989" s="10">
        <v>80.099999999999994</v>
      </c>
      <c r="J2989" s="14">
        <f>P2989*I2989</f>
        <v>80.099999999999994</v>
      </c>
      <c r="K2989" s="16">
        <v>520</v>
      </c>
      <c r="L2989" s="1" t="s">
        <v>30</v>
      </c>
      <c r="M2989" t="s">
        <v>58</v>
      </c>
      <c r="N2989" t="str">
        <f t="shared" si="73"/>
        <v>Gb</v>
      </c>
      <c r="O2989" s="8">
        <f>IF(K2989&gt;=1,K2989,K2989*1000)</f>
        <v>520</v>
      </c>
      <c r="P2989">
        <f t="shared" si="74"/>
        <v>1</v>
      </c>
      <c r="R2989"/>
    </row>
    <row r="2990" spans="1:18" x14ac:dyDescent="0.35">
      <c r="A2990" t="s">
        <v>4599</v>
      </c>
      <c r="B2990" s="2">
        <v>46096</v>
      </c>
      <c r="C2990" t="s">
        <v>2811</v>
      </c>
      <c r="D2990" s="3" t="s">
        <v>4613</v>
      </c>
      <c r="E2990" t="s">
        <v>41</v>
      </c>
      <c r="F2990" t="s">
        <v>89</v>
      </c>
      <c r="G2990" t="s">
        <v>90</v>
      </c>
      <c r="H2990" s="8">
        <v>1</v>
      </c>
      <c r="I2990" s="10">
        <v>45</v>
      </c>
      <c r="J2990" s="14">
        <f>P2990*I2990</f>
        <v>45</v>
      </c>
      <c r="K2990" s="16">
        <v>640</v>
      </c>
      <c r="L2990" s="1" t="s">
        <v>21</v>
      </c>
      <c r="M2990" t="s">
        <v>22</v>
      </c>
      <c r="N2990" t="str">
        <f t="shared" si="73"/>
        <v>United Kingdom</v>
      </c>
      <c r="O2990" s="8">
        <f>IF(K2990&gt;=1,K2990,K2990*1000)</f>
        <v>640</v>
      </c>
      <c r="P2990">
        <f t="shared" si="74"/>
        <v>1</v>
      </c>
      <c r="R2990"/>
    </row>
    <row r="2991" spans="1:18" x14ac:dyDescent="0.35">
      <c r="A2991" t="s">
        <v>4600</v>
      </c>
      <c r="B2991" s="2">
        <v>46158</v>
      </c>
      <c r="C2991" t="s">
        <v>655</v>
      </c>
      <c r="D2991" s="3" t="s">
        <v>4613</v>
      </c>
      <c r="E2991" t="s">
        <v>16</v>
      </c>
      <c r="F2991" t="s">
        <v>74</v>
      </c>
      <c r="G2991" t="s">
        <v>75</v>
      </c>
      <c r="H2991" s="8">
        <v>1</v>
      </c>
      <c r="I2991" s="12" t="s">
        <v>4627</v>
      </c>
      <c r="J2991" s="14">
        <f>P2991*R2991</f>
        <v>95</v>
      </c>
      <c r="K2991" s="16">
        <v>0.41</v>
      </c>
      <c r="L2991" s="1" t="s">
        <v>30</v>
      </c>
      <c r="M2991" t="s">
        <v>22</v>
      </c>
      <c r="N2991" t="str">
        <f t="shared" si="73"/>
        <v>United Kingdom</v>
      </c>
      <c r="O2991" s="8">
        <f>IF(K2991&gt;=1,K2991,K2991*1000)</f>
        <v>410</v>
      </c>
      <c r="P2991">
        <f t="shared" si="74"/>
        <v>1</v>
      </c>
      <c r="Q2991" t="str">
        <f>LEFT(I2991,3)</f>
        <v>GBP</v>
      </c>
      <c r="R2991" s="10" t="str">
        <f>RIGHT(I2991,5)</f>
        <v>95,00</v>
      </c>
    </row>
    <row r="2992" spans="1:18" x14ac:dyDescent="0.35">
      <c r="A2992" t="s">
        <v>4601</v>
      </c>
      <c r="B2992" s="2" t="s">
        <v>658</v>
      </c>
      <c r="C2992" t="s">
        <v>1951</v>
      </c>
      <c r="D2992" s="3" t="s">
        <v>99</v>
      </c>
      <c r="E2992" t="s">
        <v>34</v>
      </c>
      <c r="F2992" t="s">
        <v>83</v>
      </c>
      <c r="G2992" t="s">
        <v>84</v>
      </c>
      <c r="H2992" s="8">
        <v>2</v>
      </c>
      <c r="I2992" s="10">
        <v>45</v>
      </c>
      <c r="J2992" s="14">
        <f>P2992*I2992</f>
        <v>90</v>
      </c>
      <c r="K2992" s="16">
        <v>340</v>
      </c>
      <c r="L2992" s="1" t="s">
        <v>30</v>
      </c>
      <c r="M2992" t="s">
        <v>58</v>
      </c>
      <c r="N2992" t="str">
        <f t="shared" si="73"/>
        <v>United Kingdom</v>
      </c>
      <c r="O2992" s="8">
        <f>IF(K2992&gt;=1,K2992,K2992*1000)</f>
        <v>340</v>
      </c>
      <c r="P2992">
        <f t="shared" si="74"/>
        <v>2</v>
      </c>
      <c r="R2992"/>
    </row>
    <row r="2993" spans="1:18" x14ac:dyDescent="0.35">
      <c r="A2993" t="s">
        <v>4602</v>
      </c>
      <c r="B2993" s="2">
        <v>46049</v>
      </c>
      <c r="C2993" t="s">
        <v>1633</v>
      </c>
      <c r="D2993" s="3" t="s">
        <v>46</v>
      </c>
      <c r="E2993" t="s">
        <v>67</v>
      </c>
      <c r="F2993" t="s">
        <v>74</v>
      </c>
      <c r="G2993" t="s">
        <v>75</v>
      </c>
      <c r="H2993" s="8">
        <v>1</v>
      </c>
      <c r="I2993" s="10">
        <v>40.5</v>
      </c>
      <c r="J2993" s="14">
        <f>P2993*I2993</f>
        <v>40.5</v>
      </c>
      <c r="K2993" s="16">
        <v>410</v>
      </c>
      <c r="L2993" s="1" t="s">
        <v>30</v>
      </c>
      <c r="M2993" t="s">
        <v>22</v>
      </c>
      <c r="N2993" t="str">
        <f t="shared" si="73"/>
        <v>Ireland</v>
      </c>
      <c r="O2993" s="8">
        <f>IF(K2993&gt;=1,K2993,K2993*1000)</f>
        <v>410</v>
      </c>
      <c r="P2993">
        <f t="shared" si="74"/>
        <v>1</v>
      </c>
      <c r="R2993"/>
    </row>
    <row r="2994" spans="1:18" x14ac:dyDescent="0.35">
      <c r="A2994" t="s">
        <v>4603</v>
      </c>
      <c r="B2994" s="2">
        <v>46204</v>
      </c>
      <c r="C2994" t="s">
        <v>2110</v>
      </c>
      <c r="D2994" s="3" t="s">
        <v>66</v>
      </c>
      <c r="E2994" t="s">
        <v>41</v>
      </c>
      <c r="F2994" t="s">
        <v>35</v>
      </c>
      <c r="G2994" t="s">
        <v>36</v>
      </c>
      <c r="H2994" s="8">
        <v>1</v>
      </c>
      <c r="I2994" s="10">
        <v>45</v>
      </c>
      <c r="J2994" s="14">
        <f>P2994*I2994</f>
        <v>45</v>
      </c>
      <c r="K2994" s="16">
        <v>8.5000000000000006E-2</v>
      </c>
      <c r="L2994" s="1" t="s">
        <v>21</v>
      </c>
      <c r="M2994" t="s">
        <v>22</v>
      </c>
      <c r="N2994" t="str">
        <f t="shared" si="73"/>
        <v>Gb</v>
      </c>
      <c r="O2994" s="8">
        <f>IF(K2994&gt;=1,K2994,K2994*1000)</f>
        <v>85</v>
      </c>
      <c r="P2994">
        <f t="shared" si="74"/>
        <v>1</v>
      </c>
      <c r="R2994"/>
    </row>
    <row r="2995" spans="1:18" x14ac:dyDescent="0.35">
      <c r="A2995" t="s">
        <v>4604</v>
      </c>
      <c r="B2995" s="2">
        <v>46034</v>
      </c>
      <c r="C2995" t="s">
        <v>3776</v>
      </c>
      <c r="D2995" s="3" t="s">
        <v>99</v>
      </c>
      <c r="E2995" t="s">
        <v>67</v>
      </c>
      <c r="F2995" t="s">
        <v>83</v>
      </c>
      <c r="G2995" t="s">
        <v>84</v>
      </c>
      <c r="H2995" s="8">
        <v>1</v>
      </c>
      <c r="I2995" s="10">
        <v>12.5</v>
      </c>
      <c r="J2995" s="14">
        <f>P2995*I2995</f>
        <v>12.5</v>
      </c>
      <c r="K2995" s="16">
        <v>340</v>
      </c>
      <c r="L2995" s="1" t="s">
        <v>21</v>
      </c>
      <c r="M2995" t="s">
        <v>58</v>
      </c>
      <c r="N2995" t="str">
        <f t="shared" si="73"/>
        <v>United Kingdom</v>
      </c>
      <c r="O2995" s="8">
        <f>IF(K2995&gt;=1,K2995,K2995*1000)</f>
        <v>340</v>
      </c>
      <c r="P2995">
        <f t="shared" si="74"/>
        <v>1</v>
      </c>
      <c r="R2995"/>
    </row>
    <row r="2996" spans="1:18" x14ac:dyDescent="0.35">
      <c r="A2996" t="s">
        <v>4605</v>
      </c>
      <c r="B2996" s="2">
        <v>46037</v>
      </c>
      <c r="C2996" t="s">
        <v>4606</v>
      </c>
      <c r="D2996" s="3" t="s">
        <v>4613</v>
      </c>
      <c r="E2996" t="s">
        <v>67</v>
      </c>
      <c r="F2996" t="s">
        <v>47</v>
      </c>
      <c r="G2996" t="s">
        <v>48</v>
      </c>
      <c r="H2996" s="8">
        <v>3</v>
      </c>
      <c r="I2996" s="10">
        <v>40.5</v>
      </c>
      <c r="J2996" s="14">
        <f>P2996*I2996</f>
        <v>121.5</v>
      </c>
      <c r="K2996" s="16">
        <v>380</v>
      </c>
      <c r="L2996" s="1" t="s">
        <v>30</v>
      </c>
      <c r="M2996" t="s">
        <v>22</v>
      </c>
      <c r="N2996" t="str">
        <f t="shared" si="73"/>
        <v>United Kingdom</v>
      </c>
      <c r="O2996" s="8">
        <f>IF(K2996&gt;=1,K2996,K2996*1000)</f>
        <v>380</v>
      </c>
      <c r="P2996">
        <f t="shared" si="74"/>
        <v>3</v>
      </c>
      <c r="R2996"/>
    </row>
    <row r="2997" spans="1:18" x14ac:dyDescent="0.35">
      <c r="A2997" t="s">
        <v>4607</v>
      </c>
      <c r="B2997" s="2">
        <v>46095</v>
      </c>
      <c r="C2997" t="s">
        <v>2119</v>
      </c>
      <c r="D2997" s="3" t="s">
        <v>66</v>
      </c>
      <c r="E2997" t="s">
        <v>67</v>
      </c>
      <c r="F2997" t="s">
        <v>83</v>
      </c>
      <c r="G2997" t="s">
        <v>84</v>
      </c>
      <c r="H2997" s="8">
        <v>2</v>
      </c>
      <c r="I2997" s="10">
        <v>134.1</v>
      </c>
      <c r="J2997" s="14">
        <f>P2997*I2997</f>
        <v>268.2</v>
      </c>
      <c r="K2997" s="16">
        <v>340</v>
      </c>
      <c r="L2997" s="1" t="s">
        <v>30</v>
      </c>
      <c r="M2997" t="s">
        <v>22</v>
      </c>
      <c r="N2997" t="str">
        <f t="shared" si="73"/>
        <v>Gb</v>
      </c>
      <c r="O2997" s="8">
        <f>IF(K2997&gt;=1,K2997,K2997*1000)</f>
        <v>340</v>
      </c>
      <c r="P2997">
        <f t="shared" si="74"/>
        <v>2</v>
      </c>
      <c r="R2997"/>
    </row>
    <row r="2998" spans="1:18" x14ac:dyDescent="0.35">
      <c r="A2998" t="s">
        <v>4608</v>
      </c>
      <c r="B2998" s="2">
        <v>46130</v>
      </c>
      <c r="C2998" t="s">
        <v>2614</v>
      </c>
      <c r="D2998" s="3" t="s">
        <v>99</v>
      </c>
      <c r="E2998" t="s">
        <v>25</v>
      </c>
      <c r="F2998" t="s">
        <v>17</v>
      </c>
      <c r="G2998" t="s">
        <v>18</v>
      </c>
      <c r="H2998" s="8">
        <v>3</v>
      </c>
      <c r="I2998" s="10">
        <v>45</v>
      </c>
      <c r="J2998" s="14">
        <f>P2998*I2998</f>
        <v>135</v>
      </c>
      <c r="K2998" s="16">
        <v>520</v>
      </c>
      <c r="L2998" s="1" t="s">
        <v>30</v>
      </c>
      <c r="M2998" t="s">
        <v>22</v>
      </c>
      <c r="N2998" t="str">
        <f t="shared" si="73"/>
        <v>United Kingdom</v>
      </c>
      <c r="O2998" s="8">
        <f>IF(K2998&gt;=1,K2998,K2998*1000)</f>
        <v>520</v>
      </c>
      <c r="P2998">
        <f t="shared" si="74"/>
        <v>3</v>
      </c>
      <c r="R2998"/>
    </row>
    <row r="2999" spans="1:18" x14ac:dyDescent="0.35">
      <c r="A2999" t="s">
        <v>4609</v>
      </c>
      <c r="B2999" s="2">
        <v>46131</v>
      </c>
      <c r="C2999" t="s">
        <v>728</v>
      </c>
      <c r="D2999" s="3" t="s">
        <v>99</v>
      </c>
      <c r="E2999" t="s">
        <v>67</v>
      </c>
      <c r="F2999" t="s">
        <v>47</v>
      </c>
      <c r="G2999" t="s">
        <v>48</v>
      </c>
      <c r="H2999" s="8">
        <v>2</v>
      </c>
      <c r="I2999" s="10">
        <v>45</v>
      </c>
      <c r="J2999" s="14">
        <f>P2999*I2999</f>
        <v>90</v>
      </c>
      <c r="K2999" s="16">
        <v>380</v>
      </c>
      <c r="L2999" s="1" t="s">
        <v>21</v>
      </c>
      <c r="M2999" t="s">
        <v>22</v>
      </c>
      <c r="N2999" t="str">
        <f t="shared" si="73"/>
        <v>United Kingdom</v>
      </c>
      <c r="O2999" s="8">
        <f>IF(K2999&gt;=1,K2999,K2999*1000)</f>
        <v>380</v>
      </c>
      <c r="P2999">
        <f t="shared" si="74"/>
        <v>2</v>
      </c>
      <c r="R2999"/>
    </row>
    <row r="3000" spans="1:18" x14ac:dyDescent="0.35">
      <c r="A3000" t="s">
        <v>4610</v>
      </c>
      <c r="B3000" s="2">
        <v>46087</v>
      </c>
      <c r="C3000" t="s">
        <v>3383</v>
      </c>
      <c r="D3000" s="3" t="s">
        <v>116</v>
      </c>
      <c r="E3000" t="s">
        <v>41</v>
      </c>
      <c r="F3000" t="s">
        <v>74</v>
      </c>
      <c r="G3000" t="s">
        <v>75</v>
      </c>
      <c r="H3000" s="8">
        <v>1</v>
      </c>
      <c r="I3000" s="10">
        <v>24</v>
      </c>
      <c r="J3000" s="14">
        <f>P3000*I3000</f>
        <v>24</v>
      </c>
      <c r="K3000" s="16">
        <v>0.41</v>
      </c>
      <c r="L3000" s="1" t="s">
        <v>21</v>
      </c>
      <c r="M3000" t="s">
        <v>58</v>
      </c>
      <c r="N3000" t="str">
        <f t="shared" si="73"/>
        <v>Germany</v>
      </c>
      <c r="O3000" s="8">
        <f>IF(K3000&gt;=1,K3000,K3000*1000)</f>
        <v>410</v>
      </c>
      <c r="P3000">
        <f t="shared" si="74"/>
        <v>1</v>
      </c>
      <c r="R3000"/>
    </row>
    <row r="3001" spans="1:18" x14ac:dyDescent="0.35">
      <c r="A3001" t="s">
        <v>4611</v>
      </c>
      <c r="B3001" s="2">
        <v>46073</v>
      </c>
      <c r="C3001" t="s">
        <v>2222</v>
      </c>
      <c r="D3001" s="3" t="s">
        <v>66</v>
      </c>
      <c r="E3001" t="s">
        <v>16</v>
      </c>
      <c r="F3001" t="s">
        <v>17</v>
      </c>
      <c r="G3001" t="s">
        <v>18</v>
      </c>
      <c r="H3001" s="8">
        <v>2</v>
      </c>
      <c r="I3001" s="10">
        <v>129</v>
      </c>
      <c r="J3001" s="14">
        <f>P3001*I3001</f>
        <v>258</v>
      </c>
      <c r="K3001" s="16">
        <v>520</v>
      </c>
      <c r="L3001" s="1" t="s">
        <v>30</v>
      </c>
      <c r="M3001" t="s">
        <v>22</v>
      </c>
      <c r="N3001" t="str">
        <f t="shared" si="73"/>
        <v>Gb</v>
      </c>
      <c r="O3001" s="8">
        <f>IF(K3001&gt;=1,K3001,K3001*1000)</f>
        <v>520</v>
      </c>
      <c r="P3001">
        <f t="shared" si="74"/>
        <v>2</v>
      </c>
      <c r="R3001"/>
    </row>
    <row r="3002" spans="1:18" x14ac:dyDescent="0.35">
      <c r="B3002" s="9"/>
      <c r="D3002"/>
      <c r="L3002"/>
    </row>
    <row r="3003" spans="1:18" x14ac:dyDescent="0.35">
      <c r="B3003" s="9"/>
      <c r="D3003"/>
      <c r="L3003"/>
    </row>
    <row r="3004" spans="1:18" x14ac:dyDescent="0.35">
      <c r="B3004" s="9"/>
      <c r="D3004"/>
      <c r="L3004"/>
    </row>
    <row r="3005" spans="1:18" x14ac:dyDescent="0.35">
      <c r="B3005" s="9"/>
      <c r="D3005"/>
      <c r="L3005"/>
    </row>
    <row r="3006" spans="1:18" x14ac:dyDescent="0.35">
      <c r="B3006" s="9"/>
      <c r="D3006"/>
      <c r="L3006"/>
    </row>
    <row r="3007" spans="1:18" x14ac:dyDescent="0.35">
      <c r="B3007" s="9"/>
      <c r="D3007"/>
      <c r="L3007"/>
    </row>
    <row r="3008" spans="1:18" x14ac:dyDescent="0.35">
      <c r="B3008" s="9"/>
      <c r="D3008"/>
      <c r="L3008"/>
    </row>
    <row r="3009" spans="2:12" x14ac:dyDescent="0.35">
      <c r="B3009" s="9"/>
      <c r="D3009"/>
      <c r="L3009"/>
    </row>
    <row r="3010" spans="2:12" x14ac:dyDescent="0.35">
      <c r="B3010" s="9"/>
      <c r="D3010"/>
      <c r="L3010"/>
    </row>
    <row r="3011" spans="2:12" x14ac:dyDescent="0.35">
      <c r="B3011" s="9"/>
      <c r="D3011"/>
      <c r="L3011"/>
    </row>
    <row r="3012" spans="2:12" x14ac:dyDescent="0.35">
      <c r="B3012" s="9"/>
      <c r="D3012"/>
      <c r="L3012"/>
    </row>
    <row r="3013" spans="2:12" x14ac:dyDescent="0.35">
      <c r="B3013" s="9"/>
      <c r="D3013"/>
      <c r="L3013"/>
    </row>
    <row r="3014" spans="2:12" x14ac:dyDescent="0.35">
      <c r="B3014" s="9"/>
      <c r="D3014"/>
      <c r="L3014"/>
    </row>
    <row r="3015" spans="2:12" x14ac:dyDescent="0.35">
      <c r="B3015" s="9"/>
      <c r="D3015"/>
      <c r="L3015"/>
    </row>
    <row r="3016" spans="2:12" x14ac:dyDescent="0.35">
      <c r="B3016" s="9"/>
      <c r="D3016"/>
      <c r="L3016"/>
    </row>
    <row r="3017" spans="2:12" x14ac:dyDescent="0.35">
      <c r="B3017" s="9"/>
      <c r="D3017"/>
      <c r="L3017"/>
    </row>
    <row r="3018" spans="2:12" x14ac:dyDescent="0.35">
      <c r="B3018" s="9"/>
      <c r="D3018"/>
      <c r="L3018"/>
    </row>
    <row r="3019" spans="2:12" x14ac:dyDescent="0.35">
      <c r="B3019" s="9"/>
      <c r="D3019"/>
      <c r="L3019"/>
    </row>
    <row r="3020" spans="2:12" x14ac:dyDescent="0.35">
      <c r="B3020" s="9"/>
      <c r="D3020"/>
      <c r="L3020"/>
    </row>
    <row r="3021" spans="2:12" x14ac:dyDescent="0.35">
      <c r="B3021" s="9"/>
      <c r="D3021"/>
      <c r="L3021"/>
    </row>
    <row r="3022" spans="2:12" x14ac:dyDescent="0.35">
      <c r="B3022" s="9"/>
      <c r="D3022"/>
      <c r="L3022"/>
    </row>
    <row r="3023" spans="2:12" x14ac:dyDescent="0.35">
      <c r="B3023" s="9"/>
      <c r="D3023"/>
      <c r="L3023"/>
    </row>
    <row r="3024" spans="2:12" x14ac:dyDescent="0.35">
      <c r="B3024" s="9"/>
      <c r="D3024"/>
      <c r="L3024"/>
    </row>
    <row r="3025" spans="2:12" x14ac:dyDescent="0.35">
      <c r="B3025" s="9"/>
      <c r="D3025"/>
      <c r="L3025"/>
    </row>
    <row r="3026" spans="2:12" x14ac:dyDescent="0.35">
      <c r="B3026" s="9"/>
      <c r="D3026"/>
      <c r="L3026"/>
    </row>
    <row r="3027" spans="2:12" x14ac:dyDescent="0.35">
      <c r="B3027" s="9"/>
      <c r="D3027"/>
      <c r="L3027"/>
    </row>
    <row r="3028" spans="2:12" x14ac:dyDescent="0.35">
      <c r="B3028" s="9"/>
      <c r="D3028"/>
      <c r="L3028"/>
    </row>
    <row r="3029" spans="2:12" x14ac:dyDescent="0.35">
      <c r="B3029" s="9"/>
      <c r="D3029"/>
      <c r="L3029"/>
    </row>
    <row r="3030" spans="2:12" x14ac:dyDescent="0.35">
      <c r="B3030" s="9"/>
      <c r="D3030"/>
      <c r="L3030"/>
    </row>
    <row r="3031" spans="2:12" x14ac:dyDescent="0.35">
      <c r="B3031" s="9"/>
      <c r="D3031"/>
      <c r="L3031"/>
    </row>
    <row r="3032" spans="2:12" x14ac:dyDescent="0.35">
      <c r="B3032" s="9"/>
      <c r="D3032"/>
      <c r="L3032"/>
    </row>
    <row r="3033" spans="2:12" x14ac:dyDescent="0.35">
      <c r="B3033" s="9"/>
      <c r="D3033"/>
      <c r="L3033"/>
    </row>
    <row r="3034" spans="2:12" x14ac:dyDescent="0.35">
      <c r="B3034" s="9"/>
      <c r="D3034"/>
      <c r="L3034"/>
    </row>
    <row r="3035" spans="2:12" x14ac:dyDescent="0.35">
      <c r="B3035" s="9"/>
      <c r="D3035"/>
      <c r="L3035"/>
    </row>
    <row r="3036" spans="2:12" x14ac:dyDescent="0.35">
      <c r="B3036" s="9"/>
      <c r="D3036"/>
      <c r="L3036"/>
    </row>
    <row r="3037" spans="2:12" x14ac:dyDescent="0.35">
      <c r="B3037" s="9"/>
      <c r="D3037"/>
      <c r="L3037"/>
    </row>
    <row r="3038" spans="2:12" x14ac:dyDescent="0.35">
      <c r="B3038" s="9"/>
      <c r="D3038"/>
      <c r="L3038"/>
    </row>
    <row r="3039" spans="2:12" x14ac:dyDescent="0.35">
      <c r="B3039" s="9"/>
      <c r="D3039"/>
      <c r="L3039"/>
    </row>
    <row r="3040" spans="2:12" x14ac:dyDescent="0.35">
      <c r="B3040" s="9"/>
      <c r="D3040"/>
      <c r="L3040"/>
    </row>
    <row r="3041" spans="2:12" x14ac:dyDescent="0.35">
      <c r="B3041" s="9"/>
      <c r="D3041"/>
      <c r="L3041"/>
    </row>
    <row r="3042" spans="2:12" x14ac:dyDescent="0.35">
      <c r="B3042" s="9"/>
      <c r="D3042"/>
      <c r="L3042"/>
    </row>
    <row r="3043" spans="2:12" x14ac:dyDescent="0.35">
      <c r="B3043" s="9"/>
      <c r="D3043"/>
      <c r="L3043"/>
    </row>
    <row r="3044" spans="2:12" x14ac:dyDescent="0.35">
      <c r="B3044" s="9"/>
      <c r="D3044"/>
      <c r="L3044"/>
    </row>
    <row r="3045" spans="2:12" x14ac:dyDescent="0.35">
      <c r="B3045" s="9"/>
      <c r="D3045"/>
      <c r="L3045"/>
    </row>
    <row r="3046" spans="2:12" x14ac:dyDescent="0.35">
      <c r="B3046" s="9"/>
      <c r="D3046"/>
      <c r="L3046"/>
    </row>
    <row r="3047" spans="2:12" x14ac:dyDescent="0.35">
      <c r="B3047" s="9"/>
      <c r="D3047"/>
      <c r="L3047"/>
    </row>
    <row r="3048" spans="2:12" x14ac:dyDescent="0.35">
      <c r="B3048" s="9"/>
      <c r="D3048"/>
      <c r="L3048"/>
    </row>
  </sheetData>
  <autoFilter ref="A1:M3001" xr:uid="{0B9C9608-1D97-41EF-8D38-DD4BF196FA1E}"/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246B3-8D7D-4228-8EC6-9C5F8D3198E1}">
  <dimension ref="A1:M3048"/>
  <sheetViews>
    <sheetView workbookViewId="0">
      <selection activeCell="J817" sqref="J817"/>
    </sheetView>
  </sheetViews>
  <sheetFormatPr baseColWidth="10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s="9">
        <v>46100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</v>
      </c>
      <c r="I2" t="s">
        <v>19</v>
      </c>
      <c r="J2" t="s">
        <v>20</v>
      </c>
      <c r="K2">
        <v>520</v>
      </c>
      <c r="L2" t="s">
        <v>21</v>
      </c>
      <c r="M2" t="s">
        <v>22</v>
      </c>
    </row>
    <row r="3" spans="1:13" x14ac:dyDescent="0.35">
      <c r="A3" t="s">
        <v>23</v>
      </c>
      <c r="B3" s="9">
        <v>46161</v>
      </c>
      <c r="C3" t="s">
        <v>24</v>
      </c>
      <c r="D3" t="s">
        <v>15</v>
      </c>
      <c r="E3" t="s">
        <v>25</v>
      </c>
      <c r="F3" t="s">
        <v>26</v>
      </c>
      <c r="G3" t="s">
        <v>27</v>
      </c>
      <c r="H3">
        <v>1</v>
      </c>
      <c r="I3" t="s">
        <v>28</v>
      </c>
      <c r="J3" t="s">
        <v>28</v>
      </c>
      <c r="K3" t="s">
        <v>29</v>
      </c>
      <c r="L3" t="s">
        <v>30</v>
      </c>
      <c r="M3" t="s">
        <v>22</v>
      </c>
    </row>
    <row r="4" spans="1:13" x14ac:dyDescent="0.35">
      <c r="A4" t="s">
        <v>31</v>
      </c>
      <c r="B4" s="9">
        <v>46187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>
        <v>1</v>
      </c>
      <c r="I4" t="s">
        <v>19</v>
      </c>
      <c r="J4" t="s">
        <v>19</v>
      </c>
      <c r="K4" t="s">
        <v>37</v>
      </c>
      <c r="L4" t="s">
        <v>30</v>
      </c>
      <c r="M4" t="s">
        <v>22</v>
      </c>
    </row>
    <row r="5" spans="1:13" x14ac:dyDescent="0.35">
      <c r="A5" t="s">
        <v>38</v>
      </c>
      <c r="B5" s="9">
        <v>46030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>
        <v>1</v>
      </c>
      <c r="I5" t="s">
        <v>28</v>
      </c>
      <c r="J5" t="s">
        <v>28</v>
      </c>
      <c r="K5">
        <v>190</v>
      </c>
      <c r="L5" t="s">
        <v>21</v>
      </c>
      <c r="M5" t="s">
        <v>22</v>
      </c>
    </row>
    <row r="6" spans="1:13" x14ac:dyDescent="0.35">
      <c r="A6" t="s">
        <v>44</v>
      </c>
      <c r="B6" s="9">
        <v>46162</v>
      </c>
      <c r="C6" t="s">
        <v>45</v>
      </c>
      <c r="D6" t="s">
        <v>46</v>
      </c>
      <c r="E6" t="s">
        <v>34</v>
      </c>
      <c r="F6" t="s">
        <v>47</v>
      </c>
      <c r="G6" t="s">
        <v>48</v>
      </c>
      <c r="H6">
        <v>1</v>
      </c>
      <c r="I6" t="s">
        <v>49</v>
      </c>
      <c r="J6" t="s">
        <v>49</v>
      </c>
      <c r="K6" t="s">
        <v>50</v>
      </c>
      <c r="L6" t="s">
        <v>30</v>
      </c>
      <c r="M6" t="s">
        <v>22</v>
      </c>
    </row>
    <row r="7" spans="1:13" x14ac:dyDescent="0.35">
      <c r="A7" t="s">
        <v>51</v>
      </c>
      <c r="B7" s="9">
        <v>46095</v>
      </c>
      <c r="C7" t="s">
        <v>52</v>
      </c>
      <c r="D7" t="s">
        <v>53</v>
      </c>
      <c r="E7" t="s">
        <v>41</v>
      </c>
      <c r="F7" t="s">
        <v>35</v>
      </c>
      <c r="G7" t="s">
        <v>36</v>
      </c>
      <c r="H7">
        <v>1</v>
      </c>
      <c r="I7" t="s">
        <v>19</v>
      </c>
      <c r="J7" t="s">
        <v>19</v>
      </c>
      <c r="K7">
        <v>85</v>
      </c>
      <c r="L7" t="s">
        <v>30</v>
      </c>
      <c r="M7" t="s">
        <v>22</v>
      </c>
    </row>
    <row r="8" spans="1:13" x14ac:dyDescent="0.35">
      <c r="A8" t="s">
        <v>54</v>
      </c>
      <c r="B8" s="9">
        <v>46137</v>
      </c>
      <c r="C8" t="s">
        <v>55</v>
      </c>
      <c r="D8" t="s">
        <v>53</v>
      </c>
      <c r="E8" t="s">
        <v>25</v>
      </c>
      <c r="F8" t="s">
        <v>35</v>
      </c>
      <c r="G8" t="s">
        <v>36</v>
      </c>
      <c r="H8">
        <v>3</v>
      </c>
      <c r="I8" t="s">
        <v>56</v>
      </c>
      <c r="J8" t="s">
        <v>57</v>
      </c>
      <c r="K8" t="s">
        <v>37</v>
      </c>
      <c r="L8" t="s">
        <v>30</v>
      </c>
      <c r="M8" t="s">
        <v>58</v>
      </c>
    </row>
    <row r="9" spans="1:13" x14ac:dyDescent="0.35">
      <c r="A9" t="s">
        <v>59</v>
      </c>
      <c r="B9" s="9">
        <v>46162</v>
      </c>
      <c r="C9" t="s">
        <v>60</v>
      </c>
      <c r="D9" t="s">
        <v>61</v>
      </c>
      <c r="E9" t="s">
        <v>41</v>
      </c>
      <c r="F9" t="s">
        <v>35</v>
      </c>
      <c r="G9" t="s">
        <v>36</v>
      </c>
      <c r="H9">
        <v>2</v>
      </c>
      <c r="I9" t="s">
        <v>62</v>
      </c>
      <c r="J9" t="s">
        <v>63</v>
      </c>
      <c r="K9" t="s">
        <v>37</v>
      </c>
      <c r="L9" t="s">
        <v>21</v>
      </c>
      <c r="M9" t="s">
        <v>58</v>
      </c>
    </row>
    <row r="10" spans="1:13" x14ac:dyDescent="0.35">
      <c r="A10" t="s">
        <v>64</v>
      </c>
      <c r="B10" s="9">
        <v>46114</v>
      </c>
      <c r="C10" t="s">
        <v>65</v>
      </c>
      <c r="D10" t="s">
        <v>66</v>
      </c>
      <c r="E10" t="s">
        <v>67</v>
      </c>
      <c r="F10" t="s">
        <v>42</v>
      </c>
      <c r="G10" t="s">
        <v>43</v>
      </c>
      <c r="H10">
        <v>1</v>
      </c>
      <c r="I10" t="s">
        <v>68</v>
      </c>
      <c r="J10" t="s">
        <v>68</v>
      </c>
      <c r="K10">
        <v>190</v>
      </c>
      <c r="L10" t="s">
        <v>30</v>
      </c>
      <c r="M10" t="s">
        <v>22</v>
      </c>
    </row>
    <row r="11" spans="1:13" x14ac:dyDescent="0.35">
      <c r="A11" t="s">
        <v>69</v>
      </c>
      <c r="B11" s="9">
        <v>46069</v>
      </c>
      <c r="C11" t="s">
        <v>70</v>
      </c>
      <c r="D11" t="s">
        <v>40</v>
      </c>
      <c r="E11" t="s">
        <v>67</v>
      </c>
      <c r="F11" t="s">
        <v>42</v>
      </c>
      <c r="G11" t="s">
        <v>43</v>
      </c>
      <c r="H11">
        <v>1</v>
      </c>
      <c r="I11" t="s">
        <v>71</v>
      </c>
      <c r="J11" t="s">
        <v>71</v>
      </c>
      <c r="K11">
        <v>190</v>
      </c>
      <c r="L11" t="s">
        <v>21</v>
      </c>
      <c r="M11" t="s">
        <v>58</v>
      </c>
    </row>
    <row r="12" spans="1:13" x14ac:dyDescent="0.35">
      <c r="A12" t="s">
        <v>72</v>
      </c>
      <c r="B12" s="9">
        <v>46133</v>
      </c>
      <c r="C12" t="s">
        <v>73</v>
      </c>
      <c r="D12" t="s">
        <v>40</v>
      </c>
      <c r="E12" t="s">
        <v>34</v>
      </c>
      <c r="F12" t="s">
        <v>74</v>
      </c>
      <c r="G12" t="s">
        <v>75</v>
      </c>
      <c r="H12">
        <v>1</v>
      </c>
      <c r="I12" t="s">
        <v>19</v>
      </c>
      <c r="J12" t="s">
        <v>19</v>
      </c>
      <c r="K12" t="s">
        <v>76</v>
      </c>
      <c r="L12" t="s">
        <v>30</v>
      </c>
      <c r="M12" t="s">
        <v>22</v>
      </c>
    </row>
    <row r="13" spans="1:13" x14ac:dyDescent="0.35">
      <c r="A13" t="s">
        <v>77</v>
      </c>
      <c r="B13" s="9">
        <v>46204</v>
      </c>
      <c r="C13" t="s">
        <v>78</v>
      </c>
      <c r="D13" t="s">
        <v>46</v>
      </c>
      <c r="E13" t="s">
        <v>34</v>
      </c>
      <c r="F13" t="s">
        <v>74</v>
      </c>
      <c r="G13" t="s">
        <v>75</v>
      </c>
      <c r="H13">
        <v>1</v>
      </c>
      <c r="I13" t="s">
        <v>79</v>
      </c>
      <c r="J13" t="s">
        <v>79</v>
      </c>
      <c r="K13">
        <v>410</v>
      </c>
      <c r="L13" t="s">
        <v>30</v>
      </c>
      <c r="M13" t="s">
        <v>22</v>
      </c>
    </row>
    <row r="14" spans="1:13" x14ac:dyDescent="0.35">
      <c r="A14" t="s">
        <v>80</v>
      </c>
      <c r="B14" t="s">
        <v>81</v>
      </c>
      <c r="C14" t="s">
        <v>82</v>
      </c>
      <c r="D14" t="s">
        <v>53</v>
      </c>
      <c r="E14" t="s">
        <v>41</v>
      </c>
      <c r="F14" t="s">
        <v>83</v>
      </c>
      <c r="G14" t="s">
        <v>84</v>
      </c>
      <c r="H14">
        <v>3</v>
      </c>
      <c r="I14" t="s">
        <v>85</v>
      </c>
      <c r="J14" t="s">
        <v>86</v>
      </c>
      <c r="K14">
        <v>340</v>
      </c>
      <c r="L14" t="s">
        <v>30</v>
      </c>
      <c r="M14" t="s">
        <v>58</v>
      </c>
    </row>
    <row r="15" spans="1:13" x14ac:dyDescent="0.35">
      <c r="A15" t="s">
        <v>87</v>
      </c>
      <c r="B15" s="9">
        <v>46074</v>
      </c>
      <c r="C15" t="s">
        <v>88</v>
      </c>
      <c r="D15" t="s">
        <v>66</v>
      </c>
      <c r="E15" t="s">
        <v>16</v>
      </c>
      <c r="F15" t="s">
        <v>89</v>
      </c>
      <c r="G15" t="s">
        <v>90</v>
      </c>
      <c r="H15">
        <v>3</v>
      </c>
      <c r="I15" t="s">
        <v>79</v>
      </c>
      <c r="J15" t="s">
        <v>91</v>
      </c>
      <c r="K15">
        <v>640</v>
      </c>
      <c r="L15" t="s">
        <v>30</v>
      </c>
      <c r="M15" t="s">
        <v>22</v>
      </c>
    </row>
    <row r="16" spans="1:13" x14ac:dyDescent="0.35">
      <c r="A16" t="s">
        <v>92</v>
      </c>
      <c r="B16" s="9">
        <v>46208</v>
      </c>
      <c r="C16" t="s">
        <v>93</v>
      </c>
      <c r="D16" t="s">
        <v>94</v>
      </c>
      <c r="E16" t="s">
        <v>34</v>
      </c>
      <c r="F16" t="s">
        <v>26</v>
      </c>
      <c r="G16" t="s">
        <v>27</v>
      </c>
      <c r="H16">
        <v>1</v>
      </c>
      <c r="I16" t="s">
        <v>19</v>
      </c>
      <c r="J16" t="s">
        <v>19</v>
      </c>
      <c r="K16" t="s">
        <v>29</v>
      </c>
      <c r="L16" t="s">
        <v>21</v>
      </c>
      <c r="M16" t="s">
        <v>22</v>
      </c>
    </row>
    <row r="17" spans="1:13" x14ac:dyDescent="0.35">
      <c r="A17" t="s">
        <v>95</v>
      </c>
      <c r="B17" s="9">
        <v>46033</v>
      </c>
      <c r="C17" t="s">
        <v>96</v>
      </c>
      <c r="D17" t="s">
        <v>46</v>
      </c>
      <c r="E17" t="s">
        <v>67</v>
      </c>
      <c r="F17" t="s">
        <v>35</v>
      </c>
      <c r="G17" t="s">
        <v>36</v>
      </c>
      <c r="H17">
        <v>1</v>
      </c>
      <c r="I17" t="s">
        <v>28</v>
      </c>
      <c r="J17" t="s">
        <v>28</v>
      </c>
      <c r="K17">
        <v>85</v>
      </c>
      <c r="L17" t="s">
        <v>30</v>
      </c>
      <c r="M17" t="s">
        <v>22</v>
      </c>
    </row>
    <row r="18" spans="1:13" x14ac:dyDescent="0.35">
      <c r="A18" t="s">
        <v>97</v>
      </c>
      <c r="B18" s="9">
        <v>46192</v>
      </c>
      <c r="C18" t="s">
        <v>98</v>
      </c>
      <c r="D18" t="s">
        <v>99</v>
      </c>
      <c r="E18" t="s">
        <v>41</v>
      </c>
      <c r="F18" t="s">
        <v>74</v>
      </c>
      <c r="G18" t="s">
        <v>75</v>
      </c>
      <c r="H18">
        <v>1</v>
      </c>
      <c r="I18" t="s">
        <v>85</v>
      </c>
      <c r="J18" t="s">
        <v>85</v>
      </c>
      <c r="K18" t="s">
        <v>76</v>
      </c>
      <c r="L18" t="s">
        <v>30</v>
      </c>
      <c r="M18" t="s">
        <v>22</v>
      </c>
    </row>
    <row r="19" spans="1:13" x14ac:dyDescent="0.35">
      <c r="A19" t="s">
        <v>100</v>
      </c>
      <c r="B19" s="9">
        <v>46180</v>
      </c>
      <c r="C19" t="s">
        <v>101</v>
      </c>
      <c r="D19" t="s">
        <v>53</v>
      </c>
      <c r="E19" t="s">
        <v>67</v>
      </c>
      <c r="F19" t="s">
        <v>83</v>
      </c>
      <c r="G19" t="s">
        <v>84</v>
      </c>
      <c r="H19">
        <v>1</v>
      </c>
      <c r="I19" t="s">
        <v>102</v>
      </c>
      <c r="J19" t="s">
        <v>102</v>
      </c>
      <c r="K19" t="s">
        <v>103</v>
      </c>
      <c r="L19" t="s">
        <v>30</v>
      </c>
      <c r="M19" t="s">
        <v>58</v>
      </c>
    </row>
    <row r="20" spans="1:13" x14ac:dyDescent="0.35">
      <c r="A20" t="s">
        <v>104</v>
      </c>
      <c r="B20" s="9">
        <v>46135</v>
      </c>
      <c r="C20" t="s">
        <v>105</v>
      </c>
      <c r="D20" t="s">
        <v>40</v>
      </c>
      <c r="E20" t="s">
        <v>41</v>
      </c>
      <c r="F20" t="s">
        <v>89</v>
      </c>
      <c r="G20" t="s">
        <v>90</v>
      </c>
      <c r="H20">
        <v>2</v>
      </c>
      <c r="I20" t="s">
        <v>106</v>
      </c>
      <c r="J20" t="s">
        <v>107</v>
      </c>
      <c r="K20" t="s">
        <v>108</v>
      </c>
      <c r="L20" t="s">
        <v>30</v>
      </c>
      <c r="M20" t="s">
        <v>22</v>
      </c>
    </row>
    <row r="21" spans="1:13" x14ac:dyDescent="0.35">
      <c r="A21" t="s">
        <v>109</v>
      </c>
      <c r="B21" s="9">
        <v>46187</v>
      </c>
      <c r="C21" t="s">
        <v>110</v>
      </c>
      <c r="D21" t="s">
        <v>94</v>
      </c>
      <c r="E21" t="s">
        <v>34</v>
      </c>
      <c r="F21" t="s">
        <v>42</v>
      </c>
      <c r="G21" t="s">
        <v>43</v>
      </c>
      <c r="H21">
        <v>1</v>
      </c>
      <c r="I21" t="s">
        <v>19</v>
      </c>
      <c r="J21" t="s">
        <v>19</v>
      </c>
      <c r="K21" t="s">
        <v>111</v>
      </c>
      <c r="L21" t="s">
        <v>30</v>
      </c>
      <c r="M21" t="s">
        <v>22</v>
      </c>
    </row>
    <row r="22" spans="1:13" x14ac:dyDescent="0.35">
      <c r="A22" t="s">
        <v>112</v>
      </c>
      <c r="B22" s="9">
        <v>46109</v>
      </c>
      <c r="C22" t="s">
        <v>113</v>
      </c>
      <c r="D22" t="s">
        <v>15</v>
      </c>
      <c r="E22" t="s">
        <v>16</v>
      </c>
      <c r="F22" t="s">
        <v>42</v>
      </c>
      <c r="G22" t="s">
        <v>43</v>
      </c>
      <c r="H22">
        <v>1</v>
      </c>
      <c r="I22" t="s">
        <v>56</v>
      </c>
      <c r="J22" t="s">
        <v>56</v>
      </c>
      <c r="K22">
        <v>190</v>
      </c>
      <c r="L22" t="s">
        <v>30</v>
      </c>
      <c r="M22" t="s">
        <v>22</v>
      </c>
    </row>
    <row r="23" spans="1:13" x14ac:dyDescent="0.35">
      <c r="A23" t="s">
        <v>114</v>
      </c>
      <c r="B23" s="9">
        <v>46081</v>
      </c>
      <c r="C23" t="s">
        <v>115</v>
      </c>
      <c r="D23" t="s">
        <v>116</v>
      </c>
      <c r="E23" t="s">
        <v>34</v>
      </c>
      <c r="F23" t="s">
        <v>47</v>
      </c>
      <c r="G23" t="s">
        <v>48</v>
      </c>
      <c r="H23">
        <v>2</v>
      </c>
      <c r="I23" t="s">
        <v>106</v>
      </c>
      <c r="J23" t="s">
        <v>107</v>
      </c>
      <c r="K23">
        <v>380</v>
      </c>
      <c r="L23" t="s">
        <v>30</v>
      </c>
      <c r="M23" t="s">
        <v>22</v>
      </c>
    </row>
    <row r="24" spans="1:13" x14ac:dyDescent="0.35">
      <c r="A24" t="s">
        <v>117</v>
      </c>
      <c r="B24" s="9">
        <v>46069</v>
      </c>
      <c r="C24" t="s">
        <v>118</v>
      </c>
      <c r="D24" t="s">
        <v>94</v>
      </c>
      <c r="E24" t="s">
        <v>25</v>
      </c>
      <c r="F24" t="s">
        <v>35</v>
      </c>
      <c r="G24" t="s">
        <v>36</v>
      </c>
      <c r="H24">
        <v>1</v>
      </c>
      <c r="I24" t="s">
        <v>49</v>
      </c>
      <c r="J24" t="s">
        <v>49</v>
      </c>
      <c r="K24">
        <v>85</v>
      </c>
      <c r="L24" t="s">
        <v>30</v>
      </c>
      <c r="M24" t="s">
        <v>22</v>
      </c>
    </row>
    <row r="25" spans="1:13" x14ac:dyDescent="0.35">
      <c r="A25" t="s">
        <v>119</v>
      </c>
      <c r="B25" t="s">
        <v>120</v>
      </c>
      <c r="C25" t="s">
        <v>121</v>
      </c>
      <c r="D25" t="s">
        <v>61</v>
      </c>
      <c r="E25" t="s">
        <v>41</v>
      </c>
      <c r="F25" t="s">
        <v>83</v>
      </c>
      <c r="G25" t="s">
        <v>84</v>
      </c>
      <c r="H25">
        <v>1</v>
      </c>
      <c r="I25" t="s">
        <v>49</v>
      </c>
      <c r="J25" t="s">
        <v>49</v>
      </c>
      <c r="K25">
        <v>340</v>
      </c>
      <c r="L25" t="s">
        <v>30</v>
      </c>
      <c r="M25" t="s">
        <v>22</v>
      </c>
    </row>
    <row r="26" spans="1:13" x14ac:dyDescent="0.35">
      <c r="A26" t="s">
        <v>122</v>
      </c>
      <c r="B26" s="9">
        <v>46113</v>
      </c>
      <c r="C26" t="s">
        <v>123</v>
      </c>
      <c r="D26" t="s">
        <v>66</v>
      </c>
      <c r="E26" t="s">
        <v>34</v>
      </c>
      <c r="F26" t="s">
        <v>74</v>
      </c>
      <c r="G26" t="s">
        <v>75</v>
      </c>
      <c r="H26">
        <v>-1</v>
      </c>
      <c r="I26" t="s">
        <v>79</v>
      </c>
      <c r="J26" t="s">
        <v>124</v>
      </c>
      <c r="K26">
        <v>410</v>
      </c>
      <c r="L26" t="s">
        <v>30</v>
      </c>
      <c r="M26" t="s">
        <v>22</v>
      </c>
    </row>
    <row r="27" spans="1:13" x14ac:dyDescent="0.35">
      <c r="A27" t="s">
        <v>125</v>
      </c>
      <c r="B27" s="9">
        <v>46135</v>
      </c>
      <c r="C27" t="s">
        <v>126</v>
      </c>
      <c r="D27" t="s">
        <v>116</v>
      </c>
      <c r="E27" t="s">
        <v>41</v>
      </c>
      <c r="F27" t="s">
        <v>42</v>
      </c>
      <c r="G27" t="s">
        <v>43</v>
      </c>
      <c r="H27">
        <v>3</v>
      </c>
      <c r="I27" t="s">
        <v>102</v>
      </c>
      <c r="J27" t="s">
        <v>127</v>
      </c>
      <c r="K27" t="s">
        <v>111</v>
      </c>
      <c r="L27" t="s">
        <v>21</v>
      </c>
      <c r="M27" t="s">
        <v>22</v>
      </c>
    </row>
    <row r="28" spans="1:13" x14ac:dyDescent="0.35">
      <c r="A28" t="s">
        <v>128</v>
      </c>
      <c r="B28" s="9">
        <v>46031</v>
      </c>
      <c r="C28" t="s">
        <v>129</v>
      </c>
      <c r="D28" t="s">
        <v>33</v>
      </c>
      <c r="E28" t="s">
        <v>16</v>
      </c>
      <c r="F28" t="s">
        <v>83</v>
      </c>
      <c r="G28" t="s">
        <v>84</v>
      </c>
      <c r="H28">
        <v>1</v>
      </c>
      <c r="I28" t="s">
        <v>49</v>
      </c>
      <c r="J28" t="s">
        <v>49</v>
      </c>
      <c r="K28">
        <v>340</v>
      </c>
      <c r="L28" t="s">
        <v>30</v>
      </c>
      <c r="M28" t="s">
        <v>58</v>
      </c>
    </row>
    <row r="29" spans="1:13" x14ac:dyDescent="0.35">
      <c r="A29" t="s">
        <v>130</v>
      </c>
      <c r="B29" s="9">
        <v>46173</v>
      </c>
      <c r="C29" t="s">
        <v>131</v>
      </c>
      <c r="D29" t="s">
        <v>40</v>
      </c>
      <c r="E29" t="s">
        <v>25</v>
      </c>
      <c r="F29" t="s">
        <v>47</v>
      </c>
      <c r="G29" t="s">
        <v>48</v>
      </c>
      <c r="H29">
        <v>2</v>
      </c>
      <c r="I29" t="s">
        <v>132</v>
      </c>
      <c r="J29" t="s">
        <v>133</v>
      </c>
      <c r="K29" t="s">
        <v>50</v>
      </c>
      <c r="L29" t="s">
        <v>30</v>
      </c>
      <c r="M29" t="s">
        <v>22</v>
      </c>
    </row>
    <row r="30" spans="1:13" x14ac:dyDescent="0.35">
      <c r="A30" t="s">
        <v>134</v>
      </c>
      <c r="B30" s="9">
        <v>46203</v>
      </c>
      <c r="C30" t="s">
        <v>135</v>
      </c>
      <c r="D30" t="s">
        <v>53</v>
      </c>
      <c r="E30" t="s">
        <v>16</v>
      </c>
      <c r="F30" t="s">
        <v>47</v>
      </c>
      <c r="G30" t="s">
        <v>48</v>
      </c>
      <c r="H30">
        <v>3</v>
      </c>
      <c r="I30" t="s">
        <v>136</v>
      </c>
      <c r="J30" t="s">
        <v>137</v>
      </c>
      <c r="K30" t="s">
        <v>50</v>
      </c>
      <c r="L30" t="s">
        <v>30</v>
      </c>
      <c r="M30" t="s">
        <v>22</v>
      </c>
    </row>
    <row r="31" spans="1:13" x14ac:dyDescent="0.35">
      <c r="A31" t="s">
        <v>138</v>
      </c>
      <c r="B31" s="9">
        <v>46116</v>
      </c>
      <c r="C31" t="s">
        <v>139</v>
      </c>
      <c r="D31" t="s">
        <v>66</v>
      </c>
      <c r="E31" t="s">
        <v>25</v>
      </c>
      <c r="F31" t="s">
        <v>26</v>
      </c>
      <c r="G31" t="s">
        <v>27</v>
      </c>
      <c r="H31">
        <v>1</v>
      </c>
      <c r="I31" t="s">
        <v>140</v>
      </c>
      <c r="J31" t="s">
        <v>20</v>
      </c>
      <c r="K31">
        <v>520</v>
      </c>
      <c r="L31" t="s">
        <v>30</v>
      </c>
      <c r="M31" t="s">
        <v>22</v>
      </c>
    </row>
    <row r="32" spans="1:13" x14ac:dyDescent="0.35">
      <c r="A32" t="s">
        <v>141</v>
      </c>
      <c r="B32" s="9">
        <v>46094</v>
      </c>
      <c r="C32" t="s">
        <v>142</v>
      </c>
      <c r="D32" t="s">
        <v>116</v>
      </c>
      <c r="E32" t="s">
        <v>67</v>
      </c>
      <c r="F32" t="s">
        <v>42</v>
      </c>
      <c r="G32" t="s">
        <v>43</v>
      </c>
      <c r="H32">
        <v>2</v>
      </c>
      <c r="I32" t="s">
        <v>79</v>
      </c>
      <c r="J32" t="s">
        <v>143</v>
      </c>
      <c r="K32">
        <v>190</v>
      </c>
      <c r="L32" t="s">
        <v>30</v>
      </c>
      <c r="M32" t="s">
        <v>22</v>
      </c>
    </row>
    <row r="33" spans="1:13" x14ac:dyDescent="0.35">
      <c r="A33" t="s">
        <v>144</v>
      </c>
      <c r="B33" s="9">
        <v>46039</v>
      </c>
      <c r="C33" t="s">
        <v>145</v>
      </c>
      <c r="D33" t="s">
        <v>40</v>
      </c>
      <c r="E33" t="s">
        <v>25</v>
      </c>
      <c r="F33" t="s">
        <v>89</v>
      </c>
      <c r="G33" t="s">
        <v>90</v>
      </c>
      <c r="H33">
        <v>1</v>
      </c>
      <c r="I33" t="s">
        <v>28</v>
      </c>
      <c r="J33" t="s">
        <v>28</v>
      </c>
      <c r="K33">
        <v>640</v>
      </c>
      <c r="L33" t="s">
        <v>30</v>
      </c>
      <c r="M33" t="s">
        <v>22</v>
      </c>
    </row>
    <row r="34" spans="1:13" x14ac:dyDescent="0.35">
      <c r="A34" t="s">
        <v>146</v>
      </c>
      <c r="B34" s="9">
        <v>46113</v>
      </c>
      <c r="C34" t="s">
        <v>147</v>
      </c>
      <c r="D34" t="s">
        <v>40</v>
      </c>
      <c r="E34" t="s">
        <v>41</v>
      </c>
      <c r="F34" t="s">
        <v>83</v>
      </c>
      <c r="G34" t="s">
        <v>84</v>
      </c>
      <c r="H34">
        <v>-2</v>
      </c>
      <c r="I34" t="s">
        <v>19</v>
      </c>
      <c r="J34" t="s">
        <v>148</v>
      </c>
      <c r="K34">
        <v>340</v>
      </c>
      <c r="L34" t="s">
        <v>30</v>
      </c>
      <c r="M34" t="s">
        <v>22</v>
      </c>
    </row>
    <row r="35" spans="1:13" x14ac:dyDescent="0.35">
      <c r="A35" t="s">
        <v>149</v>
      </c>
      <c r="B35" s="9">
        <v>46068</v>
      </c>
      <c r="C35" t="s">
        <v>150</v>
      </c>
      <c r="D35" t="s">
        <v>99</v>
      </c>
      <c r="E35" t="s">
        <v>34</v>
      </c>
      <c r="F35" t="s">
        <v>89</v>
      </c>
      <c r="G35" t="s">
        <v>90</v>
      </c>
      <c r="H35">
        <v>2</v>
      </c>
      <c r="I35" t="s">
        <v>151</v>
      </c>
      <c r="J35" t="s">
        <v>152</v>
      </c>
      <c r="K35">
        <v>640</v>
      </c>
      <c r="L35" t="s">
        <v>21</v>
      </c>
      <c r="M35" t="s">
        <v>22</v>
      </c>
    </row>
    <row r="36" spans="1:13" x14ac:dyDescent="0.35">
      <c r="A36" t="s">
        <v>153</v>
      </c>
      <c r="B36" s="9">
        <v>46152</v>
      </c>
      <c r="C36" t="s">
        <v>154</v>
      </c>
      <c r="D36" t="s">
        <v>33</v>
      </c>
      <c r="E36" t="s">
        <v>41</v>
      </c>
      <c r="F36" t="s">
        <v>89</v>
      </c>
      <c r="G36" t="s">
        <v>90</v>
      </c>
      <c r="H36">
        <v>2</v>
      </c>
      <c r="I36" t="s">
        <v>155</v>
      </c>
      <c r="J36" t="s">
        <v>156</v>
      </c>
      <c r="K36" t="s">
        <v>108</v>
      </c>
      <c r="L36" t="s">
        <v>30</v>
      </c>
      <c r="M36" t="s">
        <v>22</v>
      </c>
    </row>
    <row r="37" spans="1:13" x14ac:dyDescent="0.35">
      <c r="A37" t="s">
        <v>157</v>
      </c>
      <c r="B37" t="s">
        <v>158</v>
      </c>
      <c r="C37" t="s">
        <v>159</v>
      </c>
      <c r="D37" t="s">
        <v>40</v>
      </c>
      <c r="E37" t="s">
        <v>41</v>
      </c>
      <c r="F37" t="s">
        <v>74</v>
      </c>
      <c r="G37" t="s">
        <v>75</v>
      </c>
      <c r="H37">
        <v>3</v>
      </c>
      <c r="I37" t="s">
        <v>106</v>
      </c>
      <c r="J37" t="s">
        <v>160</v>
      </c>
      <c r="K37">
        <v>410</v>
      </c>
      <c r="L37" t="s">
        <v>30</v>
      </c>
      <c r="M37" t="s">
        <v>22</v>
      </c>
    </row>
    <row r="38" spans="1:13" x14ac:dyDescent="0.35">
      <c r="A38" t="s">
        <v>161</v>
      </c>
      <c r="B38" t="s">
        <v>162</v>
      </c>
      <c r="C38" t="s">
        <v>163</v>
      </c>
      <c r="D38" t="s">
        <v>40</v>
      </c>
      <c r="E38" t="s">
        <v>16</v>
      </c>
      <c r="F38" t="s">
        <v>74</v>
      </c>
      <c r="G38" t="s">
        <v>75</v>
      </c>
      <c r="H38">
        <v>2</v>
      </c>
      <c r="I38" t="s">
        <v>136</v>
      </c>
      <c r="J38" t="s">
        <v>164</v>
      </c>
      <c r="K38" t="s">
        <v>76</v>
      </c>
      <c r="L38" t="s">
        <v>30</v>
      </c>
      <c r="M38" t="s">
        <v>58</v>
      </c>
    </row>
    <row r="39" spans="1:13" x14ac:dyDescent="0.35">
      <c r="A39" t="s">
        <v>165</v>
      </c>
      <c r="B39" s="9">
        <v>46111</v>
      </c>
      <c r="C39" t="s">
        <v>166</v>
      </c>
      <c r="D39" t="s">
        <v>61</v>
      </c>
      <c r="E39" t="s">
        <v>67</v>
      </c>
      <c r="F39" t="s">
        <v>74</v>
      </c>
      <c r="G39" t="s">
        <v>75</v>
      </c>
      <c r="H39">
        <v>1</v>
      </c>
      <c r="I39" t="s">
        <v>106</v>
      </c>
      <c r="J39" t="s">
        <v>106</v>
      </c>
      <c r="K39">
        <v>410</v>
      </c>
      <c r="L39" t="s">
        <v>30</v>
      </c>
      <c r="M39" t="s">
        <v>58</v>
      </c>
    </row>
    <row r="40" spans="1:13" x14ac:dyDescent="0.35">
      <c r="A40" t="s">
        <v>167</v>
      </c>
      <c r="B40" t="s">
        <v>168</v>
      </c>
      <c r="C40" t="s">
        <v>169</v>
      </c>
      <c r="D40" t="s">
        <v>66</v>
      </c>
      <c r="E40" t="s">
        <v>67</v>
      </c>
      <c r="F40" t="s">
        <v>35</v>
      </c>
      <c r="G40" t="s">
        <v>36</v>
      </c>
      <c r="H40">
        <v>1</v>
      </c>
      <c r="I40" t="s">
        <v>170</v>
      </c>
      <c r="J40" t="s">
        <v>170</v>
      </c>
      <c r="K40">
        <v>85</v>
      </c>
      <c r="L40" t="s">
        <v>30</v>
      </c>
      <c r="M40" t="s">
        <v>22</v>
      </c>
    </row>
    <row r="41" spans="1:13" x14ac:dyDescent="0.35">
      <c r="A41" t="s">
        <v>171</v>
      </c>
      <c r="B41" t="s">
        <v>172</v>
      </c>
      <c r="C41" t="s">
        <v>173</v>
      </c>
      <c r="D41" t="s">
        <v>94</v>
      </c>
      <c r="E41" t="s">
        <v>41</v>
      </c>
      <c r="F41" t="s">
        <v>42</v>
      </c>
      <c r="G41" t="s">
        <v>43</v>
      </c>
      <c r="H41">
        <v>1</v>
      </c>
      <c r="I41" t="s">
        <v>71</v>
      </c>
      <c r="J41" t="s">
        <v>71</v>
      </c>
      <c r="K41" t="s">
        <v>111</v>
      </c>
      <c r="L41" t="s">
        <v>30</v>
      </c>
      <c r="M41" t="s">
        <v>22</v>
      </c>
    </row>
    <row r="42" spans="1:13" x14ac:dyDescent="0.35">
      <c r="A42" t="s">
        <v>174</v>
      </c>
      <c r="B42" s="9">
        <v>46193</v>
      </c>
      <c r="C42" t="s">
        <v>175</v>
      </c>
      <c r="D42" t="s">
        <v>66</v>
      </c>
      <c r="E42" t="s">
        <v>41</v>
      </c>
      <c r="F42" t="s">
        <v>74</v>
      </c>
      <c r="G42" t="s">
        <v>75</v>
      </c>
      <c r="H42">
        <v>3</v>
      </c>
      <c r="I42" t="s">
        <v>136</v>
      </c>
      <c r="J42" t="s">
        <v>137</v>
      </c>
      <c r="K42" t="s">
        <v>76</v>
      </c>
      <c r="L42" t="s">
        <v>30</v>
      </c>
      <c r="M42" t="s">
        <v>22</v>
      </c>
    </row>
    <row r="43" spans="1:13" x14ac:dyDescent="0.35">
      <c r="A43" t="s">
        <v>176</v>
      </c>
      <c r="B43" s="9">
        <v>46169</v>
      </c>
      <c r="C43" t="s">
        <v>177</v>
      </c>
      <c r="D43" t="s">
        <v>40</v>
      </c>
      <c r="E43" t="s">
        <v>25</v>
      </c>
      <c r="F43" t="s">
        <v>89</v>
      </c>
      <c r="G43" t="s">
        <v>90</v>
      </c>
      <c r="H43">
        <v>2</v>
      </c>
      <c r="I43" t="s">
        <v>49</v>
      </c>
      <c r="J43" t="s">
        <v>178</v>
      </c>
      <c r="K43" t="s">
        <v>108</v>
      </c>
      <c r="L43" t="s">
        <v>21</v>
      </c>
      <c r="M43" t="s">
        <v>58</v>
      </c>
    </row>
    <row r="44" spans="1:13" x14ac:dyDescent="0.35">
      <c r="A44" t="s">
        <v>179</v>
      </c>
      <c r="B44" s="9">
        <v>46056</v>
      </c>
      <c r="C44" t="s">
        <v>180</v>
      </c>
      <c r="D44" t="s">
        <v>99</v>
      </c>
      <c r="E44" t="s">
        <v>34</v>
      </c>
      <c r="F44" t="s">
        <v>47</v>
      </c>
      <c r="G44" t="s">
        <v>48</v>
      </c>
      <c r="H44">
        <v>2</v>
      </c>
      <c r="I44" t="s">
        <v>102</v>
      </c>
      <c r="J44" t="s">
        <v>181</v>
      </c>
      <c r="K44">
        <v>380</v>
      </c>
      <c r="L44" t="s">
        <v>30</v>
      </c>
      <c r="M44" t="s">
        <v>22</v>
      </c>
    </row>
    <row r="45" spans="1:13" x14ac:dyDescent="0.35">
      <c r="A45" t="s">
        <v>182</v>
      </c>
      <c r="B45" s="9">
        <v>46041</v>
      </c>
      <c r="C45" t="s">
        <v>183</v>
      </c>
      <c r="D45" t="s">
        <v>40</v>
      </c>
      <c r="E45" t="s">
        <v>34</v>
      </c>
      <c r="F45" t="s">
        <v>83</v>
      </c>
      <c r="G45" t="s">
        <v>84</v>
      </c>
      <c r="H45">
        <v>1</v>
      </c>
      <c r="I45" t="s">
        <v>184</v>
      </c>
      <c r="J45" t="s">
        <v>170</v>
      </c>
      <c r="K45">
        <v>340</v>
      </c>
      <c r="L45" t="s">
        <v>30</v>
      </c>
      <c r="M45" t="s">
        <v>22</v>
      </c>
    </row>
    <row r="46" spans="1:13" x14ac:dyDescent="0.35">
      <c r="A46" t="s">
        <v>185</v>
      </c>
      <c r="B46" t="s">
        <v>186</v>
      </c>
      <c r="C46" t="s">
        <v>187</v>
      </c>
      <c r="D46" t="s">
        <v>33</v>
      </c>
      <c r="E46" t="s">
        <v>16</v>
      </c>
      <c r="F46" t="s">
        <v>83</v>
      </c>
      <c r="G46" t="s">
        <v>84</v>
      </c>
      <c r="H46">
        <v>3</v>
      </c>
      <c r="I46" t="s">
        <v>79</v>
      </c>
      <c r="J46" t="s">
        <v>91</v>
      </c>
      <c r="K46" t="s">
        <v>103</v>
      </c>
      <c r="L46" t="s">
        <v>30</v>
      </c>
      <c r="M46" t="s">
        <v>22</v>
      </c>
    </row>
    <row r="47" spans="1:13" x14ac:dyDescent="0.35">
      <c r="A47" t="s">
        <v>188</v>
      </c>
      <c r="B47" s="9">
        <v>46163</v>
      </c>
      <c r="C47" t="s">
        <v>189</v>
      </c>
      <c r="D47" t="s">
        <v>61</v>
      </c>
      <c r="E47" t="s">
        <v>67</v>
      </c>
      <c r="F47" t="s">
        <v>74</v>
      </c>
      <c r="G47" t="s">
        <v>75</v>
      </c>
      <c r="H47">
        <v>2</v>
      </c>
      <c r="I47" t="s">
        <v>79</v>
      </c>
      <c r="J47" t="s">
        <v>143</v>
      </c>
      <c r="K47" t="s">
        <v>76</v>
      </c>
      <c r="L47" t="s">
        <v>30</v>
      </c>
      <c r="M47" t="s">
        <v>22</v>
      </c>
    </row>
    <row r="48" spans="1:13" x14ac:dyDescent="0.35">
      <c r="A48" t="s">
        <v>190</v>
      </c>
      <c r="B48" s="9">
        <v>46105</v>
      </c>
      <c r="C48" t="s">
        <v>191</v>
      </c>
      <c r="D48" t="s">
        <v>33</v>
      </c>
      <c r="E48" t="s">
        <v>16</v>
      </c>
      <c r="F48" t="s">
        <v>89</v>
      </c>
      <c r="G48" t="s">
        <v>90</v>
      </c>
      <c r="H48">
        <v>2</v>
      </c>
      <c r="I48" t="s">
        <v>192</v>
      </c>
      <c r="J48" t="s">
        <v>193</v>
      </c>
      <c r="K48">
        <v>640</v>
      </c>
      <c r="L48" t="s">
        <v>30</v>
      </c>
      <c r="M48" t="s">
        <v>58</v>
      </c>
    </row>
    <row r="49" spans="1:13" x14ac:dyDescent="0.35">
      <c r="A49" t="s">
        <v>194</v>
      </c>
      <c r="B49" s="9">
        <v>46101</v>
      </c>
      <c r="C49" t="s">
        <v>195</v>
      </c>
      <c r="D49" t="s">
        <v>61</v>
      </c>
      <c r="E49" t="s">
        <v>67</v>
      </c>
      <c r="F49" t="s">
        <v>74</v>
      </c>
      <c r="G49" t="s">
        <v>75</v>
      </c>
      <c r="H49">
        <v>1</v>
      </c>
      <c r="I49" t="s">
        <v>102</v>
      </c>
      <c r="J49" t="s">
        <v>102</v>
      </c>
      <c r="K49">
        <v>410</v>
      </c>
      <c r="L49" t="s">
        <v>30</v>
      </c>
      <c r="M49" t="s">
        <v>22</v>
      </c>
    </row>
    <row r="50" spans="1:13" x14ac:dyDescent="0.35">
      <c r="A50" t="s">
        <v>196</v>
      </c>
      <c r="B50" s="9">
        <v>46036</v>
      </c>
      <c r="C50" t="s">
        <v>197</v>
      </c>
      <c r="D50" t="s">
        <v>116</v>
      </c>
      <c r="E50" t="s">
        <v>34</v>
      </c>
      <c r="F50" t="s">
        <v>83</v>
      </c>
      <c r="G50" t="s">
        <v>84</v>
      </c>
      <c r="H50">
        <v>1</v>
      </c>
      <c r="I50" t="s">
        <v>71</v>
      </c>
      <c r="J50" t="s">
        <v>71</v>
      </c>
      <c r="K50">
        <v>340</v>
      </c>
      <c r="L50" t="s">
        <v>21</v>
      </c>
      <c r="M50" t="s">
        <v>22</v>
      </c>
    </row>
    <row r="51" spans="1:13" x14ac:dyDescent="0.35">
      <c r="A51" t="s">
        <v>198</v>
      </c>
      <c r="B51" s="9">
        <v>46037</v>
      </c>
      <c r="C51" t="s">
        <v>199</v>
      </c>
      <c r="D51" t="s">
        <v>61</v>
      </c>
      <c r="E51" t="s">
        <v>16</v>
      </c>
      <c r="F51" t="s">
        <v>83</v>
      </c>
      <c r="G51" t="s">
        <v>84</v>
      </c>
      <c r="H51">
        <v>2</v>
      </c>
      <c r="I51" t="s">
        <v>102</v>
      </c>
      <c r="J51" t="s">
        <v>181</v>
      </c>
      <c r="K51">
        <v>340</v>
      </c>
      <c r="L51" t="s">
        <v>30</v>
      </c>
      <c r="M51" t="s">
        <v>22</v>
      </c>
    </row>
    <row r="52" spans="1:13" x14ac:dyDescent="0.35">
      <c r="A52" t="s">
        <v>200</v>
      </c>
      <c r="B52" s="9">
        <v>46155</v>
      </c>
      <c r="C52" t="s">
        <v>201</v>
      </c>
      <c r="D52" t="s">
        <v>99</v>
      </c>
      <c r="E52" t="s">
        <v>41</v>
      </c>
      <c r="F52" t="s">
        <v>42</v>
      </c>
      <c r="G52" t="s">
        <v>43</v>
      </c>
      <c r="H52">
        <v>-1</v>
      </c>
      <c r="I52" t="s">
        <v>106</v>
      </c>
      <c r="J52" t="s">
        <v>202</v>
      </c>
      <c r="K52" t="s">
        <v>111</v>
      </c>
      <c r="L52" t="s">
        <v>30</v>
      </c>
      <c r="M52" t="s">
        <v>22</v>
      </c>
    </row>
    <row r="53" spans="1:13" x14ac:dyDescent="0.35">
      <c r="A53" t="s">
        <v>203</v>
      </c>
      <c r="B53" s="9">
        <v>46192</v>
      </c>
      <c r="C53" t="s">
        <v>204</v>
      </c>
      <c r="D53" t="s">
        <v>46</v>
      </c>
      <c r="E53" t="s">
        <v>25</v>
      </c>
      <c r="F53" t="s">
        <v>35</v>
      </c>
      <c r="G53" t="s">
        <v>36</v>
      </c>
      <c r="H53">
        <v>3</v>
      </c>
      <c r="I53" t="s">
        <v>68</v>
      </c>
      <c r="J53" t="s">
        <v>205</v>
      </c>
      <c r="K53" t="s">
        <v>37</v>
      </c>
      <c r="L53" t="s">
        <v>30</v>
      </c>
      <c r="M53" t="s">
        <v>22</v>
      </c>
    </row>
    <row r="54" spans="1:13" x14ac:dyDescent="0.35">
      <c r="A54" t="s">
        <v>206</v>
      </c>
      <c r="B54" s="9">
        <v>46153</v>
      </c>
      <c r="C54" t="s">
        <v>24</v>
      </c>
      <c r="D54" t="s">
        <v>33</v>
      </c>
      <c r="E54" t="s">
        <v>34</v>
      </c>
      <c r="F54" t="s">
        <v>83</v>
      </c>
      <c r="G54" t="s">
        <v>84</v>
      </c>
      <c r="H54">
        <v>2</v>
      </c>
      <c r="I54" t="s">
        <v>56</v>
      </c>
      <c r="J54" t="s">
        <v>193</v>
      </c>
      <c r="K54" t="s">
        <v>103</v>
      </c>
      <c r="L54" t="s">
        <v>21</v>
      </c>
      <c r="M54" t="s">
        <v>22</v>
      </c>
    </row>
    <row r="55" spans="1:13" x14ac:dyDescent="0.35">
      <c r="A55" t="s">
        <v>207</v>
      </c>
      <c r="B55" s="9">
        <v>46168</v>
      </c>
      <c r="C55" t="s">
        <v>208</v>
      </c>
      <c r="D55" t="s">
        <v>33</v>
      </c>
      <c r="E55" t="s">
        <v>41</v>
      </c>
      <c r="F55" t="s">
        <v>74</v>
      </c>
      <c r="G55" t="s">
        <v>75</v>
      </c>
      <c r="H55">
        <v>3</v>
      </c>
      <c r="I55" t="s">
        <v>68</v>
      </c>
      <c r="J55" t="s">
        <v>205</v>
      </c>
      <c r="K55" t="s">
        <v>76</v>
      </c>
      <c r="L55" t="s">
        <v>30</v>
      </c>
      <c r="M55" t="s">
        <v>58</v>
      </c>
    </row>
    <row r="56" spans="1:13" x14ac:dyDescent="0.35">
      <c r="A56" t="s">
        <v>209</v>
      </c>
      <c r="B56" s="9">
        <v>46038</v>
      </c>
      <c r="C56" t="s">
        <v>210</v>
      </c>
      <c r="D56" t="s">
        <v>94</v>
      </c>
      <c r="E56" t="s">
        <v>16</v>
      </c>
      <c r="F56" t="s">
        <v>47</v>
      </c>
      <c r="G56" t="s">
        <v>48</v>
      </c>
      <c r="H56">
        <v>1</v>
      </c>
      <c r="I56" t="s">
        <v>136</v>
      </c>
      <c r="J56" t="s">
        <v>136</v>
      </c>
      <c r="K56">
        <v>380</v>
      </c>
      <c r="L56" t="s">
        <v>30</v>
      </c>
      <c r="M56" t="s">
        <v>22</v>
      </c>
    </row>
    <row r="57" spans="1:13" x14ac:dyDescent="0.35">
      <c r="A57" t="s">
        <v>211</v>
      </c>
      <c r="B57" s="9">
        <v>46119</v>
      </c>
      <c r="C57" t="s">
        <v>212</v>
      </c>
      <c r="D57" t="s">
        <v>40</v>
      </c>
      <c r="E57" t="s">
        <v>67</v>
      </c>
      <c r="F57" t="s">
        <v>26</v>
      </c>
      <c r="G57" t="s">
        <v>27</v>
      </c>
      <c r="H57">
        <v>2</v>
      </c>
      <c r="I57" t="s">
        <v>136</v>
      </c>
      <c r="J57" t="s">
        <v>164</v>
      </c>
      <c r="K57">
        <v>520</v>
      </c>
      <c r="L57" t="s">
        <v>30</v>
      </c>
      <c r="M57" t="s">
        <v>22</v>
      </c>
    </row>
    <row r="58" spans="1:13" x14ac:dyDescent="0.35">
      <c r="A58" t="s">
        <v>213</v>
      </c>
      <c r="B58" s="9">
        <v>46136</v>
      </c>
      <c r="C58" t="s">
        <v>214</v>
      </c>
      <c r="D58" t="s">
        <v>94</v>
      </c>
      <c r="E58" t="s">
        <v>41</v>
      </c>
      <c r="F58" t="s">
        <v>17</v>
      </c>
      <c r="G58" t="s">
        <v>18</v>
      </c>
      <c r="H58">
        <v>2</v>
      </c>
      <c r="I58" t="s">
        <v>71</v>
      </c>
      <c r="J58" t="s">
        <v>193</v>
      </c>
      <c r="K58" t="s">
        <v>29</v>
      </c>
      <c r="L58" t="s">
        <v>30</v>
      </c>
      <c r="M58" t="s">
        <v>22</v>
      </c>
    </row>
    <row r="59" spans="1:13" x14ac:dyDescent="0.35">
      <c r="A59" t="s">
        <v>215</v>
      </c>
      <c r="B59" s="9">
        <v>46087</v>
      </c>
      <c r="C59" t="s">
        <v>216</v>
      </c>
      <c r="D59" t="s">
        <v>61</v>
      </c>
      <c r="E59" t="s">
        <v>16</v>
      </c>
      <c r="F59" t="s">
        <v>26</v>
      </c>
      <c r="G59" t="s">
        <v>27</v>
      </c>
      <c r="H59">
        <v>1</v>
      </c>
      <c r="I59" t="s">
        <v>217</v>
      </c>
      <c r="J59" t="s">
        <v>85</v>
      </c>
      <c r="K59">
        <v>520</v>
      </c>
      <c r="L59" t="s">
        <v>21</v>
      </c>
      <c r="M59" t="s">
        <v>22</v>
      </c>
    </row>
    <row r="60" spans="1:13" x14ac:dyDescent="0.35">
      <c r="A60" t="s">
        <v>218</v>
      </c>
      <c r="B60" s="9">
        <v>46150</v>
      </c>
      <c r="C60" t="s">
        <v>219</v>
      </c>
      <c r="D60" t="s">
        <v>46</v>
      </c>
      <c r="E60" t="s">
        <v>16</v>
      </c>
      <c r="F60" t="s">
        <v>89</v>
      </c>
      <c r="G60" t="s">
        <v>90</v>
      </c>
      <c r="H60">
        <v>2</v>
      </c>
      <c r="I60" t="s">
        <v>220</v>
      </c>
      <c r="J60" t="s">
        <v>221</v>
      </c>
      <c r="K60" t="s">
        <v>108</v>
      </c>
      <c r="L60" t="s">
        <v>30</v>
      </c>
      <c r="M60" t="s">
        <v>22</v>
      </c>
    </row>
    <row r="61" spans="1:13" x14ac:dyDescent="0.35">
      <c r="A61" t="s">
        <v>222</v>
      </c>
      <c r="B61" s="9">
        <v>46201</v>
      </c>
      <c r="C61" t="s">
        <v>223</v>
      </c>
      <c r="D61" t="s">
        <v>40</v>
      </c>
      <c r="E61" t="s">
        <v>41</v>
      </c>
      <c r="F61" t="s">
        <v>26</v>
      </c>
      <c r="G61" t="s">
        <v>27</v>
      </c>
      <c r="H61">
        <v>1</v>
      </c>
      <c r="I61" t="s">
        <v>56</v>
      </c>
      <c r="J61" t="s">
        <v>56</v>
      </c>
      <c r="K61" t="s">
        <v>29</v>
      </c>
      <c r="L61" t="s">
        <v>21</v>
      </c>
      <c r="M61" t="s">
        <v>22</v>
      </c>
    </row>
    <row r="62" spans="1:13" x14ac:dyDescent="0.35">
      <c r="A62" t="s">
        <v>224</v>
      </c>
      <c r="B62" s="9">
        <v>46205</v>
      </c>
      <c r="C62" t="s">
        <v>225</v>
      </c>
      <c r="D62" t="s">
        <v>66</v>
      </c>
      <c r="E62" t="s">
        <v>16</v>
      </c>
      <c r="F62" t="s">
        <v>35</v>
      </c>
      <c r="G62" t="s">
        <v>36</v>
      </c>
      <c r="H62">
        <v>2</v>
      </c>
      <c r="I62" t="s">
        <v>220</v>
      </c>
      <c r="J62" t="s">
        <v>221</v>
      </c>
      <c r="K62" t="s">
        <v>37</v>
      </c>
      <c r="L62" t="s">
        <v>30</v>
      </c>
      <c r="M62" t="s">
        <v>58</v>
      </c>
    </row>
    <row r="63" spans="1:13" x14ac:dyDescent="0.35">
      <c r="A63" t="s">
        <v>226</v>
      </c>
      <c r="B63" s="9">
        <v>46143</v>
      </c>
      <c r="C63" t="s">
        <v>227</v>
      </c>
      <c r="D63" t="s">
        <v>94</v>
      </c>
      <c r="E63" t="s">
        <v>41</v>
      </c>
      <c r="F63" t="s">
        <v>17</v>
      </c>
      <c r="G63" t="s">
        <v>18</v>
      </c>
      <c r="H63">
        <v>2</v>
      </c>
      <c r="I63" t="s">
        <v>56</v>
      </c>
      <c r="J63" t="s">
        <v>193</v>
      </c>
      <c r="K63" t="s">
        <v>29</v>
      </c>
      <c r="L63" t="s">
        <v>30</v>
      </c>
      <c r="M63" t="s">
        <v>22</v>
      </c>
    </row>
    <row r="64" spans="1:13" x14ac:dyDescent="0.35">
      <c r="A64" t="s">
        <v>228</v>
      </c>
      <c r="B64" s="9">
        <v>46042</v>
      </c>
      <c r="C64" t="s">
        <v>229</v>
      </c>
      <c r="D64" t="s">
        <v>116</v>
      </c>
      <c r="E64" t="s">
        <v>41</v>
      </c>
      <c r="F64" t="s">
        <v>83</v>
      </c>
      <c r="G64" t="s">
        <v>84</v>
      </c>
      <c r="H64">
        <v>3</v>
      </c>
      <c r="I64" t="s">
        <v>136</v>
      </c>
      <c r="J64" t="s">
        <v>137</v>
      </c>
      <c r="K64">
        <v>340</v>
      </c>
      <c r="L64" t="s">
        <v>30</v>
      </c>
      <c r="M64" t="s">
        <v>22</v>
      </c>
    </row>
    <row r="65" spans="1:13" x14ac:dyDescent="0.35">
      <c r="A65" t="s">
        <v>230</v>
      </c>
      <c r="B65" s="9">
        <v>46063</v>
      </c>
      <c r="C65" t="s">
        <v>231</v>
      </c>
      <c r="D65" t="s">
        <v>66</v>
      </c>
      <c r="E65" t="s">
        <v>16</v>
      </c>
      <c r="F65" t="s">
        <v>17</v>
      </c>
      <c r="G65" t="s">
        <v>18</v>
      </c>
      <c r="H65">
        <v>3</v>
      </c>
      <c r="I65" t="s">
        <v>132</v>
      </c>
      <c r="J65" t="s">
        <v>232</v>
      </c>
      <c r="K65">
        <v>520</v>
      </c>
      <c r="L65" t="s">
        <v>30</v>
      </c>
      <c r="M65" t="s">
        <v>22</v>
      </c>
    </row>
    <row r="66" spans="1:13" x14ac:dyDescent="0.35">
      <c r="A66" t="s">
        <v>233</v>
      </c>
      <c r="B66" s="9">
        <v>46270</v>
      </c>
      <c r="C66" t="s">
        <v>234</v>
      </c>
      <c r="D66" t="s">
        <v>15</v>
      </c>
      <c r="E66" t="s">
        <v>67</v>
      </c>
      <c r="F66" t="s">
        <v>83</v>
      </c>
      <c r="G66" t="s">
        <v>84</v>
      </c>
      <c r="H66">
        <v>3</v>
      </c>
      <c r="I66" t="s">
        <v>102</v>
      </c>
      <c r="J66" t="s">
        <v>127</v>
      </c>
      <c r="K66" t="s">
        <v>103</v>
      </c>
      <c r="L66" t="s">
        <v>30</v>
      </c>
      <c r="M66" t="s">
        <v>22</v>
      </c>
    </row>
    <row r="67" spans="1:13" x14ac:dyDescent="0.35">
      <c r="A67" t="s">
        <v>235</v>
      </c>
      <c r="B67" t="s">
        <v>236</v>
      </c>
      <c r="C67" t="s">
        <v>237</v>
      </c>
      <c r="D67" t="s">
        <v>15</v>
      </c>
      <c r="E67" t="s">
        <v>16</v>
      </c>
      <c r="F67" t="s">
        <v>74</v>
      </c>
      <c r="G67" t="s">
        <v>75</v>
      </c>
      <c r="H67">
        <v>2</v>
      </c>
      <c r="I67" t="s">
        <v>19</v>
      </c>
      <c r="J67" t="s">
        <v>238</v>
      </c>
      <c r="K67">
        <v>410</v>
      </c>
      <c r="L67" t="s">
        <v>30</v>
      </c>
      <c r="M67" t="s">
        <v>22</v>
      </c>
    </row>
    <row r="68" spans="1:13" x14ac:dyDescent="0.35">
      <c r="A68" t="s">
        <v>239</v>
      </c>
      <c r="B68" s="9">
        <v>46161</v>
      </c>
      <c r="C68" t="s">
        <v>240</v>
      </c>
      <c r="D68" t="s">
        <v>99</v>
      </c>
      <c r="E68" t="s">
        <v>41</v>
      </c>
      <c r="F68" t="s">
        <v>74</v>
      </c>
      <c r="G68" t="s">
        <v>75</v>
      </c>
      <c r="H68">
        <v>3</v>
      </c>
      <c r="I68" t="s">
        <v>79</v>
      </c>
      <c r="J68" t="s">
        <v>91</v>
      </c>
      <c r="K68" t="s">
        <v>76</v>
      </c>
      <c r="L68" t="s">
        <v>30</v>
      </c>
      <c r="M68" t="s">
        <v>22</v>
      </c>
    </row>
    <row r="69" spans="1:13" x14ac:dyDescent="0.35">
      <c r="A69" t="s">
        <v>241</v>
      </c>
      <c r="B69" t="s">
        <v>242</v>
      </c>
      <c r="C69" t="s">
        <v>243</v>
      </c>
      <c r="D69" t="s">
        <v>15</v>
      </c>
      <c r="E69" t="s">
        <v>67</v>
      </c>
      <c r="F69" t="s">
        <v>47</v>
      </c>
      <c r="G69" t="s">
        <v>48</v>
      </c>
      <c r="H69">
        <v>2</v>
      </c>
      <c r="I69" t="s">
        <v>79</v>
      </c>
      <c r="J69" t="s">
        <v>143</v>
      </c>
      <c r="K69" t="s">
        <v>50</v>
      </c>
      <c r="L69" t="s">
        <v>30</v>
      </c>
      <c r="M69" t="s">
        <v>58</v>
      </c>
    </row>
    <row r="70" spans="1:13" x14ac:dyDescent="0.35">
      <c r="A70" t="s">
        <v>244</v>
      </c>
      <c r="B70" s="9">
        <v>46168</v>
      </c>
      <c r="C70" t="s">
        <v>245</v>
      </c>
      <c r="D70" t="s">
        <v>46</v>
      </c>
      <c r="E70" t="s">
        <v>67</v>
      </c>
      <c r="F70" t="s">
        <v>35</v>
      </c>
      <c r="G70" t="s">
        <v>36</v>
      </c>
      <c r="H70">
        <v>1</v>
      </c>
      <c r="I70" t="s">
        <v>85</v>
      </c>
      <c r="J70" t="s">
        <v>85</v>
      </c>
      <c r="K70" t="s">
        <v>37</v>
      </c>
      <c r="L70" t="s">
        <v>30</v>
      </c>
      <c r="M70" t="s">
        <v>22</v>
      </c>
    </row>
    <row r="71" spans="1:13" x14ac:dyDescent="0.35">
      <c r="A71" t="s">
        <v>246</v>
      </c>
      <c r="B71" s="9">
        <v>46100</v>
      </c>
      <c r="C71" t="s">
        <v>247</v>
      </c>
      <c r="D71" t="s">
        <v>53</v>
      </c>
      <c r="E71" t="s">
        <v>16</v>
      </c>
      <c r="F71" t="s">
        <v>47</v>
      </c>
      <c r="G71" t="s">
        <v>48</v>
      </c>
      <c r="H71">
        <v>2</v>
      </c>
      <c r="I71" t="s">
        <v>68</v>
      </c>
      <c r="J71" t="s">
        <v>248</v>
      </c>
      <c r="K71">
        <v>380</v>
      </c>
      <c r="L71" t="s">
        <v>21</v>
      </c>
      <c r="M71" t="s">
        <v>22</v>
      </c>
    </row>
    <row r="72" spans="1:13" x14ac:dyDescent="0.35">
      <c r="A72" t="s">
        <v>249</v>
      </c>
      <c r="B72" s="9">
        <v>46112</v>
      </c>
      <c r="C72" t="s">
        <v>250</v>
      </c>
      <c r="D72" t="s">
        <v>33</v>
      </c>
      <c r="E72" t="s">
        <v>25</v>
      </c>
      <c r="F72" t="s">
        <v>42</v>
      </c>
      <c r="G72" t="s">
        <v>43</v>
      </c>
      <c r="H72">
        <v>1</v>
      </c>
      <c r="I72" t="s">
        <v>79</v>
      </c>
      <c r="J72" t="s">
        <v>251</v>
      </c>
      <c r="K72">
        <v>190</v>
      </c>
      <c r="L72" t="s">
        <v>30</v>
      </c>
      <c r="M72" t="s">
        <v>58</v>
      </c>
    </row>
    <row r="73" spans="1:13" x14ac:dyDescent="0.35">
      <c r="A73" t="s">
        <v>252</v>
      </c>
      <c r="B73" s="9">
        <v>46158</v>
      </c>
      <c r="C73" t="s">
        <v>253</v>
      </c>
      <c r="D73" t="s">
        <v>46</v>
      </c>
      <c r="E73" t="s">
        <v>25</v>
      </c>
      <c r="F73" t="s">
        <v>74</v>
      </c>
      <c r="G73" t="s">
        <v>75</v>
      </c>
      <c r="H73">
        <v>1</v>
      </c>
      <c r="I73" t="s">
        <v>254</v>
      </c>
      <c r="J73" t="s">
        <v>254</v>
      </c>
      <c r="K73" t="s">
        <v>76</v>
      </c>
      <c r="L73" t="s">
        <v>30</v>
      </c>
      <c r="M73" t="s">
        <v>22</v>
      </c>
    </row>
    <row r="74" spans="1:13" x14ac:dyDescent="0.35">
      <c r="A74" t="s">
        <v>255</v>
      </c>
      <c r="B74" s="9">
        <v>46161</v>
      </c>
      <c r="C74" t="s">
        <v>256</v>
      </c>
      <c r="D74" t="s">
        <v>40</v>
      </c>
      <c r="E74" t="s">
        <v>25</v>
      </c>
      <c r="F74" t="s">
        <v>83</v>
      </c>
      <c r="G74" t="s">
        <v>84</v>
      </c>
      <c r="H74">
        <v>3</v>
      </c>
      <c r="I74" t="s">
        <v>49</v>
      </c>
      <c r="J74" t="s">
        <v>257</v>
      </c>
      <c r="K74" t="s">
        <v>103</v>
      </c>
      <c r="L74" t="s">
        <v>30</v>
      </c>
      <c r="M74" t="s">
        <v>22</v>
      </c>
    </row>
    <row r="75" spans="1:13" x14ac:dyDescent="0.35">
      <c r="A75" t="s">
        <v>258</v>
      </c>
      <c r="B75" t="s">
        <v>259</v>
      </c>
      <c r="C75" t="s">
        <v>260</v>
      </c>
      <c r="D75" t="s">
        <v>46</v>
      </c>
      <c r="E75" t="s">
        <v>41</v>
      </c>
      <c r="F75" t="s">
        <v>42</v>
      </c>
      <c r="G75" t="s">
        <v>43</v>
      </c>
      <c r="H75">
        <v>1</v>
      </c>
      <c r="I75" t="s">
        <v>106</v>
      </c>
      <c r="J75" t="s">
        <v>106</v>
      </c>
      <c r="K75" t="s">
        <v>111</v>
      </c>
      <c r="L75" t="s">
        <v>30</v>
      </c>
      <c r="M75" t="s">
        <v>22</v>
      </c>
    </row>
    <row r="76" spans="1:13" x14ac:dyDescent="0.35">
      <c r="A76" t="s">
        <v>261</v>
      </c>
      <c r="B76" s="9">
        <v>46072</v>
      </c>
      <c r="C76" t="s">
        <v>227</v>
      </c>
      <c r="D76" t="s">
        <v>33</v>
      </c>
      <c r="E76" t="s">
        <v>25</v>
      </c>
      <c r="F76" t="s">
        <v>35</v>
      </c>
      <c r="G76" t="s">
        <v>36</v>
      </c>
      <c r="H76">
        <v>1</v>
      </c>
      <c r="I76" t="s">
        <v>132</v>
      </c>
      <c r="J76" t="s">
        <v>132</v>
      </c>
      <c r="K76">
        <v>85</v>
      </c>
      <c r="L76" t="s">
        <v>30</v>
      </c>
      <c r="M76" t="s">
        <v>22</v>
      </c>
    </row>
    <row r="77" spans="1:13" x14ac:dyDescent="0.35">
      <c r="A77" t="s">
        <v>262</v>
      </c>
      <c r="B77" s="9">
        <v>46082</v>
      </c>
      <c r="C77" t="s">
        <v>263</v>
      </c>
      <c r="D77" t="s">
        <v>15</v>
      </c>
      <c r="E77" t="s">
        <v>41</v>
      </c>
      <c r="F77" t="s">
        <v>89</v>
      </c>
      <c r="G77" t="s">
        <v>90</v>
      </c>
      <c r="H77">
        <v>1</v>
      </c>
      <c r="I77" t="s">
        <v>68</v>
      </c>
      <c r="J77" t="s">
        <v>68</v>
      </c>
      <c r="K77">
        <v>640</v>
      </c>
      <c r="L77" t="s">
        <v>30</v>
      </c>
      <c r="M77" t="s">
        <v>22</v>
      </c>
    </row>
    <row r="78" spans="1:13" x14ac:dyDescent="0.35">
      <c r="A78" t="s">
        <v>264</v>
      </c>
      <c r="B78" s="9">
        <v>46036</v>
      </c>
      <c r="C78" t="s">
        <v>265</v>
      </c>
      <c r="D78" t="s">
        <v>40</v>
      </c>
      <c r="E78" t="s">
        <v>41</v>
      </c>
      <c r="F78" t="s">
        <v>17</v>
      </c>
      <c r="G78" t="s">
        <v>18</v>
      </c>
      <c r="H78">
        <v>2</v>
      </c>
      <c r="I78" t="s">
        <v>266</v>
      </c>
      <c r="J78" t="s">
        <v>267</v>
      </c>
      <c r="K78">
        <v>520</v>
      </c>
      <c r="L78" t="s">
        <v>30</v>
      </c>
      <c r="M78" t="s">
        <v>58</v>
      </c>
    </row>
    <row r="79" spans="1:13" x14ac:dyDescent="0.35">
      <c r="A79" t="s">
        <v>268</v>
      </c>
      <c r="B79" s="9">
        <v>46149</v>
      </c>
      <c r="C79" t="s">
        <v>269</v>
      </c>
      <c r="D79" t="s">
        <v>94</v>
      </c>
      <c r="E79" t="s">
        <v>34</v>
      </c>
      <c r="F79" t="s">
        <v>42</v>
      </c>
      <c r="G79" t="s">
        <v>43</v>
      </c>
      <c r="H79">
        <v>1</v>
      </c>
      <c r="I79" t="s">
        <v>56</v>
      </c>
      <c r="J79" t="s">
        <v>56</v>
      </c>
      <c r="K79" t="s">
        <v>111</v>
      </c>
      <c r="L79" t="s">
        <v>30</v>
      </c>
      <c r="M79" t="s">
        <v>22</v>
      </c>
    </row>
    <row r="80" spans="1:13" x14ac:dyDescent="0.35">
      <c r="A80" t="s">
        <v>270</v>
      </c>
      <c r="B80" s="9">
        <v>46076</v>
      </c>
      <c r="C80" t="s">
        <v>271</v>
      </c>
      <c r="D80" t="s">
        <v>116</v>
      </c>
      <c r="E80" t="s">
        <v>25</v>
      </c>
      <c r="F80" t="s">
        <v>89</v>
      </c>
      <c r="G80" t="s">
        <v>90</v>
      </c>
      <c r="H80">
        <v>2</v>
      </c>
      <c r="I80" t="s">
        <v>220</v>
      </c>
      <c r="J80" t="s">
        <v>221</v>
      </c>
      <c r="K80">
        <v>640</v>
      </c>
      <c r="L80" t="s">
        <v>30</v>
      </c>
      <c r="M80" t="s">
        <v>22</v>
      </c>
    </row>
    <row r="81" spans="1:13" x14ac:dyDescent="0.35">
      <c r="A81" t="s">
        <v>272</v>
      </c>
      <c r="B81" s="9">
        <v>46100</v>
      </c>
      <c r="C81" t="s">
        <v>273</v>
      </c>
      <c r="D81" t="s">
        <v>94</v>
      </c>
      <c r="E81" t="s">
        <v>67</v>
      </c>
      <c r="F81" t="s">
        <v>35</v>
      </c>
      <c r="G81" t="s">
        <v>36</v>
      </c>
      <c r="H81">
        <v>1</v>
      </c>
      <c r="I81" t="s">
        <v>132</v>
      </c>
      <c r="J81" t="s">
        <v>132</v>
      </c>
      <c r="K81">
        <v>85</v>
      </c>
      <c r="L81" t="s">
        <v>21</v>
      </c>
      <c r="M81" t="s">
        <v>22</v>
      </c>
    </row>
    <row r="82" spans="1:13" x14ac:dyDescent="0.35">
      <c r="A82" t="s">
        <v>274</v>
      </c>
      <c r="B82" s="9">
        <v>46146</v>
      </c>
      <c r="C82" t="s">
        <v>275</v>
      </c>
      <c r="D82" t="s">
        <v>40</v>
      </c>
      <c r="E82" t="s">
        <v>41</v>
      </c>
      <c r="F82" t="s">
        <v>17</v>
      </c>
      <c r="G82" t="s">
        <v>18</v>
      </c>
      <c r="H82">
        <v>1</v>
      </c>
      <c r="I82" t="s">
        <v>170</v>
      </c>
      <c r="J82" t="s">
        <v>170</v>
      </c>
      <c r="K82">
        <v>520</v>
      </c>
      <c r="L82" t="s">
        <v>30</v>
      </c>
      <c r="M82" t="s">
        <v>22</v>
      </c>
    </row>
    <row r="83" spans="1:13" x14ac:dyDescent="0.35">
      <c r="A83" t="s">
        <v>276</v>
      </c>
      <c r="B83" s="9">
        <v>46076</v>
      </c>
      <c r="C83" t="s">
        <v>277</v>
      </c>
      <c r="D83" t="s">
        <v>15</v>
      </c>
      <c r="E83" t="s">
        <v>41</v>
      </c>
      <c r="F83" t="s">
        <v>42</v>
      </c>
      <c r="G83" t="s">
        <v>43</v>
      </c>
      <c r="H83">
        <v>1</v>
      </c>
      <c r="I83" t="s">
        <v>28</v>
      </c>
      <c r="J83" t="s">
        <v>28</v>
      </c>
      <c r="K83">
        <v>190</v>
      </c>
      <c r="L83" t="s">
        <v>30</v>
      </c>
      <c r="M83" t="s">
        <v>22</v>
      </c>
    </row>
    <row r="84" spans="1:13" x14ac:dyDescent="0.35">
      <c r="A84" t="s">
        <v>278</v>
      </c>
      <c r="B84" t="s">
        <v>279</v>
      </c>
      <c r="C84" t="s">
        <v>280</v>
      </c>
      <c r="D84" t="s">
        <v>46</v>
      </c>
      <c r="E84" t="s">
        <v>41</v>
      </c>
      <c r="F84" t="s">
        <v>47</v>
      </c>
      <c r="G84" t="s">
        <v>48</v>
      </c>
      <c r="H84">
        <v>-2</v>
      </c>
      <c r="I84" t="s">
        <v>79</v>
      </c>
      <c r="J84" t="s">
        <v>281</v>
      </c>
      <c r="K84" t="s">
        <v>50</v>
      </c>
      <c r="L84" t="s">
        <v>30</v>
      </c>
      <c r="M84" t="s">
        <v>22</v>
      </c>
    </row>
    <row r="85" spans="1:13" x14ac:dyDescent="0.35">
      <c r="A85" t="s">
        <v>282</v>
      </c>
      <c r="B85" s="9">
        <v>46073</v>
      </c>
      <c r="C85" t="s">
        <v>283</v>
      </c>
      <c r="D85" t="s">
        <v>15</v>
      </c>
      <c r="E85" t="s">
        <v>25</v>
      </c>
      <c r="F85" t="s">
        <v>42</v>
      </c>
      <c r="G85" t="s">
        <v>43</v>
      </c>
      <c r="H85">
        <v>1</v>
      </c>
      <c r="I85" t="s">
        <v>132</v>
      </c>
      <c r="J85" t="s">
        <v>132</v>
      </c>
      <c r="K85">
        <v>190</v>
      </c>
      <c r="L85" t="s">
        <v>30</v>
      </c>
      <c r="M85" t="s">
        <v>22</v>
      </c>
    </row>
    <row r="86" spans="1:13" x14ac:dyDescent="0.35">
      <c r="A86" t="s">
        <v>284</v>
      </c>
      <c r="B86" s="9">
        <v>46167</v>
      </c>
      <c r="C86" t="s">
        <v>285</v>
      </c>
      <c r="D86" t="s">
        <v>94</v>
      </c>
      <c r="E86" t="s">
        <v>67</v>
      </c>
      <c r="F86" t="s">
        <v>74</v>
      </c>
      <c r="G86" t="s">
        <v>75</v>
      </c>
      <c r="H86">
        <v>2</v>
      </c>
      <c r="I86" t="s">
        <v>71</v>
      </c>
      <c r="J86" t="s">
        <v>286</v>
      </c>
      <c r="K86" t="s">
        <v>76</v>
      </c>
      <c r="L86" t="s">
        <v>30</v>
      </c>
      <c r="M86" t="s">
        <v>22</v>
      </c>
    </row>
    <row r="87" spans="1:13" x14ac:dyDescent="0.35">
      <c r="A87" t="s">
        <v>287</v>
      </c>
      <c r="B87" s="9">
        <v>46044</v>
      </c>
      <c r="C87" t="s">
        <v>288</v>
      </c>
      <c r="D87" t="s">
        <v>116</v>
      </c>
      <c r="E87" t="s">
        <v>41</v>
      </c>
      <c r="F87" t="s">
        <v>89</v>
      </c>
      <c r="G87" t="s">
        <v>90</v>
      </c>
      <c r="H87">
        <v>3</v>
      </c>
      <c r="I87" t="s">
        <v>106</v>
      </c>
      <c r="J87" t="s">
        <v>160</v>
      </c>
      <c r="K87">
        <v>640</v>
      </c>
      <c r="L87" t="s">
        <v>30</v>
      </c>
      <c r="M87" t="s">
        <v>58</v>
      </c>
    </row>
    <row r="88" spans="1:13" x14ac:dyDescent="0.35">
      <c r="A88" t="s">
        <v>289</v>
      </c>
      <c r="B88" t="s">
        <v>290</v>
      </c>
      <c r="C88" t="s">
        <v>291</v>
      </c>
      <c r="D88" t="s">
        <v>94</v>
      </c>
      <c r="E88" t="s">
        <v>34</v>
      </c>
      <c r="F88" t="s">
        <v>83</v>
      </c>
      <c r="G88" t="s">
        <v>84</v>
      </c>
      <c r="H88">
        <v>3</v>
      </c>
      <c r="I88" t="s">
        <v>132</v>
      </c>
      <c r="J88" t="s">
        <v>232</v>
      </c>
      <c r="K88">
        <v>340</v>
      </c>
      <c r="L88" t="s">
        <v>30</v>
      </c>
      <c r="M88" t="s">
        <v>58</v>
      </c>
    </row>
    <row r="89" spans="1:13" x14ac:dyDescent="0.35">
      <c r="A89" t="s">
        <v>292</v>
      </c>
      <c r="B89" s="9">
        <v>46039</v>
      </c>
      <c r="C89" t="s">
        <v>293</v>
      </c>
      <c r="D89" t="s">
        <v>53</v>
      </c>
      <c r="E89" t="s">
        <v>41</v>
      </c>
      <c r="F89" t="s">
        <v>89</v>
      </c>
      <c r="G89" t="s">
        <v>90</v>
      </c>
      <c r="H89">
        <v>1</v>
      </c>
      <c r="I89" t="s">
        <v>254</v>
      </c>
      <c r="J89" t="s">
        <v>254</v>
      </c>
      <c r="K89">
        <v>640</v>
      </c>
      <c r="L89" t="s">
        <v>21</v>
      </c>
      <c r="M89" t="s">
        <v>22</v>
      </c>
    </row>
    <row r="90" spans="1:13" x14ac:dyDescent="0.35">
      <c r="A90" t="s">
        <v>294</v>
      </c>
      <c r="B90" s="9">
        <v>46088</v>
      </c>
      <c r="C90" t="s">
        <v>295</v>
      </c>
      <c r="D90" t="s">
        <v>46</v>
      </c>
      <c r="E90" t="s">
        <v>25</v>
      </c>
      <c r="F90" t="s">
        <v>35</v>
      </c>
      <c r="G90" t="s">
        <v>36</v>
      </c>
      <c r="H90">
        <v>1</v>
      </c>
      <c r="I90" t="s">
        <v>19</v>
      </c>
      <c r="J90" t="s">
        <v>19</v>
      </c>
      <c r="K90">
        <v>85</v>
      </c>
      <c r="L90" t="s">
        <v>30</v>
      </c>
      <c r="M90" t="s">
        <v>22</v>
      </c>
    </row>
    <row r="91" spans="1:13" x14ac:dyDescent="0.35">
      <c r="A91" t="s">
        <v>296</v>
      </c>
      <c r="B91" s="9">
        <v>46107</v>
      </c>
      <c r="C91" t="s">
        <v>297</v>
      </c>
      <c r="D91" t="s">
        <v>33</v>
      </c>
      <c r="E91" t="s">
        <v>34</v>
      </c>
      <c r="F91" t="s">
        <v>17</v>
      </c>
      <c r="G91" t="s">
        <v>18</v>
      </c>
      <c r="H91">
        <v>1</v>
      </c>
      <c r="I91" t="s">
        <v>102</v>
      </c>
      <c r="J91" t="s">
        <v>102</v>
      </c>
      <c r="K91">
        <v>520</v>
      </c>
      <c r="L91" t="s">
        <v>30</v>
      </c>
      <c r="M91" t="s">
        <v>22</v>
      </c>
    </row>
    <row r="92" spans="1:13" x14ac:dyDescent="0.35">
      <c r="A92" t="s">
        <v>298</v>
      </c>
      <c r="B92" s="9">
        <v>46057</v>
      </c>
      <c r="C92" t="s">
        <v>299</v>
      </c>
      <c r="D92" t="s">
        <v>15</v>
      </c>
      <c r="E92" t="s">
        <v>41</v>
      </c>
      <c r="F92" t="s">
        <v>89</v>
      </c>
      <c r="G92" t="s">
        <v>90</v>
      </c>
      <c r="H92">
        <v>-1</v>
      </c>
      <c r="I92" t="s">
        <v>254</v>
      </c>
      <c r="J92" t="s">
        <v>300</v>
      </c>
      <c r="K92">
        <v>640</v>
      </c>
      <c r="L92" t="s">
        <v>30</v>
      </c>
      <c r="M92" t="s">
        <v>22</v>
      </c>
    </row>
    <row r="93" spans="1:13" x14ac:dyDescent="0.35">
      <c r="A93" t="s">
        <v>301</v>
      </c>
      <c r="B93" s="9">
        <v>46082</v>
      </c>
      <c r="C93" t="s">
        <v>302</v>
      </c>
      <c r="D93" t="s">
        <v>66</v>
      </c>
      <c r="E93" t="s">
        <v>16</v>
      </c>
      <c r="F93" t="s">
        <v>89</v>
      </c>
      <c r="G93" t="s">
        <v>90</v>
      </c>
      <c r="H93">
        <v>-1</v>
      </c>
      <c r="I93" t="s">
        <v>170</v>
      </c>
      <c r="J93" t="s">
        <v>303</v>
      </c>
      <c r="K93">
        <v>640</v>
      </c>
      <c r="L93" t="s">
        <v>30</v>
      </c>
      <c r="M93" t="s">
        <v>22</v>
      </c>
    </row>
    <row r="94" spans="1:13" x14ac:dyDescent="0.35">
      <c r="A94" t="s">
        <v>304</v>
      </c>
      <c r="B94" s="9">
        <v>46184</v>
      </c>
      <c r="C94" t="s">
        <v>305</v>
      </c>
      <c r="D94" t="s">
        <v>15</v>
      </c>
      <c r="E94" t="s">
        <v>67</v>
      </c>
      <c r="F94" t="s">
        <v>74</v>
      </c>
      <c r="G94" t="s">
        <v>75</v>
      </c>
      <c r="H94">
        <v>1</v>
      </c>
      <c r="I94" t="s">
        <v>136</v>
      </c>
      <c r="J94" t="s">
        <v>136</v>
      </c>
      <c r="K94" t="s">
        <v>76</v>
      </c>
      <c r="L94" t="s">
        <v>21</v>
      </c>
      <c r="M94" t="s">
        <v>22</v>
      </c>
    </row>
    <row r="95" spans="1:13" x14ac:dyDescent="0.35">
      <c r="A95" t="s">
        <v>306</v>
      </c>
      <c r="B95" s="9">
        <v>46088</v>
      </c>
      <c r="C95" t="s">
        <v>307</v>
      </c>
      <c r="D95" t="s">
        <v>116</v>
      </c>
      <c r="E95" t="s">
        <v>25</v>
      </c>
      <c r="F95" t="s">
        <v>47</v>
      </c>
      <c r="G95" t="s">
        <v>48</v>
      </c>
      <c r="H95">
        <v>2</v>
      </c>
      <c r="I95" t="s">
        <v>71</v>
      </c>
      <c r="J95" t="s">
        <v>286</v>
      </c>
      <c r="K95">
        <v>380</v>
      </c>
      <c r="L95" t="s">
        <v>21</v>
      </c>
      <c r="M95" t="s">
        <v>58</v>
      </c>
    </row>
    <row r="96" spans="1:13" x14ac:dyDescent="0.35">
      <c r="A96" t="s">
        <v>308</v>
      </c>
      <c r="B96" s="9">
        <v>46087</v>
      </c>
      <c r="C96" t="s">
        <v>309</v>
      </c>
      <c r="D96" t="s">
        <v>66</v>
      </c>
      <c r="E96" t="s">
        <v>41</v>
      </c>
      <c r="F96" t="s">
        <v>74</v>
      </c>
      <c r="G96" t="s">
        <v>75</v>
      </c>
      <c r="H96">
        <v>2</v>
      </c>
      <c r="I96" t="s">
        <v>71</v>
      </c>
      <c r="J96" t="s">
        <v>286</v>
      </c>
      <c r="K96">
        <v>410</v>
      </c>
      <c r="L96" t="s">
        <v>30</v>
      </c>
      <c r="M96" t="s">
        <v>22</v>
      </c>
    </row>
    <row r="97" spans="1:13" x14ac:dyDescent="0.35">
      <c r="A97" t="s">
        <v>109</v>
      </c>
      <c r="B97" s="9">
        <v>46187</v>
      </c>
      <c r="C97" t="s">
        <v>110</v>
      </c>
      <c r="D97" t="s">
        <v>94</v>
      </c>
      <c r="E97" t="s">
        <v>34</v>
      </c>
      <c r="F97" t="s">
        <v>42</v>
      </c>
      <c r="G97" t="s">
        <v>43</v>
      </c>
      <c r="H97">
        <v>1</v>
      </c>
      <c r="I97" t="s">
        <v>19</v>
      </c>
      <c r="J97" t="s">
        <v>19</v>
      </c>
      <c r="K97" t="s">
        <v>111</v>
      </c>
      <c r="L97" t="s">
        <v>30</v>
      </c>
      <c r="M97" t="s">
        <v>22</v>
      </c>
    </row>
    <row r="98" spans="1:13" x14ac:dyDescent="0.35">
      <c r="A98" t="s">
        <v>310</v>
      </c>
      <c r="B98" s="9">
        <v>46141</v>
      </c>
      <c r="C98" t="s">
        <v>311</v>
      </c>
      <c r="D98" t="s">
        <v>66</v>
      </c>
      <c r="E98" t="s">
        <v>16</v>
      </c>
      <c r="F98" t="s">
        <v>26</v>
      </c>
      <c r="G98" t="s">
        <v>27</v>
      </c>
      <c r="H98">
        <v>2</v>
      </c>
      <c r="I98" t="s">
        <v>136</v>
      </c>
      <c r="J98" t="s">
        <v>164</v>
      </c>
      <c r="K98" t="s">
        <v>29</v>
      </c>
      <c r="L98" t="s">
        <v>30</v>
      </c>
      <c r="M98" t="s">
        <v>22</v>
      </c>
    </row>
    <row r="99" spans="1:13" x14ac:dyDescent="0.35">
      <c r="A99" t="s">
        <v>312</v>
      </c>
      <c r="B99" s="9">
        <v>46185</v>
      </c>
      <c r="C99" t="s">
        <v>313</v>
      </c>
      <c r="D99" t="s">
        <v>15</v>
      </c>
      <c r="E99" t="s">
        <v>67</v>
      </c>
      <c r="F99" t="s">
        <v>47</v>
      </c>
      <c r="G99" t="s">
        <v>48</v>
      </c>
      <c r="H99">
        <v>1</v>
      </c>
      <c r="I99" t="s">
        <v>49</v>
      </c>
      <c r="J99" t="s">
        <v>49</v>
      </c>
      <c r="K99" t="s">
        <v>50</v>
      </c>
      <c r="L99" t="s">
        <v>30</v>
      </c>
      <c r="M99" t="s">
        <v>22</v>
      </c>
    </row>
    <row r="100" spans="1:13" x14ac:dyDescent="0.35">
      <c r="A100" t="s">
        <v>314</v>
      </c>
      <c r="B100" s="9">
        <v>46078</v>
      </c>
      <c r="C100" t="s">
        <v>315</v>
      </c>
      <c r="D100" t="s">
        <v>99</v>
      </c>
      <c r="E100" t="s">
        <v>41</v>
      </c>
      <c r="F100" t="s">
        <v>83</v>
      </c>
      <c r="G100" t="s">
        <v>84</v>
      </c>
      <c r="H100">
        <v>2</v>
      </c>
      <c r="I100" t="s">
        <v>28</v>
      </c>
      <c r="J100" t="s">
        <v>316</v>
      </c>
      <c r="K100">
        <v>340</v>
      </c>
      <c r="L100" t="s">
        <v>30</v>
      </c>
      <c r="M100" t="s">
        <v>22</v>
      </c>
    </row>
    <row r="101" spans="1:13" x14ac:dyDescent="0.35">
      <c r="A101" t="s">
        <v>317</v>
      </c>
      <c r="B101" s="9">
        <v>46168</v>
      </c>
      <c r="C101" t="s">
        <v>318</v>
      </c>
      <c r="D101" t="s">
        <v>15</v>
      </c>
      <c r="E101" t="s">
        <v>67</v>
      </c>
      <c r="F101" t="s">
        <v>47</v>
      </c>
      <c r="G101" t="s">
        <v>48</v>
      </c>
      <c r="H101">
        <v>1</v>
      </c>
      <c r="I101" t="s">
        <v>102</v>
      </c>
      <c r="J101" t="s">
        <v>102</v>
      </c>
      <c r="K101" t="s">
        <v>50</v>
      </c>
      <c r="L101" t="s">
        <v>30</v>
      </c>
      <c r="M101" t="s">
        <v>22</v>
      </c>
    </row>
    <row r="102" spans="1:13" x14ac:dyDescent="0.35">
      <c r="A102" t="s">
        <v>319</v>
      </c>
      <c r="B102" s="9">
        <v>46178</v>
      </c>
      <c r="C102" t="s">
        <v>320</v>
      </c>
      <c r="D102" t="s">
        <v>99</v>
      </c>
      <c r="E102" t="s">
        <v>16</v>
      </c>
      <c r="F102" t="s">
        <v>17</v>
      </c>
      <c r="G102" t="s">
        <v>18</v>
      </c>
      <c r="H102">
        <v>2</v>
      </c>
      <c r="I102" t="s">
        <v>170</v>
      </c>
      <c r="J102" t="s">
        <v>152</v>
      </c>
      <c r="K102" t="s">
        <v>29</v>
      </c>
      <c r="L102" t="s">
        <v>30</v>
      </c>
      <c r="M102" t="s">
        <v>22</v>
      </c>
    </row>
    <row r="103" spans="1:13" x14ac:dyDescent="0.35">
      <c r="A103" t="s">
        <v>321</v>
      </c>
      <c r="B103" t="s">
        <v>322</v>
      </c>
      <c r="C103" t="s">
        <v>323</v>
      </c>
      <c r="D103" t="s">
        <v>66</v>
      </c>
      <c r="E103" t="s">
        <v>25</v>
      </c>
      <c r="F103" t="s">
        <v>47</v>
      </c>
      <c r="G103" t="s">
        <v>48</v>
      </c>
      <c r="H103">
        <v>3</v>
      </c>
      <c r="I103" t="s">
        <v>68</v>
      </c>
      <c r="J103" t="s">
        <v>205</v>
      </c>
      <c r="K103">
        <v>380</v>
      </c>
      <c r="L103" t="s">
        <v>30</v>
      </c>
      <c r="M103" t="s">
        <v>22</v>
      </c>
    </row>
    <row r="104" spans="1:13" x14ac:dyDescent="0.35">
      <c r="A104" t="s">
        <v>324</v>
      </c>
      <c r="B104" s="9">
        <v>46198</v>
      </c>
      <c r="C104" t="s">
        <v>325</v>
      </c>
      <c r="D104" t="s">
        <v>94</v>
      </c>
      <c r="E104" t="s">
        <v>34</v>
      </c>
      <c r="F104" t="s">
        <v>83</v>
      </c>
      <c r="G104" t="s">
        <v>84</v>
      </c>
      <c r="H104">
        <v>3</v>
      </c>
      <c r="I104" t="s">
        <v>19</v>
      </c>
      <c r="J104" t="s">
        <v>326</v>
      </c>
      <c r="K104" t="s">
        <v>103</v>
      </c>
      <c r="L104" t="s">
        <v>30</v>
      </c>
      <c r="M104" t="s">
        <v>22</v>
      </c>
    </row>
    <row r="105" spans="1:13" x14ac:dyDescent="0.35">
      <c r="A105" t="s">
        <v>327</v>
      </c>
      <c r="B105" s="9">
        <v>46207</v>
      </c>
      <c r="C105" t="s">
        <v>328</v>
      </c>
      <c r="D105" t="s">
        <v>116</v>
      </c>
      <c r="E105" t="s">
        <v>25</v>
      </c>
      <c r="F105" t="s">
        <v>47</v>
      </c>
      <c r="G105" t="s">
        <v>48</v>
      </c>
      <c r="H105">
        <v>2</v>
      </c>
      <c r="I105" t="s">
        <v>19</v>
      </c>
      <c r="J105" t="s">
        <v>238</v>
      </c>
      <c r="K105" t="s">
        <v>50</v>
      </c>
      <c r="L105" t="s">
        <v>21</v>
      </c>
      <c r="M105" t="s">
        <v>58</v>
      </c>
    </row>
    <row r="106" spans="1:13" x14ac:dyDescent="0.35">
      <c r="A106" t="s">
        <v>329</v>
      </c>
      <c r="B106" s="9">
        <v>46145</v>
      </c>
      <c r="C106" t="s">
        <v>330</v>
      </c>
      <c r="D106" t="s">
        <v>40</v>
      </c>
      <c r="E106" t="s">
        <v>34</v>
      </c>
      <c r="F106" t="s">
        <v>47</v>
      </c>
      <c r="G106" t="s">
        <v>48</v>
      </c>
      <c r="H106">
        <v>2</v>
      </c>
      <c r="I106" t="s">
        <v>132</v>
      </c>
      <c r="J106" t="s">
        <v>133</v>
      </c>
      <c r="K106" t="s">
        <v>50</v>
      </c>
      <c r="L106" t="s">
        <v>30</v>
      </c>
      <c r="M106" t="s">
        <v>22</v>
      </c>
    </row>
    <row r="107" spans="1:13" x14ac:dyDescent="0.35">
      <c r="A107" t="s">
        <v>331</v>
      </c>
      <c r="B107" s="9">
        <v>46134</v>
      </c>
      <c r="C107" t="s">
        <v>332</v>
      </c>
      <c r="D107" t="s">
        <v>99</v>
      </c>
      <c r="E107" t="s">
        <v>25</v>
      </c>
      <c r="F107" t="s">
        <v>42</v>
      </c>
      <c r="G107" t="s">
        <v>43</v>
      </c>
      <c r="H107">
        <v>2</v>
      </c>
      <c r="I107" t="s">
        <v>102</v>
      </c>
      <c r="J107" t="s">
        <v>181</v>
      </c>
      <c r="K107" t="s">
        <v>111</v>
      </c>
      <c r="L107" t="s">
        <v>30</v>
      </c>
      <c r="M107" t="s">
        <v>22</v>
      </c>
    </row>
    <row r="108" spans="1:13" x14ac:dyDescent="0.35">
      <c r="A108" t="s">
        <v>333</v>
      </c>
      <c r="B108" s="9">
        <v>46165</v>
      </c>
      <c r="C108" t="s">
        <v>334</v>
      </c>
      <c r="D108" t="s">
        <v>15</v>
      </c>
      <c r="E108" t="s">
        <v>25</v>
      </c>
      <c r="F108" t="s">
        <v>17</v>
      </c>
      <c r="G108" t="s">
        <v>18</v>
      </c>
      <c r="H108">
        <v>2</v>
      </c>
      <c r="I108" t="s">
        <v>71</v>
      </c>
      <c r="J108" t="s">
        <v>286</v>
      </c>
      <c r="K108" t="s">
        <v>29</v>
      </c>
      <c r="L108" t="s">
        <v>30</v>
      </c>
      <c r="M108" t="s">
        <v>22</v>
      </c>
    </row>
    <row r="109" spans="1:13" x14ac:dyDescent="0.35">
      <c r="A109" t="s">
        <v>335</v>
      </c>
      <c r="B109" t="s">
        <v>336</v>
      </c>
      <c r="C109" t="s">
        <v>337</v>
      </c>
      <c r="D109" t="s">
        <v>40</v>
      </c>
      <c r="E109" t="s">
        <v>25</v>
      </c>
      <c r="F109" t="s">
        <v>26</v>
      </c>
      <c r="G109" t="s">
        <v>27</v>
      </c>
      <c r="H109">
        <v>3</v>
      </c>
      <c r="I109" t="s">
        <v>79</v>
      </c>
      <c r="J109" t="s">
        <v>91</v>
      </c>
      <c r="K109">
        <v>520</v>
      </c>
      <c r="L109" t="s">
        <v>21</v>
      </c>
      <c r="M109" t="s">
        <v>58</v>
      </c>
    </row>
    <row r="110" spans="1:13" x14ac:dyDescent="0.35">
      <c r="A110" t="s">
        <v>338</v>
      </c>
      <c r="B110" t="s">
        <v>339</v>
      </c>
      <c r="C110" t="s">
        <v>340</v>
      </c>
      <c r="D110" t="s">
        <v>66</v>
      </c>
      <c r="E110" t="s">
        <v>67</v>
      </c>
      <c r="F110" t="s">
        <v>17</v>
      </c>
      <c r="G110" t="s">
        <v>18</v>
      </c>
      <c r="H110">
        <v>2</v>
      </c>
      <c r="I110" t="s">
        <v>62</v>
      </c>
      <c r="J110" t="s">
        <v>63</v>
      </c>
      <c r="K110">
        <v>520</v>
      </c>
      <c r="L110" t="s">
        <v>30</v>
      </c>
      <c r="M110" t="s">
        <v>58</v>
      </c>
    </row>
    <row r="111" spans="1:13" x14ac:dyDescent="0.35">
      <c r="A111" t="s">
        <v>341</v>
      </c>
      <c r="B111" s="9">
        <v>46164</v>
      </c>
      <c r="C111" t="s">
        <v>342</v>
      </c>
      <c r="D111" t="s">
        <v>40</v>
      </c>
      <c r="E111" t="s">
        <v>41</v>
      </c>
      <c r="F111" t="s">
        <v>89</v>
      </c>
      <c r="G111" t="s">
        <v>90</v>
      </c>
      <c r="H111">
        <v>2</v>
      </c>
      <c r="I111" t="s">
        <v>151</v>
      </c>
      <c r="J111" t="s">
        <v>152</v>
      </c>
      <c r="K111" t="s">
        <v>108</v>
      </c>
      <c r="L111" t="s">
        <v>30</v>
      </c>
      <c r="M111" t="s">
        <v>22</v>
      </c>
    </row>
    <row r="112" spans="1:13" x14ac:dyDescent="0.35">
      <c r="A112" t="s">
        <v>343</v>
      </c>
      <c r="B112" s="9">
        <v>46102</v>
      </c>
      <c r="C112" t="s">
        <v>344</v>
      </c>
      <c r="D112" t="s">
        <v>116</v>
      </c>
      <c r="E112" t="s">
        <v>67</v>
      </c>
      <c r="F112" t="s">
        <v>89</v>
      </c>
      <c r="G112" t="s">
        <v>90</v>
      </c>
      <c r="H112">
        <v>1</v>
      </c>
      <c r="I112" t="s">
        <v>136</v>
      </c>
      <c r="J112" t="s">
        <v>136</v>
      </c>
      <c r="K112">
        <v>640</v>
      </c>
      <c r="L112" t="s">
        <v>21</v>
      </c>
      <c r="M112" t="s">
        <v>22</v>
      </c>
    </row>
    <row r="113" spans="1:13" x14ac:dyDescent="0.35">
      <c r="A113" t="s">
        <v>345</v>
      </c>
      <c r="B113" s="9">
        <v>46190</v>
      </c>
      <c r="C113" t="s">
        <v>346</v>
      </c>
      <c r="D113" t="s">
        <v>66</v>
      </c>
      <c r="E113" t="s">
        <v>25</v>
      </c>
      <c r="F113" t="s">
        <v>89</v>
      </c>
      <c r="G113" t="s">
        <v>90</v>
      </c>
      <c r="H113">
        <v>1</v>
      </c>
      <c r="I113" t="s">
        <v>19</v>
      </c>
      <c r="J113" t="s">
        <v>19</v>
      </c>
      <c r="K113" t="s">
        <v>108</v>
      </c>
      <c r="L113" t="s">
        <v>30</v>
      </c>
      <c r="M113" t="s">
        <v>22</v>
      </c>
    </row>
    <row r="114" spans="1:13" x14ac:dyDescent="0.35">
      <c r="A114" t="s">
        <v>347</v>
      </c>
      <c r="B114" s="9">
        <v>46050</v>
      </c>
      <c r="C114" t="s">
        <v>348</v>
      </c>
      <c r="D114" t="s">
        <v>46</v>
      </c>
      <c r="E114" t="s">
        <v>67</v>
      </c>
      <c r="F114" t="s">
        <v>35</v>
      </c>
      <c r="G114" t="s">
        <v>36</v>
      </c>
      <c r="H114">
        <v>3</v>
      </c>
      <c r="I114" t="s">
        <v>79</v>
      </c>
      <c r="J114" t="s">
        <v>91</v>
      </c>
      <c r="K114">
        <v>85</v>
      </c>
      <c r="L114" t="s">
        <v>30</v>
      </c>
      <c r="M114" t="s">
        <v>22</v>
      </c>
    </row>
    <row r="115" spans="1:13" x14ac:dyDescent="0.35">
      <c r="A115" t="s">
        <v>349</v>
      </c>
      <c r="B115" s="9">
        <v>46159</v>
      </c>
      <c r="C115" t="s">
        <v>350</v>
      </c>
      <c r="D115" t="s">
        <v>46</v>
      </c>
      <c r="E115" t="s">
        <v>67</v>
      </c>
      <c r="F115" t="s">
        <v>17</v>
      </c>
      <c r="G115" t="s">
        <v>18</v>
      </c>
      <c r="H115">
        <v>1</v>
      </c>
      <c r="I115" t="s">
        <v>19</v>
      </c>
      <c r="J115" t="s">
        <v>19</v>
      </c>
      <c r="K115" t="s">
        <v>29</v>
      </c>
      <c r="L115" t="s">
        <v>30</v>
      </c>
      <c r="M115" t="s">
        <v>58</v>
      </c>
    </row>
    <row r="116" spans="1:13" x14ac:dyDescent="0.35">
      <c r="A116" t="s">
        <v>351</v>
      </c>
      <c r="B116" s="9">
        <v>46029</v>
      </c>
      <c r="C116" t="s">
        <v>352</v>
      </c>
      <c r="D116" t="s">
        <v>40</v>
      </c>
      <c r="E116" t="s">
        <v>16</v>
      </c>
      <c r="F116" t="s">
        <v>35</v>
      </c>
      <c r="G116" t="s">
        <v>36</v>
      </c>
      <c r="H116">
        <v>3</v>
      </c>
      <c r="I116" t="s">
        <v>85</v>
      </c>
      <c r="J116" t="s">
        <v>86</v>
      </c>
      <c r="K116">
        <v>85</v>
      </c>
      <c r="L116" t="s">
        <v>21</v>
      </c>
      <c r="M116" t="s">
        <v>58</v>
      </c>
    </row>
    <row r="117" spans="1:13" x14ac:dyDescent="0.35">
      <c r="A117" t="s">
        <v>353</v>
      </c>
      <c r="B117" s="9">
        <v>46134</v>
      </c>
      <c r="C117" t="s">
        <v>354</v>
      </c>
      <c r="D117" t="s">
        <v>94</v>
      </c>
      <c r="E117" t="s">
        <v>67</v>
      </c>
      <c r="F117" t="s">
        <v>42</v>
      </c>
      <c r="G117" t="s">
        <v>43</v>
      </c>
      <c r="H117">
        <v>1</v>
      </c>
      <c r="I117" t="s">
        <v>79</v>
      </c>
      <c r="J117" t="s">
        <v>79</v>
      </c>
      <c r="K117" t="s">
        <v>111</v>
      </c>
      <c r="L117" t="s">
        <v>30</v>
      </c>
      <c r="M117" t="s">
        <v>22</v>
      </c>
    </row>
    <row r="118" spans="1:13" x14ac:dyDescent="0.35">
      <c r="A118" t="s">
        <v>355</v>
      </c>
      <c r="B118" s="9">
        <v>46198</v>
      </c>
      <c r="C118" t="s">
        <v>356</v>
      </c>
      <c r="D118" t="s">
        <v>94</v>
      </c>
      <c r="E118" t="s">
        <v>16</v>
      </c>
      <c r="F118" t="s">
        <v>17</v>
      </c>
      <c r="G118" t="s">
        <v>18</v>
      </c>
      <c r="H118">
        <v>1</v>
      </c>
      <c r="I118" t="s">
        <v>68</v>
      </c>
      <c r="J118" t="s">
        <v>68</v>
      </c>
      <c r="K118" t="s">
        <v>29</v>
      </c>
      <c r="L118" t="s">
        <v>30</v>
      </c>
      <c r="M118" t="s">
        <v>22</v>
      </c>
    </row>
    <row r="119" spans="1:13" x14ac:dyDescent="0.35">
      <c r="A119" t="s">
        <v>357</v>
      </c>
      <c r="B119" s="9">
        <v>46182</v>
      </c>
      <c r="C119" t="s">
        <v>358</v>
      </c>
      <c r="D119" t="s">
        <v>53</v>
      </c>
      <c r="E119" t="s">
        <v>16</v>
      </c>
      <c r="F119" t="s">
        <v>89</v>
      </c>
      <c r="G119" t="s">
        <v>90</v>
      </c>
      <c r="H119">
        <v>1</v>
      </c>
      <c r="I119" t="s">
        <v>68</v>
      </c>
      <c r="J119" t="s">
        <v>359</v>
      </c>
      <c r="K119" t="s">
        <v>108</v>
      </c>
      <c r="L119" t="s">
        <v>30</v>
      </c>
      <c r="M119" t="s">
        <v>22</v>
      </c>
    </row>
    <row r="120" spans="1:13" x14ac:dyDescent="0.35">
      <c r="A120" t="s">
        <v>360</v>
      </c>
      <c r="B120" s="9">
        <v>46069</v>
      </c>
      <c r="C120" t="s">
        <v>361</v>
      </c>
      <c r="D120" t="s">
        <v>40</v>
      </c>
      <c r="E120" t="s">
        <v>34</v>
      </c>
      <c r="F120" t="s">
        <v>74</v>
      </c>
      <c r="G120" t="s">
        <v>75</v>
      </c>
      <c r="H120">
        <v>1</v>
      </c>
      <c r="I120" t="s">
        <v>362</v>
      </c>
      <c r="J120" t="s">
        <v>68</v>
      </c>
      <c r="K120">
        <v>410</v>
      </c>
      <c r="L120" t="s">
        <v>30</v>
      </c>
      <c r="M120" t="s">
        <v>22</v>
      </c>
    </row>
    <row r="121" spans="1:13" x14ac:dyDescent="0.35">
      <c r="A121" t="s">
        <v>363</v>
      </c>
      <c r="B121" s="9">
        <v>46154</v>
      </c>
      <c r="C121" t="s">
        <v>364</v>
      </c>
      <c r="D121" t="s">
        <v>46</v>
      </c>
      <c r="E121" t="s">
        <v>67</v>
      </c>
      <c r="F121" t="s">
        <v>42</v>
      </c>
      <c r="G121" t="s">
        <v>43</v>
      </c>
      <c r="H121">
        <v>3</v>
      </c>
      <c r="I121" t="s">
        <v>102</v>
      </c>
      <c r="J121" t="s">
        <v>127</v>
      </c>
      <c r="K121" t="s">
        <v>111</v>
      </c>
      <c r="L121" t="s">
        <v>30</v>
      </c>
      <c r="M121" t="s">
        <v>58</v>
      </c>
    </row>
    <row r="122" spans="1:13" x14ac:dyDescent="0.35">
      <c r="A122" t="s">
        <v>365</v>
      </c>
      <c r="B122" s="9">
        <v>46033</v>
      </c>
      <c r="C122" t="s">
        <v>366</v>
      </c>
      <c r="D122" t="s">
        <v>15</v>
      </c>
      <c r="E122" t="s">
        <v>41</v>
      </c>
      <c r="F122" t="s">
        <v>89</v>
      </c>
      <c r="G122" t="s">
        <v>90</v>
      </c>
      <c r="H122">
        <v>1</v>
      </c>
      <c r="I122" t="s">
        <v>220</v>
      </c>
      <c r="J122" t="s">
        <v>220</v>
      </c>
      <c r="K122">
        <v>640</v>
      </c>
      <c r="L122" t="s">
        <v>30</v>
      </c>
      <c r="M122" t="s">
        <v>22</v>
      </c>
    </row>
    <row r="123" spans="1:13" x14ac:dyDescent="0.35">
      <c r="A123" t="s">
        <v>367</v>
      </c>
      <c r="B123" s="9">
        <v>46059</v>
      </c>
      <c r="C123" t="s">
        <v>368</v>
      </c>
      <c r="D123" t="s">
        <v>33</v>
      </c>
      <c r="E123" t="s">
        <v>34</v>
      </c>
      <c r="F123" t="s">
        <v>35</v>
      </c>
      <c r="G123" t="s">
        <v>36</v>
      </c>
      <c r="H123">
        <v>1</v>
      </c>
      <c r="I123" t="s">
        <v>62</v>
      </c>
      <c r="J123" t="s">
        <v>62</v>
      </c>
      <c r="K123">
        <v>85</v>
      </c>
      <c r="L123" t="s">
        <v>30</v>
      </c>
      <c r="M123" t="s">
        <v>58</v>
      </c>
    </row>
    <row r="124" spans="1:13" x14ac:dyDescent="0.35">
      <c r="A124" t="s">
        <v>369</v>
      </c>
      <c r="B124" s="9">
        <v>46043</v>
      </c>
      <c r="C124" t="s">
        <v>370</v>
      </c>
      <c r="D124" t="s">
        <v>40</v>
      </c>
      <c r="E124" t="s">
        <v>25</v>
      </c>
      <c r="F124" t="s">
        <v>17</v>
      </c>
      <c r="G124" t="s">
        <v>18</v>
      </c>
      <c r="H124">
        <v>3</v>
      </c>
      <c r="I124" t="s">
        <v>79</v>
      </c>
      <c r="J124" t="s">
        <v>91</v>
      </c>
      <c r="K124">
        <v>520</v>
      </c>
      <c r="L124" t="s">
        <v>30</v>
      </c>
      <c r="M124" t="s">
        <v>58</v>
      </c>
    </row>
    <row r="125" spans="1:13" x14ac:dyDescent="0.35">
      <c r="A125" t="s">
        <v>371</v>
      </c>
      <c r="B125" s="9">
        <v>46068</v>
      </c>
      <c r="C125" t="s">
        <v>372</v>
      </c>
      <c r="D125" t="s">
        <v>46</v>
      </c>
      <c r="E125" t="s">
        <v>34</v>
      </c>
      <c r="F125" t="s">
        <v>83</v>
      </c>
      <c r="G125" t="s">
        <v>84</v>
      </c>
      <c r="H125">
        <v>2</v>
      </c>
      <c r="I125" t="s">
        <v>79</v>
      </c>
      <c r="J125" t="s">
        <v>143</v>
      </c>
      <c r="K125">
        <v>340</v>
      </c>
      <c r="L125" t="s">
        <v>30</v>
      </c>
      <c r="M125" t="s">
        <v>22</v>
      </c>
    </row>
    <row r="126" spans="1:13" x14ac:dyDescent="0.35">
      <c r="A126" t="s">
        <v>373</v>
      </c>
      <c r="B126" s="9">
        <v>46089</v>
      </c>
      <c r="C126" t="s">
        <v>374</v>
      </c>
      <c r="D126" t="s">
        <v>53</v>
      </c>
      <c r="E126" t="s">
        <v>16</v>
      </c>
      <c r="F126" t="s">
        <v>89</v>
      </c>
      <c r="G126" t="s">
        <v>90</v>
      </c>
      <c r="H126">
        <v>3</v>
      </c>
      <c r="I126" t="s">
        <v>79</v>
      </c>
      <c r="J126" t="s">
        <v>86</v>
      </c>
      <c r="K126">
        <v>640</v>
      </c>
      <c r="L126" t="s">
        <v>30</v>
      </c>
      <c r="M126" t="s">
        <v>22</v>
      </c>
    </row>
    <row r="127" spans="1:13" x14ac:dyDescent="0.35">
      <c r="A127" t="s">
        <v>375</v>
      </c>
      <c r="B127" s="9">
        <v>46122</v>
      </c>
      <c r="C127" t="s">
        <v>376</v>
      </c>
      <c r="D127" t="s">
        <v>99</v>
      </c>
      <c r="E127" t="s">
        <v>25</v>
      </c>
      <c r="F127" t="s">
        <v>42</v>
      </c>
      <c r="G127" t="s">
        <v>43</v>
      </c>
      <c r="H127">
        <v>1</v>
      </c>
      <c r="I127" t="s">
        <v>62</v>
      </c>
      <c r="J127" t="s">
        <v>62</v>
      </c>
      <c r="K127">
        <v>190</v>
      </c>
      <c r="L127" t="s">
        <v>21</v>
      </c>
      <c r="M127" t="s">
        <v>22</v>
      </c>
    </row>
    <row r="128" spans="1:13" x14ac:dyDescent="0.35">
      <c r="A128" t="s">
        <v>377</v>
      </c>
      <c r="B128" s="9">
        <v>46101</v>
      </c>
      <c r="C128" t="s">
        <v>378</v>
      </c>
      <c r="D128" t="s">
        <v>116</v>
      </c>
      <c r="E128" t="s">
        <v>67</v>
      </c>
      <c r="F128" t="s">
        <v>17</v>
      </c>
      <c r="G128" t="s">
        <v>18</v>
      </c>
      <c r="H128">
        <v>3</v>
      </c>
      <c r="I128" t="s">
        <v>71</v>
      </c>
      <c r="J128" t="s">
        <v>379</v>
      </c>
      <c r="K128">
        <v>520</v>
      </c>
      <c r="L128" t="s">
        <v>30</v>
      </c>
      <c r="M128" t="s">
        <v>58</v>
      </c>
    </row>
    <row r="129" spans="1:13" x14ac:dyDescent="0.35">
      <c r="A129" t="s">
        <v>380</v>
      </c>
      <c r="B129" t="s">
        <v>381</v>
      </c>
      <c r="C129" t="s">
        <v>370</v>
      </c>
      <c r="D129" t="s">
        <v>46</v>
      </c>
      <c r="E129" t="s">
        <v>34</v>
      </c>
      <c r="F129" t="s">
        <v>42</v>
      </c>
      <c r="G129" t="s">
        <v>43</v>
      </c>
      <c r="H129">
        <v>1</v>
      </c>
      <c r="I129" t="s">
        <v>132</v>
      </c>
      <c r="J129" t="s">
        <v>132</v>
      </c>
      <c r="K129">
        <v>190</v>
      </c>
      <c r="L129" t="s">
        <v>30</v>
      </c>
      <c r="M129" t="s">
        <v>22</v>
      </c>
    </row>
    <row r="130" spans="1:13" x14ac:dyDescent="0.35">
      <c r="A130" t="s">
        <v>382</v>
      </c>
      <c r="B130" s="9">
        <v>46055</v>
      </c>
      <c r="C130" t="s">
        <v>383</v>
      </c>
      <c r="D130" t="s">
        <v>53</v>
      </c>
      <c r="E130" t="s">
        <v>67</v>
      </c>
      <c r="F130" t="s">
        <v>17</v>
      </c>
      <c r="G130" t="s">
        <v>18</v>
      </c>
      <c r="H130">
        <v>1</v>
      </c>
      <c r="I130" t="s">
        <v>170</v>
      </c>
      <c r="J130" t="s">
        <v>170</v>
      </c>
      <c r="K130">
        <v>520</v>
      </c>
      <c r="L130" t="s">
        <v>30</v>
      </c>
      <c r="M130" t="s">
        <v>22</v>
      </c>
    </row>
    <row r="131" spans="1:13" x14ac:dyDescent="0.35">
      <c r="A131" t="s">
        <v>384</v>
      </c>
      <c r="B131" s="9">
        <v>46109</v>
      </c>
      <c r="C131" t="s">
        <v>385</v>
      </c>
      <c r="D131" t="s">
        <v>53</v>
      </c>
      <c r="E131" t="s">
        <v>25</v>
      </c>
      <c r="F131" t="s">
        <v>74</v>
      </c>
      <c r="G131" t="s">
        <v>75</v>
      </c>
      <c r="H131">
        <v>3</v>
      </c>
      <c r="I131" t="s">
        <v>136</v>
      </c>
      <c r="J131" t="s">
        <v>137</v>
      </c>
      <c r="K131">
        <v>410</v>
      </c>
      <c r="L131" t="s">
        <v>30</v>
      </c>
      <c r="M131" t="s">
        <v>22</v>
      </c>
    </row>
    <row r="132" spans="1:13" x14ac:dyDescent="0.35">
      <c r="A132" t="s">
        <v>386</v>
      </c>
      <c r="B132" s="9">
        <v>46135</v>
      </c>
      <c r="C132" t="s">
        <v>387</v>
      </c>
      <c r="D132" t="s">
        <v>116</v>
      </c>
      <c r="E132" t="s">
        <v>41</v>
      </c>
      <c r="F132" t="s">
        <v>42</v>
      </c>
      <c r="G132" t="s">
        <v>43</v>
      </c>
      <c r="H132">
        <v>2</v>
      </c>
      <c r="I132" t="s">
        <v>106</v>
      </c>
      <c r="J132" t="s">
        <v>107</v>
      </c>
      <c r="K132" t="s">
        <v>111</v>
      </c>
      <c r="L132" t="s">
        <v>30</v>
      </c>
      <c r="M132" t="s">
        <v>22</v>
      </c>
    </row>
    <row r="133" spans="1:13" x14ac:dyDescent="0.35">
      <c r="A133" t="s">
        <v>388</v>
      </c>
      <c r="B133" s="9">
        <v>46038</v>
      </c>
      <c r="C133" t="s">
        <v>389</v>
      </c>
      <c r="D133" t="s">
        <v>15</v>
      </c>
      <c r="E133" t="s">
        <v>67</v>
      </c>
      <c r="F133" t="s">
        <v>83</v>
      </c>
      <c r="G133" t="s">
        <v>84</v>
      </c>
      <c r="H133">
        <v>3</v>
      </c>
      <c r="I133" t="s">
        <v>254</v>
      </c>
      <c r="J133" t="s">
        <v>390</v>
      </c>
      <c r="K133">
        <v>340</v>
      </c>
      <c r="L133" t="s">
        <v>30</v>
      </c>
      <c r="M133" t="s">
        <v>22</v>
      </c>
    </row>
    <row r="134" spans="1:13" x14ac:dyDescent="0.35">
      <c r="A134" t="s">
        <v>391</v>
      </c>
      <c r="B134" s="9">
        <v>46092</v>
      </c>
      <c r="C134" t="s">
        <v>334</v>
      </c>
      <c r="D134" t="s">
        <v>99</v>
      </c>
      <c r="E134" t="s">
        <v>41</v>
      </c>
      <c r="F134" t="s">
        <v>83</v>
      </c>
      <c r="G134" t="s">
        <v>84</v>
      </c>
      <c r="H134">
        <v>1</v>
      </c>
      <c r="I134" t="s">
        <v>71</v>
      </c>
      <c r="J134" t="s">
        <v>71</v>
      </c>
      <c r="K134">
        <v>340</v>
      </c>
      <c r="L134" t="s">
        <v>30</v>
      </c>
      <c r="M134" t="s">
        <v>58</v>
      </c>
    </row>
    <row r="135" spans="1:13" x14ac:dyDescent="0.35">
      <c r="A135" t="s">
        <v>392</v>
      </c>
      <c r="B135" s="9">
        <v>46111</v>
      </c>
      <c r="C135" t="s">
        <v>191</v>
      </c>
      <c r="D135" t="s">
        <v>61</v>
      </c>
      <c r="E135" t="s">
        <v>16</v>
      </c>
      <c r="F135" t="s">
        <v>89</v>
      </c>
      <c r="G135" t="s">
        <v>90</v>
      </c>
      <c r="H135">
        <v>-1</v>
      </c>
      <c r="I135" t="s">
        <v>19</v>
      </c>
      <c r="J135" t="s">
        <v>393</v>
      </c>
      <c r="K135">
        <v>640</v>
      </c>
      <c r="L135" t="s">
        <v>30</v>
      </c>
      <c r="M135" t="s">
        <v>22</v>
      </c>
    </row>
    <row r="136" spans="1:13" x14ac:dyDescent="0.35">
      <c r="A136" t="s">
        <v>394</v>
      </c>
      <c r="B136" s="9">
        <v>46142</v>
      </c>
      <c r="C136" t="s">
        <v>395</v>
      </c>
      <c r="D136" t="s">
        <v>99</v>
      </c>
      <c r="E136" t="s">
        <v>34</v>
      </c>
      <c r="F136" t="s">
        <v>42</v>
      </c>
      <c r="G136" t="s">
        <v>43</v>
      </c>
      <c r="H136">
        <v>3</v>
      </c>
      <c r="I136" t="s">
        <v>85</v>
      </c>
      <c r="J136" t="s">
        <v>86</v>
      </c>
      <c r="K136" t="s">
        <v>111</v>
      </c>
      <c r="L136" t="s">
        <v>30</v>
      </c>
      <c r="M136" t="s">
        <v>22</v>
      </c>
    </row>
    <row r="137" spans="1:13" x14ac:dyDescent="0.35">
      <c r="A137" t="s">
        <v>396</v>
      </c>
      <c r="B137" s="9">
        <v>46142</v>
      </c>
      <c r="C137" t="s">
        <v>397</v>
      </c>
      <c r="D137" t="s">
        <v>46</v>
      </c>
      <c r="E137" t="s">
        <v>16</v>
      </c>
      <c r="F137" t="s">
        <v>17</v>
      </c>
      <c r="G137" t="s">
        <v>18</v>
      </c>
      <c r="H137">
        <v>2</v>
      </c>
      <c r="I137" t="s">
        <v>170</v>
      </c>
      <c r="J137" t="s">
        <v>152</v>
      </c>
      <c r="K137" t="s">
        <v>29</v>
      </c>
      <c r="L137" t="s">
        <v>21</v>
      </c>
      <c r="M137" t="s">
        <v>22</v>
      </c>
    </row>
    <row r="138" spans="1:13" x14ac:dyDescent="0.35">
      <c r="A138" t="s">
        <v>398</v>
      </c>
      <c r="B138" s="9">
        <v>46206</v>
      </c>
      <c r="C138" t="s">
        <v>399</v>
      </c>
      <c r="D138" t="s">
        <v>99</v>
      </c>
      <c r="E138" t="s">
        <v>25</v>
      </c>
      <c r="F138" t="s">
        <v>17</v>
      </c>
      <c r="G138" t="s">
        <v>18</v>
      </c>
      <c r="H138">
        <v>2</v>
      </c>
      <c r="I138" t="s">
        <v>220</v>
      </c>
      <c r="J138" t="s">
        <v>221</v>
      </c>
      <c r="K138" t="s">
        <v>29</v>
      </c>
      <c r="L138" t="s">
        <v>30</v>
      </c>
      <c r="M138" t="s">
        <v>22</v>
      </c>
    </row>
    <row r="139" spans="1:13" x14ac:dyDescent="0.35">
      <c r="A139" t="s">
        <v>400</v>
      </c>
      <c r="B139" s="9">
        <v>46182</v>
      </c>
      <c r="C139" t="s">
        <v>401</v>
      </c>
      <c r="D139" t="s">
        <v>66</v>
      </c>
      <c r="E139" t="s">
        <v>67</v>
      </c>
      <c r="F139" t="s">
        <v>89</v>
      </c>
      <c r="G139" t="s">
        <v>90</v>
      </c>
      <c r="H139">
        <v>2</v>
      </c>
      <c r="I139" t="s">
        <v>62</v>
      </c>
      <c r="J139" t="s">
        <v>63</v>
      </c>
      <c r="K139" t="s">
        <v>108</v>
      </c>
      <c r="L139" t="s">
        <v>30</v>
      </c>
      <c r="M139" t="s">
        <v>22</v>
      </c>
    </row>
    <row r="140" spans="1:13" x14ac:dyDescent="0.35">
      <c r="A140" t="s">
        <v>402</v>
      </c>
      <c r="B140" s="9">
        <v>46171</v>
      </c>
      <c r="C140" t="s">
        <v>403</v>
      </c>
      <c r="D140" t="s">
        <v>53</v>
      </c>
      <c r="E140" t="s">
        <v>25</v>
      </c>
      <c r="F140" t="s">
        <v>89</v>
      </c>
      <c r="G140" t="s">
        <v>90</v>
      </c>
      <c r="H140">
        <v>2</v>
      </c>
      <c r="I140" t="s">
        <v>56</v>
      </c>
      <c r="J140" t="s">
        <v>193</v>
      </c>
      <c r="K140" t="s">
        <v>108</v>
      </c>
      <c r="L140" t="s">
        <v>30</v>
      </c>
      <c r="M140" t="s">
        <v>22</v>
      </c>
    </row>
    <row r="141" spans="1:13" x14ac:dyDescent="0.35">
      <c r="A141" t="s">
        <v>404</v>
      </c>
      <c r="B141" s="9">
        <v>46028</v>
      </c>
      <c r="C141" t="s">
        <v>405</v>
      </c>
      <c r="D141" t="s">
        <v>99</v>
      </c>
      <c r="E141" t="s">
        <v>16</v>
      </c>
      <c r="F141" t="s">
        <v>35</v>
      </c>
      <c r="G141" t="s">
        <v>36</v>
      </c>
      <c r="H141">
        <v>1</v>
      </c>
      <c r="I141" t="s">
        <v>28</v>
      </c>
      <c r="J141" t="s">
        <v>28</v>
      </c>
      <c r="K141">
        <v>85</v>
      </c>
      <c r="L141" t="s">
        <v>30</v>
      </c>
      <c r="M141" t="s">
        <v>58</v>
      </c>
    </row>
    <row r="142" spans="1:13" x14ac:dyDescent="0.35">
      <c r="A142" t="s">
        <v>406</v>
      </c>
      <c r="B142" s="9">
        <v>46161</v>
      </c>
      <c r="C142" t="s">
        <v>214</v>
      </c>
      <c r="D142" t="s">
        <v>61</v>
      </c>
      <c r="E142" t="s">
        <v>16</v>
      </c>
      <c r="F142" t="s">
        <v>74</v>
      </c>
      <c r="G142" t="s">
        <v>75</v>
      </c>
      <c r="H142">
        <v>1</v>
      </c>
      <c r="I142" t="s">
        <v>19</v>
      </c>
      <c r="J142" t="s">
        <v>19</v>
      </c>
      <c r="K142" t="s">
        <v>76</v>
      </c>
      <c r="L142" t="s">
        <v>30</v>
      </c>
      <c r="M142" t="s">
        <v>22</v>
      </c>
    </row>
    <row r="143" spans="1:13" x14ac:dyDescent="0.35">
      <c r="A143" t="s">
        <v>407</v>
      </c>
      <c r="B143" s="9">
        <v>46068</v>
      </c>
      <c r="C143" t="s">
        <v>342</v>
      </c>
      <c r="D143" t="s">
        <v>99</v>
      </c>
      <c r="E143" t="s">
        <v>67</v>
      </c>
      <c r="F143" t="s">
        <v>83</v>
      </c>
      <c r="G143" t="s">
        <v>84</v>
      </c>
      <c r="H143">
        <v>2</v>
      </c>
      <c r="I143" t="s">
        <v>79</v>
      </c>
      <c r="J143" t="s">
        <v>143</v>
      </c>
      <c r="K143">
        <v>340</v>
      </c>
      <c r="L143" t="s">
        <v>21</v>
      </c>
      <c r="M143" t="s">
        <v>22</v>
      </c>
    </row>
    <row r="144" spans="1:13" x14ac:dyDescent="0.35">
      <c r="A144" t="s">
        <v>408</v>
      </c>
      <c r="B144" s="9">
        <v>46132</v>
      </c>
      <c r="C144" t="s">
        <v>409</v>
      </c>
      <c r="D144" t="s">
        <v>46</v>
      </c>
      <c r="E144" t="s">
        <v>16</v>
      </c>
      <c r="F144" t="s">
        <v>17</v>
      </c>
      <c r="G144" t="s">
        <v>18</v>
      </c>
      <c r="H144">
        <v>3</v>
      </c>
      <c r="I144" t="s">
        <v>71</v>
      </c>
      <c r="J144" t="s">
        <v>379</v>
      </c>
      <c r="K144" t="s">
        <v>29</v>
      </c>
      <c r="L144" t="s">
        <v>30</v>
      </c>
      <c r="M144" t="s">
        <v>58</v>
      </c>
    </row>
    <row r="145" spans="1:13" x14ac:dyDescent="0.35">
      <c r="A145" t="s">
        <v>410</v>
      </c>
      <c r="B145" s="9">
        <v>46155</v>
      </c>
      <c r="C145" t="s">
        <v>245</v>
      </c>
      <c r="D145" t="s">
        <v>15</v>
      </c>
      <c r="E145" t="s">
        <v>41</v>
      </c>
      <c r="F145" t="s">
        <v>83</v>
      </c>
      <c r="G145" t="s">
        <v>84</v>
      </c>
      <c r="H145">
        <v>1</v>
      </c>
      <c r="I145" t="s">
        <v>68</v>
      </c>
      <c r="J145" t="s">
        <v>68</v>
      </c>
      <c r="K145" t="s">
        <v>103</v>
      </c>
      <c r="L145" t="s">
        <v>30</v>
      </c>
      <c r="M145" t="s">
        <v>22</v>
      </c>
    </row>
    <row r="146" spans="1:13" x14ac:dyDescent="0.35">
      <c r="A146" t="s">
        <v>411</v>
      </c>
      <c r="B146" s="9">
        <v>46180</v>
      </c>
      <c r="C146" t="s">
        <v>412</v>
      </c>
      <c r="D146" t="s">
        <v>61</v>
      </c>
      <c r="E146" t="s">
        <v>16</v>
      </c>
      <c r="F146" t="s">
        <v>26</v>
      </c>
      <c r="G146" t="s">
        <v>27</v>
      </c>
      <c r="H146">
        <v>1</v>
      </c>
      <c r="I146" t="s">
        <v>28</v>
      </c>
      <c r="J146" t="s">
        <v>28</v>
      </c>
      <c r="K146" t="s">
        <v>29</v>
      </c>
      <c r="L146" t="s">
        <v>30</v>
      </c>
      <c r="M146" t="s">
        <v>22</v>
      </c>
    </row>
    <row r="147" spans="1:13" x14ac:dyDescent="0.35">
      <c r="A147" t="s">
        <v>413</v>
      </c>
      <c r="B147" s="9">
        <v>46144</v>
      </c>
      <c r="C147" t="s">
        <v>414</v>
      </c>
      <c r="D147" t="s">
        <v>33</v>
      </c>
      <c r="E147" t="s">
        <v>41</v>
      </c>
      <c r="F147" t="s">
        <v>42</v>
      </c>
      <c r="G147" t="s">
        <v>43</v>
      </c>
      <c r="H147">
        <v>2</v>
      </c>
      <c r="I147" t="s">
        <v>85</v>
      </c>
      <c r="J147" t="s">
        <v>267</v>
      </c>
      <c r="K147" t="s">
        <v>111</v>
      </c>
      <c r="L147" t="s">
        <v>30</v>
      </c>
      <c r="M147" t="s">
        <v>22</v>
      </c>
    </row>
    <row r="148" spans="1:13" x14ac:dyDescent="0.35">
      <c r="A148" t="s">
        <v>415</v>
      </c>
      <c r="B148" s="9">
        <v>46077</v>
      </c>
      <c r="C148" t="s">
        <v>416</v>
      </c>
      <c r="D148" t="s">
        <v>61</v>
      </c>
      <c r="E148" t="s">
        <v>25</v>
      </c>
      <c r="F148" t="s">
        <v>26</v>
      </c>
      <c r="G148" t="s">
        <v>27</v>
      </c>
      <c r="H148">
        <v>1</v>
      </c>
      <c r="I148" t="s">
        <v>19</v>
      </c>
      <c r="J148" t="s">
        <v>19</v>
      </c>
      <c r="K148">
        <v>520</v>
      </c>
      <c r="L148" t="s">
        <v>30</v>
      </c>
      <c r="M148" t="s">
        <v>22</v>
      </c>
    </row>
    <row r="149" spans="1:13" x14ac:dyDescent="0.35">
      <c r="A149" t="s">
        <v>417</v>
      </c>
      <c r="B149" s="9">
        <v>46089</v>
      </c>
      <c r="C149" t="s">
        <v>418</v>
      </c>
      <c r="D149" t="s">
        <v>33</v>
      </c>
      <c r="E149" t="s">
        <v>67</v>
      </c>
      <c r="F149" t="s">
        <v>17</v>
      </c>
      <c r="G149" t="s">
        <v>18</v>
      </c>
      <c r="H149">
        <v>1</v>
      </c>
      <c r="I149" t="s">
        <v>106</v>
      </c>
      <c r="J149" t="s">
        <v>106</v>
      </c>
      <c r="K149">
        <v>520</v>
      </c>
      <c r="L149" t="s">
        <v>30</v>
      </c>
      <c r="M149" t="s">
        <v>22</v>
      </c>
    </row>
    <row r="150" spans="1:13" x14ac:dyDescent="0.35">
      <c r="A150" t="s">
        <v>419</v>
      </c>
      <c r="B150" s="9">
        <v>46086</v>
      </c>
      <c r="C150" t="s">
        <v>420</v>
      </c>
      <c r="D150" t="s">
        <v>94</v>
      </c>
      <c r="E150" t="s">
        <v>25</v>
      </c>
      <c r="F150" t="s">
        <v>42</v>
      </c>
      <c r="G150" t="s">
        <v>43</v>
      </c>
      <c r="H150">
        <v>-2</v>
      </c>
      <c r="I150" t="s">
        <v>79</v>
      </c>
      <c r="J150" t="s">
        <v>281</v>
      </c>
      <c r="K150">
        <v>190</v>
      </c>
      <c r="L150" t="s">
        <v>30</v>
      </c>
      <c r="M150" t="s">
        <v>22</v>
      </c>
    </row>
    <row r="151" spans="1:13" x14ac:dyDescent="0.35">
      <c r="A151" t="s">
        <v>421</v>
      </c>
      <c r="B151" s="9">
        <v>46137</v>
      </c>
      <c r="C151" t="s">
        <v>422</v>
      </c>
      <c r="D151" t="s">
        <v>53</v>
      </c>
      <c r="E151" t="s">
        <v>41</v>
      </c>
      <c r="F151" t="s">
        <v>74</v>
      </c>
      <c r="G151" t="s">
        <v>75</v>
      </c>
      <c r="H151">
        <v>1</v>
      </c>
      <c r="I151" t="s">
        <v>19</v>
      </c>
      <c r="J151" t="s">
        <v>19</v>
      </c>
      <c r="K151" t="s">
        <v>76</v>
      </c>
      <c r="L151" t="s">
        <v>30</v>
      </c>
      <c r="M151" t="s">
        <v>58</v>
      </c>
    </row>
    <row r="152" spans="1:13" x14ac:dyDescent="0.35">
      <c r="A152" t="s">
        <v>423</v>
      </c>
      <c r="B152" t="s">
        <v>424</v>
      </c>
      <c r="C152" t="s">
        <v>425</v>
      </c>
      <c r="D152" t="s">
        <v>33</v>
      </c>
      <c r="E152" t="s">
        <v>67</v>
      </c>
      <c r="F152" t="s">
        <v>89</v>
      </c>
      <c r="G152" t="s">
        <v>90</v>
      </c>
      <c r="H152">
        <v>2</v>
      </c>
      <c r="I152" t="s">
        <v>426</v>
      </c>
      <c r="J152" t="s">
        <v>316</v>
      </c>
      <c r="K152">
        <v>640</v>
      </c>
      <c r="L152" t="s">
        <v>30</v>
      </c>
      <c r="M152" t="s">
        <v>22</v>
      </c>
    </row>
    <row r="153" spans="1:13" x14ac:dyDescent="0.35">
      <c r="A153" t="s">
        <v>427</v>
      </c>
      <c r="B153" s="9">
        <v>46155</v>
      </c>
      <c r="C153" t="s">
        <v>428</v>
      </c>
      <c r="D153" t="s">
        <v>94</v>
      </c>
      <c r="E153" t="s">
        <v>67</v>
      </c>
      <c r="F153" t="s">
        <v>74</v>
      </c>
      <c r="G153" t="s">
        <v>75</v>
      </c>
      <c r="H153">
        <v>3</v>
      </c>
      <c r="I153" t="s">
        <v>85</v>
      </c>
      <c r="J153" t="s">
        <v>86</v>
      </c>
      <c r="K153" t="s">
        <v>76</v>
      </c>
      <c r="L153" t="s">
        <v>30</v>
      </c>
      <c r="M153" t="s">
        <v>22</v>
      </c>
    </row>
    <row r="154" spans="1:13" x14ac:dyDescent="0.35">
      <c r="A154" t="s">
        <v>429</v>
      </c>
      <c r="B154" s="9">
        <v>46031</v>
      </c>
      <c r="C154" t="s">
        <v>430</v>
      </c>
      <c r="D154" t="s">
        <v>46</v>
      </c>
      <c r="E154" t="s">
        <v>16</v>
      </c>
      <c r="F154" t="s">
        <v>42</v>
      </c>
      <c r="G154" t="s">
        <v>43</v>
      </c>
      <c r="H154">
        <v>1</v>
      </c>
      <c r="I154" t="s">
        <v>132</v>
      </c>
      <c r="J154" t="s">
        <v>132</v>
      </c>
      <c r="K154">
        <v>190</v>
      </c>
      <c r="L154" t="s">
        <v>30</v>
      </c>
      <c r="M154" t="s">
        <v>58</v>
      </c>
    </row>
    <row r="155" spans="1:13" x14ac:dyDescent="0.35">
      <c r="A155" t="s">
        <v>431</v>
      </c>
      <c r="B155" s="9">
        <v>46164</v>
      </c>
      <c r="C155" t="s">
        <v>216</v>
      </c>
      <c r="D155" t="s">
        <v>46</v>
      </c>
      <c r="E155" t="s">
        <v>16</v>
      </c>
      <c r="F155" t="s">
        <v>47</v>
      </c>
      <c r="G155" t="s">
        <v>48</v>
      </c>
      <c r="H155">
        <v>3</v>
      </c>
      <c r="I155" t="s">
        <v>132</v>
      </c>
      <c r="J155" t="s">
        <v>232</v>
      </c>
      <c r="K155" t="s">
        <v>50</v>
      </c>
      <c r="L155" t="s">
        <v>21</v>
      </c>
      <c r="M155" t="s">
        <v>22</v>
      </c>
    </row>
    <row r="156" spans="1:13" x14ac:dyDescent="0.35">
      <c r="A156" t="s">
        <v>432</v>
      </c>
      <c r="B156" s="9">
        <v>46199</v>
      </c>
      <c r="C156" t="s">
        <v>433</v>
      </c>
      <c r="D156" t="s">
        <v>40</v>
      </c>
      <c r="E156" t="s">
        <v>25</v>
      </c>
      <c r="F156" t="s">
        <v>35</v>
      </c>
      <c r="G156" t="s">
        <v>36</v>
      </c>
      <c r="H156">
        <v>1</v>
      </c>
      <c r="I156" t="s">
        <v>79</v>
      </c>
      <c r="J156" t="s">
        <v>79</v>
      </c>
      <c r="K156" t="s">
        <v>37</v>
      </c>
      <c r="L156" t="s">
        <v>30</v>
      </c>
      <c r="M156" t="s">
        <v>58</v>
      </c>
    </row>
    <row r="157" spans="1:13" x14ac:dyDescent="0.35">
      <c r="A157" t="s">
        <v>434</v>
      </c>
      <c r="B157" s="9">
        <v>46029</v>
      </c>
      <c r="C157" t="s">
        <v>435</v>
      </c>
      <c r="D157" t="s">
        <v>116</v>
      </c>
      <c r="E157" t="s">
        <v>25</v>
      </c>
      <c r="F157" t="s">
        <v>47</v>
      </c>
      <c r="G157" t="s">
        <v>48</v>
      </c>
      <c r="H157">
        <v>3</v>
      </c>
      <c r="I157" t="s">
        <v>436</v>
      </c>
      <c r="J157" t="s">
        <v>437</v>
      </c>
      <c r="K157">
        <v>380</v>
      </c>
      <c r="L157" t="s">
        <v>30</v>
      </c>
      <c r="M157" t="s">
        <v>22</v>
      </c>
    </row>
    <row r="158" spans="1:13" x14ac:dyDescent="0.35">
      <c r="A158" t="s">
        <v>438</v>
      </c>
      <c r="B158" s="9">
        <v>46082</v>
      </c>
      <c r="C158" t="s">
        <v>439</v>
      </c>
      <c r="D158" t="s">
        <v>116</v>
      </c>
      <c r="E158" t="s">
        <v>34</v>
      </c>
      <c r="F158" t="s">
        <v>74</v>
      </c>
      <c r="G158" t="s">
        <v>75</v>
      </c>
      <c r="H158">
        <v>3</v>
      </c>
      <c r="I158" t="s">
        <v>136</v>
      </c>
      <c r="J158" t="s">
        <v>137</v>
      </c>
      <c r="K158">
        <v>410</v>
      </c>
      <c r="L158" t="s">
        <v>30</v>
      </c>
      <c r="M158" t="s">
        <v>22</v>
      </c>
    </row>
    <row r="159" spans="1:13" x14ac:dyDescent="0.35">
      <c r="A159" t="s">
        <v>440</v>
      </c>
      <c r="B159" s="9">
        <v>46058</v>
      </c>
      <c r="C159" t="s">
        <v>441</v>
      </c>
      <c r="D159" t="s">
        <v>116</v>
      </c>
      <c r="E159" t="s">
        <v>16</v>
      </c>
      <c r="F159" t="s">
        <v>74</v>
      </c>
      <c r="G159" t="s">
        <v>75</v>
      </c>
      <c r="H159">
        <v>1</v>
      </c>
      <c r="I159" t="s">
        <v>136</v>
      </c>
      <c r="J159" t="s">
        <v>136</v>
      </c>
      <c r="K159">
        <v>410</v>
      </c>
      <c r="L159" t="s">
        <v>30</v>
      </c>
      <c r="M159" t="s">
        <v>58</v>
      </c>
    </row>
    <row r="160" spans="1:13" x14ac:dyDescent="0.35">
      <c r="A160" t="s">
        <v>442</v>
      </c>
      <c r="B160" s="9">
        <v>46039</v>
      </c>
      <c r="C160" t="s">
        <v>443</v>
      </c>
      <c r="D160" t="s">
        <v>53</v>
      </c>
      <c r="E160" t="s">
        <v>16</v>
      </c>
      <c r="F160" t="s">
        <v>42</v>
      </c>
      <c r="G160" t="s">
        <v>43</v>
      </c>
      <c r="H160">
        <v>1</v>
      </c>
      <c r="I160" t="s">
        <v>106</v>
      </c>
      <c r="J160" t="s">
        <v>106</v>
      </c>
      <c r="K160">
        <v>190</v>
      </c>
      <c r="L160" t="s">
        <v>30</v>
      </c>
      <c r="M160" t="s">
        <v>58</v>
      </c>
    </row>
    <row r="161" spans="1:13" x14ac:dyDescent="0.35">
      <c r="A161" t="s">
        <v>444</v>
      </c>
      <c r="B161" s="9">
        <v>46329</v>
      </c>
      <c r="C161" t="s">
        <v>445</v>
      </c>
      <c r="D161" t="s">
        <v>66</v>
      </c>
      <c r="E161" t="s">
        <v>34</v>
      </c>
      <c r="F161" t="s">
        <v>74</v>
      </c>
      <c r="G161" t="s">
        <v>75</v>
      </c>
      <c r="H161">
        <v>1</v>
      </c>
      <c r="I161" t="s">
        <v>132</v>
      </c>
      <c r="J161" t="s">
        <v>132</v>
      </c>
      <c r="K161">
        <v>410</v>
      </c>
      <c r="L161" t="s">
        <v>30</v>
      </c>
      <c r="M161" t="s">
        <v>58</v>
      </c>
    </row>
    <row r="162" spans="1:13" x14ac:dyDescent="0.35">
      <c r="A162" t="s">
        <v>446</v>
      </c>
      <c r="B162" s="9">
        <v>46057</v>
      </c>
      <c r="C162" t="s">
        <v>447</v>
      </c>
      <c r="D162" t="s">
        <v>46</v>
      </c>
      <c r="E162" t="s">
        <v>25</v>
      </c>
      <c r="F162" t="s">
        <v>74</v>
      </c>
      <c r="G162" t="s">
        <v>75</v>
      </c>
      <c r="H162">
        <v>2</v>
      </c>
      <c r="I162" t="s">
        <v>136</v>
      </c>
      <c r="J162" t="s">
        <v>448</v>
      </c>
      <c r="K162">
        <v>410</v>
      </c>
      <c r="L162" t="s">
        <v>30</v>
      </c>
      <c r="M162" t="s">
        <v>22</v>
      </c>
    </row>
    <row r="163" spans="1:13" x14ac:dyDescent="0.35">
      <c r="A163" t="s">
        <v>449</v>
      </c>
      <c r="B163" s="9">
        <v>46122</v>
      </c>
      <c r="C163" t="s">
        <v>280</v>
      </c>
      <c r="D163" t="s">
        <v>61</v>
      </c>
      <c r="E163" t="s">
        <v>41</v>
      </c>
      <c r="F163" t="s">
        <v>42</v>
      </c>
      <c r="G163" t="s">
        <v>43</v>
      </c>
      <c r="H163">
        <v>1</v>
      </c>
      <c r="I163" t="s">
        <v>19</v>
      </c>
      <c r="J163" t="s">
        <v>220</v>
      </c>
      <c r="K163">
        <v>190</v>
      </c>
      <c r="L163" t="s">
        <v>30</v>
      </c>
      <c r="M163" t="s">
        <v>22</v>
      </c>
    </row>
    <row r="164" spans="1:13" x14ac:dyDescent="0.35">
      <c r="A164" t="s">
        <v>450</v>
      </c>
      <c r="B164" s="9">
        <v>46145</v>
      </c>
      <c r="C164" t="s">
        <v>451</v>
      </c>
      <c r="D164" t="s">
        <v>99</v>
      </c>
      <c r="E164" t="s">
        <v>34</v>
      </c>
      <c r="F164" t="s">
        <v>89</v>
      </c>
      <c r="G164" t="s">
        <v>90</v>
      </c>
      <c r="H164">
        <v>3</v>
      </c>
      <c r="I164" t="s">
        <v>85</v>
      </c>
      <c r="J164" t="s">
        <v>86</v>
      </c>
      <c r="K164" t="s">
        <v>108</v>
      </c>
      <c r="L164" t="s">
        <v>30</v>
      </c>
      <c r="M164" t="s">
        <v>22</v>
      </c>
    </row>
    <row r="165" spans="1:13" x14ac:dyDescent="0.35">
      <c r="A165" t="s">
        <v>452</v>
      </c>
      <c r="B165" s="9">
        <v>46199</v>
      </c>
      <c r="C165" t="s">
        <v>453</v>
      </c>
      <c r="D165" t="s">
        <v>61</v>
      </c>
      <c r="E165" t="s">
        <v>25</v>
      </c>
      <c r="F165" t="s">
        <v>35</v>
      </c>
      <c r="G165" t="s">
        <v>36</v>
      </c>
      <c r="H165">
        <v>2</v>
      </c>
      <c r="I165" t="s">
        <v>28</v>
      </c>
      <c r="J165" t="s">
        <v>316</v>
      </c>
      <c r="K165" t="s">
        <v>37</v>
      </c>
      <c r="L165" t="s">
        <v>30</v>
      </c>
      <c r="M165" t="s">
        <v>58</v>
      </c>
    </row>
    <row r="166" spans="1:13" x14ac:dyDescent="0.35">
      <c r="A166" t="s">
        <v>454</v>
      </c>
      <c r="B166" s="9">
        <v>46062</v>
      </c>
      <c r="C166" t="s">
        <v>455</v>
      </c>
      <c r="D166" t="s">
        <v>61</v>
      </c>
      <c r="E166" t="s">
        <v>67</v>
      </c>
      <c r="F166" t="s">
        <v>89</v>
      </c>
      <c r="G166" t="s">
        <v>90</v>
      </c>
      <c r="H166">
        <v>1</v>
      </c>
      <c r="I166" t="s">
        <v>19</v>
      </c>
      <c r="J166" t="s">
        <v>19</v>
      </c>
      <c r="K166">
        <v>640</v>
      </c>
      <c r="L166" t="s">
        <v>30</v>
      </c>
      <c r="M166" t="s">
        <v>22</v>
      </c>
    </row>
    <row r="167" spans="1:13" x14ac:dyDescent="0.35">
      <c r="A167" t="s">
        <v>456</v>
      </c>
      <c r="B167" s="9">
        <v>46071</v>
      </c>
      <c r="C167" t="s">
        <v>457</v>
      </c>
      <c r="D167" t="s">
        <v>53</v>
      </c>
      <c r="E167" t="s">
        <v>67</v>
      </c>
      <c r="F167" t="s">
        <v>47</v>
      </c>
      <c r="G167" t="s">
        <v>48</v>
      </c>
      <c r="H167">
        <v>1</v>
      </c>
      <c r="I167" t="s">
        <v>19</v>
      </c>
      <c r="J167" t="s">
        <v>19</v>
      </c>
      <c r="K167">
        <v>380</v>
      </c>
      <c r="L167" t="s">
        <v>30</v>
      </c>
      <c r="M167" t="s">
        <v>22</v>
      </c>
    </row>
    <row r="168" spans="1:13" x14ac:dyDescent="0.35">
      <c r="A168" t="s">
        <v>458</v>
      </c>
      <c r="B168" s="9">
        <v>46166</v>
      </c>
      <c r="C168" t="s">
        <v>459</v>
      </c>
      <c r="D168" t="s">
        <v>53</v>
      </c>
      <c r="E168" t="s">
        <v>41</v>
      </c>
      <c r="F168" t="s">
        <v>89</v>
      </c>
      <c r="G168" t="s">
        <v>90</v>
      </c>
      <c r="H168">
        <v>1</v>
      </c>
      <c r="I168" t="s">
        <v>71</v>
      </c>
      <c r="J168" t="s">
        <v>460</v>
      </c>
      <c r="K168" t="s">
        <v>108</v>
      </c>
      <c r="L168" t="s">
        <v>30</v>
      </c>
      <c r="M168" t="s">
        <v>58</v>
      </c>
    </row>
    <row r="169" spans="1:13" x14ac:dyDescent="0.35">
      <c r="A169" t="s">
        <v>461</v>
      </c>
      <c r="B169" s="9">
        <v>46199</v>
      </c>
      <c r="C169" t="s">
        <v>462</v>
      </c>
      <c r="D169" t="s">
        <v>66</v>
      </c>
      <c r="E169" t="s">
        <v>25</v>
      </c>
      <c r="F169" t="s">
        <v>35</v>
      </c>
      <c r="G169" t="s">
        <v>36</v>
      </c>
      <c r="H169">
        <v>1</v>
      </c>
      <c r="I169" t="s">
        <v>132</v>
      </c>
      <c r="J169" t="s">
        <v>132</v>
      </c>
      <c r="K169" t="s">
        <v>37</v>
      </c>
      <c r="L169" t="s">
        <v>30</v>
      </c>
      <c r="M169" t="s">
        <v>22</v>
      </c>
    </row>
    <row r="170" spans="1:13" x14ac:dyDescent="0.35">
      <c r="A170" t="s">
        <v>463</v>
      </c>
      <c r="B170" s="9">
        <v>46033</v>
      </c>
      <c r="C170" t="s">
        <v>464</v>
      </c>
      <c r="D170" t="s">
        <v>61</v>
      </c>
      <c r="E170" t="s">
        <v>41</v>
      </c>
      <c r="F170" t="s">
        <v>17</v>
      </c>
      <c r="G170" t="s">
        <v>18</v>
      </c>
      <c r="H170">
        <v>2</v>
      </c>
      <c r="I170" t="s">
        <v>170</v>
      </c>
      <c r="J170" t="s">
        <v>152</v>
      </c>
      <c r="K170">
        <v>520</v>
      </c>
      <c r="L170" t="s">
        <v>30</v>
      </c>
      <c r="M170" t="s">
        <v>22</v>
      </c>
    </row>
    <row r="171" spans="1:13" x14ac:dyDescent="0.35">
      <c r="A171" t="s">
        <v>465</v>
      </c>
      <c r="B171" s="9">
        <v>46150</v>
      </c>
      <c r="C171" t="s">
        <v>466</v>
      </c>
      <c r="D171" t="s">
        <v>66</v>
      </c>
      <c r="E171" t="s">
        <v>67</v>
      </c>
      <c r="F171" t="s">
        <v>26</v>
      </c>
      <c r="G171" t="s">
        <v>27</v>
      </c>
      <c r="H171">
        <v>2</v>
      </c>
      <c r="I171" t="s">
        <v>132</v>
      </c>
      <c r="J171" t="s">
        <v>133</v>
      </c>
      <c r="K171" t="s">
        <v>29</v>
      </c>
      <c r="L171" t="s">
        <v>30</v>
      </c>
      <c r="M171" t="s">
        <v>58</v>
      </c>
    </row>
    <row r="172" spans="1:13" x14ac:dyDescent="0.35">
      <c r="A172" t="s">
        <v>467</v>
      </c>
      <c r="B172" s="9">
        <v>46054</v>
      </c>
      <c r="C172" t="s">
        <v>468</v>
      </c>
      <c r="D172" t="s">
        <v>66</v>
      </c>
      <c r="E172" t="s">
        <v>67</v>
      </c>
      <c r="F172" t="s">
        <v>35</v>
      </c>
      <c r="G172" t="s">
        <v>36</v>
      </c>
      <c r="H172">
        <v>3</v>
      </c>
      <c r="I172" t="s">
        <v>106</v>
      </c>
      <c r="J172" t="s">
        <v>160</v>
      </c>
      <c r="K172">
        <v>85</v>
      </c>
      <c r="L172" t="s">
        <v>30</v>
      </c>
      <c r="M172" t="s">
        <v>22</v>
      </c>
    </row>
    <row r="173" spans="1:13" x14ac:dyDescent="0.35">
      <c r="A173" t="s">
        <v>469</v>
      </c>
      <c r="B173" t="s">
        <v>470</v>
      </c>
      <c r="C173" t="s">
        <v>471</v>
      </c>
      <c r="D173" t="s">
        <v>66</v>
      </c>
      <c r="E173" t="s">
        <v>34</v>
      </c>
      <c r="F173" t="s">
        <v>26</v>
      </c>
      <c r="G173" t="s">
        <v>27</v>
      </c>
      <c r="H173">
        <v>2</v>
      </c>
      <c r="I173" t="s">
        <v>71</v>
      </c>
      <c r="J173" t="s">
        <v>286</v>
      </c>
      <c r="K173">
        <v>520</v>
      </c>
      <c r="L173" t="s">
        <v>21</v>
      </c>
      <c r="M173" t="s">
        <v>58</v>
      </c>
    </row>
    <row r="174" spans="1:13" x14ac:dyDescent="0.35">
      <c r="A174" t="s">
        <v>472</v>
      </c>
      <c r="B174" s="9">
        <v>46140</v>
      </c>
      <c r="C174" t="s">
        <v>473</v>
      </c>
      <c r="D174" t="s">
        <v>33</v>
      </c>
      <c r="E174" t="s">
        <v>25</v>
      </c>
      <c r="F174" t="s">
        <v>89</v>
      </c>
      <c r="G174" t="s">
        <v>90</v>
      </c>
      <c r="H174">
        <v>1</v>
      </c>
      <c r="I174" t="s">
        <v>68</v>
      </c>
      <c r="J174" t="s">
        <v>68</v>
      </c>
      <c r="K174" t="s">
        <v>108</v>
      </c>
      <c r="L174" t="s">
        <v>30</v>
      </c>
      <c r="M174" t="s">
        <v>58</v>
      </c>
    </row>
    <row r="175" spans="1:13" x14ac:dyDescent="0.35">
      <c r="A175" t="s">
        <v>474</v>
      </c>
      <c r="B175" s="9">
        <v>46065</v>
      </c>
      <c r="C175" t="s">
        <v>475</v>
      </c>
      <c r="D175" t="s">
        <v>40</v>
      </c>
      <c r="E175" t="s">
        <v>41</v>
      </c>
      <c r="F175" t="s">
        <v>17</v>
      </c>
      <c r="G175" t="s">
        <v>18</v>
      </c>
      <c r="H175">
        <v>3</v>
      </c>
      <c r="I175" t="s">
        <v>106</v>
      </c>
      <c r="J175" t="s">
        <v>160</v>
      </c>
      <c r="K175">
        <v>520</v>
      </c>
      <c r="L175" t="s">
        <v>30</v>
      </c>
      <c r="M175" t="s">
        <v>22</v>
      </c>
    </row>
    <row r="176" spans="1:13" x14ac:dyDescent="0.35">
      <c r="A176" t="s">
        <v>476</v>
      </c>
      <c r="B176" s="9">
        <v>46199</v>
      </c>
      <c r="C176" t="s">
        <v>477</v>
      </c>
      <c r="D176" t="s">
        <v>66</v>
      </c>
      <c r="E176" t="s">
        <v>41</v>
      </c>
      <c r="F176" t="s">
        <v>47</v>
      </c>
      <c r="G176" t="s">
        <v>48</v>
      </c>
      <c r="H176">
        <v>1</v>
      </c>
      <c r="I176" t="s">
        <v>62</v>
      </c>
      <c r="J176" t="s">
        <v>62</v>
      </c>
      <c r="K176" t="s">
        <v>50</v>
      </c>
      <c r="L176" t="s">
        <v>30</v>
      </c>
      <c r="M176" t="s">
        <v>22</v>
      </c>
    </row>
    <row r="177" spans="1:13" x14ac:dyDescent="0.35">
      <c r="A177" t="s">
        <v>478</v>
      </c>
      <c r="B177" s="9">
        <v>46075</v>
      </c>
      <c r="C177" t="s">
        <v>395</v>
      </c>
      <c r="D177" t="s">
        <v>33</v>
      </c>
      <c r="E177" t="s">
        <v>34</v>
      </c>
      <c r="F177" t="s">
        <v>47</v>
      </c>
      <c r="G177" t="s">
        <v>48</v>
      </c>
      <c r="H177">
        <v>2</v>
      </c>
      <c r="I177" t="s">
        <v>479</v>
      </c>
      <c r="J177" t="s">
        <v>286</v>
      </c>
      <c r="K177">
        <v>380</v>
      </c>
      <c r="L177" t="s">
        <v>30</v>
      </c>
      <c r="M177" t="s">
        <v>58</v>
      </c>
    </row>
    <row r="178" spans="1:13" x14ac:dyDescent="0.35">
      <c r="A178" t="s">
        <v>480</v>
      </c>
      <c r="B178" s="9">
        <v>46176</v>
      </c>
      <c r="C178" t="s">
        <v>481</v>
      </c>
      <c r="D178" t="s">
        <v>15</v>
      </c>
      <c r="E178" t="s">
        <v>34</v>
      </c>
      <c r="F178" t="s">
        <v>26</v>
      </c>
      <c r="G178" t="s">
        <v>27</v>
      </c>
      <c r="H178">
        <v>3</v>
      </c>
      <c r="I178" t="s">
        <v>132</v>
      </c>
      <c r="J178" t="s">
        <v>232</v>
      </c>
      <c r="K178" t="s">
        <v>29</v>
      </c>
      <c r="L178" t="s">
        <v>21</v>
      </c>
      <c r="M178" t="s">
        <v>22</v>
      </c>
    </row>
    <row r="179" spans="1:13" x14ac:dyDescent="0.35">
      <c r="A179" t="s">
        <v>482</v>
      </c>
      <c r="B179" s="9">
        <v>46114</v>
      </c>
      <c r="C179" t="s">
        <v>483</v>
      </c>
      <c r="D179" t="s">
        <v>53</v>
      </c>
      <c r="E179" t="s">
        <v>67</v>
      </c>
      <c r="F179" t="s">
        <v>47</v>
      </c>
      <c r="G179" t="s">
        <v>48</v>
      </c>
      <c r="H179">
        <v>2</v>
      </c>
      <c r="I179" t="s">
        <v>136</v>
      </c>
      <c r="J179" t="s">
        <v>164</v>
      </c>
      <c r="K179">
        <v>380</v>
      </c>
      <c r="L179" t="s">
        <v>30</v>
      </c>
      <c r="M179" t="s">
        <v>22</v>
      </c>
    </row>
    <row r="180" spans="1:13" x14ac:dyDescent="0.35">
      <c r="A180" t="s">
        <v>484</v>
      </c>
      <c r="B180" s="9">
        <v>46031</v>
      </c>
      <c r="C180" t="s">
        <v>485</v>
      </c>
      <c r="D180" t="s">
        <v>46</v>
      </c>
      <c r="E180" t="s">
        <v>16</v>
      </c>
      <c r="F180" t="s">
        <v>74</v>
      </c>
      <c r="G180" t="s">
        <v>75</v>
      </c>
      <c r="H180">
        <v>1</v>
      </c>
      <c r="I180" t="s">
        <v>85</v>
      </c>
      <c r="J180" t="s">
        <v>85</v>
      </c>
      <c r="K180">
        <v>410</v>
      </c>
      <c r="L180" t="s">
        <v>30</v>
      </c>
      <c r="M180" t="s">
        <v>22</v>
      </c>
    </row>
    <row r="181" spans="1:13" x14ac:dyDescent="0.35">
      <c r="A181" t="s">
        <v>486</v>
      </c>
      <c r="B181" s="9">
        <v>46192</v>
      </c>
      <c r="C181" t="s">
        <v>487</v>
      </c>
      <c r="D181" t="s">
        <v>66</v>
      </c>
      <c r="E181" t="s">
        <v>67</v>
      </c>
      <c r="F181" t="s">
        <v>42</v>
      </c>
      <c r="G181" t="s">
        <v>43</v>
      </c>
      <c r="H181">
        <v>3</v>
      </c>
      <c r="I181" t="s">
        <v>62</v>
      </c>
      <c r="J181" t="s">
        <v>488</v>
      </c>
      <c r="K181" t="s">
        <v>111</v>
      </c>
      <c r="L181" t="s">
        <v>21</v>
      </c>
      <c r="M181" t="s">
        <v>22</v>
      </c>
    </row>
    <row r="182" spans="1:13" x14ac:dyDescent="0.35">
      <c r="A182" t="s">
        <v>489</v>
      </c>
      <c r="B182" s="9">
        <v>46030</v>
      </c>
      <c r="C182" t="s">
        <v>490</v>
      </c>
      <c r="D182" t="s">
        <v>40</v>
      </c>
      <c r="E182" t="s">
        <v>67</v>
      </c>
      <c r="F182" t="s">
        <v>26</v>
      </c>
      <c r="G182" t="s">
        <v>27</v>
      </c>
      <c r="H182">
        <v>1</v>
      </c>
      <c r="I182" t="s">
        <v>68</v>
      </c>
      <c r="J182" t="s">
        <v>68</v>
      </c>
      <c r="K182">
        <v>520</v>
      </c>
      <c r="L182" t="s">
        <v>30</v>
      </c>
      <c r="M182" t="s">
        <v>22</v>
      </c>
    </row>
    <row r="183" spans="1:13" x14ac:dyDescent="0.35">
      <c r="A183" t="s">
        <v>491</v>
      </c>
      <c r="B183" s="9">
        <v>46155</v>
      </c>
      <c r="C183" t="s">
        <v>492</v>
      </c>
      <c r="D183" t="s">
        <v>33</v>
      </c>
      <c r="E183" t="s">
        <v>67</v>
      </c>
      <c r="F183" t="s">
        <v>26</v>
      </c>
      <c r="G183" t="s">
        <v>27</v>
      </c>
      <c r="H183">
        <v>1</v>
      </c>
      <c r="I183" t="s">
        <v>19</v>
      </c>
      <c r="J183" t="s">
        <v>19</v>
      </c>
      <c r="K183" t="s">
        <v>29</v>
      </c>
      <c r="L183" t="s">
        <v>30</v>
      </c>
      <c r="M183" t="s">
        <v>22</v>
      </c>
    </row>
    <row r="184" spans="1:13" x14ac:dyDescent="0.35">
      <c r="A184" t="s">
        <v>493</v>
      </c>
      <c r="B184" s="9">
        <v>46197</v>
      </c>
      <c r="C184" t="s">
        <v>439</v>
      </c>
      <c r="D184" t="s">
        <v>94</v>
      </c>
      <c r="E184" t="s">
        <v>16</v>
      </c>
      <c r="F184" t="s">
        <v>35</v>
      </c>
      <c r="G184" t="s">
        <v>36</v>
      </c>
      <c r="H184">
        <v>3</v>
      </c>
      <c r="I184" t="s">
        <v>220</v>
      </c>
      <c r="J184" t="s">
        <v>494</v>
      </c>
      <c r="K184" t="s">
        <v>37</v>
      </c>
      <c r="L184" t="s">
        <v>21</v>
      </c>
      <c r="M184" t="s">
        <v>22</v>
      </c>
    </row>
    <row r="185" spans="1:13" x14ac:dyDescent="0.35">
      <c r="A185" t="s">
        <v>495</v>
      </c>
      <c r="B185" s="9">
        <v>46058</v>
      </c>
      <c r="C185" t="s">
        <v>496</v>
      </c>
      <c r="D185" t="s">
        <v>94</v>
      </c>
      <c r="E185" t="s">
        <v>34</v>
      </c>
      <c r="F185" t="s">
        <v>89</v>
      </c>
      <c r="G185" t="s">
        <v>90</v>
      </c>
      <c r="H185">
        <v>1</v>
      </c>
      <c r="I185" t="s">
        <v>71</v>
      </c>
      <c r="J185" t="s">
        <v>71</v>
      </c>
      <c r="K185">
        <v>640</v>
      </c>
      <c r="L185" t="s">
        <v>30</v>
      </c>
      <c r="M185" t="s">
        <v>22</v>
      </c>
    </row>
    <row r="186" spans="1:13" x14ac:dyDescent="0.35">
      <c r="A186" t="s">
        <v>497</v>
      </c>
      <c r="B186" s="9">
        <v>46102</v>
      </c>
      <c r="C186" t="s">
        <v>498</v>
      </c>
      <c r="D186" t="s">
        <v>15</v>
      </c>
      <c r="E186" t="s">
        <v>25</v>
      </c>
      <c r="F186" t="s">
        <v>83</v>
      </c>
      <c r="G186" t="s">
        <v>84</v>
      </c>
      <c r="H186">
        <v>2</v>
      </c>
      <c r="I186" t="s">
        <v>19</v>
      </c>
      <c r="J186" t="s">
        <v>238</v>
      </c>
      <c r="K186">
        <v>340</v>
      </c>
      <c r="L186" t="s">
        <v>21</v>
      </c>
      <c r="M186" t="s">
        <v>58</v>
      </c>
    </row>
    <row r="187" spans="1:13" x14ac:dyDescent="0.35">
      <c r="A187" t="s">
        <v>499</v>
      </c>
      <c r="B187" s="9">
        <v>46170</v>
      </c>
      <c r="C187" t="s">
        <v>280</v>
      </c>
      <c r="D187" t="s">
        <v>99</v>
      </c>
      <c r="E187" t="s">
        <v>41</v>
      </c>
      <c r="F187" t="s">
        <v>47</v>
      </c>
      <c r="G187" t="s">
        <v>48</v>
      </c>
      <c r="H187">
        <v>1</v>
      </c>
      <c r="I187" t="s">
        <v>500</v>
      </c>
      <c r="J187" t="s">
        <v>220</v>
      </c>
      <c r="K187" t="s">
        <v>50</v>
      </c>
      <c r="L187" t="s">
        <v>30</v>
      </c>
      <c r="M187" t="s">
        <v>22</v>
      </c>
    </row>
    <row r="188" spans="1:13" x14ac:dyDescent="0.35">
      <c r="A188" t="s">
        <v>501</v>
      </c>
      <c r="B188" s="9">
        <v>46078</v>
      </c>
      <c r="C188" t="s">
        <v>502</v>
      </c>
      <c r="D188" t="s">
        <v>61</v>
      </c>
      <c r="E188" t="s">
        <v>41</v>
      </c>
      <c r="F188" t="s">
        <v>74</v>
      </c>
      <c r="G188" t="s">
        <v>75</v>
      </c>
      <c r="H188">
        <v>1</v>
      </c>
      <c r="I188" t="s">
        <v>19</v>
      </c>
      <c r="J188" t="s">
        <v>19</v>
      </c>
      <c r="K188">
        <v>410</v>
      </c>
      <c r="L188" t="s">
        <v>30</v>
      </c>
      <c r="M188" t="s">
        <v>58</v>
      </c>
    </row>
    <row r="189" spans="1:13" x14ac:dyDescent="0.35">
      <c r="A189" t="s">
        <v>503</v>
      </c>
      <c r="B189" s="9">
        <v>46103</v>
      </c>
      <c r="C189" t="s">
        <v>504</v>
      </c>
      <c r="D189" t="s">
        <v>61</v>
      </c>
      <c r="E189" t="s">
        <v>41</v>
      </c>
      <c r="F189" t="s">
        <v>89</v>
      </c>
      <c r="G189" t="s">
        <v>90</v>
      </c>
      <c r="H189">
        <v>3</v>
      </c>
      <c r="I189" t="s">
        <v>106</v>
      </c>
      <c r="J189" t="s">
        <v>160</v>
      </c>
      <c r="K189">
        <v>640</v>
      </c>
      <c r="L189" t="s">
        <v>30</v>
      </c>
      <c r="M189" t="s">
        <v>58</v>
      </c>
    </row>
    <row r="190" spans="1:13" x14ac:dyDescent="0.35">
      <c r="A190" t="s">
        <v>505</v>
      </c>
      <c r="B190" s="9">
        <v>46110</v>
      </c>
      <c r="C190" t="s">
        <v>506</v>
      </c>
      <c r="D190" t="s">
        <v>15</v>
      </c>
      <c r="E190" t="s">
        <v>67</v>
      </c>
      <c r="F190" t="s">
        <v>74</v>
      </c>
      <c r="G190" t="s">
        <v>75</v>
      </c>
      <c r="H190">
        <v>3</v>
      </c>
      <c r="I190" t="s">
        <v>71</v>
      </c>
      <c r="J190" t="s">
        <v>379</v>
      </c>
      <c r="K190">
        <v>410</v>
      </c>
      <c r="L190" t="s">
        <v>30</v>
      </c>
      <c r="M190" t="s">
        <v>22</v>
      </c>
    </row>
    <row r="191" spans="1:13" x14ac:dyDescent="0.35">
      <c r="A191" t="s">
        <v>507</v>
      </c>
      <c r="B191" s="9">
        <v>46094</v>
      </c>
      <c r="C191" t="s">
        <v>435</v>
      </c>
      <c r="D191" t="s">
        <v>46</v>
      </c>
      <c r="E191" t="s">
        <v>25</v>
      </c>
      <c r="F191" t="s">
        <v>47</v>
      </c>
      <c r="G191" t="s">
        <v>48</v>
      </c>
      <c r="H191">
        <v>2</v>
      </c>
      <c r="I191" t="s">
        <v>49</v>
      </c>
      <c r="J191" t="s">
        <v>178</v>
      </c>
      <c r="K191">
        <v>380</v>
      </c>
      <c r="L191" t="s">
        <v>30</v>
      </c>
      <c r="M191" t="s">
        <v>22</v>
      </c>
    </row>
    <row r="192" spans="1:13" x14ac:dyDescent="0.35">
      <c r="A192" t="s">
        <v>508</v>
      </c>
      <c r="B192" s="9">
        <v>46095</v>
      </c>
      <c r="C192" t="s">
        <v>509</v>
      </c>
      <c r="D192" t="s">
        <v>53</v>
      </c>
      <c r="E192" t="s">
        <v>67</v>
      </c>
      <c r="F192" t="s">
        <v>74</v>
      </c>
      <c r="G192" t="s">
        <v>75</v>
      </c>
      <c r="H192">
        <v>1</v>
      </c>
      <c r="I192" t="s">
        <v>68</v>
      </c>
      <c r="J192" t="s">
        <v>68</v>
      </c>
      <c r="K192">
        <v>410</v>
      </c>
      <c r="L192" t="s">
        <v>21</v>
      </c>
      <c r="M192" t="s">
        <v>22</v>
      </c>
    </row>
    <row r="193" spans="1:13" x14ac:dyDescent="0.35">
      <c r="A193" t="s">
        <v>510</v>
      </c>
      <c r="B193" s="9">
        <v>46119</v>
      </c>
      <c r="C193" t="s">
        <v>511</v>
      </c>
      <c r="D193" t="s">
        <v>40</v>
      </c>
      <c r="E193" t="s">
        <v>34</v>
      </c>
      <c r="F193" t="s">
        <v>83</v>
      </c>
      <c r="G193" t="s">
        <v>84</v>
      </c>
      <c r="H193">
        <v>2</v>
      </c>
      <c r="I193" t="s">
        <v>85</v>
      </c>
      <c r="J193" t="s">
        <v>267</v>
      </c>
      <c r="K193">
        <v>340</v>
      </c>
      <c r="L193" t="s">
        <v>21</v>
      </c>
      <c r="M193" t="s">
        <v>22</v>
      </c>
    </row>
    <row r="194" spans="1:13" x14ac:dyDescent="0.35">
      <c r="A194" t="s">
        <v>512</v>
      </c>
      <c r="B194" s="9">
        <v>46114</v>
      </c>
      <c r="C194" t="s">
        <v>513</v>
      </c>
      <c r="D194" t="s">
        <v>61</v>
      </c>
      <c r="E194" t="s">
        <v>25</v>
      </c>
      <c r="F194" t="s">
        <v>83</v>
      </c>
      <c r="G194" t="s">
        <v>84</v>
      </c>
      <c r="H194">
        <v>1</v>
      </c>
      <c r="I194" t="s">
        <v>102</v>
      </c>
      <c r="J194" t="s">
        <v>102</v>
      </c>
      <c r="K194">
        <v>340</v>
      </c>
      <c r="L194" t="s">
        <v>30</v>
      </c>
      <c r="M194" t="s">
        <v>22</v>
      </c>
    </row>
    <row r="195" spans="1:13" x14ac:dyDescent="0.35">
      <c r="A195" t="s">
        <v>514</v>
      </c>
      <c r="B195" s="9">
        <v>46153</v>
      </c>
      <c r="C195" t="s">
        <v>515</v>
      </c>
      <c r="D195" t="s">
        <v>15</v>
      </c>
      <c r="E195" t="s">
        <v>67</v>
      </c>
      <c r="F195" t="s">
        <v>17</v>
      </c>
      <c r="G195" t="s">
        <v>18</v>
      </c>
      <c r="H195">
        <v>3</v>
      </c>
      <c r="I195" t="s">
        <v>19</v>
      </c>
      <c r="J195" t="s">
        <v>326</v>
      </c>
      <c r="K195" t="s">
        <v>29</v>
      </c>
      <c r="L195" t="s">
        <v>30</v>
      </c>
      <c r="M195" t="s">
        <v>22</v>
      </c>
    </row>
    <row r="196" spans="1:13" x14ac:dyDescent="0.35">
      <c r="A196" t="s">
        <v>516</v>
      </c>
      <c r="B196" s="9">
        <v>46205</v>
      </c>
      <c r="C196" t="s">
        <v>517</v>
      </c>
      <c r="D196" t="s">
        <v>40</v>
      </c>
      <c r="E196" t="s">
        <v>67</v>
      </c>
      <c r="F196" t="s">
        <v>47</v>
      </c>
      <c r="G196" t="s">
        <v>48</v>
      </c>
      <c r="H196">
        <v>1</v>
      </c>
      <c r="I196" t="s">
        <v>106</v>
      </c>
      <c r="J196" t="s">
        <v>106</v>
      </c>
      <c r="K196" t="s">
        <v>50</v>
      </c>
      <c r="L196" t="s">
        <v>30</v>
      </c>
      <c r="M196" t="s">
        <v>22</v>
      </c>
    </row>
    <row r="197" spans="1:13" x14ac:dyDescent="0.35">
      <c r="A197" t="s">
        <v>518</v>
      </c>
      <c r="B197" s="9">
        <v>46168</v>
      </c>
      <c r="C197" t="s">
        <v>519</v>
      </c>
      <c r="D197" t="s">
        <v>61</v>
      </c>
      <c r="E197" t="s">
        <v>34</v>
      </c>
      <c r="F197" t="s">
        <v>89</v>
      </c>
      <c r="G197" t="s">
        <v>90</v>
      </c>
      <c r="H197">
        <v>1</v>
      </c>
      <c r="I197" t="s">
        <v>56</v>
      </c>
      <c r="J197" t="s">
        <v>56</v>
      </c>
      <c r="K197" t="s">
        <v>108</v>
      </c>
      <c r="L197" t="s">
        <v>30</v>
      </c>
      <c r="M197" t="s">
        <v>22</v>
      </c>
    </row>
    <row r="198" spans="1:13" x14ac:dyDescent="0.35">
      <c r="A198" t="s">
        <v>520</v>
      </c>
      <c r="B198" s="9">
        <v>46134</v>
      </c>
      <c r="C198" t="s">
        <v>521</v>
      </c>
      <c r="D198" t="s">
        <v>15</v>
      </c>
      <c r="E198" t="s">
        <v>34</v>
      </c>
      <c r="F198" t="s">
        <v>42</v>
      </c>
      <c r="G198" t="s">
        <v>43</v>
      </c>
      <c r="H198">
        <v>1</v>
      </c>
      <c r="I198" t="s">
        <v>102</v>
      </c>
      <c r="J198" t="s">
        <v>102</v>
      </c>
      <c r="K198" t="s">
        <v>111</v>
      </c>
      <c r="L198" t="s">
        <v>21</v>
      </c>
      <c r="M198" t="s">
        <v>22</v>
      </c>
    </row>
    <row r="199" spans="1:13" x14ac:dyDescent="0.35">
      <c r="A199" t="s">
        <v>522</v>
      </c>
      <c r="B199" s="9">
        <v>46085</v>
      </c>
      <c r="C199" t="s">
        <v>523</v>
      </c>
      <c r="D199" t="s">
        <v>53</v>
      </c>
      <c r="E199" t="s">
        <v>25</v>
      </c>
      <c r="F199" t="s">
        <v>89</v>
      </c>
      <c r="G199" t="s">
        <v>90</v>
      </c>
      <c r="H199">
        <v>2</v>
      </c>
      <c r="I199" t="s">
        <v>28</v>
      </c>
      <c r="J199" t="s">
        <v>316</v>
      </c>
      <c r="K199">
        <v>640</v>
      </c>
      <c r="L199" t="s">
        <v>30</v>
      </c>
      <c r="M199" t="s">
        <v>22</v>
      </c>
    </row>
    <row r="200" spans="1:13" x14ac:dyDescent="0.35">
      <c r="A200" t="s">
        <v>524</v>
      </c>
      <c r="B200" s="9">
        <v>46166</v>
      </c>
      <c r="C200" t="s">
        <v>525</v>
      </c>
      <c r="D200" t="s">
        <v>53</v>
      </c>
      <c r="E200" t="s">
        <v>34</v>
      </c>
      <c r="F200" t="s">
        <v>26</v>
      </c>
      <c r="G200" t="s">
        <v>27</v>
      </c>
      <c r="H200">
        <v>2</v>
      </c>
      <c r="I200" t="s">
        <v>106</v>
      </c>
      <c r="J200" t="s">
        <v>107</v>
      </c>
      <c r="K200" t="s">
        <v>29</v>
      </c>
      <c r="L200" t="s">
        <v>30</v>
      </c>
      <c r="M200" t="s">
        <v>58</v>
      </c>
    </row>
    <row r="201" spans="1:13" x14ac:dyDescent="0.35">
      <c r="A201" t="s">
        <v>526</v>
      </c>
      <c r="B201" s="9">
        <v>46040</v>
      </c>
      <c r="C201" t="s">
        <v>527</v>
      </c>
      <c r="D201" t="s">
        <v>33</v>
      </c>
      <c r="E201" t="s">
        <v>41</v>
      </c>
      <c r="F201" t="s">
        <v>17</v>
      </c>
      <c r="G201" t="s">
        <v>18</v>
      </c>
      <c r="H201">
        <v>3</v>
      </c>
      <c r="I201" t="s">
        <v>71</v>
      </c>
      <c r="J201" t="s">
        <v>379</v>
      </c>
      <c r="K201">
        <v>520</v>
      </c>
      <c r="L201" t="s">
        <v>30</v>
      </c>
      <c r="M201" t="s">
        <v>22</v>
      </c>
    </row>
    <row r="202" spans="1:13" x14ac:dyDescent="0.35">
      <c r="A202" t="s">
        <v>528</v>
      </c>
      <c r="B202" s="9">
        <v>46114</v>
      </c>
      <c r="C202" t="s">
        <v>529</v>
      </c>
      <c r="D202" t="s">
        <v>46</v>
      </c>
      <c r="E202" t="s">
        <v>25</v>
      </c>
      <c r="F202" t="s">
        <v>35</v>
      </c>
      <c r="G202" t="s">
        <v>36</v>
      </c>
      <c r="H202">
        <v>2</v>
      </c>
      <c r="I202" t="s">
        <v>79</v>
      </c>
      <c r="J202" t="s">
        <v>143</v>
      </c>
      <c r="K202">
        <v>85</v>
      </c>
      <c r="L202" t="s">
        <v>30</v>
      </c>
      <c r="M202" t="s">
        <v>22</v>
      </c>
    </row>
    <row r="203" spans="1:13" x14ac:dyDescent="0.35">
      <c r="A203" t="s">
        <v>530</v>
      </c>
      <c r="B203" t="s">
        <v>339</v>
      </c>
      <c r="C203" t="s">
        <v>531</v>
      </c>
      <c r="D203" t="s">
        <v>99</v>
      </c>
      <c r="E203" t="s">
        <v>41</v>
      </c>
      <c r="F203" t="s">
        <v>35</v>
      </c>
      <c r="G203" t="s">
        <v>36</v>
      </c>
      <c r="H203">
        <v>3</v>
      </c>
      <c r="I203" t="s">
        <v>479</v>
      </c>
      <c r="J203" t="s">
        <v>379</v>
      </c>
      <c r="K203">
        <v>85</v>
      </c>
      <c r="L203" t="s">
        <v>30</v>
      </c>
      <c r="M203" t="s">
        <v>58</v>
      </c>
    </row>
    <row r="204" spans="1:13" x14ac:dyDescent="0.35">
      <c r="A204" t="s">
        <v>532</v>
      </c>
      <c r="B204" s="9">
        <v>46147</v>
      </c>
      <c r="C204" t="s">
        <v>533</v>
      </c>
      <c r="D204" t="s">
        <v>53</v>
      </c>
      <c r="E204" t="s">
        <v>16</v>
      </c>
      <c r="F204" t="s">
        <v>83</v>
      </c>
      <c r="G204" t="s">
        <v>84</v>
      </c>
      <c r="H204">
        <v>1</v>
      </c>
      <c r="I204" t="s">
        <v>85</v>
      </c>
      <c r="J204" t="s">
        <v>85</v>
      </c>
      <c r="K204" t="s">
        <v>103</v>
      </c>
      <c r="L204" t="s">
        <v>30</v>
      </c>
      <c r="M204" t="s">
        <v>22</v>
      </c>
    </row>
    <row r="205" spans="1:13" x14ac:dyDescent="0.35">
      <c r="A205" t="s">
        <v>534</v>
      </c>
      <c r="B205" s="9">
        <v>46201</v>
      </c>
      <c r="C205" t="s">
        <v>535</v>
      </c>
      <c r="D205" t="s">
        <v>116</v>
      </c>
      <c r="E205" t="s">
        <v>67</v>
      </c>
      <c r="F205" t="s">
        <v>83</v>
      </c>
      <c r="G205" t="s">
        <v>84</v>
      </c>
      <c r="H205">
        <v>2</v>
      </c>
      <c r="I205" t="s">
        <v>49</v>
      </c>
      <c r="J205" t="s">
        <v>178</v>
      </c>
      <c r="K205" t="s">
        <v>103</v>
      </c>
      <c r="L205" t="s">
        <v>21</v>
      </c>
      <c r="M205" t="s">
        <v>22</v>
      </c>
    </row>
    <row r="206" spans="1:13" x14ac:dyDescent="0.35">
      <c r="A206" t="s">
        <v>536</v>
      </c>
      <c r="B206" s="9">
        <v>46048</v>
      </c>
      <c r="C206" t="s">
        <v>537</v>
      </c>
      <c r="D206" t="s">
        <v>15</v>
      </c>
      <c r="E206" t="s">
        <v>25</v>
      </c>
      <c r="F206" t="s">
        <v>47</v>
      </c>
      <c r="G206" t="s">
        <v>48</v>
      </c>
      <c r="H206">
        <v>1</v>
      </c>
      <c r="I206" t="s">
        <v>56</v>
      </c>
      <c r="J206" t="s">
        <v>56</v>
      </c>
      <c r="K206">
        <v>380</v>
      </c>
      <c r="L206" t="s">
        <v>30</v>
      </c>
      <c r="M206" t="s">
        <v>58</v>
      </c>
    </row>
    <row r="207" spans="1:13" x14ac:dyDescent="0.35">
      <c r="A207" t="s">
        <v>538</v>
      </c>
      <c r="B207" s="9">
        <v>46054</v>
      </c>
      <c r="C207" t="s">
        <v>539</v>
      </c>
      <c r="D207" t="s">
        <v>99</v>
      </c>
      <c r="E207" t="s">
        <v>16</v>
      </c>
      <c r="F207" t="s">
        <v>17</v>
      </c>
      <c r="G207" t="s">
        <v>18</v>
      </c>
      <c r="H207">
        <v>1</v>
      </c>
      <c r="I207" t="s">
        <v>28</v>
      </c>
      <c r="J207" t="s">
        <v>28</v>
      </c>
      <c r="K207">
        <v>520</v>
      </c>
      <c r="L207" t="s">
        <v>30</v>
      </c>
      <c r="M207" t="s">
        <v>22</v>
      </c>
    </row>
    <row r="208" spans="1:13" x14ac:dyDescent="0.35">
      <c r="A208" t="s">
        <v>540</v>
      </c>
      <c r="B208" s="9">
        <v>46077</v>
      </c>
      <c r="C208" t="s">
        <v>541</v>
      </c>
      <c r="D208" t="s">
        <v>94</v>
      </c>
      <c r="E208" t="s">
        <v>67</v>
      </c>
      <c r="F208" t="s">
        <v>74</v>
      </c>
      <c r="G208" t="s">
        <v>75</v>
      </c>
      <c r="H208">
        <v>2</v>
      </c>
      <c r="I208" t="s">
        <v>68</v>
      </c>
      <c r="J208" t="s">
        <v>248</v>
      </c>
      <c r="K208">
        <v>410</v>
      </c>
      <c r="L208" t="s">
        <v>30</v>
      </c>
      <c r="M208" t="s">
        <v>22</v>
      </c>
    </row>
    <row r="209" spans="1:13" x14ac:dyDescent="0.35">
      <c r="A209" t="s">
        <v>542</v>
      </c>
      <c r="B209" s="9">
        <v>46087</v>
      </c>
      <c r="C209" t="s">
        <v>543</v>
      </c>
      <c r="D209" t="s">
        <v>40</v>
      </c>
      <c r="E209" t="s">
        <v>34</v>
      </c>
      <c r="F209" t="s">
        <v>74</v>
      </c>
      <c r="G209" t="s">
        <v>75</v>
      </c>
      <c r="H209">
        <v>1</v>
      </c>
      <c r="I209" t="s">
        <v>19</v>
      </c>
      <c r="J209" t="s">
        <v>19</v>
      </c>
      <c r="K209">
        <v>410</v>
      </c>
      <c r="L209" t="s">
        <v>30</v>
      </c>
      <c r="M209" t="s">
        <v>58</v>
      </c>
    </row>
    <row r="210" spans="1:13" x14ac:dyDescent="0.35">
      <c r="A210" t="s">
        <v>544</v>
      </c>
      <c r="B210" s="9">
        <v>46031</v>
      </c>
      <c r="C210" t="s">
        <v>545</v>
      </c>
      <c r="D210" t="s">
        <v>46</v>
      </c>
      <c r="E210" t="s">
        <v>16</v>
      </c>
      <c r="F210" t="s">
        <v>89</v>
      </c>
      <c r="G210" t="s">
        <v>90</v>
      </c>
      <c r="H210">
        <v>1</v>
      </c>
      <c r="I210" t="s">
        <v>254</v>
      </c>
      <c r="J210" t="s">
        <v>254</v>
      </c>
      <c r="K210">
        <v>640</v>
      </c>
      <c r="L210" t="s">
        <v>30</v>
      </c>
      <c r="M210" t="s">
        <v>22</v>
      </c>
    </row>
    <row r="211" spans="1:13" x14ac:dyDescent="0.35">
      <c r="A211" t="s">
        <v>546</v>
      </c>
      <c r="B211" s="9">
        <v>46148</v>
      </c>
      <c r="C211" t="s">
        <v>547</v>
      </c>
      <c r="D211" t="s">
        <v>66</v>
      </c>
      <c r="E211" t="s">
        <v>25</v>
      </c>
      <c r="F211" t="s">
        <v>47</v>
      </c>
      <c r="G211" t="s">
        <v>48</v>
      </c>
      <c r="H211">
        <v>2</v>
      </c>
      <c r="I211" t="s">
        <v>28</v>
      </c>
      <c r="J211" t="s">
        <v>316</v>
      </c>
      <c r="K211" t="s">
        <v>50</v>
      </c>
      <c r="L211" t="s">
        <v>30</v>
      </c>
      <c r="M211" t="s">
        <v>22</v>
      </c>
    </row>
    <row r="212" spans="1:13" x14ac:dyDescent="0.35">
      <c r="A212" t="s">
        <v>548</v>
      </c>
      <c r="B212" s="9">
        <v>46070</v>
      </c>
      <c r="C212" t="s">
        <v>549</v>
      </c>
      <c r="D212" t="s">
        <v>94</v>
      </c>
      <c r="E212" t="s">
        <v>41</v>
      </c>
      <c r="F212" t="s">
        <v>74</v>
      </c>
      <c r="G212" t="s">
        <v>75</v>
      </c>
      <c r="H212">
        <v>1</v>
      </c>
      <c r="I212" t="s">
        <v>85</v>
      </c>
      <c r="J212" t="s">
        <v>550</v>
      </c>
      <c r="K212">
        <v>410</v>
      </c>
      <c r="L212" t="s">
        <v>30</v>
      </c>
      <c r="M212" t="s">
        <v>58</v>
      </c>
    </row>
    <row r="213" spans="1:13" x14ac:dyDescent="0.35">
      <c r="A213" t="s">
        <v>551</v>
      </c>
      <c r="B213" t="s">
        <v>552</v>
      </c>
      <c r="C213" t="s">
        <v>553</v>
      </c>
      <c r="D213" t="s">
        <v>33</v>
      </c>
      <c r="E213" t="s">
        <v>34</v>
      </c>
      <c r="F213" t="s">
        <v>17</v>
      </c>
      <c r="G213" t="s">
        <v>18</v>
      </c>
      <c r="H213">
        <v>2</v>
      </c>
      <c r="I213" t="s">
        <v>19</v>
      </c>
      <c r="J213" t="s">
        <v>238</v>
      </c>
      <c r="K213">
        <v>520</v>
      </c>
      <c r="L213" t="s">
        <v>30</v>
      </c>
      <c r="M213" t="s">
        <v>22</v>
      </c>
    </row>
    <row r="214" spans="1:13" x14ac:dyDescent="0.35">
      <c r="A214" t="s">
        <v>554</v>
      </c>
      <c r="B214" s="9">
        <v>46054</v>
      </c>
      <c r="C214" t="s">
        <v>555</v>
      </c>
      <c r="D214" t="s">
        <v>66</v>
      </c>
      <c r="E214" t="s">
        <v>67</v>
      </c>
      <c r="F214" t="s">
        <v>83</v>
      </c>
      <c r="G214" t="s">
        <v>84</v>
      </c>
      <c r="H214">
        <v>3</v>
      </c>
      <c r="I214" t="s">
        <v>71</v>
      </c>
      <c r="J214" t="s">
        <v>379</v>
      </c>
      <c r="K214">
        <v>340</v>
      </c>
      <c r="L214" t="s">
        <v>30</v>
      </c>
      <c r="M214" t="s">
        <v>22</v>
      </c>
    </row>
    <row r="215" spans="1:13" x14ac:dyDescent="0.35">
      <c r="A215" t="s">
        <v>556</v>
      </c>
      <c r="B215" s="9">
        <v>46193</v>
      </c>
      <c r="C215" t="s">
        <v>557</v>
      </c>
      <c r="D215" t="s">
        <v>15</v>
      </c>
      <c r="E215" t="s">
        <v>25</v>
      </c>
      <c r="F215" t="s">
        <v>35</v>
      </c>
      <c r="G215" t="s">
        <v>36</v>
      </c>
      <c r="H215">
        <v>1</v>
      </c>
      <c r="I215" t="s">
        <v>49</v>
      </c>
      <c r="J215" t="s">
        <v>49</v>
      </c>
      <c r="K215" t="s">
        <v>37</v>
      </c>
      <c r="L215" t="s">
        <v>21</v>
      </c>
      <c r="M215" t="s">
        <v>22</v>
      </c>
    </row>
    <row r="216" spans="1:13" x14ac:dyDescent="0.35">
      <c r="A216" t="s">
        <v>558</v>
      </c>
      <c r="B216" s="9">
        <v>46123</v>
      </c>
      <c r="C216" t="s">
        <v>559</v>
      </c>
      <c r="D216" t="s">
        <v>94</v>
      </c>
      <c r="E216" t="s">
        <v>25</v>
      </c>
      <c r="F216" t="s">
        <v>74</v>
      </c>
      <c r="G216" t="s">
        <v>75</v>
      </c>
      <c r="H216">
        <v>2</v>
      </c>
      <c r="I216" t="s">
        <v>106</v>
      </c>
      <c r="J216" t="s">
        <v>107</v>
      </c>
      <c r="K216">
        <v>410</v>
      </c>
      <c r="L216" t="s">
        <v>30</v>
      </c>
      <c r="M216" t="s">
        <v>22</v>
      </c>
    </row>
    <row r="217" spans="1:13" x14ac:dyDescent="0.35">
      <c r="A217" t="s">
        <v>560</v>
      </c>
      <c r="B217" t="s">
        <v>561</v>
      </c>
      <c r="C217" t="s">
        <v>562</v>
      </c>
      <c r="D217" t="s">
        <v>99</v>
      </c>
      <c r="E217" t="s">
        <v>41</v>
      </c>
      <c r="F217" t="s">
        <v>89</v>
      </c>
      <c r="G217" t="s">
        <v>90</v>
      </c>
      <c r="H217">
        <v>3</v>
      </c>
      <c r="I217" t="s">
        <v>62</v>
      </c>
      <c r="J217" t="s">
        <v>488</v>
      </c>
      <c r="K217">
        <v>640</v>
      </c>
      <c r="L217" t="s">
        <v>30</v>
      </c>
      <c r="M217" t="s">
        <v>22</v>
      </c>
    </row>
    <row r="218" spans="1:13" x14ac:dyDescent="0.35">
      <c r="A218" t="s">
        <v>563</v>
      </c>
      <c r="B218" s="9">
        <v>46071</v>
      </c>
      <c r="C218" t="s">
        <v>564</v>
      </c>
      <c r="D218" t="s">
        <v>33</v>
      </c>
      <c r="E218" t="s">
        <v>25</v>
      </c>
      <c r="F218" t="s">
        <v>17</v>
      </c>
      <c r="G218" t="s">
        <v>18</v>
      </c>
      <c r="H218">
        <v>1</v>
      </c>
      <c r="I218" t="s">
        <v>19</v>
      </c>
      <c r="J218" t="s">
        <v>19</v>
      </c>
      <c r="K218">
        <v>520</v>
      </c>
      <c r="L218" t="s">
        <v>21</v>
      </c>
      <c r="M218" t="s">
        <v>22</v>
      </c>
    </row>
    <row r="219" spans="1:13" x14ac:dyDescent="0.35">
      <c r="A219" t="s">
        <v>565</v>
      </c>
      <c r="B219" t="s">
        <v>566</v>
      </c>
      <c r="C219" t="s">
        <v>567</v>
      </c>
      <c r="D219" t="s">
        <v>94</v>
      </c>
      <c r="E219" t="s">
        <v>16</v>
      </c>
      <c r="F219" t="s">
        <v>35</v>
      </c>
      <c r="G219" t="s">
        <v>36</v>
      </c>
      <c r="H219">
        <v>3</v>
      </c>
      <c r="I219" t="s">
        <v>28</v>
      </c>
      <c r="J219" t="s">
        <v>568</v>
      </c>
      <c r="K219">
        <v>85</v>
      </c>
      <c r="L219" t="s">
        <v>30</v>
      </c>
      <c r="M219" t="s">
        <v>22</v>
      </c>
    </row>
    <row r="220" spans="1:13" x14ac:dyDescent="0.35">
      <c r="A220" t="s">
        <v>569</v>
      </c>
      <c r="B220" s="9">
        <v>46068</v>
      </c>
      <c r="C220" t="s">
        <v>570</v>
      </c>
      <c r="D220" t="s">
        <v>116</v>
      </c>
      <c r="E220" t="s">
        <v>25</v>
      </c>
      <c r="F220" t="s">
        <v>35</v>
      </c>
      <c r="G220" t="s">
        <v>36</v>
      </c>
      <c r="H220">
        <v>2</v>
      </c>
      <c r="I220" t="s">
        <v>19</v>
      </c>
      <c r="J220" t="s">
        <v>238</v>
      </c>
      <c r="K220">
        <v>85</v>
      </c>
      <c r="L220" t="s">
        <v>21</v>
      </c>
      <c r="M220" t="s">
        <v>22</v>
      </c>
    </row>
    <row r="221" spans="1:13" x14ac:dyDescent="0.35">
      <c r="A221" t="s">
        <v>571</v>
      </c>
      <c r="B221" s="9">
        <v>46199</v>
      </c>
      <c r="C221" t="s">
        <v>572</v>
      </c>
      <c r="D221" t="s">
        <v>66</v>
      </c>
      <c r="E221" t="s">
        <v>16</v>
      </c>
      <c r="F221" t="s">
        <v>35</v>
      </c>
      <c r="G221" t="s">
        <v>36</v>
      </c>
      <c r="H221">
        <v>1</v>
      </c>
      <c r="I221" t="s">
        <v>71</v>
      </c>
      <c r="J221" t="s">
        <v>71</v>
      </c>
      <c r="K221" t="s">
        <v>37</v>
      </c>
      <c r="L221" t="s">
        <v>30</v>
      </c>
      <c r="M221" t="s">
        <v>22</v>
      </c>
    </row>
    <row r="222" spans="1:13" x14ac:dyDescent="0.35">
      <c r="A222" t="s">
        <v>573</v>
      </c>
      <c r="B222" s="9">
        <v>46169</v>
      </c>
      <c r="C222" t="s">
        <v>574</v>
      </c>
      <c r="D222" t="s">
        <v>33</v>
      </c>
      <c r="E222" t="s">
        <v>25</v>
      </c>
      <c r="F222" t="s">
        <v>83</v>
      </c>
      <c r="G222" t="s">
        <v>84</v>
      </c>
      <c r="H222">
        <v>1</v>
      </c>
      <c r="I222" t="s">
        <v>136</v>
      </c>
      <c r="J222" t="s">
        <v>136</v>
      </c>
      <c r="K222" t="s">
        <v>103</v>
      </c>
      <c r="L222" t="s">
        <v>30</v>
      </c>
      <c r="M222" t="s">
        <v>58</v>
      </c>
    </row>
    <row r="223" spans="1:13" x14ac:dyDescent="0.35">
      <c r="A223" t="s">
        <v>575</v>
      </c>
      <c r="B223" s="9">
        <v>46145</v>
      </c>
      <c r="C223" t="s">
        <v>576</v>
      </c>
      <c r="D223" t="s">
        <v>94</v>
      </c>
      <c r="E223" t="s">
        <v>16</v>
      </c>
      <c r="F223" t="s">
        <v>17</v>
      </c>
      <c r="G223" t="s">
        <v>18</v>
      </c>
      <c r="H223">
        <v>1</v>
      </c>
      <c r="I223" t="s">
        <v>155</v>
      </c>
      <c r="J223" t="s">
        <v>254</v>
      </c>
      <c r="K223" t="s">
        <v>29</v>
      </c>
      <c r="L223" t="s">
        <v>30</v>
      </c>
      <c r="M223" t="s">
        <v>22</v>
      </c>
    </row>
    <row r="224" spans="1:13" x14ac:dyDescent="0.35">
      <c r="A224" t="s">
        <v>577</v>
      </c>
      <c r="B224" s="9">
        <v>46096</v>
      </c>
      <c r="C224" t="s">
        <v>578</v>
      </c>
      <c r="D224" t="s">
        <v>66</v>
      </c>
      <c r="E224" t="s">
        <v>25</v>
      </c>
      <c r="F224" t="s">
        <v>83</v>
      </c>
      <c r="G224" t="s">
        <v>84</v>
      </c>
      <c r="H224">
        <v>1</v>
      </c>
      <c r="I224" t="s">
        <v>56</v>
      </c>
      <c r="J224" t="s">
        <v>56</v>
      </c>
      <c r="K224">
        <v>340</v>
      </c>
      <c r="L224" t="s">
        <v>30</v>
      </c>
      <c r="M224" t="s">
        <v>58</v>
      </c>
    </row>
    <row r="225" spans="1:13" x14ac:dyDescent="0.35">
      <c r="A225" t="s">
        <v>579</v>
      </c>
      <c r="B225" s="9">
        <v>46163</v>
      </c>
      <c r="C225" t="s">
        <v>580</v>
      </c>
      <c r="D225" t="s">
        <v>66</v>
      </c>
      <c r="E225" t="s">
        <v>67</v>
      </c>
      <c r="F225" t="s">
        <v>83</v>
      </c>
      <c r="G225" t="s">
        <v>84</v>
      </c>
      <c r="H225">
        <v>2</v>
      </c>
      <c r="I225" t="s">
        <v>106</v>
      </c>
      <c r="J225" t="s">
        <v>107</v>
      </c>
      <c r="K225" t="s">
        <v>103</v>
      </c>
      <c r="L225" t="s">
        <v>30</v>
      </c>
      <c r="M225" t="s">
        <v>22</v>
      </c>
    </row>
    <row r="226" spans="1:13" x14ac:dyDescent="0.35">
      <c r="A226" t="s">
        <v>581</v>
      </c>
      <c r="B226" t="s">
        <v>582</v>
      </c>
      <c r="C226" t="s">
        <v>583</v>
      </c>
      <c r="D226" t="s">
        <v>94</v>
      </c>
      <c r="E226" t="s">
        <v>41</v>
      </c>
      <c r="F226" t="s">
        <v>42</v>
      </c>
      <c r="G226" t="s">
        <v>43</v>
      </c>
      <c r="H226">
        <v>2</v>
      </c>
      <c r="I226" t="s">
        <v>79</v>
      </c>
      <c r="J226" t="s">
        <v>143</v>
      </c>
      <c r="K226" t="s">
        <v>111</v>
      </c>
      <c r="L226" t="s">
        <v>30</v>
      </c>
      <c r="M226" t="s">
        <v>22</v>
      </c>
    </row>
    <row r="227" spans="1:13" x14ac:dyDescent="0.35">
      <c r="A227" t="s">
        <v>584</v>
      </c>
      <c r="B227" s="9">
        <v>46074</v>
      </c>
      <c r="C227" t="s">
        <v>585</v>
      </c>
      <c r="D227" t="s">
        <v>15</v>
      </c>
      <c r="E227" t="s">
        <v>16</v>
      </c>
      <c r="F227" t="s">
        <v>26</v>
      </c>
      <c r="G227" t="s">
        <v>27</v>
      </c>
      <c r="H227">
        <v>2</v>
      </c>
      <c r="I227" t="s">
        <v>71</v>
      </c>
      <c r="J227" t="s">
        <v>286</v>
      </c>
      <c r="K227">
        <v>520</v>
      </c>
      <c r="L227" t="s">
        <v>30</v>
      </c>
      <c r="M227" t="s">
        <v>22</v>
      </c>
    </row>
    <row r="228" spans="1:13" x14ac:dyDescent="0.35">
      <c r="A228" t="s">
        <v>586</v>
      </c>
      <c r="B228" s="9">
        <v>46033</v>
      </c>
      <c r="C228" t="s">
        <v>587</v>
      </c>
      <c r="D228" t="s">
        <v>15</v>
      </c>
      <c r="E228" t="s">
        <v>25</v>
      </c>
      <c r="F228" t="s">
        <v>42</v>
      </c>
      <c r="G228" t="s">
        <v>43</v>
      </c>
      <c r="H228">
        <v>2</v>
      </c>
      <c r="I228" t="s">
        <v>588</v>
      </c>
      <c r="J228" t="s">
        <v>63</v>
      </c>
      <c r="K228">
        <v>190</v>
      </c>
      <c r="L228" t="s">
        <v>30</v>
      </c>
      <c r="M228" t="s">
        <v>22</v>
      </c>
    </row>
    <row r="229" spans="1:13" x14ac:dyDescent="0.35">
      <c r="A229" t="s">
        <v>589</v>
      </c>
      <c r="B229" t="s">
        <v>590</v>
      </c>
      <c r="C229" t="s">
        <v>591</v>
      </c>
      <c r="D229" t="s">
        <v>33</v>
      </c>
      <c r="E229" t="s">
        <v>67</v>
      </c>
      <c r="F229" t="s">
        <v>74</v>
      </c>
      <c r="G229" t="s">
        <v>75</v>
      </c>
      <c r="H229">
        <v>1</v>
      </c>
      <c r="I229" t="s">
        <v>592</v>
      </c>
      <c r="J229" t="s">
        <v>136</v>
      </c>
      <c r="K229">
        <v>410</v>
      </c>
      <c r="L229" t="s">
        <v>21</v>
      </c>
      <c r="M229" t="s">
        <v>58</v>
      </c>
    </row>
    <row r="230" spans="1:13" x14ac:dyDescent="0.35">
      <c r="A230" t="s">
        <v>593</v>
      </c>
      <c r="B230" s="9">
        <v>46097</v>
      </c>
      <c r="C230" t="s">
        <v>594</v>
      </c>
      <c r="D230" t="s">
        <v>66</v>
      </c>
      <c r="E230" t="s">
        <v>67</v>
      </c>
      <c r="F230" t="s">
        <v>89</v>
      </c>
      <c r="G230" t="s">
        <v>90</v>
      </c>
      <c r="H230">
        <v>-1</v>
      </c>
      <c r="I230" t="s">
        <v>19</v>
      </c>
      <c r="J230" t="s">
        <v>393</v>
      </c>
      <c r="K230">
        <v>640</v>
      </c>
      <c r="L230" t="s">
        <v>30</v>
      </c>
      <c r="M230" t="s">
        <v>22</v>
      </c>
    </row>
    <row r="231" spans="1:13" x14ac:dyDescent="0.35">
      <c r="A231" t="s">
        <v>595</v>
      </c>
      <c r="B231" t="s">
        <v>596</v>
      </c>
      <c r="C231" t="s">
        <v>597</v>
      </c>
      <c r="D231" t="s">
        <v>53</v>
      </c>
      <c r="E231" t="s">
        <v>16</v>
      </c>
      <c r="F231" t="s">
        <v>89</v>
      </c>
      <c r="G231" t="s">
        <v>90</v>
      </c>
      <c r="H231">
        <v>2</v>
      </c>
      <c r="I231" t="s">
        <v>19</v>
      </c>
      <c r="J231" t="s">
        <v>238</v>
      </c>
      <c r="K231">
        <v>640</v>
      </c>
      <c r="L231" t="s">
        <v>30</v>
      </c>
      <c r="M231" t="s">
        <v>58</v>
      </c>
    </row>
    <row r="232" spans="1:13" x14ac:dyDescent="0.35">
      <c r="A232" t="s">
        <v>598</v>
      </c>
      <c r="B232" s="9">
        <v>46206</v>
      </c>
      <c r="C232" t="s">
        <v>599</v>
      </c>
      <c r="D232" t="s">
        <v>61</v>
      </c>
      <c r="E232" t="s">
        <v>34</v>
      </c>
      <c r="F232" t="s">
        <v>47</v>
      </c>
      <c r="G232" t="s">
        <v>48</v>
      </c>
      <c r="H232">
        <v>3</v>
      </c>
      <c r="I232" t="s">
        <v>136</v>
      </c>
      <c r="J232" t="s">
        <v>137</v>
      </c>
      <c r="K232" t="s">
        <v>50</v>
      </c>
      <c r="L232" t="s">
        <v>21</v>
      </c>
      <c r="M232" t="s">
        <v>22</v>
      </c>
    </row>
    <row r="233" spans="1:13" x14ac:dyDescent="0.35">
      <c r="A233" t="s">
        <v>600</v>
      </c>
      <c r="B233" s="9">
        <v>46045</v>
      </c>
      <c r="C233" t="s">
        <v>498</v>
      </c>
      <c r="D233" t="s">
        <v>15</v>
      </c>
      <c r="E233" t="s">
        <v>25</v>
      </c>
      <c r="F233" t="s">
        <v>35</v>
      </c>
      <c r="G233" t="s">
        <v>36</v>
      </c>
      <c r="H233">
        <v>3</v>
      </c>
      <c r="I233" t="s">
        <v>102</v>
      </c>
      <c r="J233" t="s">
        <v>127</v>
      </c>
      <c r="K233">
        <v>85</v>
      </c>
      <c r="L233" t="s">
        <v>30</v>
      </c>
      <c r="M233" t="s">
        <v>22</v>
      </c>
    </row>
    <row r="234" spans="1:13" x14ac:dyDescent="0.35">
      <c r="A234" t="s">
        <v>601</v>
      </c>
      <c r="B234" s="9">
        <v>46033</v>
      </c>
      <c r="C234" t="s">
        <v>602</v>
      </c>
      <c r="D234" t="s">
        <v>53</v>
      </c>
      <c r="E234" t="s">
        <v>41</v>
      </c>
      <c r="F234" t="s">
        <v>26</v>
      </c>
      <c r="G234" t="s">
        <v>27</v>
      </c>
      <c r="H234">
        <v>3</v>
      </c>
      <c r="I234" t="s">
        <v>132</v>
      </c>
      <c r="J234" t="s">
        <v>232</v>
      </c>
      <c r="K234">
        <v>520</v>
      </c>
      <c r="L234" t="s">
        <v>30</v>
      </c>
      <c r="M234" t="s">
        <v>22</v>
      </c>
    </row>
    <row r="235" spans="1:13" x14ac:dyDescent="0.35">
      <c r="A235" t="s">
        <v>603</v>
      </c>
      <c r="B235" s="9">
        <v>46075</v>
      </c>
      <c r="C235" t="s">
        <v>604</v>
      </c>
      <c r="D235" t="s">
        <v>46</v>
      </c>
      <c r="E235" t="s">
        <v>25</v>
      </c>
      <c r="F235" t="s">
        <v>89</v>
      </c>
      <c r="G235" t="s">
        <v>90</v>
      </c>
      <c r="H235">
        <v>-2</v>
      </c>
      <c r="I235" t="s">
        <v>71</v>
      </c>
      <c r="J235" t="s">
        <v>605</v>
      </c>
      <c r="K235">
        <v>640</v>
      </c>
      <c r="L235" t="s">
        <v>30</v>
      </c>
      <c r="M235" t="s">
        <v>58</v>
      </c>
    </row>
    <row r="236" spans="1:13" x14ac:dyDescent="0.35">
      <c r="A236" t="s">
        <v>606</v>
      </c>
      <c r="B236" s="9">
        <v>46039</v>
      </c>
      <c r="C236" t="s">
        <v>607</v>
      </c>
      <c r="D236" t="s">
        <v>46</v>
      </c>
      <c r="E236" t="s">
        <v>25</v>
      </c>
      <c r="F236" t="s">
        <v>74</v>
      </c>
      <c r="G236" t="s">
        <v>75</v>
      </c>
      <c r="H236">
        <v>2</v>
      </c>
      <c r="I236" t="s">
        <v>608</v>
      </c>
      <c r="J236" t="s">
        <v>133</v>
      </c>
      <c r="K236">
        <v>410</v>
      </c>
      <c r="L236" t="s">
        <v>30</v>
      </c>
      <c r="M236" t="s">
        <v>22</v>
      </c>
    </row>
    <row r="237" spans="1:13" x14ac:dyDescent="0.35">
      <c r="A237" t="s">
        <v>609</v>
      </c>
      <c r="B237" t="s">
        <v>610</v>
      </c>
      <c r="C237" t="s">
        <v>611</v>
      </c>
      <c r="D237" t="s">
        <v>15</v>
      </c>
      <c r="E237" t="s">
        <v>16</v>
      </c>
      <c r="F237" t="s">
        <v>26</v>
      </c>
      <c r="G237" t="s">
        <v>27</v>
      </c>
      <c r="H237">
        <v>3</v>
      </c>
      <c r="I237" t="s">
        <v>254</v>
      </c>
      <c r="J237" t="s">
        <v>390</v>
      </c>
      <c r="K237" t="s">
        <v>29</v>
      </c>
      <c r="L237" t="s">
        <v>21</v>
      </c>
      <c r="M237" t="s">
        <v>58</v>
      </c>
    </row>
    <row r="238" spans="1:13" x14ac:dyDescent="0.35">
      <c r="A238" t="s">
        <v>612</v>
      </c>
      <c r="B238" s="9">
        <v>46070</v>
      </c>
      <c r="C238" t="s">
        <v>613</v>
      </c>
      <c r="D238" t="s">
        <v>33</v>
      </c>
      <c r="E238" t="s">
        <v>67</v>
      </c>
      <c r="F238" t="s">
        <v>17</v>
      </c>
      <c r="G238" t="s">
        <v>18</v>
      </c>
      <c r="H238">
        <v>1</v>
      </c>
      <c r="I238" t="s">
        <v>85</v>
      </c>
      <c r="J238" t="s">
        <v>85</v>
      </c>
      <c r="K238">
        <v>520</v>
      </c>
      <c r="L238" t="s">
        <v>30</v>
      </c>
      <c r="M238" t="s">
        <v>22</v>
      </c>
    </row>
    <row r="239" spans="1:13" x14ac:dyDescent="0.35">
      <c r="A239" t="s">
        <v>614</v>
      </c>
      <c r="B239" s="9">
        <v>46176</v>
      </c>
      <c r="C239" t="s">
        <v>615</v>
      </c>
      <c r="D239" t="s">
        <v>33</v>
      </c>
      <c r="E239" t="s">
        <v>25</v>
      </c>
      <c r="F239" t="s">
        <v>89</v>
      </c>
      <c r="G239" t="s">
        <v>90</v>
      </c>
      <c r="H239">
        <v>-3</v>
      </c>
      <c r="I239" t="s">
        <v>19</v>
      </c>
      <c r="J239" t="s">
        <v>616</v>
      </c>
      <c r="K239" t="s">
        <v>108</v>
      </c>
      <c r="L239" t="s">
        <v>30</v>
      </c>
      <c r="M239" t="s">
        <v>22</v>
      </c>
    </row>
    <row r="240" spans="1:13" x14ac:dyDescent="0.35">
      <c r="A240" t="s">
        <v>617</v>
      </c>
      <c r="B240" s="9">
        <v>46046</v>
      </c>
      <c r="C240" t="s">
        <v>618</v>
      </c>
      <c r="D240" t="s">
        <v>53</v>
      </c>
      <c r="E240" t="s">
        <v>34</v>
      </c>
      <c r="F240" t="s">
        <v>26</v>
      </c>
      <c r="G240" t="s">
        <v>27</v>
      </c>
      <c r="H240">
        <v>1</v>
      </c>
      <c r="I240" t="s">
        <v>19</v>
      </c>
      <c r="J240" t="s">
        <v>19</v>
      </c>
      <c r="K240">
        <v>520</v>
      </c>
      <c r="L240" t="s">
        <v>30</v>
      </c>
      <c r="M240" t="s">
        <v>22</v>
      </c>
    </row>
    <row r="241" spans="1:13" x14ac:dyDescent="0.35">
      <c r="A241" t="s">
        <v>619</v>
      </c>
      <c r="B241" s="9">
        <v>46040</v>
      </c>
      <c r="C241" t="s">
        <v>620</v>
      </c>
      <c r="D241" t="s">
        <v>40</v>
      </c>
      <c r="E241" t="s">
        <v>41</v>
      </c>
      <c r="F241" t="s">
        <v>89</v>
      </c>
      <c r="G241" t="s">
        <v>90</v>
      </c>
      <c r="H241">
        <v>2</v>
      </c>
      <c r="I241" t="s">
        <v>170</v>
      </c>
      <c r="J241" t="s">
        <v>152</v>
      </c>
      <c r="K241">
        <v>640</v>
      </c>
      <c r="L241" t="s">
        <v>30</v>
      </c>
      <c r="M241" t="s">
        <v>22</v>
      </c>
    </row>
    <row r="242" spans="1:13" x14ac:dyDescent="0.35">
      <c r="A242" t="s">
        <v>621</v>
      </c>
      <c r="B242" s="9">
        <v>46194</v>
      </c>
      <c r="C242" t="s">
        <v>622</v>
      </c>
      <c r="D242" t="s">
        <v>53</v>
      </c>
      <c r="E242" t="s">
        <v>25</v>
      </c>
      <c r="F242" t="s">
        <v>74</v>
      </c>
      <c r="G242" t="s">
        <v>75</v>
      </c>
      <c r="H242">
        <v>2</v>
      </c>
      <c r="I242" t="s">
        <v>102</v>
      </c>
      <c r="J242" t="s">
        <v>181</v>
      </c>
      <c r="K242" t="s">
        <v>76</v>
      </c>
      <c r="L242" t="s">
        <v>30</v>
      </c>
      <c r="M242" t="s">
        <v>22</v>
      </c>
    </row>
    <row r="243" spans="1:13" x14ac:dyDescent="0.35">
      <c r="A243" t="s">
        <v>623</v>
      </c>
      <c r="B243" s="9">
        <v>46194</v>
      </c>
      <c r="C243" t="s">
        <v>624</v>
      </c>
      <c r="D243" t="s">
        <v>40</v>
      </c>
      <c r="E243" t="s">
        <v>67</v>
      </c>
      <c r="F243" t="s">
        <v>26</v>
      </c>
      <c r="G243" t="s">
        <v>27</v>
      </c>
      <c r="H243">
        <v>2</v>
      </c>
      <c r="I243" t="s">
        <v>254</v>
      </c>
      <c r="J243" t="s">
        <v>625</v>
      </c>
      <c r="K243" t="s">
        <v>29</v>
      </c>
      <c r="L243" t="s">
        <v>30</v>
      </c>
      <c r="M243" t="s">
        <v>22</v>
      </c>
    </row>
    <row r="244" spans="1:13" x14ac:dyDescent="0.35">
      <c r="A244" t="s">
        <v>626</v>
      </c>
      <c r="B244" s="9">
        <v>46048</v>
      </c>
      <c r="C244" t="s">
        <v>370</v>
      </c>
      <c r="D244" t="s">
        <v>99</v>
      </c>
      <c r="E244" t="s">
        <v>67</v>
      </c>
      <c r="F244" t="s">
        <v>26</v>
      </c>
      <c r="G244" t="s">
        <v>27</v>
      </c>
      <c r="H244">
        <v>1</v>
      </c>
      <c r="I244" t="s">
        <v>68</v>
      </c>
      <c r="J244" t="s">
        <v>68</v>
      </c>
      <c r="K244">
        <v>520</v>
      </c>
      <c r="L244" t="s">
        <v>30</v>
      </c>
      <c r="M244" t="s">
        <v>22</v>
      </c>
    </row>
    <row r="245" spans="1:13" x14ac:dyDescent="0.35">
      <c r="A245" t="s">
        <v>627</v>
      </c>
      <c r="B245" s="9">
        <v>46030</v>
      </c>
      <c r="C245" t="s">
        <v>370</v>
      </c>
      <c r="D245" t="s">
        <v>66</v>
      </c>
      <c r="E245" t="s">
        <v>34</v>
      </c>
      <c r="F245" t="s">
        <v>89</v>
      </c>
      <c r="G245" t="s">
        <v>90</v>
      </c>
      <c r="H245">
        <v>2</v>
      </c>
      <c r="I245" t="s">
        <v>136</v>
      </c>
      <c r="J245" t="s">
        <v>164</v>
      </c>
      <c r="K245">
        <v>640</v>
      </c>
      <c r="L245" t="s">
        <v>30</v>
      </c>
      <c r="M245" t="s">
        <v>22</v>
      </c>
    </row>
    <row r="246" spans="1:13" x14ac:dyDescent="0.35">
      <c r="A246" t="s">
        <v>628</v>
      </c>
      <c r="B246" t="s">
        <v>629</v>
      </c>
      <c r="C246" t="s">
        <v>328</v>
      </c>
      <c r="D246" t="s">
        <v>61</v>
      </c>
      <c r="E246" t="s">
        <v>67</v>
      </c>
      <c r="F246" t="s">
        <v>42</v>
      </c>
      <c r="G246" t="s">
        <v>43</v>
      </c>
      <c r="H246">
        <v>1</v>
      </c>
      <c r="I246" t="s">
        <v>102</v>
      </c>
      <c r="J246" t="s">
        <v>102</v>
      </c>
      <c r="K246">
        <v>190</v>
      </c>
      <c r="L246" t="s">
        <v>30</v>
      </c>
      <c r="M246" t="s">
        <v>58</v>
      </c>
    </row>
    <row r="247" spans="1:13" x14ac:dyDescent="0.35">
      <c r="A247" t="s">
        <v>630</v>
      </c>
      <c r="B247" s="9">
        <v>46062</v>
      </c>
      <c r="C247" t="s">
        <v>631</v>
      </c>
      <c r="D247" t="s">
        <v>94</v>
      </c>
      <c r="E247" t="s">
        <v>34</v>
      </c>
      <c r="F247" t="s">
        <v>17</v>
      </c>
      <c r="G247" t="s">
        <v>18</v>
      </c>
      <c r="H247">
        <v>3</v>
      </c>
      <c r="I247" t="s">
        <v>106</v>
      </c>
      <c r="J247" t="s">
        <v>160</v>
      </c>
      <c r="K247">
        <v>520</v>
      </c>
      <c r="L247" t="s">
        <v>30</v>
      </c>
      <c r="M247" t="s">
        <v>58</v>
      </c>
    </row>
    <row r="248" spans="1:13" x14ac:dyDescent="0.35">
      <c r="A248" t="s">
        <v>632</v>
      </c>
      <c r="B248" s="9">
        <v>46053</v>
      </c>
      <c r="C248" t="s">
        <v>633</v>
      </c>
      <c r="D248" t="s">
        <v>94</v>
      </c>
      <c r="E248" t="s">
        <v>34</v>
      </c>
      <c r="F248" t="s">
        <v>42</v>
      </c>
      <c r="G248" t="s">
        <v>43</v>
      </c>
      <c r="H248">
        <v>1</v>
      </c>
      <c r="I248" t="s">
        <v>71</v>
      </c>
      <c r="J248" t="s">
        <v>71</v>
      </c>
      <c r="K248">
        <v>190</v>
      </c>
      <c r="L248" t="s">
        <v>30</v>
      </c>
      <c r="M248" t="s">
        <v>58</v>
      </c>
    </row>
    <row r="249" spans="1:13" x14ac:dyDescent="0.35">
      <c r="A249" t="s">
        <v>634</v>
      </c>
      <c r="B249" s="9">
        <v>46060</v>
      </c>
      <c r="C249" t="s">
        <v>635</v>
      </c>
      <c r="D249" t="s">
        <v>99</v>
      </c>
      <c r="E249" t="s">
        <v>67</v>
      </c>
      <c r="F249" t="s">
        <v>17</v>
      </c>
      <c r="G249" t="s">
        <v>18</v>
      </c>
      <c r="H249">
        <v>1</v>
      </c>
      <c r="I249" t="s">
        <v>106</v>
      </c>
      <c r="J249" t="s">
        <v>106</v>
      </c>
      <c r="K249">
        <v>520</v>
      </c>
      <c r="L249" t="s">
        <v>30</v>
      </c>
      <c r="M249" t="s">
        <v>22</v>
      </c>
    </row>
    <row r="250" spans="1:13" x14ac:dyDescent="0.35">
      <c r="A250" t="s">
        <v>636</v>
      </c>
      <c r="B250" s="9">
        <v>46094</v>
      </c>
      <c r="C250" t="s">
        <v>637</v>
      </c>
      <c r="D250" t="s">
        <v>94</v>
      </c>
      <c r="E250" t="s">
        <v>25</v>
      </c>
      <c r="F250" t="s">
        <v>89</v>
      </c>
      <c r="G250" t="s">
        <v>90</v>
      </c>
      <c r="H250">
        <v>3</v>
      </c>
      <c r="I250" t="s">
        <v>136</v>
      </c>
      <c r="J250" t="s">
        <v>137</v>
      </c>
      <c r="K250">
        <v>640</v>
      </c>
      <c r="L250" t="s">
        <v>30</v>
      </c>
      <c r="M250" t="s">
        <v>22</v>
      </c>
    </row>
    <row r="251" spans="1:13" x14ac:dyDescent="0.35">
      <c r="A251" t="s">
        <v>638</v>
      </c>
      <c r="B251" s="9">
        <v>46072</v>
      </c>
      <c r="C251" t="s">
        <v>639</v>
      </c>
      <c r="D251" t="s">
        <v>66</v>
      </c>
      <c r="E251" t="s">
        <v>67</v>
      </c>
      <c r="F251" t="s">
        <v>17</v>
      </c>
      <c r="G251" t="s">
        <v>18</v>
      </c>
      <c r="H251">
        <v>1</v>
      </c>
      <c r="I251" t="s">
        <v>28</v>
      </c>
      <c r="J251" t="s">
        <v>28</v>
      </c>
      <c r="K251">
        <v>520</v>
      </c>
      <c r="L251" t="s">
        <v>30</v>
      </c>
      <c r="M251" t="s">
        <v>22</v>
      </c>
    </row>
    <row r="252" spans="1:13" x14ac:dyDescent="0.35">
      <c r="A252" t="s">
        <v>640</v>
      </c>
      <c r="B252" s="9">
        <v>46092</v>
      </c>
      <c r="C252" t="s">
        <v>641</v>
      </c>
      <c r="D252" t="s">
        <v>99</v>
      </c>
      <c r="E252" t="s">
        <v>41</v>
      </c>
      <c r="F252" t="s">
        <v>35</v>
      </c>
      <c r="G252" t="s">
        <v>36</v>
      </c>
      <c r="H252">
        <v>3</v>
      </c>
      <c r="I252" t="s">
        <v>28</v>
      </c>
      <c r="J252" t="s">
        <v>642</v>
      </c>
      <c r="K252">
        <v>85</v>
      </c>
      <c r="L252" t="s">
        <v>30</v>
      </c>
      <c r="M252" t="s">
        <v>22</v>
      </c>
    </row>
    <row r="253" spans="1:13" x14ac:dyDescent="0.35">
      <c r="A253" t="s">
        <v>643</v>
      </c>
      <c r="B253" s="9">
        <v>46176</v>
      </c>
      <c r="C253" t="s">
        <v>644</v>
      </c>
      <c r="D253" t="s">
        <v>40</v>
      </c>
      <c r="E253" t="s">
        <v>16</v>
      </c>
      <c r="F253" t="s">
        <v>35</v>
      </c>
      <c r="G253" t="s">
        <v>36</v>
      </c>
      <c r="H253">
        <v>2</v>
      </c>
      <c r="I253" t="s">
        <v>645</v>
      </c>
      <c r="J253" t="s">
        <v>181</v>
      </c>
      <c r="K253" t="s">
        <v>37</v>
      </c>
      <c r="L253" t="s">
        <v>21</v>
      </c>
      <c r="M253" t="s">
        <v>22</v>
      </c>
    </row>
    <row r="254" spans="1:13" x14ac:dyDescent="0.35">
      <c r="A254" t="s">
        <v>646</v>
      </c>
      <c r="B254" s="9">
        <v>46144</v>
      </c>
      <c r="C254" t="s">
        <v>425</v>
      </c>
      <c r="D254" t="s">
        <v>99</v>
      </c>
      <c r="E254" t="s">
        <v>41</v>
      </c>
      <c r="F254" t="s">
        <v>83</v>
      </c>
      <c r="G254" t="s">
        <v>84</v>
      </c>
      <c r="H254">
        <v>2</v>
      </c>
      <c r="I254" t="s">
        <v>132</v>
      </c>
      <c r="J254" t="s">
        <v>133</v>
      </c>
      <c r="K254" t="s">
        <v>103</v>
      </c>
      <c r="L254" t="s">
        <v>30</v>
      </c>
      <c r="M254" t="s">
        <v>22</v>
      </c>
    </row>
    <row r="255" spans="1:13" x14ac:dyDescent="0.35">
      <c r="A255" t="s">
        <v>647</v>
      </c>
      <c r="B255" s="9">
        <v>46050</v>
      </c>
      <c r="C255" t="s">
        <v>648</v>
      </c>
      <c r="D255" t="s">
        <v>33</v>
      </c>
      <c r="E255" t="s">
        <v>67</v>
      </c>
      <c r="F255" t="s">
        <v>89</v>
      </c>
      <c r="G255" t="s">
        <v>90</v>
      </c>
      <c r="H255">
        <v>1</v>
      </c>
      <c r="I255" t="s">
        <v>649</v>
      </c>
      <c r="J255" t="s">
        <v>68</v>
      </c>
      <c r="K255">
        <v>640</v>
      </c>
      <c r="L255" t="s">
        <v>30</v>
      </c>
      <c r="M255" t="s">
        <v>22</v>
      </c>
    </row>
    <row r="256" spans="1:13" x14ac:dyDescent="0.35">
      <c r="A256" t="s">
        <v>650</v>
      </c>
      <c r="B256" s="9">
        <v>46081</v>
      </c>
      <c r="C256" t="s">
        <v>651</v>
      </c>
      <c r="D256" t="s">
        <v>33</v>
      </c>
      <c r="E256" t="s">
        <v>67</v>
      </c>
      <c r="F256" t="s">
        <v>35</v>
      </c>
      <c r="G256" t="s">
        <v>36</v>
      </c>
      <c r="H256">
        <v>1</v>
      </c>
      <c r="I256" t="s">
        <v>136</v>
      </c>
      <c r="J256" t="s">
        <v>136</v>
      </c>
      <c r="K256">
        <v>85</v>
      </c>
      <c r="L256" t="s">
        <v>30</v>
      </c>
      <c r="M256" t="s">
        <v>58</v>
      </c>
    </row>
    <row r="257" spans="1:13" x14ac:dyDescent="0.35">
      <c r="A257" t="s">
        <v>652</v>
      </c>
      <c r="B257" s="9">
        <v>46138</v>
      </c>
      <c r="C257" t="s">
        <v>653</v>
      </c>
      <c r="D257" t="s">
        <v>40</v>
      </c>
      <c r="E257" t="s">
        <v>67</v>
      </c>
      <c r="F257" t="s">
        <v>26</v>
      </c>
      <c r="G257" t="s">
        <v>27</v>
      </c>
      <c r="H257">
        <v>1</v>
      </c>
      <c r="I257" t="s">
        <v>28</v>
      </c>
      <c r="J257" t="s">
        <v>28</v>
      </c>
      <c r="K257" t="s">
        <v>29</v>
      </c>
      <c r="L257" t="s">
        <v>30</v>
      </c>
      <c r="M257" t="s">
        <v>22</v>
      </c>
    </row>
    <row r="258" spans="1:13" x14ac:dyDescent="0.35">
      <c r="A258" t="s">
        <v>654</v>
      </c>
      <c r="B258" s="9">
        <v>46118</v>
      </c>
      <c r="C258" t="s">
        <v>655</v>
      </c>
      <c r="D258" t="s">
        <v>94</v>
      </c>
      <c r="E258" t="s">
        <v>25</v>
      </c>
      <c r="F258" t="s">
        <v>47</v>
      </c>
      <c r="G258" t="s">
        <v>48</v>
      </c>
      <c r="H258">
        <v>2</v>
      </c>
      <c r="I258" t="s">
        <v>656</v>
      </c>
      <c r="J258" t="s">
        <v>316</v>
      </c>
      <c r="K258" t="s">
        <v>50</v>
      </c>
      <c r="L258" t="s">
        <v>30</v>
      </c>
      <c r="M258" t="s">
        <v>22</v>
      </c>
    </row>
    <row r="259" spans="1:13" x14ac:dyDescent="0.35">
      <c r="A259" t="s">
        <v>657</v>
      </c>
      <c r="B259" t="s">
        <v>658</v>
      </c>
      <c r="C259" t="s">
        <v>659</v>
      </c>
      <c r="D259" t="s">
        <v>33</v>
      </c>
      <c r="E259" t="s">
        <v>34</v>
      </c>
      <c r="F259" t="s">
        <v>17</v>
      </c>
      <c r="G259" t="s">
        <v>18</v>
      </c>
      <c r="H259">
        <v>1</v>
      </c>
      <c r="I259" t="s">
        <v>56</v>
      </c>
      <c r="J259" t="s">
        <v>56</v>
      </c>
      <c r="K259">
        <v>520</v>
      </c>
      <c r="L259" t="s">
        <v>30</v>
      </c>
      <c r="M259" t="s">
        <v>22</v>
      </c>
    </row>
    <row r="260" spans="1:13" x14ac:dyDescent="0.35">
      <c r="A260" t="s">
        <v>660</v>
      </c>
      <c r="B260" s="9">
        <v>46183</v>
      </c>
      <c r="C260" t="s">
        <v>661</v>
      </c>
      <c r="D260" t="s">
        <v>40</v>
      </c>
      <c r="E260" t="s">
        <v>34</v>
      </c>
      <c r="F260" t="s">
        <v>83</v>
      </c>
      <c r="G260" t="s">
        <v>84</v>
      </c>
      <c r="H260">
        <v>1</v>
      </c>
      <c r="I260" t="s">
        <v>71</v>
      </c>
      <c r="J260" t="s">
        <v>71</v>
      </c>
      <c r="K260" t="s">
        <v>103</v>
      </c>
      <c r="L260" t="s">
        <v>30</v>
      </c>
      <c r="M260" t="s">
        <v>22</v>
      </c>
    </row>
    <row r="261" spans="1:13" x14ac:dyDescent="0.35">
      <c r="A261" t="s">
        <v>662</v>
      </c>
      <c r="B261" s="9">
        <v>46188</v>
      </c>
      <c r="C261" t="s">
        <v>663</v>
      </c>
      <c r="D261" t="s">
        <v>46</v>
      </c>
      <c r="E261" t="s">
        <v>16</v>
      </c>
      <c r="F261" t="s">
        <v>42</v>
      </c>
      <c r="G261" t="s">
        <v>43</v>
      </c>
      <c r="H261">
        <v>1</v>
      </c>
      <c r="I261" t="s">
        <v>56</v>
      </c>
      <c r="J261" t="s">
        <v>56</v>
      </c>
      <c r="K261" t="s">
        <v>111</v>
      </c>
      <c r="L261" t="s">
        <v>30</v>
      </c>
      <c r="M261" t="s">
        <v>58</v>
      </c>
    </row>
    <row r="262" spans="1:13" x14ac:dyDescent="0.35">
      <c r="A262" t="s">
        <v>664</v>
      </c>
      <c r="B262" s="9">
        <v>46054</v>
      </c>
      <c r="C262" t="s">
        <v>665</v>
      </c>
      <c r="D262" t="s">
        <v>33</v>
      </c>
      <c r="E262" t="s">
        <v>67</v>
      </c>
      <c r="F262" t="s">
        <v>47</v>
      </c>
      <c r="G262" t="s">
        <v>48</v>
      </c>
      <c r="H262">
        <v>1</v>
      </c>
      <c r="I262" t="s">
        <v>254</v>
      </c>
      <c r="J262" t="s">
        <v>254</v>
      </c>
      <c r="K262">
        <v>380</v>
      </c>
      <c r="L262" t="s">
        <v>30</v>
      </c>
      <c r="M262" t="s">
        <v>22</v>
      </c>
    </row>
    <row r="263" spans="1:13" x14ac:dyDescent="0.35">
      <c r="A263" t="s">
        <v>666</v>
      </c>
      <c r="B263" s="9">
        <v>46069</v>
      </c>
      <c r="C263" t="s">
        <v>295</v>
      </c>
      <c r="D263" t="s">
        <v>33</v>
      </c>
      <c r="E263" t="s">
        <v>16</v>
      </c>
      <c r="F263" t="s">
        <v>83</v>
      </c>
      <c r="G263" t="s">
        <v>84</v>
      </c>
      <c r="H263">
        <v>1</v>
      </c>
      <c r="I263" t="s">
        <v>56</v>
      </c>
      <c r="J263" t="s">
        <v>56</v>
      </c>
      <c r="K263">
        <v>340</v>
      </c>
      <c r="L263" t="s">
        <v>30</v>
      </c>
      <c r="M263" t="s">
        <v>22</v>
      </c>
    </row>
    <row r="264" spans="1:13" x14ac:dyDescent="0.35">
      <c r="A264" t="s">
        <v>667</v>
      </c>
      <c r="B264" t="s">
        <v>158</v>
      </c>
      <c r="C264" t="s">
        <v>668</v>
      </c>
      <c r="D264" t="s">
        <v>94</v>
      </c>
      <c r="E264" t="s">
        <v>34</v>
      </c>
      <c r="F264" t="s">
        <v>89</v>
      </c>
      <c r="G264" t="s">
        <v>90</v>
      </c>
      <c r="H264">
        <v>2</v>
      </c>
      <c r="I264" t="s">
        <v>220</v>
      </c>
      <c r="J264" t="s">
        <v>221</v>
      </c>
      <c r="K264">
        <v>640</v>
      </c>
      <c r="L264" t="s">
        <v>30</v>
      </c>
      <c r="M264" t="s">
        <v>22</v>
      </c>
    </row>
    <row r="265" spans="1:13" x14ac:dyDescent="0.35">
      <c r="A265" t="s">
        <v>669</v>
      </c>
      <c r="B265" s="9">
        <v>46080</v>
      </c>
      <c r="C265" t="s">
        <v>670</v>
      </c>
      <c r="D265" t="s">
        <v>61</v>
      </c>
      <c r="E265" t="s">
        <v>16</v>
      </c>
      <c r="F265" t="s">
        <v>47</v>
      </c>
      <c r="G265" t="s">
        <v>48</v>
      </c>
      <c r="H265">
        <v>2</v>
      </c>
      <c r="I265" t="s">
        <v>85</v>
      </c>
      <c r="J265" t="s">
        <v>267</v>
      </c>
      <c r="K265">
        <v>380</v>
      </c>
      <c r="L265" t="s">
        <v>30</v>
      </c>
      <c r="M265" t="s">
        <v>58</v>
      </c>
    </row>
    <row r="266" spans="1:13" x14ac:dyDescent="0.35">
      <c r="A266" t="s">
        <v>671</v>
      </c>
      <c r="B266" s="9">
        <v>46297</v>
      </c>
      <c r="C266" t="s">
        <v>672</v>
      </c>
      <c r="D266" t="s">
        <v>116</v>
      </c>
      <c r="E266" t="s">
        <v>67</v>
      </c>
      <c r="F266" t="s">
        <v>89</v>
      </c>
      <c r="G266" t="s">
        <v>90</v>
      </c>
      <c r="H266">
        <v>1</v>
      </c>
      <c r="I266" t="s">
        <v>673</v>
      </c>
      <c r="J266" t="s">
        <v>674</v>
      </c>
      <c r="K266">
        <v>640</v>
      </c>
      <c r="L266" t="s">
        <v>30</v>
      </c>
      <c r="M266" t="s">
        <v>58</v>
      </c>
    </row>
    <row r="267" spans="1:13" x14ac:dyDescent="0.35">
      <c r="A267" t="s">
        <v>675</v>
      </c>
      <c r="B267" s="9">
        <v>46093</v>
      </c>
      <c r="C267" t="s">
        <v>240</v>
      </c>
      <c r="D267" t="s">
        <v>66</v>
      </c>
      <c r="E267" t="s">
        <v>34</v>
      </c>
      <c r="F267" t="s">
        <v>89</v>
      </c>
      <c r="G267" t="s">
        <v>90</v>
      </c>
      <c r="H267">
        <v>3</v>
      </c>
      <c r="I267" t="s">
        <v>102</v>
      </c>
      <c r="J267" t="s">
        <v>127</v>
      </c>
      <c r="K267">
        <v>640</v>
      </c>
      <c r="L267" t="s">
        <v>21</v>
      </c>
      <c r="M267" t="s">
        <v>58</v>
      </c>
    </row>
    <row r="268" spans="1:13" x14ac:dyDescent="0.35">
      <c r="A268" t="s">
        <v>676</v>
      </c>
      <c r="B268" s="9">
        <v>46200</v>
      </c>
      <c r="C268" t="s">
        <v>677</v>
      </c>
      <c r="D268" t="s">
        <v>116</v>
      </c>
      <c r="E268" t="s">
        <v>34</v>
      </c>
      <c r="F268" t="s">
        <v>83</v>
      </c>
      <c r="G268" t="s">
        <v>84</v>
      </c>
      <c r="H268">
        <v>3</v>
      </c>
      <c r="I268" t="s">
        <v>68</v>
      </c>
      <c r="J268" t="s">
        <v>205</v>
      </c>
      <c r="K268" t="s">
        <v>103</v>
      </c>
      <c r="L268" t="s">
        <v>30</v>
      </c>
      <c r="M268" t="s">
        <v>22</v>
      </c>
    </row>
    <row r="269" spans="1:13" x14ac:dyDescent="0.35">
      <c r="A269" t="s">
        <v>678</v>
      </c>
      <c r="B269" s="9">
        <v>46097</v>
      </c>
      <c r="C269" t="s">
        <v>679</v>
      </c>
      <c r="D269" t="s">
        <v>46</v>
      </c>
      <c r="E269" t="s">
        <v>25</v>
      </c>
      <c r="F269" t="s">
        <v>42</v>
      </c>
      <c r="G269" t="s">
        <v>43</v>
      </c>
      <c r="H269">
        <v>1</v>
      </c>
      <c r="I269" t="s">
        <v>254</v>
      </c>
      <c r="J269" t="s">
        <v>254</v>
      </c>
      <c r="K269">
        <v>190</v>
      </c>
      <c r="L269" t="s">
        <v>30</v>
      </c>
      <c r="M269" t="s">
        <v>22</v>
      </c>
    </row>
    <row r="270" spans="1:13" x14ac:dyDescent="0.35">
      <c r="A270" t="s">
        <v>680</v>
      </c>
      <c r="B270" s="9">
        <v>46109</v>
      </c>
      <c r="C270" t="s">
        <v>299</v>
      </c>
      <c r="D270" t="s">
        <v>116</v>
      </c>
      <c r="E270" t="s">
        <v>41</v>
      </c>
      <c r="F270" t="s">
        <v>35</v>
      </c>
      <c r="G270" t="s">
        <v>36</v>
      </c>
      <c r="H270">
        <v>1</v>
      </c>
      <c r="I270" t="s">
        <v>56</v>
      </c>
      <c r="J270" t="s">
        <v>56</v>
      </c>
      <c r="K270">
        <v>85</v>
      </c>
      <c r="L270" t="s">
        <v>30</v>
      </c>
      <c r="M270" t="s">
        <v>58</v>
      </c>
    </row>
    <row r="271" spans="1:13" x14ac:dyDescent="0.35">
      <c r="A271" t="s">
        <v>681</v>
      </c>
      <c r="B271" s="9">
        <v>46173</v>
      </c>
      <c r="C271" t="s">
        <v>682</v>
      </c>
      <c r="D271" t="s">
        <v>46</v>
      </c>
      <c r="E271" t="s">
        <v>25</v>
      </c>
      <c r="F271" t="s">
        <v>35</v>
      </c>
      <c r="G271" t="s">
        <v>36</v>
      </c>
      <c r="H271">
        <v>2</v>
      </c>
      <c r="I271" t="s">
        <v>136</v>
      </c>
      <c r="J271" t="s">
        <v>164</v>
      </c>
      <c r="K271" t="s">
        <v>37</v>
      </c>
      <c r="L271" t="s">
        <v>30</v>
      </c>
      <c r="M271" t="s">
        <v>58</v>
      </c>
    </row>
    <row r="272" spans="1:13" x14ac:dyDescent="0.35">
      <c r="A272" t="s">
        <v>683</v>
      </c>
      <c r="B272" s="9">
        <v>46102</v>
      </c>
      <c r="C272" t="s">
        <v>250</v>
      </c>
      <c r="D272" t="s">
        <v>66</v>
      </c>
      <c r="E272" t="s">
        <v>25</v>
      </c>
      <c r="F272" t="s">
        <v>74</v>
      </c>
      <c r="G272" t="s">
        <v>75</v>
      </c>
      <c r="H272">
        <v>2</v>
      </c>
      <c r="I272" t="s">
        <v>170</v>
      </c>
      <c r="J272" t="s">
        <v>152</v>
      </c>
      <c r="K272">
        <v>410</v>
      </c>
      <c r="L272" t="s">
        <v>30</v>
      </c>
      <c r="M272" t="s">
        <v>22</v>
      </c>
    </row>
    <row r="273" spans="1:13" x14ac:dyDescent="0.35">
      <c r="A273" t="s">
        <v>684</v>
      </c>
      <c r="B273" s="9">
        <v>46193</v>
      </c>
      <c r="C273" t="s">
        <v>685</v>
      </c>
      <c r="D273" t="s">
        <v>33</v>
      </c>
      <c r="E273" t="s">
        <v>41</v>
      </c>
      <c r="F273" t="s">
        <v>42</v>
      </c>
      <c r="G273" t="s">
        <v>43</v>
      </c>
      <c r="H273">
        <v>2</v>
      </c>
      <c r="I273" t="s">
        <v>102</v>
      </c>
      <c r="J273" t="s">
        <v>181</v>
      </c>
      <c r="K273" t="s">
        <v>111</v>
      </c>
      <c r="L273" t="s">
        <v>21</v>
      </c>
      <c r="M273" t="s">
        <v>22</v>
      </c>
    </row>
    <row r="274" spans="1:13" x14ac:dyDescent="0.35">
      <c r="A274" t="s">
        <v>686</v>
      </c>
      <c r="B274" t="s">
        <v>687</v>
      </c>
      <c r="C274" t="s">
        <v>688</v>
      </c>
      <c r="D274" t="s">
        <v>61</v>
      </c>
      <c r="E274" t="s">
        <v>25</v>
      </c>
      <c r="F274" t="s">
        <v>74</v>
      </c>
      <c r="G274" t="s">
        <v>75</v>
      </c>
      <c r="H274">
        <v>1</v>
      </c>
      <c r="I274" t="s">
        <v>106</v>
      </c>
      <c r="J274" t="s">
        <v>106</v>
      </c>
      <c r="K274">
        <v>410</v>
      </c>
      <c r="L274" t="s">
        <v>30</v>
      </c>
      <c r="M274" t="s">
        <v>58</v>
      </c>
    </row>
    <row r="275" spans="1:13" x14ac:dyDescent="0.35">
      <c r="A275" t="s">
        <v>689</v>
      </c>
      <c r="B275" t="s">
        <v>279</v>
      </c>
      <c r="C275" t="s">
        <v>690</v>
      </c>
      <c r="D275" t="s">
        <v>116</v>
      </c>
      <c r="E275" t="s">
        <v>41</v>
      </c>
      <c r="F275" t="s">
        <v>47</v>
      </c>
      <c r="G275" t="s">
        <v>48</v>
      </c>
      <c r="H275">
        <v>1</v>
      </c>
      <c r="I275" t="s">
        <v>220</v>
      </c>
      <c r="J275" t="s">
        <v>220</v>
      </c>
      <c r="K275" t="s">
        <v>50</v>
      </c>
      <c r="L275" t="s">
        <v>30</v>
      </c>
      <c r="M275" t="s">
        <v>22</v>
      </c>
    </row>
    <row r="276" spans="1:13" x14ac:dyDescent="0.35">
      <c r="A276" t="s">
        <v>691</v>
      </c>
      <c r="B276" s="9">
        <v>46118</v>
      </c>
      <c r="C276" t="s">
        <v>692</v>
      </c>
      <c r="D276" t="s">
        <v>40</v>
      </c>
      <c r="E276" t="s">
        <v>67</v>
      </c>
      <c r="F276" t="s">
        <v>83</v>
      </c>
      <c r="G276" t="s">
        <v>84</v>
      </c>
      <c r="H276">
        <v>1</v>
      </c>
      <c r="I276" t="s">
        <v>62</v>
      </c>
      <c r="J276" t="s">
        <v>62</v>
      </c>
      <c r="K276">
        <v>340</v>
      </c>
      <c r="L276" t="s">
        <v>30</v>
      </c>
      <c r="M276" t="s">
        <v>22</v>
      </c>
    </row>
    <row r="277" spans="1:13" x14ac:dyDescent="0.35">
      <c r="A277" t="s">
        <v>693</v>
      </c>
      <c r="B277" s="9">
        <v>46143</v>
      </c>
      <c r="C277" t="s">
        <v>694</v>
      </c>
      <c r="D277" t="s">
        <v>94</v>
      </c>
      <c r="E277" t="s">
        <v>16</v>
      </c>
      <c r="F277" t="s">
        <v>26</v>
      </c>
      <c r="G277" t="s">
        <v>27</v>
      </c>
      <c r="H277">
        <v>1</v>
      </c>
      <c r="I277" t="s">
        <v>136</v>
      </c>
      <c r="J277" t="s">
        <v>136</v>
      </c>
      <c r="K277" t="s">
        <v>29</v>
      </c>
      <c r="L277" t="s">
        <v>30</v>
      </c>
      <c r="M277" t="s">
        <v>22</v>
      </c>
    </row>
    <row r="278" spans="1:13" x14ac:dyDescent="0.35">
      <c r="A278" t="s">
        <v>695</v>
      </c>
      <c r="B278" s="9">
        <v>46153</v>
      </c>
      <c r="C278" t="s">
        <v>696</v>
      </c>
      <c r="D278" t="s">
        <v>66</v>
      </c>
      <c r="E278" t="s">
        <v>34</v>
      </c>
      <c r="F278" t="s">
        <v>26</v>
      </c>
      <c r="G278" t="s">
        <v>27</v>
      </c>
      <c r="H278">
        <v>2</v>
      </c>
      <c r="I278" t="s">
        <v>56</v>
      </c>
      <c r="J278" t="s">
        <v>697</v>
      </c>
      <c r="K278" t="s">
        <v>29</v>
      </c>
      <c r="L278" t="s">
        <v>30</v>
      </c>
      <c r="M278" t="s">
        <v>22</v>
      </c>
    </row>
    <row r="279" spans="1:13" x14ac:dyDescent="0.35">
      <c r="A279" t="s">
        <v>698</v>
      </c>
      <c r="B279" s="9">
        <v>46331</v>
      </c>
      <c r="C279" t="s">
        <v>110</v>
      </c>
      <c r="D279" t="s">
        <v>53</v>
      </c>
      <c r="E279" t="s">
        <v>67</v>
      </c>
      <c r="F279" t="s">
        <v>26</v>
      </c>
      <c r="G279" t="s">
        <v>27</v>
      </c>
      <c r="H279">
        <v>2</v>
      </c>
      <c r="I279" t="s">
        <v>254</v>
      </c>
      <c r="J279" t="s">
        <v>156</v>
      </c>
      <c r="K279" t="s">
        <v>29</v>
      </c>
      <c r="L279" t="s">
        <v>30</v>
      </c>
      <c r="M279" t="s">
        <v>22</v>
      </c>
    </row>
    <row r="280" spans="1:13" x14ac:dyDescent="0.35">
      <c r="A280" t="s">
        <v>699</v>
      </c>
      <c r="B280" s="9">
        <v>46090</v>
      </c>
      <c r="C280" t="s">
        <v>700</v>
      </c>
      <c r="D280" t="s">
        <v>61</v>
      </c>
      <c r="E280" t="s">
        <v>67</v>
      </c>
      <c r="F280" t="s">
        <v>89</v>
      </c>
      <c r="G280" t="s">
        <v>90</v>
      </c>
      <c r="H280">
        <v>1</v>
      </c>
      <c r="I280" t="s">
        <v>102</v>
      </c>
      <c r="J280" t="s">
        <v>701</v>
      </c>
      <c r="K280">
        <v>640</v>
      </c>
      <c r="L280" t="s">
        <v>30</v>
      </c>
      <c r="M280" t="s">
        <v>22</v>
      </c>
    </row>
    <row r="281" spans="1:13" x14ac:dyDescent="0.35">
      <c r="A281" t="s">
        <v>702</v>
      </c>
      <c r="B281" s="9">
        <v>46189</v>
      </c>
      <c r="C281" t="s">
        <v>703</v>
      </c>
      <c r="D281" t="s">
        <v>40</v>
      </c>
      <c r="E281" t="s">
        <v>67</v>
      </c>
      <c r="F281" t="s">
        <v>89</v>
      </c>
      <c r="G281" t="s">
        <v>90</v>
      </c>
      <c r="H281">
        <v>1</v>
      </c>
      <c r="I281" t="s">
        <v>102</v>
      </c>
      <c r="J281" t="s">
        <v>102</v>
      </c>
      <c r="K281" t="s">
        <v>108</v>
      </c>
      <c r="L281" t="s">
        <v>30</v>
      </c>
      <c r="M281" t="s">
        <v>22</v>
      </c>
    </row>
    <row r="282" spans="1:13" x14ac:dyDescent="0.35">
      <c r="A282" t="s">
        <v>704</v>
      </c>
      <c r="B282" s="9">
        <v>46034</v>
      </c>
      <c r="C282" t="s">
        <v>492</v>
      </c>
      <c r="D282" t="s">
        <v>66</v>
      </c>
      <c r="E282" t="s">
        <v>67</v>
      </c>
      <c r="F282" t="s">
        <v>47</v>
      </c>
      <c r="G282" t="s">
        <v>48</v>
      </c>
      <c r="H282">
        <v>1</v>
      </c>
      <c r="I282" t="s">
        <v>49</v>
      </c>
      <c r="J282" t="s">
        <v>49</v>
      </c>
      <c r="K282">
        <v>380</v>
      </c>
      <c r="L282" t="s">
        <v>30</v>
      </c>
      <c r="M282" t="s">
        <v>22</v>
      </c>
    </row>
    <row r="283" spans="1:13" x14ac:dyDescent="0.35">
      <c r="A283" t="s">
        <v>705</v>
      </c>
      <c r="B283" s="9">
        <v>46105</v>
      </c>
      <c r="C283" t="s">
        <v>420</v>
      </c>
      <c r="D283" t="s">
        <v>94</v>
      </c>
      <c r="E283" t="s">
        <v>25</v>
      </c>
      <c r="F283" t="s">
        <v>35</v>
      </c>
      <c r="G283" t="s">
        <v>36</v>
      </c>
      <c r="H283">
        <v>1</v>
      </c>
      <c r="I283" t="s">
        <v>28</v>
      </c>
      <c r="J283" t="s">
        <v>28</v>
      </c>
      <c r="K283">
        <v>85</v>
      </c>
      <c r="L283" t="s">
        <v>30</v>
      </c>
      <c r="M283" t="s">
        <v>22</v>
      </c>
    </row>
    <row r="284" spans="1:13" x14ac:dyDescent="0.35">
      <c r="A284" t="s">
        <v>706</v>
      </c>
      <c r="B284" s="9">
        <v>46104</v>
      </c>
      <c r="C284" t="s">
        <v>509</v>
      </c>
      <c r="D284" t="s">
        <v>40</v>
      </c>
      <c r="E284" t="s">
        <v>25</v>
      </c>
      <c r="F284" t="s">
        <v>26</v>
      </c>
      <c r="G284" t="s">
        <v>27</v>
      </c>
      <c r="H284">
        <v>2</v>
      </c>
      <c r="I284" t="s">
        <v>136</v>
      </c>
      <c r="J284" t="s">
        <v>164</v>
      </c>
      <c r="K284">
        <v>520</v>
      </c>
      <c r="L284" t="s">
        <v>30</v>
      </c>
      <c r="M284" t="s">
        <v>22</v>
      </c>
    </row>
    <row r="285" spans="1:13" x14ac:dyDescent="0.35">
      <c r="A285" t="s">
        <v>707</v>
      </c>
      <c r="B285" s="9">
        <v>46197</v>
      </c>
      <c r="C285" t="s">
        <v>297</v>
      </c>
      <c r="D285" t="s">
        <v>33</v>
      </c>
      <c r="E285" t="s">
        <v>41</v>
      </c>
      <c r="F285" t="s">
        <v>47</v>
      </c>
      <c r="G285" t="s">
        <v>48</v>
      </c>
      <c r="H285">
        <v>3</v>
      </c>
      <c r="I285" t="s">
        <v>62</v>
      </c>
      <c r="J285" t="s">
        <v>488</v>
      </c>
      <c r="K285" t="s">
        <v>50</v>
      </c>
      <c r="L285" t="s">
        <v>30</v>
      </c>
      <c r="M285" t="s">
        <v>58</v>
      </c>
    </row>
    <row r="286" spans="1:13" x14ac:dyDescent="0.35">
      <c r="A286" t="s">
        <v>708</v>
      </c>
      <c r="B286" s="9">
        <v>46036</v>
      </c>
      <c r="C286" t="s">
        <v>709</v>
      </c>
      <c r="D286" t="s">
        <v>46</v>
      </c>
      <c r="E286" t="s">
        <v>16</v>
      </c>
      <c r="F286" t="s">
        <v>17</v>
      </c>
      <c r="G286" t="s">
        <v>18</v>
      </c>
      <c r="H286">
        <v>2</v>
      </c>
      <c r="I286" t="s">
        <v>254</v>
      </c>
      <c r="J286" t="s">
        <v>156</v>
      </c>
      <c r="K286">
        <v>520</v>
      </c>
      <c r="L286" t="s">
        <v>21</v>
      </c>
      <c r="M286" t="s">
        <v>58</v>
      </c>
    </row>
    <row r="287" spans="1:13" x14ac:dyDescent="0.35">
      <c r="A287" t="s">
        <v>710</v>
      </c>
      <c r="B287" s="9">
        <v>46199</v>
      </c>
      <c r="C287" t="s">
        <v>453</v>
      </c>
      <c r="D287" t="s">
        <v>15</v>
      </c>
      <c r="E287" t="s">
        <v>16</v>
      </c>
      <c r="F287" t="s">
        <v>42</v>
      </c>
      <c r="G287" t="s">
        <v>43</v>
      </c>
      <c r="H287">
        <v>3</v>
      </c>
      <c r="I287" t="s">
        <v>136</v>
      </c>
      <c r="J287" t="s">
        <v>137</v>
      </c>
      <c r="K287" t="s">
        <v>111</v>
      </c>
      <c r="L287" t="s">
        <v>21</v>
      </c>
      <c r="M287" t="s">
        <v>22</v>
      </c>
    </row>
    <row r="288" spans="1:13" x14ac:dyDescent="0.35">
      <c r="A288" t="s">
        <v>711</v>
      </c>
      <c r="B288" s="9">
        <v>46204</v>
      </c>
      <c r="C288" t="s">
        <v>712</v>
      </c>
      <c r="D288" t="s">
        <v>46</v>
      </c>
      <c r="E288" t="s">
        <v>41</v>
      </c>
      <c r="F288" t="s">
        <v>83</v>
      </c>
      <c r="G288" t="s">
        <v>84</v>
      </c>
      <c r="H288">
        <v>3</v>
      </c>
      <c r="I288" t="s">
        <v>132</v>
      </c>
      <c r="J288" t="s">
        <v>232</v>
      </c>
      <c r="K288" t="s">
        <v>103</v>
      </c>
      <c r="L288" t="s">
        <v>30</v>
      </c>
      <c r="M288" t="s">
        <v>58</v>
      </c>
    </row>
    <row r="289" spans="1:13" x14ac:dyDescent="0.35">
      <c r="A289" t="s">
        <v>713</v>
      </c>
      <c r="B289" s="9">
        <v>46235</v>
      </c>
      <c r="C289" t="s">
        <v>714</v>
      </c>
      <c r="D289" t="s">
        <v>46</v>
      </c>
      <c r="E289" t="s">
        <v>41</v>
      </c>
      <c r="F289" t="s">
        <v>74</v>
      </c>
      <c r="G289" t="s">
        <v>75</v>
      </c>
      <c r="H289">
        <v>1</v>
      </c>
      <c r="I289" t="s">
        <v>102</v>
      </c>
      <c r="J289" t="s">
        <v>102</v>
      </c>
      <c r="K289">
        <v>410</v>
      </c>
      <c r="L289" t="s">
        <v>30</v>
      </c>
      <c r="M289" t="s">
        <v>22</v>
      </c>
    </row>
    <row r="290" spans="1:13" x14ac:dyDescent="0.35">
      <c r="A290" t="s">
        <v>715</v>
      </c>
      <c r="B290" s="9">
        <v>46065</v>
      </c>
      <c r="C290" t="s">
        <v>716</v>
      </c>
      <c r="D290" t="s">
        <v>66</v>
      </c>
      <c r="E290" t="s">
        <v>67</v>
      </c>
      <c r="F290" t="s">
        <v>74</v>
      </c>
      <c r="G290" t="s">
        <v>75</v>
      </c>
      <c r="H290">
        <v>1</v>
      </c>
      <c r="I290" t="s">
        <v>19</v>
      </c>
      <c r="J290" t="s">
        <v>19</v>
      </c>
      <c r="K290">
        <v>410</v>
      </c>
      <c r="L290" t="s">
        <v>30</v>
      </c>
      <c r="M290" t="s">
        <v>22</v>
      </c>
    </row>
    <row r="291" spans="1:13" x14ac:dyDescent="0.35">
      <c r="A291" t="s">
        <v>717</v>
      </c>
      <c r="B291" s="9">
        <v>46175</v>
      </c>
      <c r="C291" t="s">
        <v>718</v>
      </c>
      <c r="D291" t="s">
        <v>46</v>
      </c>
      <c r="E291" t="s">
        <v>25</v>
      </c>
      <c r="F291" t="s">
        <v>83</v>
      </c>
      <c r="G291" t="s">
        <v>84</v>
      </c>
      <c r="H291">
        <v>1</v>
      </c>
      <c r="I291" t="s">
        <v>56</v>
      </c>
      <c r="J291" t="s">
        <v>56</v>
      </c>
      <c r="K291" t="s">
        <v>103</v>
      </c>
      <c r="L291" t="s">
        <v>21</v>
      </c>
      <c r="M291" t="s">
        <v>22</v>
      </c>
    </row>
    <row r="292" spans="1:13" x14ac:dyDescent="0.35">
      <c r="A292" t="s">
        <v>719</v>
      </c>
      <c r="B292" s="9">
        <v>46182</v>
      </c>
      <c r="C292" t="s">
        <v>720</v>
      </c>
      <c r="D292" t="s">
        <v>33</v>
      </c>
      <c r="E292" t="s">
        <v>67</v>
      </c>
      <c r="F292" t="s">
        <v>47</v>
      </c>
      <c r="G292" t="s">
        <v>48</v>
      </c>
      <c r="H292">
        <v>2</v>
      </c>
      <c r="I292" t="s">
        <v>68</v>
      </c>
      <c r="J292" t="s">
        <v>721</v>
      </c>
      <c r="K292" t="s">
        <v>50</v>
      </c>
      <c r="L292" t="s">
        <v>30</v>
      </c>
      <c r="M292" t="s">
        <v>22</v>
      </c>
    </row>
    <row r="293" spans="1:13" x14ac:dyDescent="0.35">
      <c r="A293" t="s">
        <v>722</v>
      </c>
      <c r="B293" s="9">
        <v>46111</v>
      </c>
      <c r="C293" t="s">
        <v>328</v>
      </c>
      <c r="D293" t="s">
        <v>116</v>
      </c>
      <c r="E293" t="s">
        <v>16</v>
      </c>
      <c r="F293" t="s">
        <v>35</v>
      </c>
      <c r="G293" t="s">
        <v>36</v>
      </c>
      <c r="H293">
        <v>1</v>
      </c>
      <c r="I293" t="s">
        <v>68</v>
      </c>
      <c r="J293" t="s">
        <v>68</v>
      </c>
      <c r="K293">
        <v>85</v>
      </c>
      <c r="L293" t="s">
        <v>30</v>
      </c>
      <c r="M293" t="s">
        <v>22</v>
      </c>
    </row>
    <row r="294" spans="1:13" x14ac:dyDescent="0.35">
      <c r="A294" t="s">
        <v>723</v>
      </c>
      <c r="B294" s="9">
        <v>46106</v>
      </c>
      <c r="C294" t="s">
        <v>724</v>
      </c>
      <c r="D294" t="s">
        <v>46</v>
      </c>
      <c r="E294" t="s">
        <v>67</v>
      </c>
      <c r="F294" t="s">
        <v>74</v>
      </c>
      <c r="G294" t="s">
        <v>75</v>
      </c>
      <c r="H294">
        <v>1</v>
      </c>
      <c r="I294" t="s">
        <v>68</v>
      </c>
      <c r="J294" t="s">
        <v>68</v>
      </c>
      <c r="K294">
        <v>410</v>
      </c>
      <c r="L294" t="s">
        <v>21</v>
      </c>
      <c r="M294" t="s">
        <v>22</v>
      </c>
    </row>
    <row r="295" spans="1:13" x14ac:dyDescent="0.35">
      <c r="A295" t="s">
        <v>725</v>
      </c>
      <c r="B295" s="9">
        <v>46132</v>
      </c>
      <c r="C295" t="s">
        <v>726</v>
      </c>
      <c r="D295" t="s">
        <v>53</v>
      </c>
      <c r="E295" t="s">
        <v>25</v>
      </c>
      <c r="F295" t="s">
        <v>74</v>
      </c>
      <c r="G295" t="s">
        <v>75</v>
      </c>
      <c r="H295">
        <v>1</v>
      </c>
      <c r="I295" t="s">
        <v>62</v>
      </c>
      <c r="J295" t="s">
        <v>62</v>
      </c>
      <c r="K295" t="s">
        <v>76</v>
      </c>
      <c r="L295" t="s">
        <v>30</v>
      </c>
      <c r="M295" t="s">
        <v>22</v>
      </c>
    </row>
    <row r="296" spans="1:13" x14ac:dyDescent="0.35">
      <c r="A296" t="s">
        <v>727</v>
      </c>
      <c r="B296" s="9">
        <v>46171</v>
      </c>
      <c r="C296" t="s">
        <v>728</v>
      </c>
      <c r="D296" t="s">
        <v>33</v>
      </c>
      <c r="E296" t="s">
        <v>25</v>
      </c>
      <c r="F296" t="s">
        <v>74</v>
      </c>
      <c r="G296" t="s">
        <v>75</v>
      </c>
      <c r="H296">
        <v>2</v>
      </c>
      <c r="I296" t="s">
        <v>170</v>
      </c>
      <c r="J296" t="s">
        <v>152</v>
      </c>
      <c r="K296" t="s">
        <v>76</v>
      </c>
      <c r="L296" t="s">
        <v>21</v>
      </c>
      <c r="M296" t="s">
        <v>22</v>
      </c>
    </row>
    <row r="297" spans="1:13" x14ac:dyDescent="0.35">
      <c r="A297" t="s">
        <v>729</v>
      </c>
      <c r="B297" s="9">
        <v>46048</v>
      </c>
      <c r="C297" t="s">
        <v>730</v>
      </c>
      <c r="D297" t="s">
        <v>53</v>
      </c>
      <c r="E297" t="s">
        <v>16</v>
      </c>
      <c r="F297" t="s">
        <v>74</v>
      </c>
      <c r="G297" t="s">
        <v>75</v>
      </c>
      <c r="H297">
        <v>1</v>
      </c>
      <c r="I297" t="s">
        <v>49</v>
      </c>
      <c r="J297" t="s">
        <v>49</v>
      </c>
      <c r="K297">
        <v>410</v>
      </c>
      <c r="L297" t="s">
        <v>30</v>
      </c>
      <c r="M297" t="s">
        <v>58</v>
      </c>
    </row>
    <row r="298" spans="1:13" x14ac:dyDescent="0.35">
      <c r="A298" t="s">
        <v>731</v>
      </c>
      <c r="B298" s="9">
        <v>46069</v>
      </c>
      <c r="C298" t="s">
        <v>732</v>
      </c>
      <c r="D298" t="s">
        <v>53</v>
      </c>
      <c r="E298" t="s">
        <v>16</v>
      </c>
      <c r="F298" t="s">
        <v>83</v>
      </c>
      <c r="G298" t="s">
        <v>84</v>
      </c>
      <c r="H298">
        <v>2</v>
      </c>
      <c r="I298" t="s">
        <v>254</v>
      </c>
      <c r="J298" t="s">
        <v>156</v>
      </c>
      <c r="K298">
        <v>340</v>
      </c>
      <c r="L298" t="s">
        <v>30</v>
      </c>
      <c r="M298" t="s">
        <v>58</v>
      </c>
    </row>
    <row r="299" spans="1:13" x14ac:dyDescent="0.35">
      <c r="A299" t="s">
        <v>733</v>
      </c>
      <c r="B299" s="9">
        <v>46168</v>
      </c>
      <c r="C299" t="s">
        <v>734</v>
      </c>
      <c r="D299" t="s">
        <v>66</v>
      </c>
      <c r="E299" t="s">
        <v>16</v>
      </c>
      <c r="F299" t="s">
        <v>42</v>
      </c>
      <c r="G299" t="s">
        <v>43</v>
      </c>
      <c r="H299">
        <v>1</v>
      </c>
      <c r="I299" t="s">
        <v>102</v>
      </c>
      <c r="J299" t="s">
        <v>102</v>
      </c>
      <c r="K299" t="s">
        <v>111</v>
      </c>
      <c r="L299" t="s">
        <v>21</v>
      </c>
      <c r="M299" t="s">
        <v>22</v>
      </c>
    </row>
    <row r="300" spans="1:13" x14ac:dyDescent="0.35">
      <c r="A300" t="s">
        <v>735</v>
      </c>
      <c r="B300" s="9">
        <v>46183</v>
      </c>
      <c r="C300" t="s">
        <v>736</v>
      </c>
      <c r="D300" t="s">
        <v>15</v>
      </c>
      <c r="E300" t="s">
        <v>16</v>
      </c>
      <c r="F300" t="s">
        <v>83</v>
      </c>
      <c r="G300" t="s">
        <v>84</v>
      </c>
      <c r="H300">
        <v>2</v>
      </c>
      <c r="I300" t="s">
        <v>737</v>
      </c>
      <c r="J300" t="s">
        <v>181</v>
      </c>
      <c r="K300" t="s">
        <v>103</v>
      </c>
      <c r="L300" t="s">
        <v>30</v>
      </c>
      <c r="M300" t="s">
        <v>22</v>
      </c>
    </row>
    <row r="301" spans="1:13" x14ac:dyDescent="0.35">
      <c r="A301" t="s">
        <v>738</v>
      </c>
      <c r="B301" s="9">
        <v>46115</v>
      </c>
      <c r="C301" t="s">
        <v>739</v>
      </c>
      <c r="D301" t="s">
        <v>116</v>
      </c>
      <c r="E301" t="s">
        <v>34</v>
      </c>
      <c r="F301" t="s">
        <v>35</v>
      </c>
      <c r="G301" t="s">
        <v>36</v>
      </c>
      <c r="H301">
        <v>1</v>
      </c>
      <c r="I301" t="s">
        <v>71</v>
      </c>
      <c r="J301" t="s">
        <v>71</v>
      </c>
      <c r="K301">
        <v>85</v>
      </c>
      <c r="L301" t="s">
        <v>21</v>
      </c>
      <c r="M301" t="s">
        <v>58</v>
      </c>
    </row>
    <row r="302" spans="1:13" x14ac:dyDescent="0.35">
      <c r="A302" t="s">
        <v>740</v>
      </c>
      <c r="B302" s="9">
        <v>46155</v>
      </c>
      <c r="C302" t="s">
        <v>741</v>
      </c>
      <c r="D302" t="s">
        <v>66</v>
      </c>
      <c r="E302" t="s">
        <v>16</v>
      </c>
      <c r="F302" t="s">
        <v>83</v>
      </c>
      <c r="G302" t="s">
        <v>84</v>
      </c>
      <c r="H302">
        <v>2</v>
      </c>
      <c r="I302" t="s">
        <v>170</v>
      </c>
      <c r="J302" t="s">
        <v>152</v>
      </c>
      <c r="K302" t="s">
        <v>103</v>
      </c>
      <c r="L302" t="s">
        <v>30</v>
      </c>
      <c r="M302" t="s">
        <v>22</v>
      </c>
    </row>
    <row r="303" spans="1:13" x14ac:dyDescent="0.35">
      <c r="A303" t="s">
        <v>742</v>
      </c>
      <c r="B303" s="9">
        <v>46098</v>
      </c>
      <c r="C303" t="s">
        <v>743</v>
      </c>
      <c r="D303" t="s">
        <v>15</v>
      </c>
      <c r="E303" t="s">
        <v>25</v>
      </c>
      <c r="F303" t="s">
        <v>17</v>
      </c>
      <c r="G303" t="s">
        <v>18</v>
      </c>
      <c r="H303">
        <v>2</v>
      </c>
      <c r="I303" t="s">
        <v>744</v>
      </c>
      <c r="J303" t="s">
        <v>107</v>
      </c>
      <c r="K303">
        <v>520</v>
      </c>
      <c r="L303" t="s">
        <v>30</v>
      </c>
      <c r="M303" t="s">
        <v>22</v>
      </c>
    </row>
    <row r="304" spans="1:13" x14ac:dyDescent="0.35">
      <c r="A304" t="s">
        <v>745</v>
      </c>
      <c r="B304" s="9">
        <v>46172</v>
      </c>
      <c r="C304" t="s">
        <v>746</v>
      </c>
      <c r="D304" t="s">
        <v>15</v>
      </c>
      <c r="E304" t="s">
        <v>41</v>
      </c>
      <c r="F304" t="s">
        <v>42</v>
      </c>
      <c r="G304" t="s">
        <v>43</v>
      </c>
      <c r="H304">
        <v>1</v>
      </c>
      <c r="I304" t="s">
        <v>62</v>
      </c>
      <c r="J304" t="s">
        <v>62</v>
      </c>
      <c r="K304" t="s">
        <v>111</v>
      </c>
      <c r="L304" t="s">
        <v>30</v>
      </c>
      <c r="M304" t="s">
        <v>22</v>
      </c>
    </row>
    <row r="305" spans="1:13" x14ac:dyDescent="0.35">
      <c r="A305" t="s">
        <v>747</v>
      </c>
      <c r="B305" s="9">
        <v>46048</v>
      </c>
      <c r="C305" t="s">
        <v>748</v>
      </c>
      <c r="D305" t="s">
        <v>61</v>
      </c>
      <c r="E305" t="s">
        <v>25</v>
      </c>
      <c r="F305" t="s">
        <v>74</v>
      </c>
      <c r="G305" t="s">
        <v>75</v>
      </c>
      <c r="H305">
        <v>1</v>
      </c>
      <c r="I305" t="s">
        <v>62</v>
      </c>
      <c r="J305" t="s">
        <v>62</v>
      </c>
      <c r="K305">
        <v>410</v>
      </c>
      <c r="L305" t="s">
        <v>21</v>
      </c>
      <c r="M305" t="s">
        <v>22</v>
      </c>
    </row>
    <row r="306" spans="1:13" x14ac:dyDescent="0.35">
      <c r="A306" t="s">
        <v>749</v>
      </c>
      <c r="B306" s="9">
        <v>46063</v>
      </c>
      <c r="C306" t="s">
        <v>750</v>
      </c>
      <c r="D306" t="s">
        <v>99</v>
      </c>
      <c r="E306" t="s">
        <v>34</v>
      </c>
      <c r="F306" t="s">
        <v>26</v>
      </c>
      <c r="G306" t="s">
        <v>27</v>
      </c>
      <c r="H306">
        <v>1</v>
      </c>
      <c r="I306" t="s">
        <v>132</v>
      </c>
      <c r="J306" t="s">
        <v>132</v>
      </c>
      <c r="K306">
        <v>520</v>
      </c>
      <c r="L306" t="s">
        <v>30</v>
      </c>
      <c r="M306" t="s">
        <v>22</v>
      </c>
    </row>
    <row r="307" spans="1:13" x14ac:dyDescent="0.35">
      <c r="A307" t="s">
        <v>751</v>
      </c>
      <c r="B307" s="9">
        <v>46077</v>
      </c>
      <c r="C307" t="s">
        <v>752</v>
      </c>
      <c r="D307" t="s">
        <v>53</v>
      </c>
      <c r="E307" t="s">
        <v>67</v>
      </c>
      <c r="F307" t="s">
        <v>17</v>
      </c>
      <c r="G307" t="s">
        <v>18</v>
      </c>
      <c r="H307">
        <v>1</v>
      </c>
      <c r="I307" t="s">
        <v>19</v>
      </c>
      <c r="J307" t="s">
        <v>19</v>
      </c>
      <c r="K307">
        <v>520</v>
      </c>
      <c r="L307" t="s">
        <v>30</v>
      </c>
      <c r="M307" t="s">
        <v>22</v>
      </c>
    </row>
    <row r="308" spans="1:13" x14ac:dyDescent="0.35">
      <c r="A308" t="s">
        <v>753</v>
      </c>
      <c r="B308" t="s">
        <v>754</v>
      </c>
      <c r="C308" t="s">
        <v>755</v>
      </c>
      <c r="D308" t="s">
        <v>40</v>
      </c>
      <c r="E308" t="s">
        <v>41</v>
      </c>
      <c r="F308" t="s">
        <v>42</v>
      </c>
      <c r="G308" t="s">
        <v>43</v>
      </c>
      <c r="H308">
        <v>3</v>
      </c>
      <c r="I308" t="s">
        <v>68</v>
      </c>
      <c r="J308" t="s">
        <v>205</v>
      </c>
      <c r="K308">
        <v>190</v>
      </c>
      <c r="L308" t="s">
        <v>30</v>
      </c>
      <c r="M308" t="s">
        <v>22</v>
      </c>
    </row>
    <row r="309" spans="1:13" x14ac:dyDescent="0.35">
      <c r="A309" t="s">
        <v>756</v>
      </c>
      <c r="B309" s="9">
        <v>46087</v>
      </c>
      <c r="C309" t="s">
        <v>757</v>
      </c>
      <c r="D309" t="s">
        <v>61</v>
      </c>
      <c r="E309" t="s">
        <v>16</v>
      </c>
      <c r="F309" t="s">
        <v>47</v>
      </c>
      <c r="G309" t="s">
        <v>48</v>
      </c>
      <c r="H309">
        <v>1</v>
      </c>
      <c r="I309" t="s">
        <v>758</v>
      </c>
      <c r="J309" t="s">
        <v>49</v>
      </c>
      <c r="K309">
        <v>380</v>
      </c>
      <c r="L309" t="s">
        <v>30</v>
      </c>
      <c r="M309" t="s">
        <v>58</v>
      </c>
    </row>
    <row r="310" spans="1:13" x14ac:dyDescent="0.35">
      <c r="A310" t="s">
        <v>759</v>
      </c>
      <c r="B310" s="9">
        <v>46044</v>
      </c>
      <c r="C310" t="s">
        <v>760</v>
      </c>
      <c r="D310" t="s">
        <v>94</v>
      </c>
      <c r="E310" t="s">
        <v>67</v>
      </c>
      <c r="F310" t="s">
        <v>42</v>
      </c>
      <c r="G310" t="s">
        <v>43</v>
      </c>
      <c r="H310">
        <v>1</v>
      </c>
      <c r="I310" t="s">
        <v>106</v>
      </c>
      <c r="J310" t="s">
        <v>106</v>
      </c>
      <c r="K310">
        <v>190</v>
      </c>
      <c r="L310" t="s">
        <v>30</v>
      </c>
      <c r="M310" t="s">
        <v>22</v>
      </c>
    </row>
    <row r="311" spans="1:13" x14ac:dyDescent="0.35">
      <c r="A311" t="s">
        <v>761</v>
      </c>
      <c r="B311" s="9">
        <v>46202</v>
      </c>
      <c r="C311" t="s">
        <v>459</v>
      </c>
      <c r="D311" t="s">
        <v>61</v>
      </c>
      <c r="E311" t="s">
        <v>25</v>
      </c>
      <c r="F311" t="s">
        <v>83</v>
      </c>
      <c r="G311" t="s">
        <v>84</v>
      </c>
      <c r="H311">
        <v>2</v>
      </c>
      <c r="I311" t="s">
        <v>254</v>
      </c>
      <c r="J311" t="s">
        <v>156</v>
      </c>
      <c r="K311" t="s">
        <v>103</v>
      </c>
      <c r="L311" t="s">
        <v>21</v>
      </c>
      <c r="M311" t="s">
        <v>22</v>
      </c>
    </row>
    <row r="312" spans="1:13" x14ac:dyDescent="0.35">
      <c r="A312" t="s">
        <v>762</v>
      </c>
      <c r="B312" s="9">
        <v>46179</v>
      </c>
      <c r="C312" t="s">
        <v>763</v>
      </c>
      <c r="D312" t="s">
        <v>99</v>
      </c>
      <c r="E312" t="s">
        <v>41</v>
      </c>
      <c r="F312" t="s">
        <v>89</v>
      </c>
      <c r="G312" t="s">
        <v>90</v>
      </c>
      <c r="H312">
        <v>1</v>
      </c>
      <c r="I312" t="s">
        <v>85</v>
      </c>
      <c r="J312" t="s">
        <v>85</v>
      </c>
      <c r="K312" t="s">
        <v>108</v>
      </c>
      <c r="L312" t="s">
        <v>30</v>
      </c>
      <c r="M312" t="s">
        <v>22</v>
      </c>
    </row>
    <row r="313" spans="1:13" x14ac:dyDescent="0.35">
      <c r="A313" t="s">
        <v>764</v>
      </c>
      <c r="B313" t="s">
        <v>765</v>
      </c>
      <c r="C313" t="s">
        <v>766</v>
      </c>
      <c r="D313" t="s">
        <v>33</v>
      </c>
      <c r="E313" t="s">
        <v>16</v>
      </c>
      <c r="F313" t="s">
        <v>89</v>
      </c>
      <c r="G313" t="s">
        <v>90</v>
      </c>
      <c r="H313">
        <v>-2</v>
      </c>
      <c r="I313" t="s">
        <v>254</v>
      </c>
      <c r="J313" t="s">
        <v>767</v>
      </c>
      <c r="K313">
        <v>640</v>
      </c>
      <c r="L313" t="s">
        <v>30</v>
      </c>
      <c r="M313" t="s">
        <v>22</v>
      </c>
    </row>
    <row r="314" spans="1:13" x14ac:dyDescent="0.35">
      <c r="A314" t="s">
        <v>768</v>
      </c>
      <c r="B314" s="9">
        <v>46162</v>
      </c>
      <c r="C314" t="s">
        <v>769</v>
      </c>
      <c r="D314" t="s">
        <v>116</v>
      </c>
      <c r="E314" t="s">
        <v>34</v>
      </c>
      <c r="F314" t="s">
        <v>35</v>
      </c>
      <c r="G314" t="s">
        <v>36</v>
      </c>
      <c r="H314">
        <v>1</v>
      </c>
      <c r="I314" t="s">
        <v>220</v>
      </c>
      <c r="J314" t="s">
        <v>220</v>
      </c>
      <c r="K314" t="s">
        <v>37</v>
      </c>
      <c r="L314" t="s">
        <v>30</v>
      </c>
      <c r="M314" t="s">
        <v>22</v>
      </c>
    </row>
    <row r="315" spans="1:13" x14ac:dyDescent="0.35">
      <c r="A315" t="s">
        <v>770</v>
      </c>
      <c r="B315" s="9">
        <v>46044</v>
      </c>
      <c r="C315" t="s">
        <v>771</v>
      </c>
      <c r="D315" t="s">
        <v>61</v>
      </c>
      <c r="E315" t="s">
        <v>16</v>
      </c>
      <c r="F315" t="s">
        <v>42</v>
      </c>
      <c r="G315" t="s">
        <v>43</v>
      </c>
      <c r="H315">
        <v>1</v>
      </c>
      <c r="I315" t="s">
        <v>79</v>
      </c>
      <c r="J315" t="s">
        <v>79</v>
      </c>
      <c r="K315">
        <v>190</v>
      </c>
      <c r="L315" t="s">
        <v>30</v>
      </c>
      <c r="M315" t="s">
        <v>58</v>
      </c>
    </row>
    <row r="316" spans="1:13" x14ac:dyDescent="0.35">
      <c r="A316" t="s">
        <v>772</v>
      </c>
      <c r="B316" s="9">
        <v>46162</v>
      </c>
      <c r="C316" t="s">
        <v>773</v>
      </c>
      <c r="D316" t="s">
        <v>66</v>
      </c>
      <c r="E316" t="s">
        <v>67</v>
      </c>
      <c r="F316" t="s">
        <v>47</v>
      </c>
      <c r="G316" t="s">
        <v>48</v>
      </c>
      <c r="H316">
        <v>1</v>
      </c>
      <c r="I316" t="s">
        <v>71</v>
      </c>
      <c r="J316" t="s">
        <v>71</v>
      </c>
      <c r="K316" t="s">
        <v>50</v>
      </c>
      <c r="L316" t="s">
        <v>30</v>
      </c>
      <c r="M316" t="s">
        <v>22</v>
      </c>
    </row>
    <row r="317" spans="1:13" x14ac:dyDescent="0.35">
      <c r="A317" t="s">
        <v>774</v>
      </c>
      <c r="B317" t="s">
        <v>775</v>
      </c>
      <c r="C317" t="s">
        <v>776</v>
      </c>
      <c r="D317" t="s">
        <v>61</v>
      </c>
      <c r="E317" t="s">
        <v>25</v>
      </c>
      <c r="F317" t="s">
        <v>35</v>
      </c>
      <c r="G317" t="s">
        <v>36</v>
      </c>
      <c r="H317">
        <v>2</v>
      </c>
      <c r="I317" t="s">
        <v>136</v>
      </c>
      <c r="J317" t="s">
        <v>164</v>
      </c>
      <c r="K317">
        <v>85</v>
      </c>
      <c r="L317" t="s">
        <v>30</v>
      </c>
      <c r="M317" t="s">
        <v>22</v>
      </c>
    </row>
    <row r="318" spans="1:13" x14ac:dyDescent="0.35">
      <c r="A318" t="s">
        <v>777</v>
      </c>
      <c r="B318" t="s">
        <v>778</v>
      </c>
      <c r="C318" t="s">
        <v>455</v>
      </c>
      <c r="D318" t="s">
        <v>99</v>
      </c>
      <c r="E318" t="s">
        <v>41</v>
      </c>
      <c r="F318" t="s">
        <v>74</v>
      </c>
      <c r="G318" t="s">
        <v>75</v>
      </c>
      <c r="H318">
        <v>1</v>
      </c>
      <c r="I318" t="s">
        <v>85</v>
      </c>
      <c r="J318" t="s">
        <v>85</v>
      </c>
      <c r="K318" t="s">
        <v>76</v>
      </c>
      <c r="L318" t="s">
        <v>30</v>
      </c>
      <c r="M318" t="s">
        <v>58</v>
      </c>
    </row>
    <row r="319" spans="1:13" x14ac:dyDescent="0.35">
      <c r="A319" t="s">
        <v>779</v>
      </c>
      <c r="B319" s="9">
        <v>46042</v>
      </c>
      <c r="C319" t="s">
        <v>780</v>
      </c>
      <c r="D319" t="s">
        <v>66</v>
      </c>
      <c r="E319" t="s">
        <v>16</v>
      </c>
      <c r="F319" t="s">
        <v>35</v>
      </c>
      <c r="G319" t="s">
        <v>36</v>
      </c>
      <c r="H319">
        <v>-2</v>
      </c>
      <c r="I319" t="s">
        <v>592</v>
      </c>
      <c r="J319" t="s">
        <v>781</v>
      </c>
      <c r="K319">
        <v>85</v>
      </c>
      <c r="L319" t="s">
        <v>21</v>
      </c>
      <c r="M319" t="s">
        <v>22</v>
      </c>
    </row>
    <row r="320" spans="1:13" x14ac:dyDescent="0.35">
      <c r="A320" t="s">
        <v>782</v>
      </c>
      <c r="B320" s="9">
        <v>46100</v>
      </c>
      <c r="C320" t="s">
        <v>783</v>
      </c>
      <c r="D320" t="s">
        <v>15</v>
      </c>
      <c r="E320" t="s">
        <v>34</v>
      </c>
      <c r="F320" t="s">
        <v>35</v>
      </c>
      <c r="G320" t="s">
        <v>36</v>
      </c>
      <c r="H320">
        <v>2</v>
      </c>
      <c r="I320" t="s">
        <v>71</v>
      </c>
      <c r="J320" t="s">
        <v>286</v>
      </c>
      <c r="K320">
        <v>85</v>
      </c>
      <c r="L320" t="s">
        <v>21</v>
      </c>
      <c r="M320" t="s">
        <v>22</v>
      </c>
    </row>
    <row r="321" spans="1:13" x14ac:dyDescent="0.35">
      <c r="A321" t="s">
        <v>784</v>
      </c>
      <c r="B321" s="9">
        <v>46048</v>
      </c>
      <c r="C321" t="s">
        <v>785</v>
      </c>
      <c r="D321" t="s">
        <v>99</v>
      </c>
      <c r="E321" t="s">
        <v>16</v>
      </c>
      <c r="F321" t="s">
        <v>89</v>
      </c>
      <c r="G321" t="s">
        <v>90</v>
      </c>
      <c r="H321">
        <v>2</v>
      </c>
      <c r="I321" t="s">
        <v>266</v>
      </c>
      <c r="J321" t="s">
        <v>786</v>
      </c>
      <c r="K321">
        <v>640</v>
      </c>
      <c r="L321" t="s">
        <v>21</v>
      </c>
      <c r="M321" t="s">
        <v>58</v>
      </c>
    </row>
    <row r="322" spans="1:13" x14ac:dyDescent="0.35">
      <c r="A322" t="s">
        <v>787</v>
      </c>
      <c r="B322" s="9">
        <v>46037</v>
      </c>
      <c r="C322" t="s">
        <v>788</v>
      </c>
      <c r="D322" t="s">
        <v>33</v>
      </c>
      <c r="E322" t="s">
        <v>16</v>
      </c>
      <c r="F322" t="s">
        <v>74</v>
      </c>
      <c r="G322" t="s">
        <v>75</v>
      </c>
      <c r="H322">
        <v>1</v>
      </c>
      <c r="I322" t="s">
        <v>56</v>
      </c>
      <c r="J322" t="s">
        <v>56</v>
      </c>
      <c r="K322">
        <v>410</v>
      </c>
      <c r="L322" t="s">
        <v>21</v>
      </c>
      <c r="M322" t="s">
        <v>22</v>
      </c>
    </row>
    <row r="323" spans="1:13" x14ac:dyDescent="0.35">
      <c r="A323" t="s">
        <v>789</v>
      </c>
      <c r="B323" s="9">
        <v>46177</v>
      </c>
      <c r="C323" t="s">
        <v>790</v>
      </c>
      <c r="D323" t="s">
        <v>15</v>
      </c>
      <c r="E323" t="s">
        <v>41</v>
      </c>
      <c r="F323" t="s">
        <v>26</v>
      </c>
      <c r="G323" t="s">
        <v>27</v>
      </c>
      <c r="H323">
        <v>3</v>
      </c>
      <c r="I323" t="s">
        <v>71</v>
      </c>
      <c r="J323" t="s">
        <v>379</v>
      </c>
      <c r="K323" t="s">
        <v>29</v>
      </c>
      <c r="L323" t="s">
        <v>30</v>
      </c>
      <c r="M323" t="s">
        <v>22</v>
      </c>
    </row>
    <row r="324" spans="1:13" x14ac:dyDescent="0.35">
      <c r="A324" t="s">
        <v>791</v>
      </c>
      <c r="B324" s="9">
        <v>46131</v>
      </c>
      <c r="C324" t="s">
        <v>792</v>
      </c>
      <c r="D324" t="s">
        <v>53</v>
      </c>
      <c r="E324" t="s">
        <v>16</v>
      </c>
      <c r="F324" t="s">
        <v>83</v>
      </c>
      <c r="G324" t="s">
        <v>84</v>
      </c>
      <c r="H324">
        <v>2</v>
      </c>
      <c r="I324" t="s">
        <v>56</v>
      </c>
      <c r="J324" t="s">
        <v>193</v>
      </c>
      <c r="K324">
        <v>340</v>
      </c>
      <c r="L324" t="s">
        <v>30</v>
      </c>
      <c r="M324" t="s">
        <v>58</v>
      </c>
    </row>
    <row r="325" spans="1:13" x14ac:dyDescent="0.35">
      <c r="A325" t="s">
        <v>793</v>
      </c>
      <c r="B325" s="9">
        <v>46111</v>
      </c>
      <c r="C325" t="s">
        <v>794</v>
      </c>
      <c r="D325" t="s">
        <v>15</v>
      </c>
      <c r="E325" t="s">
        <v>25</v>
      </c>
      <c r="F325" t="s">
        <v>74</v>
      </c>
      <c r="G325" t="s">
        <v>75</v>
      </c>
      <c r="H325">
        <v>1</v>
      </c>
      <c r="I325" t="s">
        <v>28</v>
      </c>
      <c r="J325" t="s">
        <v>28</v>
      </c>
      <c r="K325">
        <v>410</v>
      </c>
      <c r="L325" t="s">
        <v>30</v>
      </c>
      <c r="M325" t="s">
        <v>22</v>
      </c>
    </row>
    <row r="326" spans="1:13" x14ac:dyDescent="0.35">
      <c r="A326" t="s">
        <v>795</v>
      </c>
      <c r="B326" t="s">
        <v>796</v>
      </c>
      <c r="C326" t="s">
        <v>208</v>
      </c>
      <c r="D326" t="s">
        <v>46</v>
      </c>
      <c r="E326" t="s">
        <v>25</v>
      </c>
      <c r="F326" t="s">
        <v>83</v>
      </c>
      <c r="G326" t="s">
        <v>84</v>
      </c>
      <c r="H326">
        <v>3</v>
      </c>
      <c r="I326" t="s">
        <v>19</v>
      </c>
      <c r="J326" t="s">
        <v>326</v>
      </c>
      <c r="K326">
        <v>340</v>
      </c>
      <c r="L326" t="s">
        <v>30</v>
      </c>
      <c r="M326" t="s">
        <v>58</v>
      </c>
    </row>
    <row r="327" spans="1:13" x14ac:dyDescent="0.35">
      <c r="A327" t="s">
        <v>797</v>
      </c>
      <c r="B327" s="9">
        <v>46057</v>
      </c>
      <c r="C327" t="s">
        <v>173</v>
      </c>
      <c r="D327" t="s">
        <v>15</v>
      </c>
      <c r="E327" t="s">
        <v>67</v>
      </c>
      <c r="F327" t="s">
        <v>26</v>
      </c>
      <c r="G327" t="s">
        <v>27</v>
      </c>
      <c r="H327">
        <v>2</v>
      </c>
      <c r="I327" t="s">
        <v>608</v>
      </c>
      <c r="J327" t="s">
        <v>133</v>
      </c>
      <c r="K327">
        <v>520</v>
      </c>
      <c r="L327" t="s">
        <v>30</v>
      </c>
      <c r="M327" t="s">
        <v>22</v>
      </c>
    </row>
    <row r="328" spans="1:13" x14ac:dyDescent="0.35">
      <c r="A328" t="s">
        <v>798</v>
      </c>
      <c r="B328" s="9">
        <v>46198</v>
      </c>
      <c r="C328" t="s">
        <v>385</v>
      </c>
      <c r="D328" t="s">
        <v>99</v>
      </c>
      <c r="E328" t="s">
        <v>25</v>
      </c>
      <c r="F328" t="s">
        <v>74</v>
      </c>
      <c r="G328" t="s">
        <v>75</v>
      </c>
      <c r="H328">
        <v>2</v>
      </c>
      <c r="I328" t="s">
        <v>106</v>
      </c>
      <c r="J328" t="s">
        <v>107</v>
      </c>
      <c r="K328" t="s">
        <v>76</v>
      </c>
      <c r="L328" t="s">
        <v>21</v>
      </c>
      <c r="M328" t="s">
        <v>22</v>
      </c>
    </row>
    <row r="329" spans="1:13" x14ac:dyDescent="0.35">
      <c r="A329" t="s">
        <v>799</v>
      </c>
      <c r="B329" s="9">
        <v>46080</v>
      </c>
      <c r="C329" t="s">
        <v>800</v>
      </c>
      <c r="D329" t="s">
        <v>66</v>
      </c>
      <c r="E329" t="s">
        <v>67</v>
      </c>
      <c r="F329" t="s">
        <v>17</v>
      </c>
      <c r="G329" t="s">
        <v>18</v>
      </c>
      <c r="H329">
        <v>2</v>
      </c>
      <c r="I329" t="s">
        <v>68</v>
      </c>
      <c r="J329" t="s">
        <v>248</v>
      </c>
      <c r="K329">
        <v>520</v>
      </c>
      <c r="L329" t="s">
        <v>21</v>
      </c>
      <c r="M329" t="s">
        <v>58</v>
      </c>
    </row>
    <row r="330" spans="1:13" x14ac:dyDescent="0.35">
      <c r="A330" t="s">
        <v>801</v>
      </c>
      <c r="B330" s="9">
        <v>46189</v>
      </c>
      <c r="C330" t="s">
        <v>260</v>
      </c>
      <c r="D330" t="s">
        <v>61</v>
      </c>
      <c r="E330" t="s">
        <v>41</v>
      </c>
      <c r="F330" t="s">
        <v>26</v>
      </c>
      <c r="G330" t="s">
        <v>27</v>
      </c>
      <c r="H330">
        <v>1</v>
      </c>
      <c r="I330" t="s">
        <v>19</v>
      </c>
      <c r="J330" t="s">
        <v>19</v>
      </c>
      <c r="K330" t="s">
        <v>29</v>
      </c>
      <c r="L330" t="s">
        <v>21</v>
      </c>
      <c r="M330" t="s">
        <v>22</v>
      </c>
    </row>
    <row r="331" spans="1:13" x14ac:dyDescent="0.35">
      <c r="A331" t="s">
        <v>802</v>
      </c>
      <c r="B331" s="9">
        <v>46181</v>
      </c>
      <c r="C331" t="s">
        <v>201</v>
      </c>
      <c r="D331" t="s">
        <v>53</v>
      </c>
      <c r="E331" t="s">
        <v>67</v>
      </c>
      <c r="F331" t="s">
        <v>17</v>
      </c>
      <c r="G331" t="s">
        <v>18</v>
      </c>
      <c r="H331">
        <v>2</v>
      </c>
      <c r="I331" t="s">
        <v>62</v>
      </c>
      <c r="J331" t="s">
        <v>63</v>
      </c>
      <c r="K331" t="s">
        <v>29</v>
      </c>
      <c r="L331" t="s">
        <v>30</v>
      </c>
      <c r="M331" t="s">
        <v>58</v>
      </c>
    </row>
    <row r="332" spans="1:13" x14ac:dyDescent="0.35">
      <c r="A332" t="s">
        <v>803</v>
      </c>
      <c r="B332" s="9">
        <v>46032</v>
      </c>
      <c r="C332" t="s">
        <v>804</v>
      </c>
      <c r="D332" t="s">
        <v>53</v>
      </c>
      <c r="E332" t="s">
        <v>25</v>
      </c>
      <c r="F332" t="s">
        <v>74</v>
      </c>
      <c r="G332" t="s">
        <v>75</v>
      </c>
      <c r="H332">
        <v>1</v>
      </c>
      <c r="I332" t="s">
        <v>102</v>
      </c>
      <c r="J332" t="s">
        <v>102</v>
      </c>
      <c r="K332">
        <v>410</v>
      </c>
      <c r="L332" t="s">
        <v>30</v>
      </c>
      <c r="M332" t="s">
        <v>22</v>
      </c>
    </row>
    <row r="333" spans="1:13" x14ac:dyDescent="0.35">
      <c r="A333" t="s">
        <v>805</v>
      </c>
      <c r="B333" s="9">
        <v>46103</v>
      </c>
      <c r="C333" t="s">
        <v>45</v>
      </c>
      <c r="D333" t="s">
        <v>15</v>
      </c>
      <c r="E333" t="s">
        <v>67</v>
      </c>
      <c r="F333" t="s">
        <v>17</v>
      </c>
      <c r="G333" t="s">
        <v>18</v>
      </c>
      <c r="H333">
        <v>1</v>
      </c>
      <c r="I333" t="s">
        <v>170</v>
      </c>
      <c r="J333" t="s">
        <v>170</v>
      </c>
      <c r="K333">
        <v>520</v>
      </c>
      <c r="L333" t="s">
        <v>30</v>
      </c>
      <c r="M333" t="s">
        <v>22</v>
      </c>
    </row>
    <row r="334" spans="1:13" x14ac:dyDescent="0.35">
      <c r="A334" t="s">
        <v>806</v>
      </c>
      <c r="B334" s="9">
        <v>46132</v>
      </c>
      <c r="C334" t="s">
        <v>807</v>
      </c>
      <c r="D334" t="s">
        <v>15</v>
      </c>
      <c r="E334" t="s">
        <v>41</v>
      </c>
      <c r="F334" t="s">
        <v>89</v>
      </c>
      <c r="G334" t="s">
        <v>90</v>
      </c>
      <c r="H334">
        <v>3</v>
      </c>
      <c r="I334" t="s">
        <v>132</v>
      </c>
      <c r="J334" t="s">
        <v>232</v>
      </c>
      <c r="K334" t="s">
        <v>108</v>
      </c>
      <c r="L334" t="s">
        <v>30</v>
      </c>
      <c r="M334" t="s">
        <v>58</v>
      </c>
    </row>
    <row r="335" spans="1:13" x14ac:dyDescent="0.35">
      <c r="A335" t="s">
        <v>808</v>
      </c>
      <c r="B335" s="9">
        <v>46113</v>
      </c>
      <c r="C335" t="s">
        <v>809</v>
      </c>
      <c r="D335" t="s">
        <v>40</v>
      </c>
      <c r="E335" t="s">
        <v>16</v>
      </c>
      <c r="F335" t="s">
        <v>47</v>
      </c>
      <c r="G335" t="s">
        <v>48</v>
      </c>
      <c r="H335">
        <v>1</v>
      </c>
      <c r="I335" t="s">
        <v>62</v>
      </c>
      <c r="J335" t="s">
        <v>62</v>
      </c>
      <c r="K335">
        <v>380</v>
      </c>
      <c r="L335" t="s">
        <v>30</v>
      </c>
      <c r="M335" t="s">
        <v>22</v>
      </c>
    </row>
    <row r="336" spans="1:13" x14ac:dyDescent="0.35">
      <c r="A336" t="s">
        <v>810</v>
      </c>
      <c r="B336" s="9">
        <v>46128</v>
      </c>
      <c r="C336" t="s">
        <v>709</v>
      </c>
      <c r="D336" t="s">
        <v>33</v>
      </c>
      <c r="E336" t="s">
        <v>67</v>
      </c>
      <c r="F336" t="s">
        <v>74</v>
      </c>
      <c r="G336" t="s">
        <v>75</v>
      </c>
      <c r="H336">
        <v>2</v>
      </c>
      <c r="I336" t="s">
        <v>19</v>
      </c>
      <c r="J336" t="s">
        <v>238</v>
      </c>
      <c r="K336">
        <v>410</v>
      </c>
      <c r="L336" t="s">
        <v>30</v>
      </c>
      <c r="M336" t="s">
        <v>22</v>
      </c>
    </row>
    <row r="337" spans="1:13" x14ac:dyDescent="0.35">
      <c r="A337" t="s">
        <v>811</v>
      </c>
      <c r="B337" t="s">
        <v>812</v>
      </c>
      <c r="C337" t="s">
        <v>813</v>
      </c>
      <c r="D337" t="s">
        <v>116</v>
      </c>
      <c r="E337" t="s">
        <v>41</v>
      </c>
      <c r="F337" t="s">
        <v>35</v>
      </c>
      <c r="G337" t="s">
        <v>36</v>
      </c>
      <c r="H337">
        <v>1</v>
      </c>
      <c r="I337" t="s">
        <v>220</v>
      </c>
      <c r="J337" t="s">
        <v>220</v>
      </c>
      <c r="K337" t="s">
        <v>37</v>
      </c>
      <c r="L337" t="s">
        <v>30</v>
      </c>
      <c r="M337" t="s">
        <v>22</v>
      </c>
    </row>
    <row r="338" spans="1:13" x14ac:dyDescent="0.35">
      <c r="A338" t="s">
        <v>814</v>
      </c>
      <c r="B338" s="9">
        <v>46139</v>
      </c>
      <c r="C338" t="s">
        <v>815</v>
      </c>
      <c r="D338" t="s">
        <v>116</v>
      </c>
      <c r="E338" t="s">
        <v>25</v>
      </c>
      <c r="F338" t="s">
        <v>35</v>
      </c>
      <c r="G338" t="s">
        <v>36</v>
      </c>
      <c r="H338">
        <v>1</v>
      </c>
      <c r="I338" t="s">
        <v>132</v>
      </c>
      <c r="J338" t="s">
        <v>132</v>
      </c>
      <c r="K338" t="s">
        <v>37</v>
      </c>
      <c r="L338" t="s">
        <v>30</v>
      </c>
      <c r="M338" t="s">
        <v>22</v>
      </c>
    </row>
    <row r="339" spans="1:13" x14ac:dyDescent="0.35">
      <c r="A339" t="s">
        <v>816</v>
      </c>
      <c r="B339" s="9">
        <v>46121</v>
      </c>
      <c r="C339" t="s">
        <v>817</v>
      </c>
      <c r="D339" t="s">
        <v>116</v>
      </c>
      <c r="E339" t="s">
        <v>25</v>
      </c>
      <c r="F339" t="s">
        <v>83</v>
      </c>
      <c r="G339" t="s">
        <v>84</v>
      </c>
      <c r="H339">
        <v>1</v>
      </c>
      <c r="I339" t="s">
        <v>588</v>
      </c>
      <c r="J339" t="s">
        <v>62</v>
      </c>
      <c r="K339">
        <v>340</v>
      </c>
      <c r="L339" t="s">
        <v>21</v>
      </c>
      <c r="M339" t="s">
        <v>22</v>
      </c>
    </row>
    <row r="340" spans="1:13" x14ac:dyDescent="0.35">
      <c r="A340" t="s">
        <v>818</v>
      </c>
      <c r="B340" s="9">
        <v>46083</v>
      </c>
      <c r="C340" t="s">
        <v>547</v>
      </c>
      <c r="D340" t="s">
        <v>46</v>
      </c>
      <c r="E340" t="s">
        <v>67</v>
      </c>
      <c r="F340" t="s">
        <v>83</v>
      </c>
      <c r="G340" t="s">
        <v>84</v>
      </c>
      <c r="H340">
        <v>3</v>
      </c>
      <c r="I340" t="s">
        <v>79</v>
      </c>
      <c r="J340" t="s">
        <v>91</v>
      </c>
      <c r="K340">
        <v>340</v>
      </c>
      <c r="L340" t="s">
        <v>30</v>
      </c>
      <c r="M340" t="s">
        <v>22</v>
      </c>
    </row>
    <row r="341" spans="1:13" x14ac:dyDescent="0.35">
      <c r="A341" t="s">
        <v>819</v>
      </c>
      <c r="B341" s="9">
        <v>46041</v>
      </c>
      <c r="C341" t="s">
        <v>820</v>
      </c>
      <c r="D341" t="s">
        <v>66</v>
      </c>
      <c r="E341" t="s">
        <v>67</v>
      </c>
      <c r="F341" t="s">
        <v>35</v>
      </c>
      <c r="G341" t="s">
        <v>36</v>
      </c>
      <c r="H341">
        <v>2</v>
      </c>
      <c r="I341" t="s">
        <v>254</v>
      </c>
      <c r="J341" t="s">
        <v>156</v>
      </c>
      <c r="K341">
        <v>85</v>
      </c>
      <c r="L341" t="s">
        <v>30</v>
      </c>
      <c r="M341" t="s">
        <v>58</v>
      </c>
    </row>
    <row r="342" spans="1:13" x14ac:dyDescent="0.35">
      <c r="A342" t="s">
        <v>821</v>
      </c>
      <c r="B342" s="9">
        <v>46143</v>
      </c>
      <c r="C342" t="s">
        <v>822</v>
      </c>
      <c r="D342" t="s">
        <v>53</v>
      </c>
      <c r="E342" t="s">
        <v>16</v>
      </c>
      <c r="F342" t="s">
        <v>35</v>
      </c>
      <c r="G342" t="s">
        <v>36</v>
      </c>
      <c r="H342">
        <v>2</v>
      </c>
      <c r="I342" t="s">
        <v>79</v>
      </c>
      <c r="J342" t="s">
        <v>143</v>
      </c>
      <c r="K342" t="s">
        <v>37</v>
      </c>
      <c r="L342" t="s">
        <v>30</v>
      </c>
      <c r="M342" t="s">
        <v>22</v>
      </c>
    </row>
    <row r="343" spans="1:13" x14ac:dyDescent="0.35">
      <c r="A343" t="s">
        <v>823</v>
      </c>
      <c r="B343" s="9">
        <v>46161</v>
      </c>
      <c r="C343" t="s">
        <v>325</v>
      </c>
      <c r="D343" t="s">
        <v>99</v>
      </c>
      <c r="E343" t="s">
        <v>67</v>
      </c>
      <c r="F343" t="s">
        <v>26</v>
      </c>
      <c r="G343" t="s">
        <v>27</v>
      </c>
      <c r="H343">
        <v>1</v>
      </c>
      <c r="I343" t="s">
        <v>68</v>
      </c>
      <c r="J343" t="s">
        <v>68</v>
      </c>
      <c r="K343" t="s">
        <v>29</v>
      </c>
      <c r="L343" t="s">
        <v>30</v>
      </c>
      <c r="M343" t="s">
        <v>22</v>
      </c>
    </row>
    <row r="344" spans="1:13" x14ac:dyDescent="0.35">
      <c r="A344" t="s">
        <v>824</v>
      </c>
      <c r="B344" s="9">
        <v>46164</v>
      </c>
      <c r="C344" t="s">
        <v>825</v>
      </c>
      <c r="D344" t="s">
        <v>53</v>
      </c>
      <c r="E344" t="s">
        <v>16</v>
      </c>
      <c r="F344" t="s">
        <v>17</v>
      </c>
      <c r="G344" t="s">
        <v>18</v>
      </c>
      <c r="H344">
        <v>2</v>
      </c>
      <c r="I344" t="s">
        <v>62</v>
      </c>
      <c r="J344" t="s">
        <v>826</v>
      </c>
      <c r="K344" t="s">
        <v>29</v>
      </c>
      <c r="L344" t="s">
        <v>21</v>
      </c>
      <c r="M344" t="s">
        <v>22</v>
      </c>
    </row>
    <row r="345" spans="1:13" x14ac:dyDescent="0.35">
      <c r="A345" t="s">
        <v>827</v>
      </c>
      <c r="B345" s="9">
        <v>46050</v>
      </c>
      <c r="C345" t="s">
        <v>828</v>
      </c>
      <c r="D345" t="s">
        <v>46</v>
      </c>
      <c r="E345" t="s">
        <v>16</v>
      </c>
      <c r="F345" t="s">
        <v>83</v>
      </c>
      <c r="G345" t="s">
        <v>84</v>
      </c>
      <c r="H345">
        <v>2</v>
      </c>
      <c r="I345" t="s">
        <v>79</v>
      </c>
      <c r="J345" t="s">
        <v>143</v>
      </c>
      <c r="K345">
        <v>340</v>
      </c>
      <c r="L345" t="s">
        <v>30</v>
      </c>
      <c r="M345" t="s">
        <v>22</v>
      </c>
    </row>
    <row r="346" spans="1:13" x14ac:dyDescent="0.35">
      <c r="A346" t="s">
        <v>829</v>
      </c>
      <c r="B346" s="9">
        <v>46148</v>
      </c>
      <c r="C346" t="s">
        <v>830</v>
      </c>
      <c r="D346" t="s">
        <v>40</v>
      </c>
      <c r="E346" t="s">
        <v>34</v>
      </c>
      <c r="F346" t="s">
        <v>89</v>
      </c>
      <c r="G346" t="s">
        <v>90</v>
      </c>
      <c r="H346">
        <v>1</v>
      </c>
      <c r="I346" t="s">
        <v>62</v>
      </c>
      <c r="J346" t="s">
        <v>62</v>
      </c>
      <c r="K346" t="s">
        <v>108</v>
      </c>
      <c r="L346" t="s">
        <v>21</v>
      </c>
      <c r="M346" t="s">
        <v>22</v>
      </c>
    </row>
    <row r="347" spans="1:13" x14ac:dyDescent="0.35">
      <c r="A347" t="s">
        <v>831</v>
      </c>
      <c r="B347" s="9">
        <v>46080</v>
      </c>
      <c r="C347" t="s">
        <v>832</v>
      </c>
      <c r="D347" t="s">
        <v>33</v>
      </c>
      <c r="E347" t="s">
        <v>34</v>
      </c>
      <c r="F347" t="s">
        <v>47</v>
      </c>
      <c r="G347" t="s">
        <v>48</v>
      </c>
      <c r="H347">
        <v>2</v>
      </c>
      <c r="I347" t="s">
        <v>758</v>
      </c>
      <c r="J347" t="s">
        <v>178</v>
      </c>
      <c r="K347">
        <v>380</v>
      </c>
      <c r="L347" t="s">
        <v>30</v>
      </c>
      <c r="M347" t="s">
        <v>22</v>
      </c>
    </row>
    <row r="348" spans="1:13" x14ac:dyDescent="0.35">
      <c r="A348" t="s">
        <v>833</v>
      </c>
      <c r="B348" s="9">
        <v>46042</v>
      </c>
      <c r="C348" t="s">
        <v>834</v>
      </c>
      <c r="D348" t="s">
        <v>116</v>
      </c>
      <c r="E348" t="s">
        <v>16</v>
      </c>
      <c r="F348" t="s">
        <v>26</v>
      </c>
      <c r="G348" t="s">
        <v>27</v>
      </c>
      <c r="H348">
        <v>2</v>
      </c>
      <c r="I348" t="s">
        <v>71</v>
      </c>
      <c r="J348" t="s">
        <v>286</v>
      </c>
      <c r="K348">
        <v>520</v>
      </c>
      <c r="L348" t="s">
        <v>30</v>
      </c>
      <c r="M348" t="s">
        <v>22</v>
      </c>
    </row>
    <row r="349" spans="1:13" x14ac:dyDescent="0.35">
      <c r="A349" t="s">
        <v>835</v>
      </c>
      <c r="B349" s="9">
        <v>46088</v>
      </c>
      <c r="C349" t="s">
        <v>836</v>
      </c>
      <c r="D349" t="s">
        <v>53</v>
      </c>
      <c r="E349" t="s">
        <v>67</v>
      </c>
      <c r="F349" t="s">
        <v>42</v>
      </c>
      <c r="G349" t="s">
        <v>43</v>
      </c>
      <c r="H349">
        <v>3</v>
      </c>
      <c r="I349" t="s">
        <v>68</v>
      </c>
      <c r="J349" t="s">
        <v>205</v>
      </c>
      <c r="K349">
        <v>190</v>
      </c>
      <c r="L349" t="s">
        <v>30</v>
      </c>
      <c r="M349" t="s">
        <v>22</v>
      </c>
    </row>
    <row r="350" spans="1:13" x14ac:dyDescent="0.35">
      <c r="A350" t="s">
        <v>837</v>
      </c>
      <c r="B350" s="9">
        <v>46077</v>
      </c>
      <c r="C350" t="s">
        <v>838</v>
      </c>
      <c r="D350" t="s">
        <v>53</v>
      </c>
      <c r="E350" t="s">
        <v>41</v>
      </c>
      <c r="F350" t="s">
        <v>17</v>
      </c>
      <c r="G350" t="s">
        <v>18</v>
      </c>
      <c r="H350">
        <v>1</v>
      </c>
      <c r="I350" t="s">
        <v>79</v>
      </c>
      <c r="J350" t="s">
        <v>79</v>
      </c>
      <c r="K350">
        <v>520</v>
      </c>
      <c r="L350" t="s">
        <v>30</v>
      </c>
      <c r="M350" t="s">
        <v>22</v>
      </c>
    </row>
    <row r="351" spans="1:13" x14ac:dyDescent="0.35">
      <c r="A351" t="s">
        <v>839</v>
      </c>
      <c r="B351" s="9">
        <v>46165</v>
      </c>
      <c r="C351" t="s">
        <v>840</v>
      </c>
      <c r="D351" t="s">
        <v>15</v>
      </c>
      <c r="E351" t="s">
        <v>34</v>
      </c>
      <c r="F351" t="s">
        <v>74</v>
      </c>
      <c r="G351" t="s">
        <v>75</v>
      </c>
      <c r="H351">
        <v>1</v>
      </c>
      <c r="I351" t="s">
        <v>85</v>
      </c>
      <c r="J351" t="s">
        <v>85</v>
      </c>
      <c r="K351" t="s">
        <v>76</v>
      </c>
      <c r="L351" t="s">
        <v>30</v>
      </c>
      <c r="M351" t="s">
        <v>22</v>
      </c>
    </row>
    <row r="352" spans="1:13" x14ac:dyDescent="0.35">
      <c r="A352" t="s">
        <v>841</v>
      </c>
      <c r="B352" s="9">
        <v>46105</v>
      </c>
      <c r="C352" t="s">
        <v>842</v>
      </c>
      <c r="D352" t="s">
        <v>66</v>
      </c>
      <c r="E352" t="s">
        <v>41</v>
      </c>
      <c r="F352" t="s">
        <v>42</v>
      </c>
      <c r="G352" t="s">
        <v>43</v>
      </c>
      <c r="H352">
        <v>3</v>
      </c>
      <c r="I352" t="s">
        <v>254</v>
      </c>
      <c r="J352" t="s">
        <v>390</v>
      </c>
      <c r="K352">
        <v>190</v>
      </c>
      <c r="L352" t="s">
        <v>30</v>
      </c>
      <c r="M352" t="s">
        <v>22</v>
      </c>
    </row>
    <row r="353" spans="1:13" x14ac:dyDescent="0.35">
      <c r="A353" t="s">
        <v>843</v>
      </c>
      <c r="B353" s="9">
        <v>46120</v>
      </c>
      <c r="C353" t="s">
        <v>844</v>
      </c>
      <c r="D353" t="s">
        <v>33</v>
      </c>
      <c r="E353" t="s">
        <v>41</v>
      </c>
      <c r="F353" t="s">
        <v>35</v>
      </c>
      <c r="G353" t="s">
        <v>36</v>
      </c>
      <c r="H353">
        <v>2</v>
      </c>
      <c r="I353" t="s">
        <v>79</v>
      </c>
      <c r="J353" t="s">
        <v>267</v>
      </c>
      <c r="K353">
        <v>85</v>
      </c>
      <c r="L353" t="s">
        <v>30</v>
      </c>
      <c r="M353" t="s">
        <v>22</v>
      </c>
    </row>
    <row r="354" spans="1:13" x14ac:dyDescent="0.35">
      <c r="A354" t="s">
        <v>845</v>
      </c>
      <c r="B354" s="9">
        <v>46080</v>
      </c>
      <c r="C354" t="s">
        <v>354</v>
      </c>
      <c r="D354" t="s">
        <v>66</v>
      </c>
      <c r="E354" t="s">
        <v>34</v>
      </c>
      <c r="F354" t="s">
        <v>47</v>
      </c>
      <c r="G354" t="s">
        <v>48</v>
      </c>
      <c r="H354">
        <v>2</v>
      </c>
      <c r="I354" t="s">
        <v>49</v>
      </c>
      <c r="J354" t="s">
        <v>178</v>
      </c>
      <c r="K354">
        <v>380</v>
      </c>
      <c r="L354" t="s">
        <v>30</v>
      </c>
      <c r="M354" t="s">
        <v>58</v>
      </c>
    </row>
    <row r="355" spans="1:13" x14ac:dyDescent="0.35">
      <c r="A355" t="s">
        <v>846</v>
      </c>
      <c r="B355" s="9">
        <v>46138</v>
      </c>
      <c r="C355" t="s">
        <v>847</v>
      </c>
      <c r="D355" t="s">
        <v>116</v>
      </c>
      <c r="E355" t="s">
        <v>41</v>
      </c>
      <c r="F355" t="s">
        <v>89</v>
      </c>
      <c r="G355" t="s">
        <v>90</v>
      </c>
      <c r="H355">
        <v>-2</v>
      </c>
      <c r="I355" t="s">
        <v>132</v>
      </c>
      <c r="J355" t="s">
        <v>848</v>
      </c>
      <c r="K355" t="s">
        <v>108</v>
      </c>
      <c r="L355" t="s">
        <v>30</v>
      </c>
      <c r="M355" t="s">
        <v>22</v>
      </c>
    </row>
    <row r="356" spans="1:13" x14ac:dyDescent="0.35">
      <c r="A356" t="s">
        <v>849</v>
      </c>
      <c r="B356" s="9">
        <v>46049</v>
      </c>
      <c r="C356" t="s">
        <v>850</v>
      </c>
      <c r="D356" t="s">
        <v>116</v>
      </c>
      <c r="E356" t="s">
        <v>16</v>
      </c>
      <c r="F356" t="s">
        <v>26</v>
      </c>
      <c r="G356" t="s">
        <v>27</v>
      </c>
      <c r="H356">
        <v>2</v>
      </c>
      <c r="I356" t="s">
        <v>19</v>
      </c>
      <c r="J356" t="s">
        <v>238</v>
      </c>
      <c r="K356">
        <v>520</v>
      </c>
      <c r="L356" t="s">
        <v>30</v>
      </c>
      <c r="M356" t="s">
        <v>22</v>
      </c>
    </row>
    <row r="357" spans="1:13" x14ac:dyDescent="0.35">
      <c r="A357" t="s">
        <v>851</v>
      </c>
      <c r="B357" s="9">
        <v>46098</v>
      </c>
      <c r="C357" t="s">
        <v>852</v>
      </c>
      <c r="D357" t="s">
        <v>94</v>
      </c>
      <c r="E357" t="s">
        <v>67</v>
      </c>
      <c r="F357" t="s">
        <v>17</v>
      </c>
      <c r="G357" t="s">
        <v>18</v>
      </c>
      <c r="H357">
        <v>2</v>
      </c>
      <c r="I357" t="s">
        <v>68</v>
      </c>
      <c r="J357" t="s">
        <v>248</v>
      </c>
      <c r="K357">
        <v>520</v>
      </c>
      <c r="L357" t="s">
        <v>30</v>
      </c>
      <c r="M357" t="s">
        <v>22</v>
      </c>
    </row>
    <row r="358" spans="1:13" x14ac:dyDescent="0.35">
      <c r="A358" t="s">
        <v>853</v>
      </c>
      <c r="B358" s="9">
        <v>46036</v>
      </c>
      <c r="C358" t="s">
        <v>854</v>
      </c>
      <c r="D358" t="s">
        <v>15</v>
      </c>
      <c r="E358" t="s">
        <v>41</v>
      </c>
      <c r="F358" t="s">
        <v>74</v>
      </c>
      <c r="G358" t="s">
        <v>75</v>
      </c>
      <c r="H358">
        <v>2</v>
      </c>
      <c r="I358" t="s">
        <v>254</v>
      </c>
      <c r="J358" t="s">
        <v>156</v>
      </c>
      <c r="K358">
        <v>410</v>
      </c>
      <c r="L358" t="s">
        <v>30</v>
      </c>
      <c r="M358" t="s">
        <v>22</v>
      </c>
    </row>
    <row r="359" spans="1:13" x14ac:dyDescent="0.35">
      <c r="A359" t="s">
        <v>855</v>
      </c>
      <c r="B359" s="9">
        <v>46061</v>
      </c>
      <c r="C359" t="s">
        <v>624</v>
      </c>
      <c r="D359" t="s">
        <v>46</v>
      </c>
      <c r="E359" t="s">
        <v>16</v>
      </c>
      <c r="F359" t="s">
        <v>83</v>
      </c>
      <c r="G359" t="s">
        <v>84</v>
      </c>
      <c r="H359">
        <v>3</v>
      </c>
      <c r="I359" t="s">
        <v>170</v>
      </c>
      <c r="J359" t="s">
        <v>856</v>
      </c>
      <c r="K359">
        <v>340</v>
      </c>
      <c r="L359" t="s">
        <v>30</v>
      </c>
      <c r="M359" t="s">
        <v>58</v>
      </c>
    </row>
    <row r="360" spans="1:13" x14ac:dyDescent="0.35">
      <c r="A360" t="s">
        <v>857</v>
      </c>
      <c r="B360" s="9">
        <v>46048</v>
      </c>
      <c r="C360" t="s">
        <v>858</v>
      </c>
      <c r="D360" t="s">
        <v>66</v>
      </c>
      <c r="E360" t="s">
        <v>34</v>
      </c>
      <c r="F360" t="s">
        <v>83</v>
      </c>
      <c r="G360" t="s">
        <v>84</v>
      </c>
      <c r="H360">
        <v>1</v>
      </c>
      <c r="I360" t="s">
        <v>79</v>
      </c>
      <c r="J360" t="s">
        <v>79</v>
      </c>
      <c r="K360">
        <v>340</v>
      </c>
      <c r="L360" t="s">
        <v>30</v>
      </c>
      <c r="M360" t="s">
        <v>22</v>
      </c>
    </row>
    <row r="361" spans="1:13" x14ac:dyDescent="0.35">
      <c r="A361" t="s">
        <v>859</v>
      </c>
      <c r="B361" s="9">
        <v>46070</v>
      </c>
      <c r="C361" t="s">
        <v>860</v>
      </c>
      <c r="D361" t="s">
        <v>94</v>
      </c>
      <c r="E361" t="s">
        <v>25</v>
      </c>
      <c r="F361" t="s">
        <v>42</v>
      </c>
      <c r="G361" t="s">
        <v>43</v>
      </c>
      <c r="H361">
        <v>3</v>
      </c>
      <c r="I361" t="s">
        <v>254</v>
      </c>
      <c r="J361" t="s">
        <v>390</v>
      </c>
      <c r="K361">
        <v>190</v>
      </c>
      <c r="L361" t="s">
        <v>21</v>
      </c>
      <c r="M361" t="s">
        <v>22</v>
      </c>
    </row>
    <row r="362" spans="1:13" x14ac:dyDescent="0.35">
      <c r="A362" t="s">
        <v>861</v>
      </c>
      <c r="B362" s="9">
        <v>46123</v>
      </c>
      <c r="C362" t="s">
        <v>862</v>
      </c>
      <c r="D362" t="s">
        <v>99</v>
      </c>
      <c r="E362" t="s">
        <v>67</v>
      </c>
      <c r="F362" t="s">
        <v>42</v>
      </c>
      <c r="G362" t="s">
        <v>43</v>
      </c>
      <c r="H362">
        <v>2</v>
      </c>
      <c r="I362" t="s">
        <v>79</v>
      </c>
      <c r="J362" t="s">
        <v>143</v>
      </c>
      <c r="K362">
        <v>190</v>
      </c>
      <c r="L362" t="s">
        <v>30</v>
      </c>
      <c r="M362" t="s">
        <v>22</v>
      </c>
    </row>
    <row r="363" spans="1:13" x14ac:dyDescent="0.35">
      <c r="A363" t="s">
        <v>863</v>
      </c>
      <c r="B363" t="s">
        <v>236</v>
      </c>
      <c r="C363" t="s">
        <v>864</v>
      </c>
      <c r="D363" t="s">
        <v>116</v>
      </c>
      <c r="E363" t="s">
        <v>16</v>
      </c>
      <c r="F363" t="s">
        <v>74</v>
      </c>
      <c r="G363" t="s">
        <v>75</v>
      </c>
      <c r="H363">
        <v>3</v>
      </c>
      <c r="I363" t="s">
        <v>79</v>
      </c>
      <c r="J363" t="s">
        <v>91</v>
      </c>
      <c r="K363">
        <v>410</v>
      </c>
      <c r="L363" t="s">
        <v>21</v>
      </c>
      <c r="M363" t="s">
        <v>22</v>
      </c>
    </row>
    <row r="364" spans="1:13" x14ac:dyDescent="0.35">
      <c r="A364" t="s">
        <v>865</v>
      </c>
      <c r="B364" s="9">
        <v>46127</v>
      </c>
      <c r="C364" t="s">
        <v>866</v>
      </c>
      <c r="D364" t="s">
        <v>94</v>
      </c>
      <c r="E364" t="s">
        <v>67</v>
      </c>
      <c r="F364" t="s">
        <v>42</v>
      </c>
      <c r="G364" t="s">
        <v>43</v>
      </c>
      <c r="H364">
        <v>2</v>
      </c>
      <c r="I364" t="s">
        <v>106</v>
      </c>
      <c r="J364" t="s">
        <v>107</v>
      </c>
      <c r="K364">
        <v>190</v>
      </c>
      <c r="L364" t="s">
        <v>30</v>
      </c>
      <c r="M364" t="s">
        <v>22</v>
      </c>
    </row>
    <row r="365" spans="1:13" x14ac:dyDescent="0.35">
      <c r="A365" t="s">
        <v>867</v>
      </c>
      <c r="B365" s="9">
        <v>46061</v>
      </c>
      <c r="C365" t="s">
        <v>868</v>
      </c>
      <c r="D365" t="s">
        <v>40</v>
      </c>
      <c r="E365" t="s">
        <v>67</v>
      </c>
      <c r="F365" t="s">
        <v>42</v>
      </c>
      <c r="G365" t="s">
        <v>43</v>
      </c>
      <c r="H365">
        <v>1</v>
      </c>
      <c r="I365" t="s">
        <v>170</v>
      </c>
      <c r="J365" t="s">
        <v>170</v>
      </c>
      <c r="K365">
        <v>190</v>
      </c>
      <c r="L365" t="s">
        <v>30</v>
      </c>
      <c r="M365" t="s">
        <v>58</v>
      </c>
    </row>
    <row r="366" spans="1:13" x14ac:dyDescent="0.35">
      <c r="A366" t="s">
        <v>869</v>
      </c>
      <c r="B366" s="9">
        <v>46151</v>
      </c>
      <c r="C366" t="s">
        <v>870</v>
      </c>
      <c r="D366" t="s">
        <v>116</v>
      </c>
      <c r="E366" t="s">
        <v>16</v>
      </c>
      <c r="F366" t="s">
        <v>17</v>
      </c>
      <c r="G366" t="s">
        <v>18</v>
      </c>
      <c r="H366">
        <v>3</v>
      </c>
      <c r="I366" t="s">
        <v>62</v>
      </c>
      <c r="J366" t="s">
        <v>871</v>
      </c>
      <c r="K366" t="s">
        <v>29</v>
      </c>
      <c r="L366" t="s">
        <v>21</v>
      </c>
      <c r="M366" t="s">
        <v>22</v>
      </c>
    </row>
    <row r="367" spans="1:13" x14ac:dyDescent="0.35">
      <c r="A367" t="s">
        <v>872</v>
      </c>
      <c r="B367" s="9">
        <v>46050</v>
      </c>
      <c r="C367" t="s">
        <v>873</v>
      </c>
      <c r="D367" t="s">
        <v>94</v>
      </c>
      <c r="E367" t="s">
        <v>25</v>
      </c>
      <c r="F367" t="s">
        <v>74</v>
      </c>
      <c r="G367" t="s">
        <v>75</v>
      </c>
      <c r="H367">
        <v>2</v>
      </c>
      <c r="I367" t="s">
        <v>102</v>
      </c>
      <c r="J367" t="s">
        <v>181</v>
      </c>
      <c r="K367">
        <v>410</v>
      </c>
      <c r="L367" t="s">
        <v>30</v>
      </c>
      <c r="M367" t="s">
        <v>22</v>
      </c>
    </row>
    <row r="368" spans="1:13" x14ac:dyDescent="0.35">
      <c r="A368" t="s">
        <v>874</v>
      </c>
      <c r="B368" s="9">
        <v>46039</v>
      </c>
      <c r="C368" t="s">
        <v>875</v>
      </c>
      <c r="D368" t="s">
        <v>66</v>
      </c>
      <c r="E368" t="s">
        <v>41</v>
      </c>
      <c r="F368" t="s">
        <v>35</v>
      </c>
      <c r="G368" t="s">
        <v>36</v>
      </c>
      <c r="H368">
        <v>1</v>
      </c>
      <c r="I368" t="s">
        <v>19</v>
      </c>
      <c r="J368" t="s">
        <v>19</v>
      </c>
      <c r="K368">
        <v>85</v>
      </c>
      <c r="L368" t="s">
        <v>30</v>
      </c>
      <c r="M368" t="s">
        <v>22</v>
      </c>
    </row>
    <row r="369" spans="1:13" x14ac:dyDescent="0.35">
      <c r="A369" t="s">
        <v>876</v>
      </c>
      <c r="B369" s="9">
        <v>46176</v>
      </c>
      <c r="C369" t="s">
        <v>877</v>
      </c>
      <c r="D369" t="s">
        <v>15</v>
      </c>
      <c r="E369" t="s">
        <v>41</v>
      </c>
      <c r="F369" t="s">
        <v>74</v>
      </c>
      <c r="G369" t="s">
        <v>75</v>
      </c>
      <c r="H369">
        <v>1</v>
      </c>
      <c r="I369" t="s">
        <v>132</v>
      </c>
      <c r="J369" t="s">
        <v>132</v>
      </c>
      <c r="K369" t="s">
        <v>76</v>
      </c>
      <c r="L369" t="s">
        <v>21</v>
      </c>
      <c r="M369" t="s">
        <v>22</v>
      </c>
    </row>
    <row r="370" spans="1:13" x14ac:dyDescent="0.35">
      <c r="A370" t="s">
        <v>878</v>
      </c>
      <c r="B370" s="9">
        <v>46197</v>
      </c>
      <c r="C370" t="s">
        <v>370</v>
      </c>
      <c r="D370" t="s">
        <v>46</v>
      </c>
      <c r="E370" t="s">
        <v>34</v>
      </c>
      <c r="F370" t="s">
        <v>42</v>
      </c>
      <c r="G370" t="s">
        <v>43</v>
      </c>
      <c r="H370">
        <v>2</v>
      </c>
      <c r="I370" t="s">
        <v>79</v>
      </c>
      <c r="J370" t="s">
        <v>143</v>
      </c>
      <c r="K370" t="s">
        <v>111</v>
      </c>
      <c r="L370" t="s">
        <v>21</v>
      </c>
      <c r="M370" t="s">
        <v>22</v>
      </c>
    </row>
    <row r="371" spans="1:13" x14ac:dyDescent="0.35">
      <c r="A371" t="s">
        <v>879</v>
      </c>
      <c r="B371" t="s">
        <v>880</v>
      </c>
      <c r="C371" t="s">
        <v>881</v>
      </c>
      <c r="D371" t="s">
        <v>33</v>
      </c>
      <c r="E371" t="s">
        <v>41</v>
      </c>
      <c r="F371" t="s">
        <v>17</v>
      </c>
      <c r="G371" t="s">
        <v>18</v>
      </c>
      <c r="H371">
        <v>1</v>
      </c>
      <c r="I371" t="s">
        <v>79</v>
      </c>
      <c r="J371" t="s">
        <v>79</v>
      </c>
      <c r="K371">
        <v>520</v>
      </c>
      <c r="L371" t="s">
        <v>30</v>
      </c>
      <c r="M371" t="s">
        <v>22</v>
      </c>
    </row>
    <row r="372" spans="1:13" x14ac:dyDescent="0.35">
      <c r="A372" t="s">
        <v>882</v>
      </c>
      <c r="B372" s="9">
        <v>46189</v>
      </c>
      <c r="C372" t="s">
        <v>883</v>
      </c>
      <c r="D372" t="s">
        <v>33</v>
      </c>
      <c r="E372" t="s">
        <v>67</v>
      </c>
      <c r="F372" t="s">
        <v>26</v>
      </c>
      <c r="G372" t="s">
        <v>27</v>
      </c>
      <c r="H372">
        <v>2</v>
      </c>
      <c r="I372" t="s">
        <v>140</v>
      </c>
      <c r="J372" t="s">
        <v>238</v>
      </c>
      <c r="K372" t="s">
        <v>29</v>
      </c>
      <c r="L372" t="s">
        <v>21</v>
      </c>
      <c r="M372" t="s">
        <v>22</v>
      </c>
    </row>
    <row r="373" spans="1:13" x14ac:dyDescent="0.35">
      <c r="A373" t="s">
        <v>884</v>
      </c>
      <c r="B373" s="9">
        <v>46038</v>
      </c>
      <c r="C373" t="s">
        <v>885</v>
      </c>
      <c r="D373" t="s">
        <v>53</v>
      </c>
      <c r="E373" t="s">
        <v>41</v>
      </c>
      <c r="F373" t="s">
        <v>47</v>
      </c>
      <c r="G373" t="s">
        <v>48</v>
      </c>
      <c r="H373">
        <v>2</v>
      </c>
      <c r="I373" t="s">
        <v>85</v>
      </c>
      <c r="J373" t="s">
        <v>886</v>
      </c>
      <c r="K373">
        <v>380</v>
      </c>
      <c r="L373" t="s">
        <v>21</v>
      </c>
      <c r="M373" t="s">
        <v>22</v>
      </c>
    </row>
    <row r="374" spans="1:13" x14ac:dyDescent="0.35">
      <c r="A374" t="s">
        <v>887</v>
      </c>
      <c r="B374" t="s">
        <v>888</v>
      </c>
      <c r="C374" t="s">
        <v>154</v>
      </c>
      <c r="D374" t="s">
        <v>61</v>
      </c>
      <c r="E374" t="s">
        <v>25</v>
      </c>
      <c r="F374" t="s">
        <v>17</v>
      </c>
      <c r="G374" t="s">
        <v>18</v>
      </c>
      <c r="H374">
        <v>3</v>
      </c>
      <c r="I374" t="s">
        <v>102</v>
      </c>
      <c r="J374" t="s">
        <v>127</v>
      </c>
      <c r="K374">
        <v>520</v>
      </c>
      <c r="L374" t="s">
        <v>30</v>
      </c>
      <c r="M374" t="s">
        <v>22</v>
      </c>
    </row>
    <row r="375" spans="1:13" x14ac:dyDescent="0.35">
      <c r="A375" t="s">
        <v>889</v>
      </c>
      <c r="B375" s="9">
        <v>46100</v>
      </c>
      <c r="C375" t="s">
        <v>890</v>
      </c>
      <c r="D375" t="s">
        <v>116</v>
      </c>
      <c r="E375" t="s">
        <v>25</v>
      </c>
      <c r="F375" t="s">
        <v>83</v>
      </c>
      <c r="G375" t="s">
        <v>84</v>
      </c>
      <c r="H375">
        <v>2</v>
      </c>
      <c r="I375" t="s">
        <v>170</v>
      </c>
      <c r="J375" t="s">
        <v>152</v>
      </c>
      <c r="K375">
        <v>340</v>
      </c>
      <c r="L375" t="s">
        <v>30</v>
      </c>
      <c r="M375" t="s">
        <v>22</v>
      </c>
    </row>
    <row r="376" spans="1:13" x14ac:dyDescent="0.35">
      <c r="A376" t="s">
        <v>891</v>
      </c>
      <c r="B376" s="9">
        <v>46331</v>
      </c>
      <c r="C376" t="s">
        <v>892</v>
      </c>
      <c r="D376" t="s">
        <v>15</v>
      </c>
      <c r="E376" t="s">
        <v>25</v>
      </c>
      <c r="F376" t="s">
        <v>26</v>
      </c>
      <c r="G376" t="s">
        <v>27</v>
      </c>
      <c r="H376">
        <v>1</v>
      </c>
      <c r="I376" t="s">
        <v>71</v>
      </c>
      <c r="J376" t="s">
        <v>71</v>
      </c>
      <c r="K376" t="s">
        <v>29</v>
      </c>
      <c r="L376" t="s">
        <v>30</v>
      </c>
      <c r="M376" t="s">
        <v>22</v>
      </c>
    </row>
    <row r="377" spans="1:13" x14ac:dyDescent="0.35">
      <c r="A377" t="s">
        <v>893</v>
      </c>
      <c r="B377" s="9">
        <v>46097</v>
      </c>
      <c r="C377" t="s">
        <v>894</v>
      </c>
      <c r="D377" t="s">
        <v>40</v>
      </c>
      <c r="E377" t="s">
        <v>41</v>
      </c>
      <c r="F377" t="s">
        <v>35</v>
      </c>
      <c r="G377" t="s">
        <v>36</v>
      </c>
      <c r="H377">
        <v>1</v>
      </c>
      <c r="I377" t="s">
        <v>744</v>
      </c>
      <c r="J377" t="s">
        <v>106</v>
      </c>
      <c r="K377">
        <v>85</v>
      </c>
      <c r="L377" t="s">
        <v>30</v>
      </c>
      <c r="M377" t="s">
        <v>22</v>
      </c>
    </row>
    <row r="378" spans="1:13" x14ac:dyDescent="0.35">
      <c r="A378" t="s">
        <v>895</v>
      </c>
      <c r="B378" s="9">
        <v>46116</v>
      </c>
      <c r="C378" t="s">
        <v>607</v>
      </c>
      <c r="D378" t="s">
        <v>61</v>
      </c>
      <c r="E378" t="s">
        <v>34</v>
      </c>
      <c r="F378" t="s">
        <v>17</v>
      </c>
      <c r="G378" t="s">
        <v>18</v>
      </c>
      <c r="H378">
        <v>1</v>
      </c>
      <c r="I378" t="s">
        <v>19</v>
      </c>
      <c r="J378" t="s">
        <v>19</v>
      </c>
      <c r="K378">
        <v>520</v>
      </c>
      <c r="L378" t="s">
        <v>21</v>
      </c>
      <c r="M378" t="s">
        <v>22</v>
      </c>
    </row>
    <row r="379" spans="1:13" x14ac:dyDescent="0.35">
      <c r="A379" t="s">
        <v>896</v>
      </c>
      <c r="B379" s="9">
        <v>46202</v>
      </c>
      <c r="C379" t="s">
        <v>529</v>
      </c>
      <c r="D379" t="s">
        <v>40</v>
      </c>
      <c r="E379" t="s">
        <v>16</v>
      </c>
      <c r="F379" t="s">
        <v>47</v>
      </c>
      <c r="G379" t="s">
        <v>48</v>
      </c>
      <c r="H379">
        <v>1</v>
      </c>
      <c r="I379" t="s">
        <v>62</v>
      </c>
      <c r="J379" t="s">
        <v>62</v>
      </c>
      <c r="K379" t="s">
        <v>50</v>
      </c>
      <c r="L379" t="s">
        <v>30</v>
      </c>
      <c r="M379" t="s">
        <v>22</v>
      </c>
    </row>
    <row r="380" spans="1:13" x14ac:dyDescent="0.35">
      <c r="A380" t="s">
        <v>897</v>
      </c>
      <c r="B380" t="s">
        <v>898</v>
      </c>
      <c r="C380" t="s">
        <v>899</v>
      </c>
      <c r="D380" t="s">
        <v>40</v>
      </c>
      <c r="E380" t="s">
        <v>34</v>
      </c>
      <c r="F380" t="s">
        <v>26</v>
      </c>
      <c r="G380" t="s">
        <v>27</v>
      </c>
      <c r="H380">
        <v>2</v>
      </c>
      <c r="I380" t="s">
        <v>254</v>
      </c>
      <c r="J380" t="s">
        <v>156</v>
      </c>
      <c r="K380" t="s">
        <v>29</v>
      </c>
      <c r="L380" t="s">
        <v>30</v>
      </c>
      <c r="M380" t="s">
        <v>22</v>
      </c>
    </row>
    <row r="381" spans="1:13" x14ac:dyDescent="0.35">
      <c r="A381" t="s">
        <v>900</v>
      </c>
      <c r="B381" s="9">
        <v>46098</v>
      </c>
      <c r="C381" t="s">
        <v>901</v>
      </c>
      <c r="D381" t="s">
        <v>61</v>
      </c>
      <c r="E381" t="s">
        <v>16</v>
      </c>
      <c r="F381" t="s">
        <v>89</v>
      </c>
      <c r="G381" t="s">
        <v>90</v>
      </c>
      <c r="H381">
        <v>1</v>
      </c>
      <c r="I381" t="s">
        <v>28</v>
      </c>
      <c r="J381" t="s">
        <v>28</v>
      </c>
      <c r="K381">
        <v>640</v>
      </c>
      <c r="L381" t="s">
        <v>30</v>
      </c>
      <c r="M381" t="s">
        <v>22</v>
      </c>
    </row>
    <row r="382" spans="1:13" x14ac:dyDescent="0.35">
      <c r="A382" t="s">
        <v>902</v>
      </c>
      <c r="B382" s="9">
        <v>46045</v>
      </c>
      <c r="C382" t="s">
        <v>903</v>
      </c>
      <c r="D382" t="s">
        <v>99</v>
      </c>
      <c r="E382" t="s">
        <v>67</v>
      </c>
      <c r="F382" t="s">
        <v>47</v>
      </c>
      <c r="G382" t="s">
        <v>48</v>
      </c>
      <c r="H382">
        <v>1</v>
      </c>
      <c r="I382" t="s">
        <v>170</v>
      </c>
      <c r="J382" t="s">
        <v>170</v>
      </c>
      <c r="K382">
        <v>380</v>
      </c>
      <c r="L382" t="s">
        <v>30</v>
      </c>
      <c r="M382" t="s">
        <v>22</v>
      </c>
    </row>
    <row r="383" spans="1:13" x14ac:dyDescent="0.35">
      <c r="A383" t="s">
        <v>801</v>
      </c>
      <c r="B383" s="9">
        <v>46189</v>
      </c>
      <c r="C383" t="s">
        <v>260</v>
      </c>
      <c r="D383" t="s">
        <v>61</v>
      </c>
      <c r="E383" t="s">
        <v>41</v>
      </c>
      <c r="F383" t="s">
        <v>26</v>
      </c>
      <c r="G383" t="s">
        <v>27</v>
      </c>
      <c r="H383">
        <v>1</v>
      </c>
      <c r="I383" t="s">
        <v>19</v>
      </c>
      <c r="J383" t="s">
        <v>19</v>
      </c>
      <c r="K383" t="s">
        <v>29</v>
      </c>
      <c r="L383" t="s">
        <v>21</v>
      </c>
      <c r="M383" t="s">
        <v>22</v>
      </c>
    </row>
    <row r="384" spans="1:13" x14ac:dyDescent="0.35">
      <c r="A384" t="s">
        <v>904</v>
      </c>
      <c r="B384" s="9">
        <v>46060</v>
      </c>
      <c r="C384" t="s">
        <v>905</v>
      </c>
      <c r="D384" t="s">
        <v>116</v>
      </c>
      <c r="E384" t="s">
        <v>16</v>
      </c>
      <c r="F384" t="s">
        <v>35</v>
      </c>
      <c r="G384" t="s">
        <v>36</v>
      </c>
      <c r="H384">
        <v>-2</v>
      </c>
      <c r="I384" t="s">
        <v>62</v>
      </c>
      <c r="J384" t="s">
        <v>906</v>
      </c>
      <c r="K384" t="s">
        <v>37</v>
      </c>
      <c r="L384" t="s">
        <v>30</v>
      </c>
      <c r="M384" t="s">
        <v>22</v>
      </c>
    </row>
    <row r="385" spans="1:13" x14ac:dyDescent="0.35">
      <c r="A385" t="s">
        <v>907</v>
      </c>
      <c r="B385" s="9">
        <v>46038</v>
      </c>
      <c r="C385" t="s">
        <v>291</v>
      </c>
      <c r="D385" t="s">
        <v>94</v>
      </c>
      <c r="E385" t="s">
        <v>41</v>
      </c>
      <c r="F385" t="s">
        <v>35</v>
      </c>
      <c r="G385" t="s">
        <v>36</v>
      </c>
      <c r="H385">
        <v>1</v>
      </c>
      <c r="I385" t="s">
        <v>220</v>
      </c>
      <c r="J385" t="s">
        <v>220</v>
      </c>
      <c r="K385">
        <v>85</v>
      </c>
      <c r="L385" t="s">
        <v>30</v>
      </c>
      <c r="M385" t="s">
        <v>22</v>
      </c>
    </row>
    <row r="386" spans="1:13" x14ac:dyDescent="0.35">
      <c r="A386" t="s">
        <v>908</v>
      </c>
      <c r="B386" s="9">
        <v>46097</v>
      </c>
      <c r="C386" t="s">
        <v>909</v>
      </c>
      <c r="D386" t="s">
        <v>15</v>
      </c>
      <c r="E386" t="s">
        <v>34</v>
      </c>
      <c r="F386" t="s">
        <v>17</v>
      </c>
      <c r="G386" t="s">
        <v>18</v>
      </c>
      <c r="H386">
        <v>2</v>
      </c>
      <c r="I386" t="s">
        <v>136</v>
      </c>
      <c r="J386" t="s">
        <v>164</v>
      </c>
      <c r="K386">
        <v>520</v>
      </c>
      <c r="L386" t="s">
        <v>30</v>
      </c>
      <c r="M386" t="s">
        <v>22</v>
      </c>
    </row>
    <row r="387" spans="1:13" x14ac:dyDescent="0.35">
      <c r="A387" t="s">
        <v>910</v>
      </c>
      <c r="B387" s="9">
        <v>46134</v>
      </c>
      <c r="C387" t="s">
        <v>911</v>
      </c>
      <c r="D387" t="s">
        <v>46</v>
      </c>
      <c r="E387" t="s">
        <v>16</v>
      </c>
      <c r="F387" t="s">
        <v>74</v>
      </c>
      <c r="G387" t="s">
        <v>75</v>
      </c>
      <c r="H387">
        <v>1</v>
      </c>
      <c r="I387" t="s">
        <v>132</v>
      </c>
      <c r="J387" t="s">
        <v>132</v>
      </c>
      <c r="K387" t="s">
        <v>76</v>
      </c>
      <c r="L387" t="s">
        <v>30</v>
      </c>
      <c r="M387" t="s">
        <v>22</v>
      </c>
    </row>
    <row r="388" spans="1:13" x14ac:dyDescent="0.35">
      <c r="A388" t="s">
        <v>912</v>
      </c>
      <c r="B388" s="9">
        <v>46032</v>
      </c>
      <c r="C388" t="s">
        <v>354</v>
      </c>
      <c r="D388" t="s">
        <v>33</v>
      </c>
      <c r="E388" t="s">
        <v>16</v>
      </c>
      <c r="F388" t="s">
        <v>74</v>
      </c>
      <c r="G388" t="s">
        <v>75</v>
      </c>
      <c r="H388">
        <v>1</v>
      </c>
      <c r="I388" t="s">
        <v>85</v>
      </c>
      <c r="J388" t="s">
        <v>85</v>
      </c>
      <c r="K388">
        <v>410</v>
      </c>
      <c r="L388" t="s">
        <v>30</v>
      </c>
      <c r="M388" t="s">
        <v>22</v>
      </c>
    </row>
    <row r="389" spans="1:13" x14ac:dyDescent="0.35">
      <c r="A389" t="s">
        <v>913</v>
      </c>
      <c r="B389" t="s">
        <v>914</v>
      </c>
      <c r="C389" t="s">
        <v>915</v>
      </c>
      <c r="D389" t="s">
        <v>53</v>
      </c>
      <c r="E389" t="s">
        <v>16</v>
      </c>
      <c r="F389" t="s">
        <v>83</v>
      </c>
      <c r="G389" t="s">
        <v>84</v>
      </c>
      <c r="H389">
        <v>1</v>
      </c>
      <c r="I389" t="s">
        <v>49</v>
      </c>
      <c r="J389" t="s">
        <v>49</v>
      </c>
      <c r="K389" t="s">
        <v>103</v>
      </c>
      <c r="L389" t="s">
        <v>30</v>
      </c>
      <c r="M389" t="s">
        <v>22</v>
      </c>
    </row>
    <row r="390" spans="1:13" x14ac:dyDescent="0.35">
      <c r="A390" t="s">
        <v>916</v>
      </c>
      <c r="B390" s="9">
        <v>46025</v>
      </c>
      <c r="C390" t="s">
        <v>752</v>
      </c>
      <c r="D390" t="s">
        <v>66</v>
      </c>
      <c r="E390" t="s">
        <v>34</v>
      </c>
      <c r="F390" t="s">
        <v>74</v>
      </c>
      <c r="G390" t="s">
        <v>75</v>
      </c>
      <c r="H390">
        <v>1</v>
      </c>
      <c r="I390" t="s">
        <v>132</v>
      </c>
      <c r="J390" t="s">
        <v>132</v>
      </c>
      <c r="K390">
        <v>410</v>
      </c>
      <c r="L390" t="s">
        <v>30</v>
      </c>
      <c r="M390" t="s">
        <v>22</v>
      </c>
    </row>
    <row r="391" spans="1:13" x14ac:dyDescent="0.35">
      <c r="A391" t="s">
        <v>917</v>
      </c>
      <c r="B391" s="9">
        <v>46173</v>
      </c>
      <c r="C391" t="s">
        <v>163</v>
      </c>
      <c r="D391" t="s">
        <v>94</v>
      </c>
      <c r="E391" t="s">
        <v>25</v>
      </c>
      <c r="F391" t="s">
        <v>74</v>
      </c>
      <c r="G391" t="s">
        <v>75</v>
      </c>
      <c r="H391">
        <v>1</v>
      </c>
      <c r="I391" t="s">
        <v>254</v>
      </c>
      <c r="J391" t="s">
        <v>254</v>
      </c>
      <c r="K391" t="s">
        <v>76</v>
      </c>
      <c r="L391" t="s">
        <v>30</v>
      </c>
      <c r="M391" t="s">
        <v>22</v>
      </c>
    </row>
    <row r="392" spans="1:13" x14ac:dyDescent="0.35">
      <c r="A392" t="s">
        <v>918</v>
      </c>
      <c r="B392" s="9">
        <v>46138</v>
      </c>
      <c r="C392" t="s">
        <v>919</v>
      </c>
      <c r="D392" t="s">
        <v>94</v>
      </c>
      <c r="E392" t="s">
        <v>34</v>
      </c>
      <c r="F392" t="s">
        <v>42</v>
      </c>
      <c r="G392" t="s">
        <v>43</v>
      </c>
      <c r="H392">
        <v>1</v>
      </c>
      <c r="I392" t="s">
        <v>758</v>
      </c>
      <c r="J392" t="s">
        <v>49</v>
      </c>
      <c r="K392" t="s">
        <v>111</v>
      </c>
      <c r="L392" t="s">
        <v>30</v>
      </c>
      <c r="M392" t="s">
        <v>22</v>
      </c>
    </row>
    <row r="393" spans="1:13" x14ac:dyDescent="0.35">
      <c r="A393" t="s">
        <v>920</v>
      </c>
      <c r="B393" s="9">
        <v>46031</v>
      </c>
      <c r="C393" t="s">
        <v>921</v>
      </c>
      <c r="D393" t="s">
        <v>61</v>
      </c>
      <c r="E393" t="s">
        <v>67</v>
      </c>
      <c r="F393" t="s">
        <v>89</v>
      </c>
      <c r="G393" t="s">
        <v>90</v>
      </c>
      <c r="H393">
        <v>1</v>
      </c>
      <c r="I393" t="s">
        <v>102</v>
      </c>
      <c r="J393" t="s">
        <v>102</v>
      </c>
      <c r="K393">
        <v>640</v>
      </c>
      <c r="L393" t="s">
        <v>30</v>
      </c>
      <c r="M393" t="s">
        <v>22</v>
      </c>
    </row>
    <row r="394" spans="1:13" x14ac:dyDescent="0.35">
      <c r="A394" t="s">
        <v>922</v>
      </c>
      <c r="B394" s="9">
        <v>46029</v>
      </c>
      <c r="C394" t="s">
        <v>923</v>
      </c>
      <c r="D394" t="s">
        <v>61</v>
      </c>
      <c r="E394" t="s">
        <v>25</v>
      </c>
      <c r="F394" t="s">
        <v>89</v>
      </c>
      <c r="G394" t="s">
        <v>90</v>
      </c>
      <c r="H394">
        <v>3</v>
      </c>
      <c r="I394" t="s">
        <v>85</v>
      </c>
      <c r="J394" t="s">
        <v>86</v>
      </c>
      <c r="K394">
        <v>640</v>
      </c>
      <c r="L394" t="s">
        <v>30</v>
      </c>
      <c r="M394" t="s">
        <v>22</v>
      </c>
    </row>
    <row r="395" spans="1:13" x14ac:dyDescent="0.35">
      <c r="A395" t="s">
        <v>924</v>
      </c>
      <c r="B395" s="9">
        <v>46054</v>
      </c>
      <c r="C395" t="s">
        <v>234</v>
      </c>
      <c r="D395" t="s">
        <v>40</v>
      </c>
      <c r="E395" t="s">
        <v>34</v>
      </c>
      <c r="F395" t="s">
        <v>26</v>
      </c>
      <c r="G395" t="s">
        <v>27</v>
      </c>
      <c r="H395">
        <v>2</v>
      </c>
      <c r="I395" t="s">
        <v>19</v>
      </c>
      <c r="J395" t="s">
        <v>238</v>
      </c>
      <c r="K395">
        <v>520</v>
      </c>
      <c r="L395" t="s">
        <v>30</v>
      </c>
      <c r="M395" t="s">
        <v>22</v>
      </c>
    </row>
    <row r="396" spans="1:13" x14ac:dyDescent="0.35">
      <c r="A396" t="s">
        <v>925</v>
      </c>
      <c r="B396" s="9">
        <v>46054</v>
      </c>
      <c r="C396" t="s">
        <v>545</v>
      </c>
      <c r="D396" t="s">
        <v>116</v>
      </c>
      <c r="E396" t="s">
        <v>16</v>
      </c>
      <c r="F396" t="s">
        <v>35</v>
      </c>
      <c r="G396" t="s">
        <v>36</v>
      </c>
      <c r="H396">
        <v>1</v>
      </c>
      <c r="I396" t="s">
        <v>28</v>
      </c>
      <c r="J396" t="s">
        <v>28</v>
      </c>
      <c r="K396">
        <v>85</v>
      </c>
      <c r="L396" t="s">
        <v>30</v>
      </c>
      <c r="M396" t="s">
        <v>58</v>
      </c>
    </row>
    <row r="397" spans="1:13" x14ac:dyDescent="0.35">
      <c r="A397" t="s">
        <v>926</v>
      </c>
      <c r="B397" s="9">
        <v>46170</v>
      </c>
      <c r="C397" t="s">
        <v>927</v>
      </c>
      <c r="D397" t="s">
        <v>99</v>
      </c>
      <c r="E397" t="s">
        <v>67</v>
      </c>
      <c r="F397" t="s">
        <v>89</v>
      </c>
      <c r="G397" t="s">
        <v>90</v>
      </c>
      <c r="H397">
        <v>1</v>
      </c>
      <c r="I397" t="s">
        <v>19</v>
      </c>
      <c r="J397" t="s">
        <v>19</v>
      </c>
      <c r="K397" t="s">
        <v>108</v>
      </c>
      <c r="L397" t="s">
        <v>30</v>
      </c>
      <c r="M397" t="s">
        <v>22</v>
      </c>
    </row>
    <row r="398" spans="1:13" x14ac:dyDescent="0.35">
      <c r="A398" t="s">
        <v>928</v>
      </c>
      <c r="B398" s="9">
        <v>46150</v>
      </c>
      <c r="C398" t="s">
        <v>929</v>
      </c>
      <c r="D398" t="s">
        <v>99</v>
      </c>
      <c r="E398" t="s">
        <v>16</v>
      </c>
      <c r="F398" t="s">
        <v>42</v>
      </c>
      <c r="G398" t="s">
        <v>43</v>
      </c>
      <c r="H398">
        <v>1</v>
      </c>
      <c r="I398" t="s">
        <v>68</v>
      </c>
      <c r="J398" t="s">
        <v>68</v>
      </c>
      <c r="K398" t="s">
        <v>111</v>
      </c>
      <c r="L398" t="s">
        <v>30</v>
      </c>
      <c r="M398" t="s">
        <v>22</v>
      </c>
    </row>
    <row r="399" spans="1:13" x14ac:dyDescent="0.35">
      <c r="A399" t="s">
        <v>930</v>
      </c>
      <c r="B399" s="9">
        <v>46031</v>
      </c>
      <c r="C399" t="s">
        <v>340</v>
      </c>
      <c r="D399" t="s">
        <v>99</v>
      </c>
      <c r="E399" t="s">
        <v>41</v>
      </c>
      <c r="F399" t="s">
        <v>17</v>
      </c>
      <c r="G399" t="s">
        <v>18</v>
      </c>
      <c r="H399">
        <v>1</v>
      </c>
      <c r="I399" t="s">
        <v>102</v>
      </c>
      <c r="J399" t="s">
        <v>102</v>
      </c>
      <c r="K399">
        <v>520</v>
      </c>
      <c r="L399" t="s">
        <v>30</v>
      </c>
      <c r="M399" t="s">
        <v>22</v>
      </c>
    </row>
    <row r="400" spans="1:13" x14ac:dyDescent="0.35">
      <c r="A400" t="s">
        <v>931</v>
      </c>
      <c r="B400" s="9">
        <v>46155</v>
      </c>
      <c r="C400" t="s">
        <v>280</v>
      </c>
      <c r="D400" t="s">
        <v>40</v>
      </c>
      <c r="E400" t="s">
        <v>25</v>
      </c>
      <c r="F400" t="s">
        <v>74</v>
      </c>
      <c r="G400" t="s">
        <v>75</v>
      </c>
      <c r="H400">
        <v>3</v>
      </c>
      <c r="I400" t="s">
        <v>79</v>
      </c>
      <c r="J400" t="s">
        <v>91</v>
      </c>
      <c r="K400" t="s">
        <v>76</v>
      </c>
      <c r="L400" t="s">
        <v>21</v>
      </c>
      <c r="M400" t="s">
        <v>22</v>
      </c>
    </row>
    <row r="401" spans="1:13" x14ac:dyDescent="0.35">
      <c r="A401" t="s">
        <v>932</v>
      </c>
      <c r="B401" s="9">
        <v>46069</v>
      </c>
      <c r="C401" t="s">
        <v>933</v>
      </c>
      <c r="D401" t="s">
        <v>40</v>
      </c>
      <c r="E401" t="s">
        <v>41</v>
      </c>
      <c r="F401" t="s">
        <v>83</v>
      </c>
      <c r="G401" t="s">
        <v>84</v>
      </c>
      <c r="H401">
        <v>1</v>
      </c>
      <c r="I401" t="s">
        <v>68</v>
      </c>
      <c r="J401" t="s">
        <v>68</v>
      </c>
      <c r="K401">
        <v>340</v>
      </c>
      <c r="L401" t="s">
        <v>30</v>
      </c>
      <c r="M401" t="s">
        <v>22</v>
      </c>
    </row>
    <row r="402" spans="1:13" x14ac:dyDescent="0.35">
      <c r="A402" t="s">
        <v>934</v>
      </c>
      <c r="B402" t="s">
        <v>935</v>
      </c>
      <c r="C402" t="s">
        <v>899</v>
      </c>
      <c r="D402" t="s">
        <v>53</v>
      </c>
      <c r="E402" t="s">
        <v>41</v>
      </c>
      <c r="F402" t="s">
        <v>47</v>
      </c>
      <c r="G402" t="s">
        <v>48</v>
      </c>
      <c r="H402">
        <v>2</v>
      </c>
      <c r="I402" t="s">
        <v>132</v>
      </c>
      <c r="J402" t="s">
        <v>133</v>
      </c>
      <c r="K402">
        <v>380</v>
      </c>
      <c r="L402" t="s">
        <v>30</v>
      </c>
      <c r="M402" t="s">
        <v>22</v>
      </c>
    </row>
    <row r="403" spans="1:13" x14ac:dyDescent="0.35">
      <c r="A403" t="s">
        <v>936</v>
      </c>
      <c r="B403" t="s">
        <v>937</v>
      </c>
      <c r="C403" t="s">
        <v>938</v>
      </c>
      <c r="D403" t="s">
        <v>15</v>
      </c>
      <c r="E403" t="s">
        <v>34</v>
      </c>
      <c r="F403" t="s">
        <v>89</v>
      </c>
      <c r="G403" t="s">
        <v>90</v>
      </c>
      <c r="H403">
        <v>2</v>
      </c>
      <c r="I403" t="s">
        <v>19</v>
      </c>
      <c r="J403" t="s">
        <v>238</v>
      </c>
      <c r="K403" t="s">
        <v>108</v>
      </c>
      <c r="L403" t="s">
        <v>30</v>
      </c>
      <c r="M403" t="s">
        <v>22</v>
      </c>
    </row>
    <row r="404" spans="1:13" x14ac:dyDescent="0.35">
      <c r="A404" t="s">
        <v>939</v>
      </c>
      <c r="B404" s="9">
        <v>46088</v>
      </c>
      <c r="C404" t="s">
        <v>940</v>
      </c>
      <c r="D404" t="s">
        <v>40</v>
      </c>
      <c r="E404" t="s">
        <v>34</v>
      </c>
      <c r="F404" t="s">
        <v>42</v>
      </c>
      <c r="G404" t="s">
        <v>43</v>
      </c>
      <c r="H404">
        <v>1</v>
      </c>
      <c r="I404" t="s">
        <v>28</v>
      </c>
      <c r="J404" t="s">
        <v>28</v>
      </c>
      <c r="K404">
        <v>190</v>
      </c>
      <c r="L404" t="s">
        <v>21</v>
      </c>
      <c r="M404" t="s">
        <v>22</v>
      </c>
    </row>
    <row r="405" spans="1:13" x14ac:dyDescent="0.35">
      <c r="A405" t="s">
        <v>941</v>
      </c>
      <c r="B405" s="9">
        <v>46165</v>
      </c>
      <c r="C405" t="s">
        <v>942</v>
      </c>
      <c r="D405" t="s">
        <v>53</v>
      </c>
      <c r="E405" t="s">
        <v>41</v>
      </c>
      <c r="F405" t="s">
        <v>35</v>
      </c>
      <c r="G405" t="s">
        <v>36</v>
      </c>
      <c r="H405">
        <v>1</v>
      </c>
      <c r="I405" t="s">
        <v>106</v>
      </c>
      <c r="J405" t="s">
        <v>106</v>
      </c>
      <c r="K405" t="s">
        <v>37</v>
      </c>
      <c r="L405" t="s">
        <v>30</v>
      </c>
      <c r="M405" t="s">
        <v>58</v>
      </c>
    </row>
    <row r="406" spans="1:13" x14ac:dyDescent="0.35">
      <c r="A406" t="s">
        <v>943</v>
      </c>
      <c r="B406" s="9">
        <v>46124</v>
      </c>
      <c r="C406" t="s">
        <v>944</v>
      </c>
      <c r="D406" t="s">
        <v>40</v>
      </c>
      <c r="E406" t="s">
        <v>67</v>
      </c>
      <c r="F406" t="s">
        <v>26</v>
      </c>
      <c r="G406" t="s">
        <v>27</v>
      </c>
      <c r="H406">
        <v>2</v>
      </c>
      <c r="I406" t="s">
        <v>56</v>
      </c>
      <c r="J406" t="s">
        <v>945</v>
      </c>
      <c r="K406">
        <v>520</v>
      </c>
      <c r="L406" t="s">
        <v>30</v>
      </c>
      <c r="M406" t="s">
        <v>22</v>
      </c>
    </row>
    <row r="407" spans="1:13" x14ac:dyDescent="0.35">
      <c r="A407" t="s">
        <v>946</v>
      </c>
      <c r="B407" s="9">
        <v>46053</v>
      </c>
      <c r="C407" t="s">
        <v>947</v>
      </c>
      <c r="D407" t="s">
        <v>66</v>
      </c>
      <c r="E407" t="s">
        <v>16</v>
      </c>
      <c r="F407" t="s">
        <v>42</v>
      </c>
      <c r="G407" t="s">
        <v>43</v>
      </c>
      <c r="H407">
        <v>2</v>
      </c>
      <c r="I407" t="s">
        <v>132</v>
      </c>
      <c r="J407" t="s">
        <v>133</v>
      </c>
      <c r="K407">
        <v>190</v>
      </c>
      <c r="L407" t="s">
        <v>21</v>
      </c>
      <c r="M407" t="s">
        <v>22</v>
      </c>
    </row>
    <row r="408" spans="1:13" x14ac:dyDescent="0.35">
      <c r="A408" t="s">
        <v>948</v>
      </c>
      <c r="B408" t="s">
        <v>949</v>
      </c>
      <c r="C408" t="s">
        <v>950</v>
      </c>
      <c r="D408" t="s">
        <v>66</v>
      </c>
      <c r="E408" t="s">
        <v>67</v>
      </c>
      <c r="F408" t="s">
        <v>83</v>
      </c>
      <c r="G408" t="s">
        <v>84</v>
      </c>
      <c r="H408">
        <v>1</v>
      </c>
      <c r="I408" t="s">
        <v>68</v>
      </c>
      <c r="J408" t="s">
        <v>68</v>
      </c>
      <c r="K408" t="s">
        <v>103</v>
      </c>
      <c r="L408" t="s">
        <v>21</v>
      </c>
      <c r="M408" t="s">
        <v>58</v>
      </c>
    </row>
    <row r="409" spans="1:13" x14ac:dyDescent="0.35">
      <c r="A409" t="s">
        <v>951</v>
      </c>
      <c r="B409" s="9">
        <v>46059</v>
      </c>
      <c r="C409" t="s">
        <v>952</v>
      </c>
      <c r="D409" t="s">
        <v>99</v>
      </c>
      <c r="E409" t="s">
        <v>34</v>
      </c>
      <c r="F409" t="s">
        <v>83</v>
      </c>
      <c r="G409" t="s">
        <v>84</v>
      </c>
      <c r="H409">
        <v>1</v>
      </c>
      <c r="I409" t="s">
        <v>19</v>
      </c>
      <c r="J409" t="s">
        <v>19</v>
      </c>
      <c r="K409">
        <v>340</v>
      </c>
      <c r="L409" t="s">
        <v>21</v>
      </c>
      <c r="M409" t="s">
        <v>22</v>
      </c>
    </row>
    <row r="410" spans="1:13" x14ac:dyDescent="0.35">
      <c r="A410" t="s">
        <v>953</v>
      </c>
      <c r="B410" s="9">
        <v>46167</v>
      </c>
      <c r="C410" t="s">
        <v>828</v>
      </c>
      <c r="D410" t="s">
        <v>61</v>
      </c>
      <c r="E410" t="s">
        <v>41</v>
      </c>
      <c r="F410" t="s">
        <v>26</v>
      </c>
      <c r="G410" t="s">
        <v>27</v>
      </c>
      <c r="H410">
        <v>2</v>
      </c>
      <c r="I410" t="s">
        <v>132</v>
      </c>
      <c r="J410" t="s">
        <v>133</v>
      </c>
      <c r="K410" t="s">
        <v>29</v>
      </c>
      <c r="L410" t="s">
        <v>30</v>
      </c>
      <c r="M410" t="s">
        <v>22</v>
      </c>
    </row>
    <row r="411" spans="1:13" x14ac:dyDescent="0.35">
      <c r="A411" t="s">
        <v>954</v>
      </c>
      <c r="B411" s="9">
        <v>46120</v>
      </c>
      <c r="C411" t="s">
        <v>113</v>
      </c>
      <c r="D411" t="s">
        <v>99</v>
      </c>
      <c r="E411" t="s">
        <v>34</v>
      </c>
      <c r="F411" t="s">
        <v>26</v>
      </c>
      <c r="G411" t="s">
        <v>27</v>
      </c>
      <c r="H411">
        <v>1</v>
      </c>
      <c r="I411" t="s">
        <v>132</v>
      </c>
      <c r="J411" t="s">
        <v>132</v>
      </c>
      <c r="K411">
        <v>520</v>
      </c>
      <c r="L411" t="s">
        <v>30</v>
      </c>
      <c r="M411" t="s">
        <v>22</v>
      </c>
    </row>
    <row r="412" spans="1:13" x14ac:dyDescent="0.35">
      <c r="A412" t="s">
        <v>955</v>
      </c>
      <c r="B412" t="s">
        <v>949</v>
      </c>
      <c r="C412" t="s">
        <v>956</v>
      </c>
      <c r="D412" t="s">
        <v>53</v>
      </c>
      <c r="E412" t="s">
        <v>41</v>
      </c>
      <c r="F412" t="s">
        <v>42</v>
      </c>
      <c r="G412" t="s">
        <v>43</v>
      </c>
      <c r="H412">
        <v>2</v>
      </c>
      <c r="I412" t="s">
        <v>49</v>
      </c>
      <c r="J412" t="s">
        <v>178</v>
      </c>
      <c r="K412" t="s">
        <v>111</v>
      </c>
      <c r="L412" t="s">
        <v>30</v>
      </c>
      <c r="M412" t="s">
        <v>22</v>
      </c>
    </row>
    <row r="413" spans="1:13" x14ac:dyDescent="0.35">
      <c r="A413" t="s">
        <v>957</v>
      </c>
      <c r="B413" s="9">
        <v>46142</v>
      </c>
      <c r="C413" t="s">
        <v>55</v>
      </c>
      <c r="D413" t="s">
        <v>33</v>
      </c>
      <c r="E413" t="s">
        <v>25</v>
      </c>
      <c r="F413" t="s">
        <v>74</v>
      </c>
      <c r="G413" t="s">
        <v>75</v>
      </c>
      <c r="H413">
        <v>2</v>
      </c>
      <c r="I413" t="s">
        <v>71</v>
      </c>
      <c r="J413" t="s">
        <v>286</v>
      </c>
      <c r="K413" t="s">
        <v>76</v>
      </c>
      <c r="L413" t="s">
        <v>30</v>
      </c>
      <c r="M413" t="s">
        <v>22</v>
      </c>
    </row>
    <row r="414" spans="1:13" x14ac:dyDescent="0.35">
      <c r="A414" t="s">
        <v>958</v>
      </c>
      <c r="B414" s="9">
        <v>46091</v>
      </c>
      <c r="C414" t="s">
        <v>959</v>
      </c>
      <c r="D414" t="s">
        <v>46</v>
      </c>
      <c r="E414" t="s">
        <v>41</v>
      </c>
      <c r="F414" t="s">
        <v>83</v>
      </c>
      <c r="G414" t="s">
        <v>84</v>
      </c>
      <c r="H414">
        <v>1</v>
      </c>
      <c r="I414" t="s">
        <v>170</v>
      </c>
      <c r="J414" t="s">
        <v>170</v>
      </c>
      <c r="K414">
        <v>340</v>
      </c>
      <c r="L414" t="s">
        <v>21</v>
      </c>
      <c r="M414" t="s">
        <v>22</v>
      </c>
    </row>
    <row r="415" spans="1:13" x14ac:dyDescent="0.35">
      <c r="A415" t="s">
        <v>960</v>
      </c>
      <c r="B415" s="9">
        <v>46196</v>
      </c>
      <c r="C415" t="s">
        <v>961</v>
      </c>
      <c r="D415" t="s">
        <v>116</v>
      </c>
      <c r="E415" t="s">
        <v>67</v>
      </c>
      <c r="F415" t="s">
        <v>89</v>
      </c>
      <c r="G415" t="s">
        <v>90</v>
      </c>
      <c r="H415">
        <v>1</v>
      </c>
      <c r="I415" t="s">
        <v>62</v>
      </c>
      <c r="J415" t="s">
        <v>62</v>
      </c>
      <c r="K415" t="s">
        <v>108</v>
      </c>
      <c r="L415" t="s">
        <v>30</v>
      </c>
      <c r="M415" t="s">
        <v>22</v>
      </c>
    </row>
    <row r="416" spans="1:13" x14ac:dyDescent="0.35">
      <c r="A416" t="s">
        <v>962</v>
      </c>
      <c r="B416" s="9">
        <v>46081</v>
      </c>
      <c r="C416" t="s">
        <v>537</v>
      </c>
      <c r="D416" t="s">
        <v>15</v>
      </c>
      <c r="E416" t="s">
        <v>41</v>
      </c>
      <c r="F416" t="s">
        <v>83</v>
      </c>
      <c r="G416" t="s">
        <v>84</v>
      </c>
      <c r="H416">
        <v>1</v>
      </c>
      <c r="I416" t="s">
        <v>656</v>
      </c>
      <c r="J416" t="s">
        <v>28</v>
      </c>
      <c r="K416">
        <v>340</v>
      </c>
      <c r="L416" t="s">
        <v>30</v>
      </c>
      <c r="M416" t="s">
        <v>22</v>
      </c>
    </row>
    <row r="417" spans="1:13" x14ac:dyDescent="0.35">
      <c r="A417" t="s">
        <v>963</v>
      </c>
      <c r="B417" s="9">
        <v>46191</v>
      </c>
      <c r="C417" t="s">
        <v>964</v>
      </c>
      <c r="D417" t="s">
        <v>46</v>
      </c>
      <c r="E417" t="s">
        <v>16</v>
      </c>
      <c r="F417" t="s">
        <v>35</v>
      </c>
      <c r="G417" t="s">
        <v>36</v>
      </c>
      <c r="H417">
        <v>-2</v>
      </c>
      <c r="I417" t="s">
        <v>71</v>
      </c>
      <c r="J417" t="s">
        <v>605</v>
      </c>
      <c r="K417" t="s">
        <v>37</v>
      </c>
      <c r="L417" t="s">
        <v>30</v>
      </c>
      <c r="M417" t="s">
        <v>22</v>
      </c>
    </row>
    <row r="418" spans="1:13" x14ac:dyDescent="0.35">
      <c r="A418" t="s">
        <v>965</v>
      </c>
      <c r="B418" s="9">
        <v>46116</v>
      </c>
      <c r="C418" t="s">
        <v>966</v>
      </c>
      <c r="D418" t="s">
        <v>99</v>
      </c>
      <c r="E418" t="s">
        <v>25</v>
      </c>
      <c r="F418" t="s">
        <v>89</v>
      </c>
      <c r="G418" t="s">
        <v>90</v>
      </c>
      <c r="H418">
        <v>1</v>
      </c>
      <c r="I418" t="s">
        <v>102</v>
      </c>
      <c r="J418" t="s">
        <v>102</v>
      </c>
      <c r="K418">
        <v>640</v>
      </c>
      <c r="L418" t="s">
        <v>30</v>
      </c>
      <c r="M418" t="s">
        <v>22</v>
      </c>
    </row>
    <row r="419" spans="1:13" x14ac:dyDescent="0.35">
      <c r="A419" t="s">
        <v>967</v>
      </c>
      <c r="B419" s="9">
        <v>46136</v>
      </c>
      <c r="C419" t="s">
        <v>968</v>
      </c>
      <c r="D419" t="s">
        <v>53</v>
      </c>
      <c r="E419" t="s">
        <v>67</v>
      </c>
      <c r="F419" t="s">
        <v>47</v>
      </c>
      <c r="G419" t="s">
        <v>48</v>
      </c>
      <c r="H419">
        <v>2</v>
      </c>
      <c r="I419" t="s">
        <v>19</v>
      </c>
      <c r="J419" t="s">
        <v>238</v>
      </c>
      <c r="K419" t="s">
        <v>50</v>
      </c>
      <c r="L419" t="s">
        <v>30</v>
      </c>
      <c r="M419" t="s">
        <v>22</v>
      </c>
    </row>
    <row r="420" spans="1:13" x14ac:dyDescent="0.35">
      <c r="A420" t="s">
        <v>969</v>
      </c>
      <c r="B420" s="9">
        <v>46147</v>
      </c>
      <c r="C420" t="s">
        <v>219</v>
      </c>
      <c r="D420" t="s">
        <v>66</v>
      </c>
      <c r="E420" t="s">
        <v>25</v>
      </c>
      <c r="F420" t="s">
        <v>26</v>
      </c>
      <c r="G420" t="s">
        <v>27</v>
      </c>
      <c r="H420">
        <v>1</v>
      </c>
      <c r="I420" t="s">
        <v>19</v>
      </c>
      <c r="J420" t="s">
        <v>19</v>
      </c>
      <c r="K420" t="s">
        <v>29</v>
      </c>
      <c r="L420" t="s">
        <v>30</v>
      </c>
      <c r="M420" t="s">
        <v>22</v>
      </c>
    </row>
    <row r="421" spans="1:13" x14ac:dyDescent="0.35">
      <c r="A421" t="s">
        <v>970</v>
      </c>
      <c r="B421" s="9">
        <v>46091</v>
      </c>
      <c r="C421" t="s">
        <v>971</v>
      </c>
      <c r="D421" t="s">
        <v>116</v>
      </c>
      <c r="E421" t="s">
        <v>41</v>
      </c>
      <c r="F421" t="s">
        <v>89</v>
      </c>
      <c r="G421" t="s">
        <v>90</v>
      </c>
      <c r="H421">
        <v>1</v>
      </c>
      <c r="I421" t="s">
        <v>19</v>
      </c>
      <c r="J421" t="s">
        <v>19</v>
      </c>
      <c r="K421">
        <v>640</v>
      </c>
      <c r="L421" t="s">
        <v>30</v>
      </c>
      <c r="M421" t="s">
        <v>22</v>
      </c>
    </row>
    <row r="422" spans="1:13" x14ac:dyDescent="0.35">
      <c r="A422" t="s">
        <v>972</v>
      </c>
      <c r="B422" s="9">
        <v>46067</v>
      </c>
      <c r="C422" t="s">
        <v>340</v>
      </c>
      <c r="D422" t="s">
        <v>66</v>
      </c>
      <c r="E422" t="s">
        <v>67</v>
      </c>
      <c r="F422" t="s">
        <v>35</v>
      </c>
      <c r="G422" t="s">
        <v>36</v>
      </c>
      <c r="H422">
        <v>3</v>
      </c>
      <c r="I422" t="s">
        <v>56</v>
      </c>
      <c r="J422" t="s">
        <v>57</v>
      </c>
      <c r="K422">
        <v>85</v>
      </c>
      <c r="L422" t="s">
        <v>21</v>
      </c>
      <c r="M422" t="s">
        <v>22</v>
      </c>
    </row>
    <row r="423" spans="1:13" x14ac:dyDescent="0.35">
      <c r="A423" t="s">
        <v>973</v>
      </c>
      <c r="B423" s="9">
        <v>46168</v>
      </c>
      <c r="C423" t="s">
        <v>441</v>
      </c>
      <c r="D423" t="s">
        <v>66</v>
      </c>
      <c r="E423" t="s">
        <v>25</v>
      </c>
      <c r="F423" t="s">
        <v>47</v>
      </c>
      <c r="G423" t="s">
        <v>48</v>
      </c>
      <c r="H423">
        <v>1</v>
      </c>
      <c r="I423" t="s">
        <v>71</v>
      </c>
      <c r="J423" t="s">
        <v>71</v>
      </c>
      <c r="K423" t="s">
        <v>50</v>
      </c>
      <c r="L423" t="s">
        <v>30</v>
      </c>
      <c r="M423" t="s">
        <v>22</v>
      </c>
    </row>
    <row r="424" spans="1:13" x14ac:dyDescent="0.35">
      <c r="A424" t="s">
        <v>974</v>
      </c>
      <c r="B424" s="9">
        <v>46074</v>
      </c>
      <c r="C424" t="s">
        <v>975</v>
      </c>
      <c r="D424" t="s">
        <v>33</v>
      </c>
      <c r="E424" t="s">
        <v>67</v>
      </c>
      <c r="F424" t="s">
        <v>42</v>
      </c>
      <c r="G424" t="s">
        <v>43</v>
      </c>
      <c r="H424">
        <v>2</v>
      </c>
      <c r="I424" t="s">
        <v>136</v>
      </c>
      <c r="J424" t="s">
        <v>164</v>
      </c>
      <c r="K424">
        <v>190</v>
      </c>
      <c r="L424" t="s">
        <v>30</v>
      </c>
      <c r="M424" t="s">
        <v>22</v>
      </c>
    </row>
    <row r="425" spans="1:13" x14ac:dyDescent="0.35">
      <c r="A425" t="s">
        <v>976</v>
      </c>
      <c r="B425" s="9">
        <v>46179</v>
      </c>
      <c r="C425" t="s">
        <v>977</v>
      </c>
      <c r="D425" t="s">
        <v>33</v>
      </c>
      <c r="E425" t="s">
        <v>34</v>
      </c>
      <c r="F425" t="s">
        <v>74</v>
      </c>
      <c r="G425" t="s">
        <v>75</v>
      </c>
      <c r="H425">
        <v>1</v>
      </c>
      <c r="I425" t="s">
        <v>254</v>
      </c>
      <c r="J425" t="s">
        <v>254</v>
      </c>
      <c r="K425" t="s">
        <v>76</v>
      </c>
      <c r="L425" t="s">
        <v>30</v>
      </c>
      <c r="M425" t="s">
        <v>58</v>
      </c>
    </row>
    <row r="426" spans="1:13" x14ac:dyDescent="0.35">
      <c r="A426" t="s">
        <v>978</v>
      </c>
      <c r="B426" s="9">
        <v>46268</v>
      </c>
      <c r="C426" t="s">
        <v>979</v>
      </c>
      <c r="D426" t="s">
        <v>116</v>
      </c>
      <c r="E426" t="s">
        <v>25</v>
      </c>
      <c r="F426" t="s">
        <v>26</v>
      </c>
      <c r="G426" t="s">
        <v>27</v>
      </c>
      <c r="H426">
        <v>2</v>
      </c>
      <c r="I426" t="s">
        <v>79</v>
      </c>
      <c r="J426" t="s">
        <v>143</v>
      </c>
      <c r="K426">
        <v>520</v>
      </c>
      <c r="L426" t="s">
        <v>21</v>
      </c>
      <c r="M426" t="s">
        <v>22</v>
      </c>
    </row>
    <row r="427" spans="1:13" x14ac:dyDescent="0.35">
      <c r="A427" t="s">
        <v>980</v>
      </c>
      <c r="B427" s="9">
        <v>46134</v>
      </c>
      <c r="C427" t="s">
        <v>981</v>
      </c>
      <c r="D427" t="s">
        <v>99</v>
      </c>
      <c r="E427" t="s">
        <v>34</v>
      </c>
      <c r="F427" t="s">
        <v>17</v>
      </c>
      <c r="G427" t="s">
        <v>18</v>
      </c>
      <c r="H427">
        <v>1</v>
      </c>
      <c r="I427" t="s">
        <v>106</v>
      </c>
      <c r="J427" t="s">
        <v>106</v>
      </c>
      <c r="K427" t="s">
        <v>29</v>
      </c>
      <c r="L427" t="s">
        <v>21</v>
      </c>
      <c r="M427" t="s">
        <v>22</v>
      </c>
    </row>
    <row r="428" spans="1:13" x14ac:dyDescent="0.35">
      <c r="A428" t="s">
        <v>982</v>
      </c>
      <c r="B428" s="9">
        <v>46101</v>
      </c>
      <c r="C428" t="s">
        <v>983</v>
      </c>
      <c r="D428" t="s">
        <v>53</v>
      </c>
      <c r="E428" t="s">
        <v>34</v>
      </c>
      <c r="F428" t="s">
        <v>83</v>
      </c>
      <c r="G428" t="s">
        <v>84</v>
      </c>
      <c r="H428">
        <v>2</v>
      </c>
      <c r="I428" t="s">
        <v>254</v>
      </c>
      <c r="J428" t="s">
        <v>156</v>
      </c>
      <c r="K428">
        <v>340</v>
      </c>
      <c r="L428" t="s">
        <v>30</v>
      </c>
      <c r="M428" t="s">
        <v>22</v>
      </c>
    </row>
    <row r="429" spans="1:13" x14ac:dyDescent="0.35">
      <c r="A429" t="s">
        <v>984</v>
      </c>
      <c r="B429" s="9">
        <v>46182</v>
      </c>
      <c r="C429" t="s">
        <v>985</v>
      </c>
      <c r="D429" t="s">
        <v>53</v>
      </c>
      <c r="E429" t="s">
        <v>25</v>
      </c>
      <c r="F429" t="s">
        <v>83</v>
      </c>
      <c r="G429" t="s">
        <v>84</v>
      </c>
      <c r="H429">
        <v>2</v>
      </c>
      <c r="I429" t="s">
        <v>56</v>
      </c>
      <c r="J429" t="s">
        <v>193</v>
      </c>
      <c r="K429" t="s">
        <v>103</v>
      </c>
      <c r="L429" t="s">
        <v>30</v>
      </c>
      <c r="M429" t="s">
        <v>58</v>
      </c>
    </row>
    <row r="430" spans="1:13" x14ac:dyDescent="0.35">
      <c r="A430" t="s">
        <v>986</v>
      </c>
      <c r="B430" s="9">
        <v>46158</v>
      </c>
      <c r="C430" t="s">
        <v>987</v>
      </c>
      <c r="D430" t="s">
        <v>66</v>
      </c>
      <c r="E430" t="s">
        <v>16</v>
      </c>
      <c r="F430" t="s">
        <v>83</v>
      </c>
      <c r="G430" t="s">
        <v>84</v>
      </c>
      <c r="H430">
        <v>1</v>
      </c>
      <c r="I430" t="s">
        <v>254</v>
      </c>
      <c r="J430" t="s">
        <v>254</v>
      </c>
      <c r="K430" t="s">
        <v>103</v>
      </c>
      <c r="L430" t="s">
        <v>30</v>
      </c>
      <c r="M430" t="s">
        <v>22</v>
      </c>
    </row>
    <row r="431" spans="1:13" x14ac:dyDescent="0.35">
      <c r="A431" t="s">
        <v>988</v>
      </c>
      <c r="B431" t="s">
        <v>989</v>
      </c>
      <c r="C431" t="s">
        <v>990</v>
      </c>
      <c r="D431" t="s">
        <v>33</v>
      </c>
      <c r="E431" t="s">
        <v>16</v>
      </c>
      <c r="F431" t="s">
        <v>89</v>
      </c>
      <c r="G431" t="s">
        <v>90</v>
      </c>
      <c r="H431">
        <v>1</v>
      </c>
      <c r="I431" t="s">
        <v>132</v>
      </c>
      <c r="J431" t="s">
        <v>132</v>
      </c>
      <c r="K431" t="s">
        <v>108</v>
      </c>
      <c r="L431" t="s">
        <v>30</v>
      </c>
      <c r="M431" t="s">
        <v>22</v>
      </c>
    </row>
    <row r="432" spans="1:13" x14ac:dyDescent="0.35">
      <c r="A432" t="s">
        <v>991</v>
      </c>
      <c r="B432" s="9">
        <v>46088</v>
      </c>
      <c r="C432" t="s">
        <v>992</v>
      </c>
      <c r="D432" t="s">
        <v>61</v>
      </c>
      <c r="E432" t="s">
        <v>41</v>
      </c>
      <c r="F432" t="s">
        <v>17</v>
      </c>
      <c r="G432" t="s">
        <v>18</v>
      </c>
      <c r="H432">
        <v>3</v>
      </c>
      <c r="I432" t="s">
        <v>993</v>
      </c>
      <c r="J432" t="s">
        <v>390</v>
      </c>
      <c r="K432">
        <v>520</v>
      </c>
      <c r="L432" t="s">
        <v>30</v>
      </c>
      <c r="M432" t="s">
        <v>22</v>
      </c>
    </row>
    <row r="433" spans="1:13" x14ac:dyDescent="0.35">
      <c r="A433" t="s">
        <v>994</v>
      </c>
      <c r="B433" s="9">
        <v>46117</v>
      </c>
      <c r="C433" t="s">
        <v>783</v>
      </c>
      <c r="D433" t="s">
        <v>99</v>
      </c>
      <c r="E433" t="s">
        <v>25</v>
      </c>
      <c r="F433" t="s">
        <v>26</v>
      </c>
      <c r="G433" t="s">
        <v>27</v>
      </c>
      <c r="H433">
        <v>1</v>
      </c>
      <c r="I433" t="s">
        <v>62</v>
      </c>
      <c r="J433" t="s">
        <v>62</v>
      </c>
      <c r="K433">
        <v>520</v>
      </c>
      <c r="L433" t="s">
        <v>30</v>
      </c>
      <c r="M433" t="s">
        <v>58</v>
      </c>
    </row>
    <row r="434" spans="1:13" x14ac:dyDescent="0.35">
      <c r="A434" t="s">
        <v>995</v>
      </c>
      <c r="B434" s="9">
        <v>46130</v>
      </c>
      <c r="C434" t="s">
        <v>996</v>
      </c>
      <c r="D434" t="s">
        <v>15</v>
      </c>
      <c r="E434" t="s">
        <v>25</v>
      </c>
      <c r="F434" t="s">
        <v>47</v>
      </c>
      <c r="G434" t="s">
        <v>48</v>
      </c>
      <c r="H434">
        <v>2</v>
      </c>
      <c r="I434" t="s">
        <v>79</v>
      </c>
      <c r="J434" t="s">
        <v>143</v>
      </c>
      <c r="K434">
        <v>380</v>
      </c>
      <c r="L434" t="s">
        <v>21</v>
      </c>
      <c r="M434" t="s">
        <v>22</v>
      </c>
    </row>
    <row r="435" spans="1:13" x14ac:dyDescent="0.35">
      <c r="A435" t="s">
        <v>997</v>
      </c>
      <c r="B435" t="s">
        <v>998</v>
      </c>
      <c r="C435" t="s">
        <v>696</v>
      </c>
      <c r="D435" t="s">
        <v>15</v>
      </c>
      <c r="E435" t="s">
        <v>67</v>
      </c>
      <c r="F435" t="s">
        <v>89</v>
      </c>
      <c r="G435" t="s">
        <v>90</v>
      </c>
      <c r="H435">
        <v>1</v>
      </c>
      <c r="I435" t="s">
        <v>500</v>
      </c>
      <c r="J435" t="s">
        <v>220</v>
      </c>
      <c r="K435">
        <v>640</v>
      </c>
      <c r="L435" t="s">
        <v>30</v>
      </c>
      <c r="M435" t="s">
        <v>22</v>
      </c>
    </row>
    <row r="436" spans="1:13" x14ac:dyDescent="0.35">
      <c r="A436" t="s">
        <v>999</v>
      </c>
      <c r="B436" t="s">
        <v>290</v>
      </c>
      <c r="C436" t="s">
        <v>1000</v>
      </c>
      <c r="D436" t="s">
        <v>53</v>
      </c>
      <c r="E436" t="s">
        <v>34</v>
      </c>
      <c r="F436" t="s">
        <v>17</v>
      </c>
      <c r="G436" t="s">
        <v>18</v>
      </c>
      <c r="H436">
        <v>3</v>
      </c>
      <c r="I436" t="s">
        <v>608</v>
      </c>
      <c r="J436" t="s">
        <v>232</v>
      </c>
      <c r="K436">
        <v>520</v>
      </c>
      <c r="L436" t="s">
        <v>30</v>
      </c>
      <c r="M436" t="s">
        <v>22</v>
      </c>
    </row>
    <row r="437" spans="1:13" x14ac:dyDescent="0.35">
      <c r="A437" t="s">
        <v>1001</v>
      </c>
      <c r="B437" s="9">
        <v>46200</v>
      </c>
      <c r="C437" t="s">
        <v>214</v>
      </c>
      <c r="D437" t="s">
        <v>53</v>
      </c>
      <c r="E437" t="s">
        <v>34</v>
      </c>
      <c r="F437" t="s">
        <v>89</v>
      </c>
      <c r="G437" t="s">
        <v>90</v>
      </c>
      <c r="H437">
        <v>3</v>
      </c>
      <c r="I437" t="s">
        <v>1002</v>
      </c>
      <c r="J437" t="s">
        <v>91</v>
      </c>
      <c r="K437" t="s">
        <v>108</v>
      </c>
      <c r="L437" t="s">
        <v>30</v>
      </c>
      <c r="M437" t="s">
        <v>22</v>
      </c>
    </row>
    <row r="438" spans="1:13" x14ac:dyDescent="0.35">
      <c r="A438" t="s">
        <v>1003</v>
      </c>
      <c r="B438" s="9">
        <v>46056</v>
      </c>
      <c r="C438" t="s">
        <v>1004</v>
      </c>
      <c r="D438" t="s">
        <v>15</v>
      </c>
      <c r="E438" t="s">
        <v>67</v>
      </c>
      <c r="F438" t="s">
        <v>17</v>
      </c>
      <c r="G438" t="s">
        <v>18</v>
      </c>
      <c r="H438">
        <v>3</v>
      </c>
      <c r="I438" t="s">
        <v>62</v>
      </c>
      <c r="J438" t="s">
        <v>488</v>
      </c>
      <c r="K438">
        <v>520</v>
      </c>
      <c r="L438" t="s">
        <v>30</v>
      </c>
      <c r="M438" t="s">
        <v>58</v>
      </c>
    </row>
    <row r="439" spans="1:13" x14ac:dyDescent="0.35">
      <c r="A439" t="s">
        <v>1005</v>
      </c>
      <c r="B439" s="9">
        <v>46116</v>
      </c>
      <c r="C439" t="s">
        <v>1006</v>
      </c>
      <c r="D439" t="s">
        <v>40</v>
      </c>
      <c r="E439" t="s">
        <v>41</v>
      </c>
      <c r="F439" t="s">
        <v>47</v>
      </c>
      <c r="G439" t="s">
        <v>48</v>
      </c>
      <c r="H439">
        <v>1</v>
      </c>
      <c r="I439" t="s">
        <v>71</v>
      </c>
      <c r="J439" t="s">
        <v>71</v>
      </c>
      <c r="K439">
        <v>380</v>
      </c>
      <c r="L439" t="s">
        <v>21</v>
      </c>
      <c r="M439" t="s">
        <v>22</v>
      </c>
    </row>
    <row r="440" spans="1:13" x14ac:dyDescent="0.35">
      <c r="A440" t="s">
        <v>1007</v>
      </c>
      <c r="B440" s="9">
        <v>46072</v>
      </c>
      <c r="C440" t="s">
        <v>1008</v>
      </c>
      <c r="D440" t="s">
        <v>15</v>
      </c>
      <c r="E440" t="s">
        <v>67</v>
      </c>
      <c r="F440" t="s">
        <v>17</v>
      </c>
      <c r="G440" t="s">
        <v>18</v>
      </c>
      <c r="H440">
        <v>2</v>
      </c>
      <c r="I440" t="s">
        <v>19</v>
      </c>
      <c r="J440" t="s">
        <v>238</v>
      </c>
      <c r="K440">
        <v>520</v>
      </c>
      <c r="L440" t="s">
        <v>30</v>
      </c>
      <c r="M440" t="s">
        <v>58</v>
      </c>
    </row>
    <row r="441" spans="1:13" x14ac:dyDescent="0.35">
      <c r="A441" t="s">
        <v>1009</v>
      </c>
      <c r="B441" s="9">
        <v>46175</v>
      </c>
      <c r="C441" t="s">
        <v>1010</v>
      </c>
      <c r="D441" t="s">
        <v>53</v>
      </c>
      <c r="E441" t="s">
        <v>41</v>
      </c>
      <c r="F441" t="s">
        <v>89</v>
      </c>
      <c r="G441" t="s">
        <v>90</v>
      </c>
      <c r="H441">
        <v>3</v>
      </c>
      <c r="I441" t="s">
        <v>132</v>
      </c>
      <c r="J441" t="s">
        <v>232</v>
      </c>
      <c r="K441" t="s">
        <v>108</v>
      </c>
      <c r="L441" t="s">
        <v>30</v>
      </c>
      <c r="M441" t="s">
        <v>22</v>
      </c>
    </row>
    <row r="442" spans="1:13" x14ac:dyDescent="0.35">
      <c r="A442" t="s">
        <v>1011</v>
      </c>
      <c r="B442" s="9">
        <v>46122</v>
      </c>
      <c r="C442" t="s">
        <v>545</v>
      </c>
      <c r="D442" t="s">
        <v>116</v>
      </c>
      <c r="E442" t="s">
        <v>67</v>
      </c>
      <c r="F442" t="s">
        <v>17</v>
      </c>
      <c r="G442" t="s">
        <v>18</v>
      </c>
      <c r="H442">
        <v>3</v>
      </c>
      <c r="I442" t="s">
        <v>62</v>
      </c>
      <c r="J442" t="s">
        <v>488</v>
      </c>
      <c r="K442">
        <v>520</v>
      </c>
      <c r="L442" t="s">
        <v>30</v>
      </c>
      <c r="M442" t="s">
        <v>58</v>
      </c>
    </row>
    <row r="443" spans="1:13" x14ac:dyDescent="0.35">
      <c r="A443" t="s">
        <v>1012</v>
      </c>
      <c r="B443" s="9">
        <v>46207</v>
      </c>
      <c r="C443" t="s">
        <v>1013</v>
      </c>
      <c r="D443" t="s">
        <v>33</v>
      </c>
      <c r="E443" t="s">
        <v>41</v>
      </c>
      <c r="F443" t="s">
        <v>35</v>
      </c>
      <c r="G443" t="s">
        <v>36</v>
      </c>
      <c r="H443">
        <v>1</v>
      </c>
      <c r="I443" t="s">
        <v>68</v>
      </c>
      <c r="J443" t="s">
        <v>68</v>
      </c>
      <c r="K443" t="s">
        <v>37</v>
      </c>
      <c r="L443" t="s">
        <v>30</v>
      </c>
      <c r="M443" t="s">
        <v>58</v>
      </c>
    </row>
    <row r="444" spans="1:13" x14ac:dyDescent="0.35">
      <c r="A444" t="s">
        <v>1014</v>
      </c>
      <c r="B444" s="9">
        <v>46061</v>
      </c>
      <c r="C444" t="s">
        <v>208</v>
      </c>
      <c r="D444" t="s">
        <v>116</v>
      </c>
      <c r="E444" t="s">
        <v>25</v>
      </c>
      <c r="F444" t="s">
        <v>89</v>
      </c>
      <c r="G444" t="s">
        <v>90</v>
      </c>
      <c r="H444">
        <v>1</v>
      </c>
      <c r="I444" t="s">
        <v>220</v>
      </c>
      <c r="J444" t="s">
        <v>220</v>
      </c>
      <c r="K444">
        <v>640</v>
      </c>
      <c r="L444" t="s">
        <v>30</v>
      </c>
      <c r="M444" t="s">
        <v>22</v>
      </c>
    </row>
    <row r="445" spans="1:13" x14ac:dyDescent="0.35">
      <c r="A445" t="s">
        <v>1015</v>
      </c>
      <c r="B445" s="9">
        <v>46207</v>
      </c>
      <c r="C445" t="s">
        <v>1016</v>
      </c>
      <c r="D445" t="s">
        <v>99</v>
      </c>
      <c r="E445" t="s">
        <v>41</v>
      </c>
      <c r="F445" t="s">
        <v>83</v>
      </c>
      <c r="G445" t="s">
        <v>84</v>
      </c>
      <c r="H445">
        <v>2</v>
      </c>
      <c r="I445" t="s">
        <v>220</v>
      </c>
      <c r="J445" t="s">
        <v>221</v>
      </c>
      <c r="K445" t="s">
        <v>103</v>
      </c>
      <c r="L445" t="s">
        <v>30</v>
      </c>
      <c r="M445" t="s">
        <v>22</v>
      </c>
    </row>
    <row r="446" spans="1:13" x14ac:dyDescent="0.35">
      <c r="A446" t="s">
        <v>1017</v>
      </c>
      <c r="B446" s="9">
        <v>46075</v>
      </c>
      <c r="C446" t="s">
        <v>750</v>
      </c>
      <c r="D446" t="s">
        <v>15</v>
      </c>
      <c r="E446" t="s">
        <v>41</v>
      </c>
      <c r="F446" t="s">
        <v>47</v>
      </c>
      <c r="G446" t="s">
        <v>48</v>
      </c>
      <c r="H446">
        <v>3</v>
      </c>
      <c r="I446" t="s">
        <v>62</v>
      </c>
      <c r="J446" t="s">
        <v>488</v>
      </c>
      <c r="K446">
        <v>380</v>
      </c>
      <c r="L446" t="s">
        <v>30</v>
      </c>
      <c r="M446" t="s">
        <v>58</v>
      </c>
    </row>
    <row r="447" spans="1:13" x14ac:dyDescent="0.35">
      <c r="A447" t="s">
        <v>1018</v>
      </c>
      <c r="B447" s="9">
        <v>46127</v>
      </c>
      <c r="C447" t="s">
        <v>1019</v>
      </c>
      <c r="D447" t="s">
        <v>15</v>
      </c>
      <c r="E447" t="s">
        <v>34</v>
      </c>
      <c r="F447" t="s">
        <v>17</v>
      </c>
      <c r="G447" t="s">
        <v>18</v>
      </c>
      <c r="H447">
        <v>1</v>
      </c>
      <c r="I447" t="s">
        <v>28</v>
      </c>
      <c r="J447" t="s">
        <v>28</v>
      </c>
      <c r="K447">
        <v>520</v>
      </c>
      <c r="L447" t="s">
        <v>30</v>
      </c>
      <c r="M447" t="s">
        <v>58</v>
      </c>
    </row>
    <row r="448" spans="1:13" x14ac:dyDescent="0.35">
      <c r="A448" t="s">
        <v>1020</v>
      </c>
      <c r="B448" s="9">
        <v>46122</v>
      </c>
      <c r="C448" t="s">
        <v>1021</v>
      </c>
      <c r="D448" t="s">
        <v>66</v>
      </c>
      <c r="E448" t="s">
        <v>16</v>
      </c>
      <c r="F448" t="s">
        <v>17</v>
      </c>
      <c r="G448" t="s">
        <v>18</v>
      </c>
      <c r="H448">
        <v>2</v>
      </c>
      <c r="I448" t="s">
        <v>85</v>
      </c>
      <c r="J448" t="s">
        <v>267</v>
      </c>
      <c r="K448">
        <v>520</v>
      </c>
      <c r="L448" t="s">
        <v>30</v>
      </c>
      <c r="M448" t="s">
        <v>22</v>
      </c>
    </row>
    <row r="449" spans="1:13" x14ac:dyDescent="0.35">
      <c r="A449" t="s">
        <v>1022</v>
      </c>
      <c r="B449" s="9">
        <v>46192</v>
      </c>
      <c r="C449" t="s">
        <v>1023</v>
      </c>
      <c r="D449" t="s">
        <v>99</v>
      </c>
      <c r="E449" t="s">
        <v>34</v>
      </c>
      <c r="F449" t="s">
        <v>26</v>
      </c>
      <c r="G449" t="s">
        <v>27</v>
      </c>
      <c r="H449">
        <v>1</v>
      </c>
      <c r="I449" t="s">
        <v>28</v>
      </c>
      <c r="J449" t="s">
        <v>28</v>
      </c>
      <c r="K449" t="s">
        <v>29</v>
      </c>
      <c r="L449" t="s">
        <v>30</v>
      </c>
      <c r="M449" t="s">
        <v>22</v>
      </c>
    </row>
    <row r="450" spans="1:13" x14ac:dyDescent="0.35">
      <c r="A450" t="s">
        <v>1024</v>
      </c>
      <c r="B450" t="s">
        <v>1025</v>
      </c>
      <c r="C450" t="s">
        <v>180</v>
      </c>
      <c r="D450" t="s">
        <v>46</v>
      </c>
      <c r="E450" t="s">
        <v>16</v>
      </c>
      <c r="F450" t="s">
        <v>83</v>
      </c>
      <c r="G450" t="s">
        <v>84</v>
      </c>
      <c r="H450">
        <v>1</v>
      </c>
      <c r="I450" t="s">
        <v>132</v>
      </c>
      <c r="J450" t="s">
        <v>132</v>
      </c>
      <c r="K450" t="s">
        <v>103</v>
      </c>
      <c r="L450" t="s">
        <v>30</v>
      </c>
      <c r="M450" t="s">
        <v>22</v>
      </c>
    </row>
    <row r="451" spans="1:13" x14ac:dyDescent="0.35">
      <c r="A451" t="s">
        <v>1026</v>
      </c>
      <c r="B451" s="9">
        <v>46133</v>
      </c>
      <c r="C451" t="s">
        <v>842</v>
      </c>
      <c r="D451" t="s">
        <v>15</v>
      </c>
      <c r="E451" t="s">
        <v>16</v>
      </c>
      <c r="F451" t="s">
        <v>17</v>
      </c>
      <c r="G451" t="s">
        <v>18</v>
      </c>
      <c r="H451">
        <v>3</v>
      </c>
      <c r="I451" t="s">
        <v>132</v>
      </c>
      <c r="J451" t="s">
        <v>232</v>
      </c>
      <c r="K451" t="s">
        <v>29</v>
      </c>
      <c r="L451" t="s">
        <v>30</v>
      </c>
      <c r="M451" t="s">
        <v>22</v>
      </c>
    </row>
    <row r="452" spans="1:13" x14ac:dyDescent="0.35">
      <c r="A452" t="s">
        <v>1027</v>
      </c>
      <c r="B452" s="9">
        <v>46080</v>
      </c>
      <c r="C452" t="s">
        <v>1028</v>
      </c>
      <c r="D452" t="s">
        <v>53</v>
      </c>
      <c r="E452" t="s">
        <v>67</v>
      </c>
      <c r="F452" t="s">
        <v>74</v>
      </c>
      <c r="G452" t="s">
        <v>75</v>
      </c>
      <c r="H452">
        <v>1</v>
      </c>
      <c r="I452" t="s">
        <v>56</v>
      </c>
      <c r="J452" t="s">
        <v>56</v>
      </c>
      <c r="K452">
        <v>410</v>
      </c>
      <c r="L452" t="s">
        <v>21</v>
      </c>
      <c r="M452" t="s">
        <v>22</v>
      </c>
    </row>
    <row r="453" spans="1:13" x14ac:dyDescent="0.35">
      <c r="A453" t="s">
        <v>1029</v>
      </c>
      <c r="B453" s="9">
        <v>46202</v>
      </c>
      <c r="C453" t="s">
        <v>464</v>
      </c>
      <c r="D453" t="s">
        <v>15</v>
      </c>
      <c r="E453" t="s">
        <v>25</v>
      </c>
      <c r="F453" t="s">
        <v>83</v>
      </c>
      <c r="G453" t="s">
        <v>84</v>
      </c>
      <c r="H453">
        <v>1</v>
      </c>
      <c r="I453" t="s">
        <v>49</v>
      </c>
      <c r="J453" t="s">
        <v>49</v>
      </c>
      <c r="K453" t="s">
        <v>103</v>
      </c>
      <c r="L453" t="s">
        <v>30</v>
      </c>
      <c r="M453" t="s">
        <v>22</v>
      </c>
    </row>
    <row r="454" spans="1:13" x14ac:dyDescent="0.35">
      <c r="A454" t="s">
        <v>1030</v>
      </c>
      <c r="B454" s="9">
        <v>46205</v>
      </c>
      <c r="C454" t="s">
        <v>330</v>
      </c>
      <c r="D454" t="s">
        <v>66</v>
      </c>
      <c r="E454" t="s">
        <v>25</v>
      </c>
      <c r="F454" t="s">
        <v>42</v>
      </c>
      <c r="G454" t="s">
        <v>43</v>
      </c>
      <c r="H454">
        <v>2</v>
      </c>
      <c r="I454" t="s">
        <v>132</v>
      </c>
      <c r="J454" t="s">
        <v>133</v>
      </c>
      <c r="K454" t="s">
        <v>111</v>
      </c>
      <c r="L454" t="s">
        <v>30</v>
      </c>
      <c r="M454" t="s">
        <v>58</v>
      </c>
    </row>
    <row r="455" spans="1:13" x14ac:dyDescent="0.35">
      <c r="A455" t="s">
        <v>1031</v>
      </c>
      <c r="B455" s="9">
        <v>46041</v>
      </c>
      <c r="C455" t="s">
        <v>1032</v>
      </c>
      <c r="D455" t="s">
        <v>66</v>
      </c>
      <c r="E455" t="s">
        <v>25</v>
      </c>
      <c r="F455" t="s">
        <v>26</v>
      </c>
      <c r="G455" t="s">
        <v>27</v>
      </c>
      <c r="H455">
        <v>2</v>
      </c>
      <c r="I455" t="s">
        <v>85</v>
      </c>
      <c r="J455" t="s">
        <v>1033</v>
      </c>
      <c r="K455">
        <v>520</v>
      </c>
      <c r="L455" t="s">
        <v>30</v>
      </c>
      <c r="M455" t="s">
        <v>22</v>
      </c>
    </row>
    <row r="456" spans="1:13" x14ac:dyDescent="0.35">
      <c r="A456" t="s">
        <v>1034</v>
      </c>
      <c r="B456" s="9">
        <v>46201</v>
      </c>
      <c r="C456" t="s">
        <v>70</v>
      </c>
      <c r="D456" t="s">
        <v>53</v>
      </c>
      <c r="E456" t="s">
        <v>67</v>
      </c>
      <c r="F456" t="s">
        <v>26</v>
      </c>
      <c r="G456" t="s">
        <v>27</v>
      </c>
      <c r="H456">
        <v>1</v>
      </c>
      <c r="I456" t="s">
        <v>362</v>
      </c>
      <c r="J456" t="s">
        <v>359</v>
      </c>
      <c r="K456" t="s">
        <v>29</v>
      </c>
      <c r="L456" t="s">
        <v>30</v>
      </c>
      <c r="M456" t="s">
        <v>22</v>
      </c>
    </row>
    <row r="457" spans="1:13" x14ac:dyDescent="0.35">
      <c r="A457" t="s">
        <v>1035</v>
      </c>
      <c r="B457" s="9">
        <v>46059</v>
      </c>
      <c r="C457" t="s">
        <v>1036</v>
      </c>
      <c r="D457" t="s">
        <v>46</v>
      </c>
      <c r="E457" t="s">
        <v>34</v>
      </c>
      <c r="F457" t="s">
        <v>42</v>
      </c>
      <c r="G457" t="s">
        <v>43</v>
      </c>
      <c r="H457">
        <v>1</v>
      </c>
      <c r="I457" t="s">
        <v>254</v>
      </c>
      <c r="J457" t="s">
        <v>254</v>
      </c>
      <c r="K457">
        <v>190</v>
      </c>
      <c r="L457" t="s">
        <v>21</v>
      </c>
      <c r="M457" t="s">
        <v>22</v>
      </c>
    </row>
    <row r="458" spans="1:13" x14ac:dyDescent="0.35">
      <c r="A458" t="s">
        <v>1037</v>
      </c>
      <c r="B458" s="9">
        <v>46069</v>
      </c>
      <c r="C458" t="s">
        <v>263</v>
      </c>
      <c r="D458" t="s">
        <v>94</v>
      </c>
      <c r="E458" t="s">
        <v>16</v>
      </c>
      <c r="F458" t="s">
        <v>89</v>
      </c>
      <c r="G458" t="s">
        <v>90</v>
      </c>
      <c r="H458">
        <v>1</v>
      </c>
      <c r="I458" t="s">
        <v>132</v>
      </c>
      <c r="J458" t="s">
        <v>132</v>
      </c>
      <c r="K458">
        <v>640</v>
      </c>
      <c r="L458" t="s">
        <v>21</v>
      </c>
      <c r="M458" t="s">
        <v>22</v>
      </c>
    </row>
    <row r="459" spans="1:13" x14ac:dyDescent="0.35">
      <c r="A459" t="s">
        <v>1038</v>
      </c>
      <c r="B459" s="9">
        <v>46090</v>
      </c>
      <c r="C459" t="s">
        <v>1039</v>
      </c>
      <c r="D459" t="s">
        <v>61</v>
      </c>
      <c r="E459" t="s">
        <v>67</v>
      </c>
      <c r="F459" t="s">
        <v>83</v>
      </c>
      <c r="G459" t="s">
        <v>84</v>
      </c>
      <c r="H459">
        <v>1</v>
      </c>
      <c r="I459" t="s">
        <v>71</v>
      </c>
      <c r="J459" t="s">
        <v>71</v>
      </c>
      <c r="K459">
        <v>340</v>
      </c>
      <c r="L459" t="s">
        <v>30</v>
      </c>
      <c r="M459" t="s">
        <v>22</v>
      </c>
    </row>
    <row r="460" spans="1:13" x14ac:dyDescent="0.35">
      <c r="A460" t="s">
        <v>1040</v>
      </c>
      <c r="B460" s="9">
        <v>46083</v>
      </c>
      <c r="C460" t="s">
        <v>659</v>
      </c>
      <c r="D460" t="s">
        <v>99</v>
      </c>
      <c r="E460" t="s">
        <v>16</v>
      </c>
      <c r="F460" t="s">
        <v>35</v>
      </c>
      <c r="G460" t="s">
        <v>36</v>
      </c>
      <c r="H460">
        <v>1</v>
      </c>
      <c r="I460" t="s">
        <v>136</v>
      </c>
      <c r="J460" t="s">
        <v>136</v>
      </c>
      <c r="K460">
        <v>85</v>
      </c>
      <c r="L460" t="s">
        <v>30</v>
      </c>
      <c r="M460" t="s">
        <v>58</v>
      </c>
    </row>
    <row r="461" spans="1:13" x14ac:dyDescent="0.35">
      <c r="A461" t="s">
        <v>1041</v>
      </c>
      <c r="B461" s="9">
        <v>46128</v>
      </c>
      <c r="C461" t="s">
        <v>1042</v>
      </c>
      <c r="D461" t="s">
        <v>99</v>
      </c>
      <c r="E461" t="s">
        <v>41</v>
      </c>
      <c r="F461" t="s">
        <v>74</v>
      </c>
      <c r="G461" t="s">
        <v>75</v>
      </c>
      <c r="H461">
        <v>2</v>
      </c>
      <c r="I461" t="s">
        <v>49</v>
      </c>
      <c r="J461" t="s">
        <v>178</v>
      </c>
      <c r="K461">
        <v>410</v>
      </c>
      <c r="L461" t="s">
        <v>30</v>
      </c>
      <c r="M461" t="s">
        <v>58</v>
      </c>
    </row>
    <row r="462" spans="1:13" x14ac:dyDescent="0.35">
      <c r="A462" t="s">
        <v>1043</v>
      </c>
      <c r="B462" s="9">
        <v>46201</v>
      </c>
      <c r="C462" t="s">
        <v>1044</v>
      </c>
      <c r="D462" t="s">
        <v>66</v>
      </c>
      <c r="E462" t="s">
        <v>25</v>
      </c>
      <c r="F462" t="s">
        <v>89</v>
      </c>
      <c r="G462" t="s">
        <v>90</v>
      </c>
      <c r="H462">
        <v>1</v>
      </c>
      <c r="I462" t="s">
        <v>132</v>
      </c>
      <c r="J462" t="s">
        <v>132</v>
      </c>
      <c r="K462" t="s">
        <v>108</v>
      </c>
      <c r="L462" t="s">
        <v>30</v>
      </c>
      <c r="M462" t="s">
        <v>22</v>
      </c>
    </row>
    <row r="463" spans="1:13" x14ac:dyDescent="0.35">
      <c r="A463" t="s">
        <v>1045</v>
      </c>
      <c r="B463" s="9">
        <v>46208</v>
      </c>
      <c r="C463" t="s">
        <v>1046</v>
      </c>
      <c r="D463" t="s">
        <v>94</v>
      </c>
      <c r="E463" t="s">
        <v>25</v>
      </c>
      <c r="F463" t="s">
        <v>89</v>
      </c>
      <c r="G463" t="s">
        <v>90</v>
      </c>
      <c r="H463">
        <v>1</v>
      </c>
      <c r="I463" t="s">
        <v>68</v>
      </c>
      <c r="J463" t="s">
        <v>68</v>
      </c>
      <c r="K463" t="s">
        <v>108</v>
      </c>
      <c r="L463" t="s">
        <v>30</v>
      </c>
      <c r="M463" t="s">
        <v>58</v>
      </c>
    </row>
    <row r="464" spans="1:13" x14ac:dyDescent="0.35">
      <c r="A464" t="s">
        <v>1047</v>
      </c>
      <c r="B464" s="9">
        <v>46058</v>
      </c>
      <c r="C464" t="s">
        <v>1048</v>
      </c>
      <c r="D464" t="s">
        <v>33</v>
      </c>
      <c r="E464" t="s">
        <v>34</v>
      </c>
      <c r="F464" t="s">
        <v>74</v>
      </c>
      <c r="G464" t="s">
        <v>75</v>
      </c>
      <c r="H464">
        <v>1</v>
      </c>
      <c r="I464" t="s">
        <v>106</v>
      </c>
      <c r="J464" t="s">
        <v>1049</v>
      </c>
      <c r="K464" t="s">
        <v>76</v>
      </c>
      <c r="L464" t="s">
        <v>30</v>
      </c>
      <c r="M464" t="s">
        <v>58</v>
      </c>
    </row>
    <row r="465" spans="1:13" x14ac:dyDescent="0.35">
      <c r="A465" t="s">
        <v>1050</v>
      </c>
      <c r="B465" s="9">
        <v>46120</v>
      </c>
      <c r="C465" t="s">
        <v>899</v>
      </c>
      <c r="D465" t="s">
        <v>61</v>
      </c>
      <c r="E465" t="s">
        <v>67</v>
      </c>
      <c r="F465" t="s">
        <v>83</v>
      </c>
      <c r="G465" t="s">
        <v>84</v>
      </c>
      <c r="H465">
        <v>1</v>
      </c>
      <c r="I465" t="s">
        <v>68</v>
      </c>
      <c r="J465" t="s">
        <v>68</v>
      </c>
      <c r="K465">
        <v>340</v>
      </c>
      <c r="L465" t="s">
        <v>30</v>
      </c>
      <c r="M465" t="s">
        <v>22</v>
      </c>
    </row>
    <row r="466" spans="1:13" x14ac:dyDescent="0.35">
      <c r="A466" t="s">
        <v>1051</v>
      </c>
      <c r="B466" s="9">
        <v>46070</v>
      </c>
      <c r="C466" t="s">
        <v>1052</v>
      </c>
      <c r="D466" t="s">
        <v>15</v>
      </c>
      <c r="E466" t="s">
        <v>41</v>
      </c>
      <c r="F466" t="s">
        <v>26</v>
      </c>
      <c r="G466" t="s">
        <v>27</v>
      </c>
      <c r="H466">
        <v>2</v>
      </c>
      <c r="I466" t="s">
        <v>68</v>
      </c>
      <c r="J466" t="s">
        <v>248</v>
      </c>
      <c r="K466">
        <v>520</v>
      </c>
      <c r="L466" t="s">
        <v>21</v>
      </c>
      <c r="M466" t="s">
        <v>22</v>
      </c>
    </row>
    <row r="467" spans="1:13" x14ac:dyDescent="0.35">
      <c r="A467" t="s">
        <v>1053</v>
      </c>
      <c r="B467" s="9">
        <v>46049</v>
      </c>
      <c r="C467" t="s">
        <v>1054</v>
      </c>
      <c r="D467" t="s">
        <v>99</v>
      </c>
      <c r="E467" t="s">
        <v>41</v>
      </c>
      <c r="F467" t="s">
        <v>17</v>
      </c>
      <c r="G467" t="s">
        <v>18</v>
      </c>
      <c r="H467">
        <v>2</v>
      </c>
      <c r="I467" t="s">
        <v>132</v>
      </c>
      <c r="J467" t="s">
        <v>133</v>
      </c>
      <c r="K467">
        <v>520</v>
      </c>
      <c r="L467" t="s">
        <v>30</v>
      </c>
      <c r="M467" t="s">
        <v>22</v>
      </c>
    </row>
    <row r="468" spans="1:13" x14ac:dyDescent="0.35">
      <c r="A468" t="s">
        <v>1055</v>
      </c>
      <c r="B468" s="9">
        <v>46050</v>
      </c>
      <c r="C468" t="s">
        <v>256</v>
      </c>
      <c r="D468" t="s">
        <v>99</v>
      </c>
      <c r="E468" t="s">
        <v>34</v>
      </c>
      <c r="F468" t="s">
        <v>42</v>
      </c>
      <c r="G468" t="s">
        <v>43</v>
      </c>
      <c r="H468">
        <v>2</v>
      </c>
      <c r="I468" t="s">
        <v>56</v>
      </c>
      <c r="J468" t="s">
        <v>193</v>
      </c>
      <c r="K468">
        <v>190</v>
      </c>
      <c r="L468" t="s">
        <v>30</v>
      </c>
      <c r="M468" t="s">
        <v>58</v>
      </c>
    </row>
    <row r="469" spans="1:13" x14ac:dyDescent="0.35">
      <c r="A469" t="s">
        <v>1056</v>
      </c>
      <c r="B469" s="9">
        <v>46075</v>
      </c>
      <c r="C469" t="s">
        <v>1057</v>
      </c>
      <c r="D469" t="s">
        <v>40</v>
      </c>
      <c r="E469" t="s">
        <v>34</v>
      </c>
      <c r="F469" t="s">
        <v>35</v>
      </c>
      <c r="G469" t="s">
        <v>36</v>
      </c>
      <c r="H469">
        <v>1</v>
      </c>
      <c r="I469" t="s">
        <v>136</v>
      </c>
      <c r="J469" t="s">
        <v>136</v>
      </c>
      <c r="K469">
        <v>85</v>
      </c>
      <c r="L469" t="s">
        <v>30</v>
      </c>
      <c r="M469" t="s">
        <v>22</v>
      </c>
    </row>
    <row r="470" spans="1:13" x14ac:dyDescent="0.35">
      <c r="A470" t="s">
        <v>1058</v>
      </c>
      <c r="B470" s="9">
        <v>46148</v>
      </c>
      <c r="C470" t="s">
        <v>1059</v>
      </c>
      <c r="D470" t="s">
        <v>94</v>
      </c>
      <c r="E470" t="s">
        <v>67</v>
      </c>
      <c r="F470" t="s">
        <v>42</v>
      </c>
      <c r="G470" t="s">
        <v>43</v>
      </c>
      <c r="H470">
        <v>1</v>
      </c>
      <c r="I470" t="s">
        <v>136</v>
      </c>
      <c r="J470" t="s">
        <v>136</v>
      </c>
      <c r="K470" t="s">
        <v>111</v>
      </c>
      <c r="L470" t="s">
        <v>30</v>
      </c>
      <c r="M470" t="s">
        <v>22</v>
      </c>
    </row>
    <row r="471" spans="1:13" x14ac:dyDescent="0.35">
      <c r="A471" t="s">
        <v>1060</v>
      </c>
      <c r="B471" s="9">
        <v>46183</v>
      </c>
      <c r="C471" t="s">
        <v>1061</v>
      </c>
      <c r="D471" t="s">
        <v>33</v>
      </c>
      <c r="E471" t="s">
        <v>34</v>
      </c>
      <c r="F471" t="s">
        <v>74</v>
      </c>
      <c r="G471" t="s">
        <v>75</v>
      </c>
      <c r="H471">
        <v>2</v>
      </c>
      <c r="I471" t="s">
        <v>28</v>
      </c>
      <c r="J471" t="s">
        <v>316</v>
      </c>
      <c r="K471" t="s">
        <v>76</v>
      </c>
      <c r="L471" t="s">
        <v>30</v>
      </c>
      <c r="M471" t="s">
        <v>58</v>
      </c>
    </row>
    <row r="472" spans="1:13" x14ac:dyDescent="0.35">
      <c r="A472" t="s">
        <v>1062</v>
      </c>
      <c r="B472" t="s">
        <v>1063</v>
      </c>
      <c r="C472" t="s">
        <v>1064</v>
      </c>
      <c r="D472" t="s">
        <v>40</v>
      </c>
      <c r="E472" t="s">
        <v>16</v>
      </c>
      <c r="F472" t="s">
        <v>35</v>
      </c>
      <c r="G472" t="s">
        <v>36</v>
      </c>
      <c r="H472">
        <v>2</v>
      </c>
      <c r="I472" t="s">
        <v>106</v>
      </c>
      <c r="J472" t="s">
        <v>107</v>
      </c>
      <c r="K472">
        <v>85</v>
      </c>
      <c r="L472" t="s">
        <v>21</v>
      </c>
      <c r="M472" t="s">
        <v>22</v>
      </c>
    </row>
    <row r="473" spans="1:13" x14ac:dyDescent="0.35">
      <c r="A473" t="s">
        <v>1065</v>
      </c>
      <c r="B473" s="9">
        <v>46103</v>
      </c>
      <c r="C473" t="s">
        <v>1066</v>
      </c>
      <c r="D473" t="s">
        <v>15</v>
      </c>
      <c r="E473" t="s">
        <v>16</v>
      </c>
      <c r="F473" t="s">
        <v>17</v>
      </c>
      <c r="G473" t="s">
        <v>18</v>
      </c>
      <c r="H473">
        <v>2</v>
      </c>
      <c r="I473" t="s">
        <v>79</v>
      </c>
      <c r="J473" t="s">
        <v>143</v>
      </c>
      <c r="K473">
        <v>520</v>
      </c>
      <c r="L473" t="s">
        <v>21</v>
      </c>
      <c r="M473" t="s">
        <v>22</v>
      </c>
    </row>
    <row r="474" spans="1:13" x14ac:dyDescent="0.35">
      <c r="A474" t="s">
        <v>1067</v>
      </c>
      <c r="B474" s="9">
        <v>46134</v>
      </c>
      <c r="C474" t="s">
        <v>1068</v>
      </c>
      <c r="D474" t="s">
        <v>53</v>
      </c>
      <c r="E474" t="s">
        <v>41</v>
      </c>
      <c r="F474" t="s">
        <v>89</v>
      </c>
      <c r="G474" t="s">
        <v>90</v>
      </c>
      <c r="H474">
        <v>1</v>
      </c>
      <c r="I474" t="s">
        <v>71</v>
      </c>
      <c r="J474" t="s">
        <v>71</v>
      </c>
      <c r="K474" t="s">
        <v>108</v>
      </c>
      <c r="L474" t="s">
        <v>30</v>
      </c>
      <c r="M474" t="s">
        <v>22</v>
      </c>
    </row>
    <row r="475" spans="1:13" x14ac:dyDescent="0.35">
      <c r="A475" t="s">
        <v>1069</v>
      </c>
      <c r="B475" s="9">
        <v>46156</v>
      </c>
      <c r="C475" t="s">
        <v>1070</v>
      </c>
      <c r="D475" t="s">
        <v>33</v>
      </c>
      <c r="E475" t="s">
        <v>34</v>
      </c>
      <c r="F475" t="s">
        <v>26</v>
      </c>
      <c r="G475" t="s">
        <v>27</v>
      </c>
      <c r="H475">
        <v>3</v>
      </c>
      <c r="I475" t="s">
        <v>220</v>
      </c>
      <c r="J475" t="s">
        <v>494</v>
      </c>
      <c r="K475" t="s">
        <v>29</v>
      </c>
      <c r="L475" t="s">
        <v>30</v>
      </c>
      <c r="M475" t="s">
        <v>58</v>
      </c>
    </row>
    <row r="476" spans="1:13" x14ac:dyDescent="0.35">
      <c r="A476" t="s">
        <v>1071</v>
      </c>
      <c r="B476" s="9">
        <v>46087</v>
      </c>
      <c r="C476" t="s">
        <v>1072</v>
      </c>
      <c r="D476" t="s">
        <v>53</v>
      </c>
      <c r="E476" t="s">
        <v>25</v>
      </c>
      <c r="F476" t="s">
        <v>89</v>
      </c>
      <c r="G476" t="s">
        <v>90</v>
      </c>
      <c r="H476">
        <v>2</v>
      </c>
      <c r="I476" t="s">
        <v>28</v>
      </c>
      <c r="J476" t="s">
        <v>316</v>
      </c>
      <c r="K476">
        <v>640</v>
      </c>
      <c r="L476" t="s">
        <v>30</v>
      </c>
      <c r="M476" t="s">
        <v>22</v>
      </c>
    </row>
    <row r="477" spans="1:13" x14ac:dyDescent="0.35">
      <c r="A477" t="s">
        <v>1073</v>
      </c>
      <c r="B477" s="9">
        <v>46080</v>
      </c>
      <c r="C477" t="s">
        <v>1074</v>
      </c>
      <c r="D477" t="s">
        <v>15</v>
      </c>
      <c r="E477" t="s">
        <v>16</v>
      </c>
      <c r="F477" t="s">
        <v>83</v>
      </c>
      <c r="G477" t="s">
        <v>84</v>
      </c>
      <c r="H477">
        <v>2</v>
      </c>
      <c r="I477" t="s">
        <v>645</v>
      </c>
      <c r="J477" t="s">
        <v>181</v>
      </c>
      <c r="K477">
        <v>340</v>
      </c>
      <c r="L477" t="s">
        <v>30</v>
      </c>
      <c r="M477" t="s">
        <v>22</v>
      </c>
    </row>
    <row r="478" spans="1:13" x14ac:dyDescent="0.35">
      <c r="A478" t="s">
        <v>1075</v>
      </c>
      <c r="B478" t="s">
        <v>687</v>
      </c>
      <c r="C478" t="s">
        <v>1076</v>
      </c>
      <c r="D478" t="s">
        <v>40</v>
      </c>
      <c r="E478" t="s">
        <v>16</v>
      </c>
      <c r="F478" t="s">
        <v>74</v>
      </c>
      <c r="G478" t="s">
        <v>75</v>
      </c>
      <c r="H478">
        <v>1</v>
      </c>
      <c r="I478" t="s">
        <v>71</v>
      </c>
      <c r="J478" t="s">
        <v>56</v>
      </c>
      <c r="K478">
        <v>410</v>
      </c>
      <c r="L478" t="s">
        <v>30</v>
      </c>
      <c r="M478" t="s">
        <v>22</v>
      </c>
    </row>
    <row r="479" spans="1:13" x14ac:dyDescent="0.35">
      <c r="A479" t="s">
        <v>1077</v>
      </c>
      <c r="B479" s="9">
        <v>46030</v>
      </c>
      <c r="C479" t="s">
        <v>1078</v>
      </c>
      <c r="D479" t="s">
        <v>99</v>
      </c>
      <c r="E479" t="s">
        <v>16</v>
      </c>
      <c r="F479" t="s">
        <v>83</v>
      </c>
      <c r="G479" t="s">
        <v>84</v>
      </c>
      <c r="H479">
        <v>1</v>
      </c>
      <c r="I479" t="s">
        <v>744</v>
      </c>
      <c r="J479" t="s">
        <v>1049</v>
      </c>
      <c r="K479">
        <v>340</v>
      </c>
      <c r="L479" t="s">
        <v>30</v>
      </c>
      <c r="M479" t="s">
        <v>22</v>
      </c>
    </row>
    <row r="480" spans="1:13" x14ac:dyDescent="0.35">
      <c r="A480" t="s">
        <v>1079</v>
      </c>
      <c r="B480" t="s">
        <v>1080</v>
      </c>
      <c r="C480" t="s">
        <v>1081</v>
      </c>
      <c r="D480" t="s">
        <v>33</v>
      </c>
      <c r="E480" t="s">
        <v>34</v>
      </c>
      <c r="F480" t="s">
        <v>74</v>
      </c>
      <c r="G480" t="s">
        <v>75</v>
      </c>
      <c r="H480">
        <v>2</v>
      </c>
      <c r="I480" t="s">
        <v>68</v>
      </c>
      <c r="J480" t="s">
        <v>248</v>
      </c>
      <c r="K480" t="s">
        <v>76</v>
      </c>
      <c r="L480" t="s">
        <v>30</v>
      </c>
      <c r="M480" t="s">
        <v>22</v>
      </c>
    </row>
    <row r="481" spans="1:13" x14ac:dyDescent="0.35">
      <c r="A481" t="s">
        <v>1082</v>
      </c>
      <c r="B481" s="9">
        <v>46099</v>
      </c>
      <c r="C481" t="s">
        <v>1083</v>
      </c>
      <c r="D481" t="s">
        <v>116</v>
      </c>
      <c r="E481" t="s">
        <v>67</v>
      </c>
      <c r="F481" t="s">
        <v>26</v>
      </c>
      <c r="G481" t="s">
        <v>27</v>
      </c>
      <c r="H481">
        <v>-2</v>
      </c>
      <c r="I481" t="s">
        <v>68</v>
      </c>
      <c r="J481" t="s">
        <v>1084</v>
      </c>
      <c r="K481">
        <v>520</v>
      </c>
      <c r="L481" t="s">
        <v>30</v>
      </c>
      <c r="M481" t="s">
        <v>22</v>
      </c>
    </row>
    <row r="482" spans="1:13" x14ac:dyDescent="0.35">
      <c r="A482" t="s">
        <v>1085</v>
      </c>
      <c r="B482" s="9">
        <v>46205</v>
      </c>
      <c r="C482" t="s">
        <v>370</v>
      </c>
      <c r="D482" t="s">
        <v>99</v>
      </c>
      <c r="E482" t="s">
        <v>67</v>
      </c>
      <c r="F482" t="s">
        <v>89</v>
      </c>
      <c r="G482" t="s">
        <v>90</v>
      </c>
      <c r="H482">
        <v>1</v>
      </c>
      <c r="I482" t="s">
        <v>71</v>
      </c>
      <c r="J482" t="s">
        <v>71</v>
      </c>
      <c r="K482" t="s">
        <v>108</v>
      </c>
      <c r="L482" t="s">
        <v>30</v>
      </c>
      <c r="M482" t="s">
        <v>58</v>
      </c>
    </row>
    <row r="483" spans="1:13" x14ac:dyDescent="0.35">
      <c r="A483" t="s">
        <v>1086</v>
      </c>
      <c r="B483" s="9">
        <v>46201</v>
      </c>
      <c r="C483" t="s">
        <v>1087</v>
      </c>
      <c r="D483" t="s">
        <v>33</v>
      </c>
      <c r="E483" t="s">
        <v>16</v>
      </c>
      <c r="F483" t="s">
        <v>17</v>
      </c>
      <c r="G483" t="s">
        <v>18</v>
      </c>
      <c r="H483">
        <v>1</v>
      </c>
      <c r="I483" t="s">
        <v>71</v>
      </c>
      <c r="J483" t="s">
        <v>71</v>
      </c>
      <c r="K483" t="s">
        <v>29</v>
      </c>
      <c r="L483" t="s">
        <v>30</v>
      </c>
      <c r="M483" t="s">
        <v>22</v>
      </c>
    </row>
    <row r="484" spans="1:13" x14ac:dyDescent="0.35">
      <c r="A484" t="s">
        <v>1088</v>
      </c>
      <c r="B484" s="9">
        <v>46178</v>
      </c>
      <c r="C484" t="s">
        <v>1089</v>
      </c>
      <c r="D484" t="s">
        <v>116</v>
      </c>
      <c r="E484" t="s">
        <v>67</v>
      </c>
      <c r="F484" t="s">
        <v>89</v>
      </c>
      <c r="G484" t="s">
        <v>90</v>
      </c>
      <c r="H484">
        <v>3</v>
      </c>
      <c r="I484" t="s">
        <v>254</v>
      </c>
      <c r="J484" t="s">
        <v>390</v>
      </c>
      <c r="K484" t="s">
        <v>108</v>
      </c>
      <c r="L484" t="s">
        <v>30</v>
      </c>
      <c r="M484" t="s">
        <v>22</v>
      </c>
    </row>
    <row r="485" spans="1:13" x14ac:dyDescent="0.35">
      <c r="A485" t="s">
        <v>1090</v>
      </c>
      <c r="B485" t="s">
        <v>290</v>
      </c>
      <c r="C485" t="s">
        <v>1091</v>
      </c>
      <c r="D485" t="s">
        <v>66</v>
      </c>
      <c r="E485" t="s">
        <v>67</v>
      </c>
      <c r="F485" t="s">
        <v>89</v>
      </c>
      <c r="G485" t="s">
        <v>90</v>
      </c>
      <c r="H485">
        <v>3</v>
      </c>
      <c r="I485" t="s">
        <v>106</v>
      </c>
      <c r="J485" t="s">
        <v>160</v>
      </c>
      <c r="K485">
        <v>640</v>
      </c>
      <c r="L485" t="s">
        <v>21</v>
      </c>
      <c r="M485" t="s">
        <v>22</v>
      </c>
    </row>
    <row r="486" spans="1:13" x14ac:dyDescent="0.35">
      <c r="A486" t="s">
        <v>1092</v>
      </c>
      <c r="B486" s="9">
        <v>46129</v>
      </c>
      <c r="C486" t="s">
        <v>1093</v>
      </c>
      <c r="D486" t="s">
        <v>94</v>
      </c>
      <c r="E486" t="s">
        <v>16</v>
      </c>
      <c r="F486" t="s">
        <v>35</v>
      </c>
      <c r="G486" t="s">
        <v>36</v>
      </c>
      <c r="H486">
        <v>1</v>
      </c>
      <c r="I486" t="s">
        <v>132</v>
      </c>
      <c r="J486" t="s">
        <v>132</v>
      </c>
      <c r="K486">
        <v>85</v>
      </c>
      <c r="L486" t="s">
        <v>30</v>
      </c>
      <c r="M486" t="s">
        <v>22</v>
      </c>
    </row>
    <row r="487" spans="1:13" x14ac:dyDescent="0.35">
      <c r="A487" t="s">
        <v>1094</v>
      </c>
      <c r="B487" t="s">
        <v>1095</v>
      </c>
      <c r="C487" t="s">
        <v>492</v>
      </c>
      <c r="D487" t="s">
        <v>116</v>
      </c>
      <c r="E487" t="s">
        <v>16</v>
      </c>
      <c r="F487" t="s">
        <v>17</v>
      </c>
      <c r="G487" t="s">
        <v>18</v>
      </c>
      <c r="H487">
        <v>3</v>
      </c>
      <c r="I487" t="s">
        <v>192</v>
      </c>
      <c r="J487" t="s">
        <v>57</v>
      </c>
      <c r="K487">
        <v>520</v>
      </c>
      <c r="L487" t="s">
        <v>21</v>
      </c>
      <c r="M487" t="s">
        <v>22</v>
      </c>
    </row>
    <row r="488" spans="1:13" x14ac:dyDescent="0.35">
      <c r="A488" t="s">
        <v>1096</v>
      </c>
      <c r="B488" s="9">
        <v>46207</v>
      </c>
      <c r="C488" t="s">
        <v>1097</v>
      </c>
      <c r="D488" t="s">
        <v>116</v>
      </c>
      <c r="E488" t="s">
        <v>25</v>
      </c>
      <c r="F488" t="s">
        <v>42</v>
      </c>
      <c r="G488" t="s">
        <v>43</v>
      </c>
      <c r="H488">
        <v>2</v>
      </c>
      <c r="I488" t="s">
        <v>254</v>
      </c>
      <c r="J488" t="s">
        <v>156</v>
      </c>
      <c r="K488" t="s">
        <v>111</v>
      </c>
      <c r="L488" t="s">
        <v>30</v>
      </c>
      <c r="M488" t="s">
        <v>58</v>
      </c>
    </row>
    <row r="489" spans="1:13" x14ac:dyDescent="0.35">
      <c r="A489" t="s">
        <v>1098</v>
      </c>
      <c r="B489" s="9">
        <v>46047</v>
      </c>
      <c r="C489" t="s">
        <v>531</v>
      </c>
      <c r="D489" t="s">
        <v>46</v>
      </c>
      <c r="E489" t="s">
        <v>67</v>
      </c>
      <c r="F489" t="s">
        <v>47</v>
      </c>
      <c r="G489" t="s">
        <v>48</v>
      </c>
      <c r="H489">
        <v>3</v>
      </c>
      <c r="I489" t="s">
        <v>28</v>
      </c>
      <c r="J489" t="s">
        <v>568</v>
      </c>
      <c r="K489">
        <v>380</v>
      </c>
      <c r="L489" t="s">
        <v>30</v>
      </c>
      <c r="M489" t="s">
        <v>22</v>
      </c>
    </row>
    <row r="490" spans="1:13" x14ac:dyDescent="0.35">
      <c r="A490" t="s">
        <v>1099</v>
      </c>
      <c r="B490" s="9">
        <v>46128</v>
      </c>
      <c r="C490" t="s">
        <v>1048</v>
      </c>
      <c r="D490" t="s">
        <v>46</v>
      </c>
      <c r="E490" t="s">
        <v>41</v>
      </c>
      <c r="F490" t="s">
        <v>35</v>
      </c>
      <c r="G490" t="s">
        <v>36</v>
      </c>
      <c r="H490">
        <v>2</v>
      </c>
      <c r="I490" t="s">
        <v>71</v>
      </c>
      <c r="J490" t="s">
        <v>286</v>
      </c>
      <c r="K490">
        <v>85</v>
      </c>
      <c r="L490" t="s">
        <v>30</v>
      </c>
      <c r="M490" t="s">
        <v>22</v>
      </c>
    </row>
    <row r="491" spans="1:13" x14ac:dyDescent="0.35">
      <c r="A491" t="s">
        <v>1100</v>
      </c>
      <c r="B491" s="9">
        <v>46167</v>
      </c>
      <c r="C491" t="s">
        <v>1101</v>
      </c>
      <c r="D491" t="s">
        <v>99</v>
      </c>
      <c r="E491" t="s">
        <v>34</v>
      </c>
      <c r="F491" t="s">
        <v>89</v>
      </c>
      <c r="G491" t="s">
        <v>90</v>
      </c>
      <c r="H491">
        <v>1</v>
      </c>
      <c r="I491" t="s">
        <v>102</v>
      </c>
      <c r="J491" t="s">
        <v>102</v>
      </c>
      <c r="K491" t="s">
        <v>108</v>
      </c>
      <c r="L491" t="s">
        <v>30</v>
      </c>
      <c r="M491" t="s">
        <v>22</v>
      </c>
    </row>
    <row r="492" spans="1:13" x14ac:dyDescent="0.35">
      <c r="A492" t="s">
        <v>1102</v>
      </c>
      <c r="B492" s="9">
        <v>46070</v>
      </c>
      <c r="C492" t="s">
        <v>1103</v>
      </c>
      <c r="D492" t="s">
        <v>40</v>
      </c>
      <c r="E492" t="s">
        <v>41</v>
      </c>
      <c r="F492" t="s">
        <v>35</v>
      </c>
      <c r="G492" t="s">
        <v>36</v>
      </c>
      <c r="H492">
        <v>1</v>
      </c>
      <c r="I492" t="s">
        <v>254</v>
      </c>
      <c r="J492" t="s">
        <v>254</v>
      </c>
      <c r="K492">
        <v>85</v>
      </c>
      <c r="L492" t="s">
        <v>21</v>
      </c>
      <c r="M492" t="s">
        <v>22</v>
      </c>
    </row>
    <row r="493" spans="1:13" x14ac:dyDescent="0.35">
      <c r="A493" t="s">
        <v>1104</v>
      </c>
      <c r="B493" s="9">
        <v>46103</v>
      </c>
      <c r="C493" t="s">
        <v>1105</v>
      </c>
      <c r="D493" t="s">
        <v>40</v>
      </c>
      <c r="E493" t="s">
        <v>16</v>
      </c>
      <c r="F493" t="s">
        <v>42</v>
      </c>
      <c r="G493" t="s">
        <v>43</v>
      </c>
      <c r="H493">
        <v>1</v>
      </c>
      <c r="I493" t="s">
        <v>56</v>
      </c>
      <c r="J493" t="s">
        <v>56</v>
      </c>
      <c r="K493">
        <v>190</v>
      </c>
      <c r="L493" t="s">
        <v>30</v>
      </c>
      <c r="M493" t="s">
        <v>22</v>
      </c>
    </row>
    <row r="494" spans="1:13" x14ac:dyDescent="0.35">
      <c r="A494" t="s">
        <v>1106</v>
      </c>
      <c r="B494" s="9">
        <v>46143</v>
      </c>
      <c r="C494" t="s">
        <v>1107</v>
      </c>
      <c r="D494" t="s">
        <v>61</v>
      </c>
      <c r="E494" t="s">
        <v>34</v>
      </c>
      <c r="F494" t="s">
        <v>35</v>
      </c>
      <c r="G494" t="s">
        <v>36</v>
      </c>
      <c r="H494">
        <v>2</v>
      </c>
      <c r="I494" t="s">
        <v>19</v>
      </c>
      <c r="J494" t="s">
        <v>221</v>
      </c>
      <c r="K494" t="s">
        <v>37</v>
      </c>
      <c r="L494" t="s">
        <v>30</v>
      </c>
      <c r="M494" t="s">
        <v>22</v>
      </c>
    </row>
    <row r="495" spans="1:13" x14ac:dyDescent="0.35">
      <c r="A495" t="s">
        <v>1108</v>
      </c>
      <c r="B495" s="9">
        <v>46078</v>
      </c>
      <c r="C495" t="s">
        <v>1109</v>
      </c>
      <c r="D495" t="s">
        <v>33</v>
      </c>
      <c r="E495" t="s">
        <v>25</v>
      </c>
      <c r="F495" t="s">
        <v>35</v>
      </c>
      <c r="G495" t="s">
        <v>36</v>
      </c>
      <c r="H495">
        <v>2</v>
      </c>
      <c r="I495" t="s">
        <v>102</v>
      </c>
      <c r="J495" t="s">
        <v>181</v>
      </c>
      <c r="K495">
        <v>85</v>
      </c>
      <c r="L495" t="s">
        <v>30</v>
      </c>
      <c r="M495" t="s">
        <v>22</v>
      </c>
    </row>
    <row r="496" spans="1:13" x14ac:dyDescent="0.35">
      <c r="A496" t="s">
        <v>1110</v>
      </c>
      <c r="B496" s="9">
        <v>46102</v>
      </c>
      <c r="C496" t="s">
        <v>1111</v>
      </c>
      <c r="D496" t="s">
        <v>46</v>
      </c>
      <c r="E496" t="s">
        <v>67</v>
      </c>
      <c r="F496" t="s">
        <v>47</v>
      </c>
      <c r="G496" t="s">
        <v>48</v>
      </c>
      <c r="H496">
        <v>2</v>
      </c>
      <c r="I496" t="s">
        <v>62</v>
      </c>
      <c r="J496" t="s">
        <v>63</v>
      </c>
      <c r="K496">
        <v>380</v>
      </c>
      <c r="L496" t="s">
        <v>30</v>
      </c>
      <c r="M496" t="s">
        <v>22</v>
      </c>
    </row>
    <row r="497" spans="1:13" x14ac:dyDescent="0.35">
      <c r="A497" t="s">
        <v>1112</v>
      </c>
      <c r="B497" t="s">
        <v>561</v>
      </c>
      <c r="C497" t="s">
        <v>1113</v>
      </c>
      <c r="D497" t="s">
        <v>46</v>
      </c>
      <c r="E497" t="s">
        <v>41</v>
      </c>
      <c r="F497" t="s">
        <v>89</v>
      </c>
      <c r="G497" t="s">
        <v>90</v>
      </c>
      <c r="H497">
        <v>1</v>
      </c>
      <c r="I497" t="s">
        <v>71</v>
      </c>
      <c r="J497" t="s">
        <v>71</v>
      </c>
      <c r="K497">
        <v>640</v>
      </c>
      <c r="L497" t="s">
        <v>30</v>
      </c>
      <c r="M497" t="s">
        <v>22</v>
      </c>
    </row>
    <row r="498" spans="1:13" x14ac:dyDescent="0.35">
      <c r="A498" t="s">
        <v>1114</v>
      </c>
      <c r="B498" s="9">
        <v>46128</v>
      </c>
      <c r="C498" t="s">
        <v>1115</v>
      </c>
      <c r="D498" t="s">
        <v>40</v>
      </c>
      <c r="E498" t="s">
        <v>34</v>
      </c>
      <c r="F498" t="s">
        <v>35</v>
      </c>
      <c r="G498" t="s">
        <v>36</v>
      </c>
      <c r="H498">
        <v>1</v>
      </c>
      <c r="I498" t="s">
        <v>19</v>
      </c>
      <c r="J498" t="s">
        <v>19</v>
      </c>
      <c r="K498">
        <v>85</v>
      </c>
      <c r="L498" t="s">
        <v>30</v>
      </c>
      <c r="M498" t="s">
        <v>22</v>
      </c>
    </row>
    <row r="499" spans="1:13" x14ac:dyDescent="0.35">
      <c r="A499" t="s">
        <v>1116</v>
      </c>
      <c r="B499" s="9">
        <v>46158</v>
      </c>
      <c r="C499" t="s">
        <v>1117</v>
      </c>
      <c r="D499" t="s">
        <v>99</v>
      </c>
      <c r="E499" t="s">
        <v>16</v>
      </c>
      <c r="F499" t="s">
        <v>83</v>
      </c>
      <c r="G499" t="s">
        <v>84</v>
      </c>
      <c r="H499">
        <v>2</v>
      </c>
      <c r="I499" t="s">
        <v>254</v>
      </c>
      <c r="J499" t="s">
        <v>156</v>
      </c>
      <c r="K499" t="s">
        <v>103</v>
      </c>
      <c r="L499" t="s">
        <v>30</v>
      </c>
      <c r="M499" t="s">
        <v>22</v>
      </c>
    </row>
    <row r="500" spans="1:13" x14ac:dyDescent="0.35">
      <c r="A500" t="s">
        <v>1118</v>
      </c>
      <c r="B500" s="9">
        <v>46036</v>
      </c>
      <c r="C500" t="s">
        <v>1119</v>
      </c>
      <c r="D500" t="s">
        <v>40</v>
      </c>
      <c r="E500" t="s">
        <v>67</v>
      </c>
      <c r="F500" t="s">
        <v>74</v>
      </c>
      <c r="G500" t="s">
        <v>75</v>
      </c>
      <c r="H500">
        <v>1</v>
      </c>
      <c r="I500" t="s">
        <v>132</v>
      </c>
      <c r="J500" t="s">
        <v>132</v>
      </c>
      <c r="K500">
        <v>410</v>
      </c>
      <c r="L500" t="s">
        <v>30</v>
      </c>
      <c r="M500" t="s">
        <v>22</v>
      </c>
    </row>
    <row r="501" spans="1:13" x14ac:dyDescent="0.35">
      <c r="A501" t="s">
        <v>1120</v>
      </c>
      <c r="B501" s="9">
        <v>46065</v>
      </c>
      <c r="C501" t="s">
        <v>990</v>
      </c>
      <c r="D501" t="s">
        <v>40</v>
      </c>
      <c r="E501" t="s">
        <v>67</v>
      </c>
      <c r="F501" t="s">
        <v>35</v>
      </c>
      <c r="G501" t="s">
        <v>36</v>
      </c>
      <c r="H501">
        <v>2</v>
      </c>
      <c r="I501" t="s">
        <v>220</v>
      </c>
      <c r="J501" t="s">
        <v>221</v>
      </c>
      <c r="K501">
        <v>85</v>
      </c>
      <c r="L501" t="s">
        <v>30</v>
      </c>
      <c r="M501" t="s">
        <v>22</v>
      </c>
    </row>
    <row r="502" spans="1:13" x14ac:dyDescent="0.35">
      <c r="A502" t="s">
        <v>1121</v>
      </c>
      <c r="B502" s="9">
        <v>46033</v>
      </c>
      <c r="C502" t="s">
        <v>1122</v>
      </c>
      <c r="D502" t="s">
        <v>40</v>
      </c>
      <c r="E502" t="s">
        <v>16</v>
      </c>
      <c r="F502" t="s">
        <v>26</v>
      </c>
      <c r="G502" t="s">
        <v>27</v>
      </c>
      <c r="H502">
        <v>1</v>
      </c>
      <c r="I502" t="s">
        <v>254</v>
      </c>
      <c r="J502" t="s">
        <v>254</v>
      </c>
      <c r="K502">
        <v>520</v>
      </c>
      <c r="L502" t="s">
        <v>30</v>
      </c>
      <c r="M502" t="s">
        <v>22</v>
      </c>
    </row>
    <row r="503" spans="1:13" x14ac:dyDescent="0.35">
      <c r="A503" t="s">
        <v>1123</v>
      </c>
      <c r="B503" s="9">
        <v>46109</v>
      </c>
      <c r="C503" t="s">
        <v>1124</v>
      </c>
      <c r="D503" t="s">
        <v>116</v>
      </c>
      <c r="E503" t="s">
        <v>16</v>
      </c>
      <c r="F503" t="s">
        <v>74</v>
      </c>
      <c r="G503" t="s">
        <v>75</v>
      </c>
      <c r="H503">
        <v>1</v>
      </c>
      <c r="I503" t="s">
        <v>19</v>
      </c>
      <c r="J503" t="s">
        <v>19</v>
      </c>
      <c r="K503">
        <v>410</v>
      </c>
      <c r="L503" t="s">
        <v>30</v>
      </c>
      <c r="M503" t="s">
        <v>22</v>
      </c>
    </row>
    <row r="504" spans="1:13" x14ac:dyDescent="0.35">
      <c r="A504" t="s">
        <v>1125</v>
      </c>
      <c r="B504" s="9">
        <v>46137</v>
      </c>
      <c r="C504" t="s">
        <v>1126</v>
      </c>
      <c r="D504" t="s">
        <v>33</v>
      </c>
      <c r="E504" t="s">
        <v>16</v>
      </c>
      <c r="F504" t="s">
        <v>74</v>
      </c>
      <c r="G504" t="s">
        <v>75</v>
      </c>
      <c r="H504">
        <v>3</v>
      </c>
      <c r="I504" t="s">
        <v>49</v>
      </c>
      <c r="J504" t="s">
        <v>257</v>
      </c>
      <c r="K504" t="s">
        <v>76</v>
      </c>
      <c r="L504" t="s">
        <v>30</v>
      </c>
      <c r="M504" t="s">
        <v>22</v>
      </c>
    </row>
    <row r="505" spans="1:13" x14ac:dyDescent="0.35">
      <c r="A505" t="s">
        <v>1127</v>
      </c>
      <c r="B505" s="9">
        <v>46157</v>
      </c>
      <c r="C505" t="s">
        <v>1128</v>
      </c>
      <c r="D505" t="s">
        <v>40</v>
      </c>
      <c r="E505" t="s">
        <v>16</v>
      </c>
      <c r="F505" t="s">
        <v>89</v>
      </c>
      <c r="G505" t="s">
        <v>90</v>
      </c>
      <c r="H505">
        <v>1</v>
      </c>
      <c r="I505" t="s">
        <v>744</v>
      </c>
      <c r="J505" t="s">
        <v>106</v>
      </c>
      <c r="K505" t="s">
        <v>108</v>
      </c>
      <c r="L505" t="s">
        <v>21</v>
      </c>
      <c r="M505" t="s">
        <v>22</v>
      </c>
    </row>
    <row r="506" spans="1:13" x14ac:dyDescent="0.35">
      <c r="A506" t="s">
        <v>1129</v>
      </c>
      <c r="B506" s="9">
        <v>46144</v>
      </c>
      <c r="C506" t="s">
        <v>1130</v>
      </c>
      <c r="D506" t="s">
        <v>99</v>
      </c>
      <c r="E506" t="s">
        <v>67</v>
      </c>
      <c r="F506" t="s">
        <v>26</v>
      </c>
      <c r="G506" t="s">
        <v>27</v>
      </c>
      <c r="H506">
        <v>2</v>
      </c>
      <c r="I506" t="s">
        <v>79</v>
      </c>
      <c r="J506" t="s">
        <v>143</v>
      </c>
      <c r="K506" t="s">
        <v>29</v>
      </c>
      <c r="L506" t="s">
        <v>30</v>
      </c>
      <c r="M506" t="s">
        <v>22</v>
      </c>
    </row>
    <row r="507" spans="1:13" x14ac:dyDescent="0.35">
      <c r="A507" t="s">
        <v>1131</v>
      </c>
      <c r="B507" s="9">
        <v>46031</v>
      </c>
      <c r="C507" t="s">
        <v>809</v>
      </c>
      <c r="D507" t="s">
        <v>99</v>
      </c>
      <c r="E507" t="s">
        <v>67</v>
      </c>
      <c r="F507" t="s">
        <v>26</v>
      </c>
      <c r="G507" t="s">
        <v>27</v>
      </c>
      <c r="H507">
        <v>1</v>
      </c>
      <c r="I507" t="s">
        <v>102</v>
      </c>
      <c r="J507" t="s">
        <v>102</v>
      </c>
      <c r="K507">
        <v>520</v>
      </c>
      <c r="L507" t="s">
        <v>30</v>
      </c>
      <c r="M507" t="s">
        <v>22</v>
      </c>
    </row>
    <row r="508" spans="1:13" x14ac:dyDescent="0.35">
      <c r="A508" t="s">
        <v>1132</v>
      </c>
      <c r="B508" s="9">
        <v>46086</v>
      </c>
      <c r="C508" t="s">
        <v>1133</v>
      </c>
      <c r="D508" t="s">
        <v>94</v>
      </c>
      <c r="E508" t="s">
        <v>25</v>
      </c>
      <c r="F508" t="s">
        <v>26</v>
      </c>
      <c r="G508" t="s">
        <v>27</v>
      </c>
      <c r="H508">
        <v>1</v>
      </c>
      <c r="I508" t="s">
        <v>28</v>
      </c>
      <c r="J508" t="s">
        <v>28</v>
      </c>
      <c r="K508">
        <v>520</v>
      </c>
      <c r="L508" t="s">
        <v>21</v>
      </c>
      <c r="M508" t="s">
        <v>22</v>
      </c>
    </row>
    <row r="509" spans="1:13" x14ac:dyDescent="0.35">
      <c r="A509" t="s">
        <v>1134</v>
      </c>
      <c r="B509" s="9">
        <v>46151</v>
      </c>
      <c r="C509" t="s">
        <v>1135</v>
      </c>
      <c r="D509" t="s">
        <v>94</v>
      </c>
      <c r="E509" t="s">
        <v>41</v>
      </c>
      <c r="F509" t="s">
        <v>74</v>
      </c>
      <c r="G509" t="s">
        <v>75</v>
      </c>
      <c r="H509">
        <v>-1</v>
      </c>
      <c r="I509" t="s">
        <v>102</v>
      </c>
      <c r="J509" t="s">
        <v>1136</v>
      </c>
      <c r="K509" t="s">
        <v>76</v>
      </c>
      <c r="L509" t="s">
        <v>21</v>
      </c>
      <c r="M509" t="s">
        <v>22</v>
      </c>
    </row>
    <row r="510" spans="1:13" x14ac:dyDescent="0.35">
      <c r="A510" t="s">
        <v>1137</v>
      </c>
      <c r="B510" s="9">
        <v>46149</v>
      </c>
      <c r="C510" t="s">
        <v>1138</v>
      </c>
      <c r="D510" t="s">
        <v>33</v>
      </c>
      <c r="E510" t="s">
        <v>34</v>
      </c>
      <c r="F510" t="s">
        <v>74</v>
      </c>
      <c r="G510" t="s">
        <v>75</v>
      </c>
      <c r="H510">
        <v>3</v>
      </c>
      <c r="I510" t="s">
        <v>85</v>
      </c>
      <c r="J510" t="s">
        <v>86</v>
      </c>
      <c r="K510" t="s">
        <v>76</v>
      </c>
      <c r="L510" t="s">
        <v>30</v>
      </c>
      <c r="M510" t="s">
        <v>22</v>
      </c>
    </row>
    <row r="511" spans="1:13" x14ac:dyDescent="0.35">
      <c r="A511" t="s">
        <v>1139</v>
      </c>
      <c r="B511" s="9">
        <v>46085</v>
      </c>
      <c r="C511" t="s">
        <v>1140</v>
      </c>
      <c r="D511" t="s">
        <v>33</v>
      </c>
      <c r="E511" t="s">
        <v>67</v>
      </c>
      <c r="F511" t="s">
        <v>74</v>
      </c>
      <c r="G511" t="s">
        <v>75</v>
      </c>
      <c r="H511">
        <v>2</v>
      </c>
      <c r="I511" t="s">
        <v>170</v>
      </c>
      <c r="J511" t="s">
        <v>152</v>
      </c>
      <c r="K511">
        <v>410</v>
      </c>
      <c r="L511" t="s">
        <v>21</v>
      </c>
      <c r="M511" t="s">
        <v>58</v>
      </c>
    </row>
    <row r="512" spans="1:13" x14ac:dyDescent="0.35">
      <c r="A512" t="s">
        <v>1141</v>
      </c>
      <c r="B512" s="9">
        <v>46055</v>
      </c>
      <c r="C512" t="s">
        <v>1142</v>
      </c>
      <c r="D512" t="s">
        <v>61</v>
      </c>
      <c r="E512" t="s">
        <v>41</v>
      </c>
      <c r="F512" t="s">
        <v>89</v>
      </c>
      <c r="G512" t="s">
        <v>90</v>
      </c>
      <c r="H512">
        <v>2</v>
      </c>
      <c r="I512" t="s">
        <v>170</v>
      </c>
      <c r="J512" t="s">
        <v>152</v>
      </c>
      <c r="K512">
        <v>640</v>
      </c>
      <c r="L512" t="s">
        <v>30</v>
      </c>
      <c r="M512" t="s">
        <v>58</v>
      </c>
    </row>
    <row r="513" spans="1:13" x14ac:dyDescent="0.35">
      <c r="A513" t="s">
        <v>1143</v>
      </c>
      <c r="B513" s="9">
        <v>46104</v>
      </c>
      <c r="C513" t="s">
        <v>1144</v>
      </c>
      <c r="D513" t="s">
        <v>66</v>
      </c>
      <c r="E513" t="s">
        <v>34</v>
      </c>
      <c r="F513" t="s">
        <v>83</v>
      </c>
      <c r="G513" t="s">
        <v>84</v>
      </c>
      <c r="H513">
        <v>2</v>
      </c>
      <c r="I513" t="s">
        <v>49</v>
      </c>
      <c r="J513" t="s">
        <v>178</v>
      </c>
      <c r="K513">
        <v>340</v>
      </c>
      <c r="L513" t="s">
        <v>21</v>
      </c>
      <c r="M513" t="s">
        <v>22</v>
      </c>
    </row>
    <row r="514" spans="1:13" x14ac:dyDescent="0.35">
      <c r="A514" t="s">
        <v>1145</v>
      </c>
      <c r="B514" s="9">
        <v>46125</v>
      </c>
      <c r="C514" t="s">
        <v>1146</v>
      </c>
      <c r="D514" t="s">
        <v>94</v>
      </c>
      <c r="E514" t="s">
        <v>25</v>
      </c>
      <c r="F514" t="s">
        <v>35</v>
      </c>
      <c r="G514" t="s">
        <v>36</v>
      </c>
      <c r="H514">
        <v>2</v>
      </c>
      <c r="I514" t="s">
        <v>71</v>
      </c>
      <c r="J514" t="s">
        <v>286</v>
      </c>
      <c r="K514">
        <v>85</v>
      </c>
      <c r="L514" t="s">
        <v>21</v>
      </c>
      <c r="M514" t="s">
        <v>58</v>
      </c>
    </row>
    <row r="515" spans="1:13" x14ac:dyDescent="0.35">
      <c r="A515" t="s">
        <v>1147</v>
      </c>
      <c r="B515" s="9">
        <v>46048</v>
      </c>
      <c r="C515" t="s">
        <v>126</v>
      </c>
      <c r="D515" t="s">
        <v>99</v>
      </c>
      <c r="E515" t="s">
        <v>67</v>
      </c>
      <c r="F515" t="s">
        <v>17</v>
      </c>
      <c r="G515" t="s">
        <v>18</v>
      </c>
      <c r="H515">
        <v>3</v>
      </c>
      <c r="I515" t="s">
        <v>56</v>
      </c>
      <c r="J515" t="s">
        <v>57</v>
      </c>
      <c r="K515">
        <v>520</v>
      </c>
      <c r="L515" t="s">
        <v>30</v>
      </c>
      <c r="M515" t="s">
        <v>22</v>
      </c>
    </row>
    <row r="516" spans="1:13" x14ac:dyDescent="0.35">
      <c r="A516" t="s">
        <v>1148</v>
      </c>
      <c r="B516" s="9">
        <v>46090</v>
      </c>
      <c r="C516" t="s">
        <v>356</v>
      </c>
      <c r="D516" t="s">
        <v>116</v>
      </c>
      <c r="E516" t="s">
        <v>34</v>
      </c>
      <c r="F516" t="s">
        <v>89</v>
      </c>
      <c r="G516" t="s">
        <v>90</v>
      </c>
      <c r="H516">
        <v>1</v>
      </c>
      <c r="I516" t="s">
        <v>102</v>
      </c>
      <c r="J516" t="s">
        <v>102</v>
      </c>
      <c r="K516">
        <v>640</v>
      </c>
      <c r="L516" t="s">
        <v>30</v>
      </c>
      <c r="M516" t="s">
        <v>22</v>
      </c>
    </row>
    <row r="517" spans="1:13" x14ac:dyDescent="0.35">
      <c r="A517" t="s">
        <v>1149</v>
      </c>
      <c r="B517" s="9">
        <v>46034</v>
      </c>
      <c r="C517" t="s">
        <v>1150</v>
      </c>
      <c r="D517" t="s">
        <v>40</v>
      </c>
      <c r="E517" t="s">
        <v>34</v>
      </c>
      <c r="F517" t="s">
        <v>26</v>
      </c>
      <c r="G517" t="s">
        <v>27</v>
      </c>
      <c r="H517">
        <v>2</v>
      </c>
      <c r="I517" t="s">
        <v>140</v>
      </c>
      <c r="J517" t="s">
        <v>238</v>
      </c>
      <c r="K517">
        <v>520</v>
      </c>
      <c r="L517" t="s">
        <v>30</v>
      </c>
      <c r="M517" t="s">
        <v>22</v>
      </c>
    </row>
    <row r="518" spans="1:13" x14ac:dyDescent="0.35">
      <c r="A518" t="s">
        <v>1151</v>
      </c>
      <c r="B518" s="9">
        <v>46085</v>
      </c>
      <c r="C518" t="s">
        <v>1152</v>
      </c>
      <c r="D518" t="s">
        <v>116</v>
      </c>
      <c r="E518" t="s">
        <v>25</v>
      </c>
      <c r="F518" t="s">
        <v>74</v>
      </c>
      <c r="G518" t="s">
        <v>75</v>
      </c>
      <c r="H518">
        <v>2</v>
      </c>
      <c r="I518" t="s">
        <v>106</v>
      </c>
      <c r="J518" t="s">
        <v>107</v>
      </c>
      <c r="K518">
        <v>410</v>
      </c>
      <c r="L518" t="s">
        <v>30</v>
      </c>
      <c r="M518" t="s">
        <v>22</v>
      </c>
    </row>
    <row r="519" spans="1:13" x14ac:dyDescent="0.35">
      <c r="A519" t="s">
        <v>1153</v>
      </c>
      <c r="B519" s="9">
        <v>46332</v>
      </c>
      <c r="C519" t="s">
        <v>219</v>
      </c>
      <c r="D519" t="s">
        <v>66</v>
      </c>
      <c r="E519" t="s">
        <v>16</v>
      </c>
      <c r="F519" t="s">
        <v>83</v>
      </c>
      <c r="G519" t="s">
        <v>84</v>
      </c>
      <c r="H519">
        <v>1</v>
      </c>
      <c r="I519" t="s">
        <v>220</v>
      </c>
      <c r="J519" t="s">
        <v>220</v>
      </c>
      <c r="K519" t="s">
        <v>103</v>
      </c>
      <c r="L519" t="s">
        <v>30</v>
      </c>
      <c r="M519" t="s">
        <v>58</v>
      </c>
    </row>
    <row r="520" spans="1:13" x14ac:dyDescent="0.35">
      <c r="A520" t="s">
        <v>1154</v>
      </c>
      <c r="B520" s="9">
        <v>46178</v>
      </c>
      <c r="C520" t="s">
        <v>1155</v>
      </c>
      <c r="D520" t="s">
        <v>53</v>
      </c>
      <c r="E520" t="s">
        <v>25</v>
      </c>
      <c r="F520" t="s">
        <v>47</v>
      </c>
      <c r="G520" t="s">
        <v>48</v>
      </c>
      <c r="H520">
        <v>3</v>
      </c>
      <c r="I520" t="s">
        <v>71</v>
      </c>
      <c r="J520" t="s">
        <v>379</v>
      </c>
      <c r="K520" t="s">
        <v>50</v>
      </c>
      <c r="L520" t="s">
        <v>30</v>
      </c>
      <c r="M520" t="s">
        <v>22</v>
      </c>
    </row>
    <row r="521" spans="1:13" x14ac:dyDescent="0.35">
      <c r="A521" t="s">
        <v>1156</v>
      </c>
      <c r="B521" t="s">
        <v>566</v>
      </c>
      <c r="C521" t="s">
        <v>1157</v>
      </c>
      <c r="D521" t="s">
        <v>94</v>
      </c>
      <c r="E521" t="s">
        <v>16</v>
      </c>
      <c r="F521" t="s">
        <v>17</v>
      </c>
      <c r="G521" t="s">
        <v>18</v>
      </c>
      <c r="H521">
        <v>1</v>
      </c>
      <c r="I521" t="s">
        <v>68</v>
      </c>
      <c r="J521" t="s">
        <v>68</v>
      </c>
      <c r="K521">
        <v>520</v>
      </c>
      <c r="L521" t="s">
        <v>30</v>
      </c>
      <c r="M521" t="s">
        <v>58</v>
      </c>
    </row>
    <row r="522" spans="1:13" x14ac:dyDescent="0.35">
      <c r="A522" t="s">
        <v>1158</v>
      </c>
      <c r="B522" s="9">
        <v>46174</v>
      </c>
      <c r="C522" t="s">
        <v>1159</v>
      </c>
      <c r="D522" t="s">
        <v>116</v>
      </c>
      <c r="E522" t="s">
        <v>34</v>
      </c>
      <c r="F522" t="s">
        <v>17</v>
      </c>
      <c r="G522" t="s">
        <v>18</v>
      </c>
      <c r="H522">
        <v>1</v>
      </c>
      <c r="I522" t="s">
        <v>220</v>
      </c>
      <c r="J522" t="s">
        <v>220</v>
      </c>
      <c r="K522" t="s">
        <v>29</v>
      </c>
      <c r="L522" t="s">
        <v>30</v>
      </c>
      <c r="M522" t="s">
        <v>22</v>
      </c>
    </row>
    <row r="523" spans="1:13" x14ac:dyDescent="0.35">
      <c r="A523" t="s">
        <v>1160</v>
      </c>
      <c r="B523" s="9">
        <v>46137</v>
      </c>
      <c r="C523" t="s">
        <v>1161</v>
      </c>
      <c r="D523" t="s">
        <v>116</v>
      </c>
      <c r="E523" t="s">
        <v>67</v>
      </c>
      <c r="F523" t="s">
        <v>83</v>
      </c>
      <c r="G523" t="s">
        <v>84</v>
      </c>
      <c r="H523">
        <v>1</v>
      </c>
      <c r="I523" t="s">
        <v>49</v>
      </c>
      <c r="J523" t="s">
        <v>49</v>
      </c>
      <c r="K523" t="s">
        <v>103</v>
      </c>
      <c r="L523" t="s">
        <v>30</v>
      </c>
      <c r="M523" t="s">
        <v>58</v>
      </c>
    </row>
    <row r="524" spans="1:13" x14ac:dyDescent="0.35">
      <c r="A524" t="s">
        <v>1162</v>
      </c>
      <c r="B524" s="9">
        <v>46107</v>
      </c>
      <c r="C524" t="s">
        <v>1163</v>
      </c>
      <c r="D524" t="s">
        <v>40</v>
      </c>
      <c r="E524" t="s">
        <v>16</v>
      </c>
      <c r="F524" t="s">
        <v>47</v>
      </c>
      <c r="G524" t="s">
        <v>48</v>
      </c>
      <c r="H524">
        <v>1</v>
      </c>
      <c r="I524" t="s">
        <v>19</v>
      </c>
      <c r="J524" t="s">
        <v>19</v>
      </c>
      <c r="K524">
        <v>380</v>
      </c>
      <c r="L524" t="s">
        <v>30</v>
      </c>
      <c r="M524" t="s">
        <v>22</v>
      </c>
    </row>
    <row r="525" spans="1:13" x14ac:dyDescent="0.35">
      <c r="A525" t="s">
        <v>1164</v>
      </c>
      <c r="B525" s="9">
        <v>46128</v>
      </c>
      <c r="C525" t="s">
        <v>1165</v>
      </c>
      <c r="D525" t="s">
        <v>33</v>
      </c>
      <c r="E525" t="s">
        <v>67</v>
      </c>
      <c r="F525" t="s">
        <v>26</v>
      </c>
      <c r="G525" t="s">
        <v>27</v>
      </c>
      <c r="H525">
        <v>2</v>
      </c>
      <c r="I525" t="s">
        <v>737</v>
      </c>
      <c r="J525" t="s">
        <v>181</v>
      </c>
      <c r="K525">
        <v>520</v>
      </c>
      <c r="L525" t="s">
        <v>30</v>
      </c>
      <c r="M525" t="s">
        <v>58</v>
      </c>
    </row>
    <row r="526" spans="1:13" x14ac:dyDescent="0.35">
      <c r="A526" t="s">
        <v>1166</v>
      </c>
      <c r="B526" s="9">
        <v>46188</v>
      </c>
      <c r="C526" t="s">
        <v>1101</v>
      </c>
      <c r="D526" t="s">
        <v>33</v>
      </c>
      <c r="E526" t="s">
        <v>41</v>
      </c>
      <c r="F526" t="s">
        <v>47</v>
      </c>
      <c r="G526" t="s">
        <v>48</v>
      </c>
      <c r="H526">
        <v>3</v>
      </c>
      <c r="I526" t="s">
        <v>132</v>
      </c>
      <c r="J526" t="s">
        <v>232</v>
      </c>
      <c r="K526" t="s">
        <v>50</v>
      </c>
      <c r="L526" t="s">
        <v>30</v>
      </c>
      <c r="M526" t="s">
        <v>22</v>
      </c>
    </row>
    <row r="527" spans="1:13" x14ac:dyDescent="0.35">
      <c r="A527" t="s">
        <v>1167</v>
      </c>
      <c r="B527" s="9">
        <v>46184</v>
      </c>
      <c r="C527" t="s">
        <v>1168</v>
      </c>
      <c r="D527" t="s">
        <v>53</v>
      </c>
      <c r="E527" t="s">
        <v>16</v>
      </c>
      <c r="F527" t="s">
        <v>89</v>
      </c>
      <c r="G527" t="s">
        <v>90</v>
      </c>
      <c r="H527">
        <v>1</v>
      </c>
      <c r="I527" t="s">
        <v>254</v>
      </c>
      <c r="J527" t="s">
        <v>254</v>
      </c>
      <c r="K527" t="s">
        <v>108</v>
      </c>
      <c r="L527" t="s">
        <v>21</v>
      </c>
      <c r="M527" t="s">
        <v>22</v>
      </c>
    </row>
    <row r="528" spans="1:13" x14ac:dyDescent="0.35">
      <c r="A528" t="s">
        <v>1169</v>
      </c>
      <c r="B528" s="9">
        <v>46163</v>
      </c>
      <c r="C528" t="s">
        <v>1170</v>
      </c>
      <c r="D528" t="s">
        <v>33</v>
      </c>
      <c r="E528" t="s">
        <v>25</v>
      </c>
      <c r="F528" t="s">
        <v>47</v>
      </c>
      <c r="G528" t="s">
        <v>48</v>
      </c>
      <c r="H528">
        <v>1</v>
      </c>
      <c r="I528" t="s">
        <v>79</v>
      </c>
      <c r="J528" t="s">
        <v>1171</v>
      </c>
      <c r="K528" t="s">
        <v>50</v>
      </c>
      <c r="L528" t="s">
        <v>21</v>
      </c>
      <c r="M528" t="s">
        <v>58</v>
      </c>
    </row>
    <row r="529" spans="1:13" x14ac:dyDescent="0.35">
      <c r="A529" t="s">
        <v>1172</v>
      </c>
      <c r="B529" s="9">
        <v>46038</v>
      </c>
      <c r="C529" t="s">
        <v>1173</v>
      </c>
      <c r="D529" t="s">
        <v>15</v>
      </c>
      <c r="E529" t="s">
        <v>16</v>
      </c>
      <c r="F529" t="s">
        <v>42</v>
      </c>
      <c r="G529" t="s">
        <v>43</v>
      </c>
      <c r="H529">
        <v>1</v>
      </c>
      <c r="I529" t="s">
        <v>649</v>
      </c>
      <c r="J529" t="s">
        <v>68</v>
      </c>
      <c r="K529">
        <v>190</v>
      </c>
      <c r="L529" t="s">
        <v>30</v>
      </c>
      <c r="M529" t="s">
        <v>22</v>
      </c>
    </row>
    <row r="530" spans="1:13" x14ac:dyDescent="0.35">
      <c r="A530" t="s">
        <v>1174</v>
      </c>
      <c r="B530" s="9">
        <v>46178</v>
      </c>
      <c r="C530" t="s">
        <v>1175</v>
      </c>
      <c r="D530" t="s">
        <v>15</v>
      </c>
      <c r="E530" t="s">
        <v>67</v>
      </c>
      <c r="F530" t="s">
        <v>74</v>
      </c>
      <c r="G530" t="s">
        <v>75</v>
      </c>
      <c r="H530">
        <v>2</v>
      </c>
      <c r="I530" t="s">
        <v>28</v>
      </c>
      <c r="J530" t="s">
        <v>316</v>
      </c>
      <c r="K530" t="s">
        <v>76</v>
      </c>
      <c r="L530" t="s">
        <v>21</v>
      </c>
      <c r="M530" t="s">
        <v>22</v>
      </c>
    </row>
    <row r="531" spans="1:13" x14ac:dyDescent="0.35">
      <c r="A531" t="s">
        <v>1176</v>
      </c>
      <c r="B531" s="9">
        <v>46190</v>
      </c>
      <c r="C531" t="s">
        <v>1177</v>
      </c>
      <c r="D531" t="s">
        <v>116</v>
      </c>
      <c r="E531" t="s">
        <v>67</v>
      </c>
      <c r="F531" t="s">
        <v>26</v>
      </c>
      <c r="G531" t="s">
        <v>27</v>
      </c>
      <c r="H531">
        <v>3</v>
      </c>
      <c r="I531" t="s">
        <v>68</v>
      </c>
      <c r="J531" t="s">
        <v>205</v>
      </c>
      <c r="K531" t="s">
        <v>29</v>
      </c>
      <c r="L531" t="s">
        <v>30</v>
      </c>
      <c r="M531" t="s">
        <v>22</v>
      </c>
    </row>
    <row r="532" spans="1:13" x14ac:dyDescent="0.35">
      <c r="A532" t="s">
        <v>1178</v>
      </c>
      <c r="B532" s="9">
        <v>46113</v>
      </c>
      <c r="C532" t="s">
        <v>1179</v>
      </c>
      <c r="D532" t="s">
        <v>53</v>
      </c>
      <c r="E532" t="s">
        <v>34</v>
      </c>
      <c r="F532" t="s">
        <v>83</v>
      </c>
      <c r="G532" t="s">
        <v>84</v>
      </c>
      <c r="H532">
        <v>3</v>
      </c>
      <c r="I532" t="s">
        <v>68</v>
      </c>
      <c r="J532" t="s">
        <v>205</v>
      </c>
      <c r="K532">
        <v>340</v>
      </c>
      <c r="L532" t="s">
        <v>30</v>
      </c>
      <c r="M532" t="s">
        <v>58</v>
      </c>
    </row>
    <row r="533" spans="1:13" x14ac:dyDescent="0.35">
      <c r="A533" t="s">
        <v>1180</v>
      </c>
      <c r="B533" s="9">
        <v>46296</v>
      </c>
      <c r="C533" t="s">
        <v>1181</v>
      </c>
      <c r="D533" t="s">
        <v>61</v>
      </c>
      <c r="E533" t="s">
        <v>16</v>
      </c>
      <c r="F533" t="s">
        <v>47</v>
      </c>
      <c r="G533" t="s">
        <v>48</v>
      </c>
      <c r="H533">
        <v>1</v>
      </c>
      <c r="I533" t="s">
        <v>19</v>
      </c>
      <c r="J533" t="s">
        <v>19</v>
      </c>
      <c r="K533">
        <v>380</v>
      </c>
      <c r="L533" t="s">
        <v>30</v>
      </c>
      <c r="M533" t="s">
        <v>58</v>
      </c>
    </row>
    <row r="534" spans="1:13" x14ac:dyDescent="0.35">
      <c r="A534" t="s">
        <v>1182</v>
      </c>
      <c r="B534" s="9">
        <v>46104</v>
      </c>
      <c r="C534" t="s">
        <v>1183</v>
      </c>
      <c r="D534" t="s">
        <v>33</v>
      </c>
      <c r="E534" t="s">
        <v>34</v>
      </c>
      <c r="F534" t="s">
        <v>89</v>
      </c>
      <c r="G534" t="s">
        <v>90</v>
      </c>
      <c r="H534">
        <v>1</v>
      </c>
      <c r="I534" t="s">
        <v>19</v>
      </c>
      <c r="J534" t="s">
        <v>220</v>
      </c>
      <c r="K534">
        <v>640</v>
      </c>
      <c r="L534" t="s">
        <v>30</v>
      </c>
      <c r="M534" t="s">
        <v>22</v>
      </c>
    </row>
    <row r="535" spans="1:13" x14ac:dyDescent="0.35">
      <c r="A535" t="s">
        <v>1184</v>
      </c>
      <c r="B535" s="9">
        <v>46044</v>
      </c>
      <c r="C535" t="s">
        <v>1185</v>
      </c>
      <c r="D535" t="s">
        <v>61</v>
      </c>
      <c r="E535" t="s">
        <v>34</v>
      </c>
      <c r="F535" t="s">
        <v>83</v>
      </c>
      <c r="G535" t="s">
        <v>84</v>
      </c>
      <c r="H535">
        <v>2</v>
      </c>
      <c r="I535" t="s">
        <v>254</v>
      </c>
      <c r="J535" t="s">
        <v>156</v>
      </c>
      <c r="K535">
        <v>340</v>
      </c>
      <c r="L535" t="s">
        <v>30</v>
      </c>
      <c r="M535" t="s">
        <v>22</v>
      </c>
    </row>
    <row r="536" spans="1:13" x14ac:dyDescent="0.35">
      <c r="A536" t="s">
        <v>1186</v>
      </c>
      <c r="B536" s="9">
        <v>46054</v>
      </c>
      <c r="C536" t="s">
        <v>1021</v>
      </c>
      <c r="D536" t="s">
        <v>99</v>
      </c>
      <c r="E536" t="s">
        <v>41</v>
      </c>
      <c r="F536" t="s">
        <v>89</v>
      </c>
      <c r="G536" t="s">
        <v>90</v>
      </c>
      <c r="H536">
        <v>3</v>
      </c>
      <c r="I536" t="s">
        <v>71</v>
      </c>
      <c r="J536" t="s">
        <v>1187</v>
      </c>
      <c r="K536">
        <v>640</v>
      </c>
      <c r="L536" t="s">
        <v>30</v>
      </c>
      <c r="M536" t="s">
        <v>58</v>
      </c>
    </row>
    <row r="537" spans="1:13" x14ac:dyDescent="0.35">
      <c r="A537" t="s">
        <v>1188</v>
      </c>
      <c r="B537" s="9">
        <v>46047</v>
      </c>
      <c r="C537" t="s">
        <v>1189</v>
      </c>
      <c r="D537" t="s">
        <v>99</v>
      </c>
      <c r="E537" t="s">
        <v>34</v>
      </c>
      <c r="F537" t="s">
        <v>74</v>
      </c>
      <c r="G537" t="s">
        <v>75</v>
      </c>
      <c r="H537">
        <v>1</v>
      </c>
      <c r="I537" t="s">
        <v>68</v>
      </c>
      <c r="J537" t="s">
        <v>68</v>
      </c>
      <c r="K537">
        <v>410</v>
      </c>
      <c r="L537" t="s">
        <v>30</v>
      </c>
      <c r="M537" t="s">
        <v>22</v>
      </c>
    </row>
    <row r="538" spans="1:13" x14ac:dyDescent="0.35">
      <c r="A538" t="s">
        <v>1190</v>
      </c>
      <c r="B538" s="9">
        <v>46088</v>
      </c>
      <c r="C538" t="s">
        <v>1191</v>
      </c>
      <c r="D538" t="s">
        <v>116</v>
      </c>
      <c r="E538" t="s">
        <v>67</v>
      </c>
      <c r="F538" t="s">
        <v>89</v>
      </c>
      <c r="G538" t="s">
        <v>90</v>
      </c>
      <c r="H538">
        <v>1</v>
      </c>
      <c r="I538" t="s">
        <v>106</v>
      </c>
      <c r="J538" t="s">
        <v>106</v>
      </c>
      <c r="K538">
        <v>640</v>
      </c>
      <c r="L538" t="s">
        <v>30</v>
      </c>
      <c r="M538" t="s">
        <v>58</v>
      </c>
    </row>
    <row r="539" spans="1:13" x14ac:dyDescent="0.35">
      <c r="A539" t="s">
        <v>1192</v>
      </c>
      <c r="B539" s="9">
        <v>46080</v>
      </c>
      <c r="C539" t="s">
        <v>1066</v>
      </c>
      <c r="D539" t="s">
        <v>66</v>
      </c>
      <c r="E539" t="s">
        <v>25</v>
      </c>
      <c r="F539" t="s">
        <v>35</v>
      </c>
      <c r="G539" t="s">
        <v>36</v>
      </c>
      <c r="H539">
        <v>1</v>
      </c>
      <c r="I539" t="s">
        <v>136</v>
      </c>
      <c r="J539" t="s">
        <v>136</v>
      </c>
      <c r="K539">
        <v>85</v>
      </c>
      <c r="L539" t="s">
        <v>30</v>
      </c>
      <c r="M539" t="s">
        <v>22</v>
      </c>
    </row>
    <row r="540" spans="1:13" x14ac:dyDescent="0.35">
      <c r="A540" t="s">
        <v>1193</v>
      </c>
      <c r="B540" s="9">
        <v>46075</v>
      </c>
      <c r="C540" t="s">
        <v>1194</v>
      </c>
      <c r="D540" t="s">
        <v>46</v>
      </c>
      <c r="E540" t="s">
        <v>16</v>
      </c>
      <c r="F540" t="s">
        <v>89</v>
      </c>
      <c r="G540" t="s">
        <v>90</v>
      </c>
      <c r="H540">
        <v>2</v>
      </c>
      <c r="I540" t="s">
        <v>19</v>
      </c>
      <c r="J540" t="s">
        <v>238</v>
      </c>
      <c r="K540">
        <v>640</v>
      </c>
      <c r="L540" t="s">
        <v>30</v>
      </c>
      <c r="M540" t="s">
        <v>22</v>
      </c>
    </row>
    <row r="541" spans="1:13" x14ac:dyDescent="0.35">
      <c r="A541" t="s">
        <v>1195</v>
      </c>
      <c r="B541" s="9">
        <v>46164</v>
      </c>
      <c r="C541" t="s">
        <v>1196</v>
      </c>
      <c r="D541" t="s">
        <v>40</v>
      </c>
      <c r="E541" t="s">
        <v>25</v>
      </c>
      <c r="F541" t="s">
        <v>35</v>
      </c>
      <c r="G541" t="s">
        <v>36</v>
      </c>
      <c r="H541">
        <v>1</v>
      </c>
      <c r="I541" t="s">
        <v>254</v>
      </c>
      <c r="J541" t="s">
        <v>254</v>
      </c>
      <c r="K541" t="s">
        <v>37</v>
      </c>
      <c r="L541" t="s">
        <v>30</v>
      </c>
      <c r="M541" t="s">
        <v>22</v>
      </c>
    </row>
    <row r="542" spans="1:13" x14ac:dyDescent="0.35">
      <c r="A542" t="s">
        <v>1197</v>
      </c>
      <c r="B542" s="9">
        <v>46078</v>
      </c>
      <c r="C542" t="s">
        <v>378</v>
      </c>
      <c r="D542" t="s">
        <v>66</v>
      </c>
      <c r="E542" t="s">
        <v>67</v>
      </c>
      <c r="F542" t="s">
        <v>74</v>
      </c>
      <c r="G542" t="s">
        <v>75</v>
      </c>
      <c r="H542">
        <v>2</v>
      </c>
      <c r="I542" t="s">
        <v>136</v>
      </c>
      <c r="J542" t="s">
        <v>164</v>
      </c>
      <c r="K542">
        <v>410</v>
      </c>
      <c r="L542" t="s">
        <v>21</v>
      </c>
      <c r="M542" t="s">
        <v>58</v>
      </c>
    </row>
    <row r="543" spans="1:13" x14ac:dyDescent="0.35">
      <c r="A543" t="s">
        <v>1198</v>
      </c>
      <c r="B543" s="9">
        <v>46071</v>
      </c>
      <c r="C543" t="s">
        <v>1199</v>
      </c>
      <c r="D543" t="s">
        <v>46</v>
      </c>
      <c r="E543" t="s">
        <v>16</v>
      </c>
      <c r="F543" t="s">
        <v>74</v>
      </c>
      <c r="G543" t="s">
        <v>75</v>
      </c>
      <c r="H543">
        <v>2</v>
      </c>
      <c r="I543" t="s">
        <v>102</v>
      </c>
      <c r="J543" t="s">
        <v>181</v>
      </c>
      <c r="K543">
        <v>410</v>
      </c>
      <c r="L543" t="s">
        <v>30</v>
      </c>
      <c r="M543" t="s">
        <v>22</v>
      </c>
    </row>
    <row r="544" spans="1:13" x14ac:dyDescent="0.35">
      <c r="A544" t="s">
        <v>1200</v>
      </c>
      <c r="B544" s="9">
        <v>46204</v>
      </c>
      <c r="C544" t="s">
        <v>313</v>
      </c>
      <c r="D544" t="s">
        <v>94</v>
      </c>
      <c r="E544" t="s">
        <v>41</v>
      </c>
      <c r="F544" t="s">
        <v>35</v>
      </c>
      <c r="G544" t="s">
        <v>36</v>
      </c>
      <c r="H544">
        <v>1</v>
      </c>
      <c r="I544" t="s">
        <v>79</v>
      </c>
      <c r="J544" t="s">
        <v>79</v>
      </c>
      <c r="K544" t="s">
        <v>37</v>
      </c>
      <c r="L544" t="s">
        <v>30</v>
      </c>
      <c r="M544" t="s">
        <v>22</v>
      </c>
    </row>
    <row r="545" spans="1:13" x14ac:dyDescent="0.35">
      <c r="A545" t="s">
        <v>1201</v>
      </c>
      <c r="B545" s="9">
        <v>46182</v>
      </c>
      <c r="C545" t="s">
        <v>1202</v>
      </c>
      <c r="D545" t="s">
        <v>53</v>
      </c>
      <c r="E545" t="s">
        <v>25</v>
      </c>
      <c r="F545" t="s">
        <v>35</v>
      </c>
      <c r="G545" t="s">
        <v>36</v>
      </c>
      <c r="H545">
        <v>2</v>
      </c>
      <c r="I545" t="s">
        <v>102</v>
      </c>
      <c r="J545" t="s">
        <v>181</v>
      </c>
      <c r="K545" t="s">
        <v>37</v>
      </c>
      <c r="L545" t="s">
        <v>30</v>
      </c>
      <c r="M545" t="s">
        <v>22</v>
      </c>
    </row>
    <row r="546" spans="1:13" x14ac:dyDescent="0.35">
      <c r="A546" t="s">
        <v>1203</v>
      </c>
      <c r="B546" s="9">
        <v>46093</v>
      </c>
      <c r="C546" t="s">
        <v>1204</v>
      </c>
      <c r="D546" t="s">
        <v>66</v>
      </c>
      <c r="E546" t="s">
        <v>41</v>
      </c>
      <c r="F546" t="s">
        <v>47</v>
      </c>
      <c r="G546" t="s">
        <v>48</v>
      </c>
      <c r="H546">
        <v>2</v>
      </c>
      <c r="I546" t="s">
        <v>136</v>
      </c>
      <c r="J546" t="s">
        <v>164</v>
      </c>
      <c r="K546">
        <v>380</v>
      </c>
      <c r="L546" t="s">
        <v>30</v>
      </c>
      <c r="M546" t="s">
        <v>58</v>
      </c>
    </row>
    <row r="547" spans="1:13" x14ac:dyDescent="0.35">
      <c r="A547" t="s">
        <v>1205</v>
      </c>
      <c r="B547" s="9">
        <v>46070</v>
      </c>
      <c r="C547" t="s">
        <v>225</v>
      </c>
      <c r="D547" t="s">
        <v>94</v>
      </c>
      <c r="E547" t="s">
        <v>34</v>
      </c>
      <c r="F547" t="s">
        <v>47</v>
      </c>
      <c r="G547" t="s">
        <v>48</v>
      </c>
      <c r="H547">
        <v>1</v>
      </c>
      <c r="I547" t="s">
        <v>170</v>
      </c>
      <c r="J547" t="s">
        <v>170</v>
      </c>
      <c r="K547">
        <v>380</v>
      </c>
      <c r="L547" t="s">
        <v>30</v>
      </c>
      <c r="M547" t="s">
        <v>22</v>
      </c>
    </row>
    <row r="548" spans="1:13" x14ac:dyDescent="0.35">
      <c r="A548" t="s">
        <v>1206</v>
      </c>
      <c r="B548" s="9">
        <v>46080</v>
      </c>
      <c r="C548" t="s">
        <v>1207</v>
      </c>
      <c r="D548" t="s">
        <v>46</v>
      </c>
      <c r="E548" t="s">
        <v>25</v>
      </c>
      <c r="F548" t="s">
        <v>89</v>
      </c>
      <c r="G548" t="s">
        <v>90</v>
      </c>
      <c r="H548">
        <v>1</v>
      </c>
      <c r="I548" t="s">
        <v>68</v>
      </c>
      <c r="J548" t="s">
        <v>68</v>
      </c>
      <c r="K548">
        <v>640</v>
      </c>
      <c r="L548" t="s">
        <v>30</v>
      </c>
      <c r="M548" t="s">
        <v>22</v>
      </c>
    </row>
    <row r="549" spans="1:13" x14ac:dyDescent="0.35">
      <c r="A549" t="s">
        <v>1208</v>
      </c>
      <c r="B549" s="9">
        <v>46150</v>
      </c>
      <c r="C549" t="s">
        <v>852</v>
      </c>
      <c r="D549" t="s">
        <v>46</v>
      </c>
      <c r="E549" t="s">
        <v>16</v>
      </c>
      <c r="F549" t="s">
        <v>42</v>
      </c>
      <c r="G549" t="s">
        <v>43</v>
      </c>
      <c r="H549">
        <v>2</v>
      </c>
      <c r="I549" t="s">
        <v>102</v>
      </c>
      <c r="J549" t="s">
        <v>181</v>
      </c>
      <c r="K549" t="s">
        <v>111</v>
      </c>
      <c r="L549" t="s">
        <v>21</v>
      </c>
      <c r="M549" t="s">
        <v>58</v>
      </c>
    </row>
    <row r="550" spans="1:13" x14ac:dyDescent="0.35">
      <c r="A550" t="s">
        <v>1209</v>
      </c>
      <c r="B550" s="9">
        <v>46183</v>
      </c>
      <c r="C550" t="s">
        <v>1210</v>
      </c>
      <c r="D550" t="s">
        <v>33</v>
      </c>
      <c r="E550" t="s">
        <v>67</v>
      </c>
      <c r="F550" t="s">
        <v>89</v>
      </c>
      <c r="G550" t="s">
        <v>90</v>
      </c>
      <c r="H550">
        <v>2</v>
      </c>
      <c r="I550" t="s">
        <v>220</v>
      </c>
      <c r="J550" t="s">
        <v>221</v>
      </c>
      <c r="K550" t="s">
        <v>108</v>
      </c>
      <c r="L550" t="s">
        <v>21</v>
      </c>
      <c r="M550" t="s">
        <v>22</v>
      </c>
    </row>
    <row r="551" spans="1:13" x14ac:dyDescent="0.35">
      <c r="A551" t="s">
        <v>1211</v>
      </c>
      <c r="B551" s="9">
        <v>46117</v>
      </c>
      <c r="C551" t="s">
        <v>1212</v>
      </c>
      <c r="D551" t="s">
        <v>40</v>
      </c>
      <c r="E551" t="s">
        <v>41</v>
      </c>
      <c r="F551" t="s">
        <v>35</v>
      </c>
      <c r="G551" t="s">
        <v>36</v>
      </c>
      <c r="H551">
        <v>1</v>
      </c>
      <c r="I551" t="s">
        <v>1213</v>
      </c>
      <c r="J551" t="s">
        <v>106</v>
      </c>
      <c r="K551">
        <v>85</v>
      </c>
      <c r="L551" t="s">
        <v>30</v>
      </c>
      <c r="M551" t="s">
        <v>58</v>
      </c>
    </row>
    <row r="552" spans="1:13" x14ac:dyDescent="0.35">
      <c r="A552" t="s">
        <v>1214</v>
      </c>
      <c r="B552" s="9">
        <v>46054</v>
      </c>
      <c r="C552" t="s">
        <v>1215</v>
      </c>
      <c r="D552" t="s">
        <v>61</v>
      </c>
      <c r="E552" t="s">
        <v>25</v>
      </c>
      <c r="F552" t="s">
        <v>89</v>
      </c>
      <c r="G552" t="s">
        <v>90</v>
      </c>
      <c r="H552">
        <v>2</v>
      </c>
      <c r="I552" t="s">
        <v>79</v>
      </c>
      <c r="J552" t="s">
        <v>143</v>
      </c>
      <c r="K552">
        <v>640</v>
      </c>
      <c r="L552" t="s">
        <v>21</v>
      </c>
      <c r="M552" t="s">
        <v>22</v>
      </c>
    </row>
    <row r="553" spans="1:13" x14ac:dyDescent="0.35">
      <c r="A553" t="s">
        <v>1216</v>
      </c>
      <c r="B553" s="9">
        <v>46088</v>
      </c>
      <c r="C553" t="s">
        <v>1217</v>
      </c>
      <c r="D553" t="s">
        <v>53</v>
      </c>
      <c r="E553" t="s">
        <v>25</v>
      </c>
      <c r="F553" t="s">
        <v>17</v>
      </c>
      <c r="G553" t="s">
        <v>18</v>
      </c>
      <c r="H553">
        <v>2</v>
      </c>
      <c r="I553" t="s">
        <v>737</v>
      </c>
      <c r="J553" t="s">
        <v>181</v>
      </c>
      <c r="K553">
        <v>520</v>
      </c>
      <c r="L553" t="s">
        <v>21</v>
      </c>
      <c r="M553" t="s">
        <v>58</v>
      </c>
    </row>
    <row r="554" spans="1:13" x14ac:dyDescent="0.35">
      <c r="A554" t="s">
        <v>1218</v>
      </c>
      <c r="B554" s="9">
        <v>46100</v>
      </c>
      <c r="C554" t="s">
        <v>1219</v>
      </c>
      <c r="D554" t="s">
        <v>94</v>
      </c>
      <c r="E554" t="s">
        <v>41</v>
      </c>
      <c r="F554" t="s">
        <v>17</v>
      </c>
      <c r="G554" t="s">
        <v>18</v>
      </c>
      <c r="H554">
        <v>2</v>
      </c>
      <c r="I554" t="s">
        <v>254</v>
      </c>
      <c r="J554" t="s">
        <v>156</v>
      </c>
      <c r="K554">
        <v>520</v>
      </c>
      <c r="L554" t="s">
        <v>21</v>
      </c>
      <c r="M554" t="s">
        <v>22</v>
      </c>
    </row>
    <row r="555" spans="1:13" x14ac:dyDescent="0.35">
      <c r="A555" t="s">
        <v>1220</v>
      </c>
      <c r="B555" s="9">
        <v>46165</v>
      </c>
      <c r="C555" t="s">
        <v>1221</v>
      </c>
      <c r="D555" t="s">
        <v>94</v>
      </c>
      <c r="E555" t="s">
        <v>16</v>
      </c>
      <c r="F555" t="s">
        <v>17</v>
      </c>
      <c r="G555" t="s">
        <v>18</v>
      </c>
      <c r="H555">
        <v>-1</v>
      </c>
      <c r="I555" t="s">
        <v>102</v>
      </c>
      <c r="J555" t="s">
        <v>1136</v>
      </c>
      <c r="K555" t="s">
        <v>29</v>
      </c>
      <c r="L555" t="s">
        <v>30</v>
      </c>
      <c r="M555" t="s">
        <v>22</v>
      </c>
    </row>
    <row r="556" spans="1:13" x14ac:dyDescent="0.35">
      <c r="A556" t="s">
        <v>1222</v>
      </c>
      <c r="B556" s="9">
        <v>46144</v>
      </c>
      <c r="C556" t="s">
        <v>1223</v>
      </c>
      <c r="D556" t="s">
        <v>53</v>
      </c>
      <c r="E556" t="s">
        <v>25</v>
      </c>
      <c r="F556" t="s">
        <v>83</v>
      </c>
      <c r="G556" t="s">
        <v>84</v>
      </c>
      <c r="H556">
        <v>2</v>
      </c>
      <c r="I556" t="s">
        <v>220</v>
      </c>
      <c r="J556" t="s">
        <v>221</v>
      </c>
      <c r="K556" t="s">
        <v>103</v>
      </c>
      <c r="L556" t="s">
        <v>30</v>
      </c>
      <c r="M556" t="s">
        <v>22</v>
      </c>
    </row>
    <row r="557" spans="1:13" x14ac:dyDescent="0.35">
      <c r="A557" t="s">
        <v>1224</v>
      </c>
      <c r="B557" s="9">
        <v>46359</v>
      </c>
      <c r="C557" t="s">
        <v>1076</v>
      </c>
      <c r="D557" t="s">
        <v>40</v>
      </c>
      <c r="E557" t="s">
        <v>41</v>
      </c>
      <c r="F557" t="s">
        <v>47</v>
      </c>
      <c r="G557" t="s">
        <v>48</v>
      </c>
      <c r="H557">
        <v>3</v>
      </c>
      <c r="I557" t="s">
        <v>71</v>
      </c>
      <c r="J557" t="s">
        <v>1225</v>
      </c>
      <c r="K557">
        <v>380</v>
      </c>
      <c r="L557" t="s">
        <v>30</v>
      </c>
      <c r="M557" t="s">
        <v>58</v>
      </c>
    </row>
    <row r="558" spans="1:13" x14ac:dyDescent="0.35">
      <c r="A558" t="s">
        <v>1226</v>
      </c>
      <c r="B558" s="9">
        <v>46116</v>
      </c>
      <c r="C558" t="s">
        <v>1227</v>
      </c>
      <c r="D558" t="s">
        <v>66</v>
      </c>
      <c r="E558" t="s">
        <v>34</v>
      </c>
      <c r="F558" t="s">
        <v>47</v>
      </c>
      <c r="G558" t="s">
        <v>48</v>
      </c>
      <c r="H558">
        <v>1</v>
      </c>
      <c r="I558" t="s">
        <v>71</v>
      </c>
      <c r="J558" t="s">
        <v>71</v>
      </c>
      <c r="K558">
        <v>380</v>
      </c>
      <c r="L558" t="s">
        <v>30</v>
      </c>
      <c r="M558" t="s">
        <v>58</v>
      </c>
    </row>
    <row r="559" spans="1:13" x14ac:dyDescent="0.35">
      <c r="A559" t="s">
        <v>1228</v>
      </c>
      <c r="B559" s="9">
        <v>46136</v>
      </c>
      <c r="C559" t="s">
        <v>1229</v>
      </c>
      <c r="D559" t="s">
        <v>46</v>
      </c>
      <c r="E559" t="s">
        <v>67</v>
      </c>
      <c r="F559" t="s">
        <v>42</v>
      </c>
      <c r="G559" t="s">
        <v>43</v>
      </c>
      <c r="H559">
        <v>1</v>
      </c>
      <c r="I559" t="s">
        <v>49</v>
      </c>
      <c r="J559" t="s">
        <v>49</v>
      </c>
      <c r="K559" t="s">
        <v>111</v>
      </c>
      <c r="L559" t="s">
        <v>30</v>
      </c>
      <c r="M559" t="s">
        <v>22</v>
      </c>
    </row>
    <row r="560" spans="1:13" x14ac:dyDescent="0.35">
      <c r="A560" t="s">
        <v>1230</v>
      </c>
      <c r="B560" s="9">
        <v>46186</v>
      </c>
      <c r="C560" t="s">
        <v>1231</v>
      </c>
      <c r="D560" t="s">
        <v>116</v>
      </c>
      <c r="E560" t="s">
        <v>34</v>
      </c>
      <c r="F560" t="s">
        <v>35</v>
      </c>
      <c r="G560" t="s">
        <v>36</v>
      </c>
      <c r="H560">
        <v>1</v>
      </c>
      <c r="I560" t="s">
        <v>132</v>
      </c>
      <c r="J560" t="s">
        <v>132</v>
      </c>
      <c r="K560" t="s">
        <v>37</v>
      </c>
      <c r="L560" t="s">
        <v>21</v>
      </c>
      <c r="M560" t="s">
        <v>22</v>
      </c>
    </row>
    <row r="561" spans="1:13" x14ac:dyDescent="0.35">
      <c r="A561" t="s">
        <v>1232</v>
      </c>
      <c r="B561" s="9">
        <v>46080</v>
      </c>
      <c r="C561" t="s">
        <v>1233</v>
      </c>
      <c r="D561" t="s">
        <v>66</v>
      </c>
      <c r="E561" t="s">
        <v>34</v>
      </c>
      <c r="F561" t="s">
        <v>26</v>
      </c>
      <c r="G561" t="s">
        <v>27</v>
      </c>
      <c r="H561">
        <v>1</v>
      </c>
      <c r="I561" t="s">
        <v>71</v>
      </c>
      <c r="J561" t="s">
        <v>71</v>
      </c>
      <c r="K561">
        <v>520</v>
      </c>
      <c r="L561" t="s">
        <v>21</v>
      </c>
      <c r="M561" t="s">
        <v>58</v>
      </c>
    </row>
    <row r="562" spans="1:13" x14ac:dyDescent="0.35">
      <c r="A562" t="s">
        <v>1234</v>
      </c>
      <c r="B562" s="9">
        <v>46191</v>
      </c>
      <c r="C562" t="s">
        <v>1235</v>
      </c>
      <c r="D562" t="s">
        <v>53</v>
      </c>
      <c r="E562" t="s">
        <v>34</v>
      </c>
      <c r="F562" t="s">
        <v>26</v>
      </c>
      <c r="G562" t="s">
        <v>27</v>
      </c>
      <c r="H562">
        <v>2</v>
      </c>
      <c r="I562" t="s">
        <v>71</v>
      </c>
      <c r="J562" t="s">
        <v>286</v>
      </c>
      <c r="K562" t="s">
        <v>29</v>
      </c>
      <c r="L562" t="s">
        <v>30</v>
      </c>
      <c r="M562" t="s">
        <v>22</v>
      </c>
    </row>
    <row r="563" spans="1:13" x14ac:dyDescent="0.35">
      <c r="A563" t="s">
        <v>1236</v>
      </c>
      <c r="B563" s="9">
        <v>46120</v>
      </c>
      <c r="C563" t="s">
        <v>1237</v>
      </c>
      <c r="D563" t="s">
        <v>116</v>
      </c>
      <c r="E563" t="s">
        <v>41</v>
      </c>
      <c r="F563" t="s">
        <v>74</v>
      </c>
      <c r="G563" t="s">
        <v>75</v>
      </c>
      <c r="H563">
        <v>2</v>
      </c>
      <c r="I563" t="s">
        <v>132</v>
      </c>
      <c r="J563" t="s">
        <v>133</v>
      </c>
      <c r="K563">
        <v>410</v>
      </c>
      <c r="L563" t="s">
        <v>30</v>
      </c>
      <c r="M563" t="s">
        <v>22</v>
      </c>
    </row>
    <row r="564" spans="1:13" x14ac:dyDescent="0.35">
      <c r="A564" t="s">
        <v>1238</v>
      </c>
      <c r="B564" s="9">
        <v>46170</v>
      </c>
      <c r="C564" t="s">
        <v>1239</v>
      </c>
      <c r="D564" t="s">
        <v>15</v>
      </c>
      <c r="E564" t="s">
        <v>16</v>
      </c>
      <c r="F564" t="s">
        <v>47</v>
      </c>
      <c r="G564" t="s">
        <v>48</v>
      </c>
      <c r="H564">
        <v>2</v>
      </c>
      <c r="I564" t="s">
        <v>588</v>
      </c>
      <c r="J564" t="s">
        <v>63</v>
      </c>
      <c r="K564" t="s">
        <v>50</v>
      </c>
      <c r="L564" t="s">
        <v>30</v>
      </c>
      <c r="M564" t="s">
        <v>22</v>
      </c>
    </row>
    <row r="565" spans="1:13" x14ac:dyDescent="0.35">
      <c r="A565" t="s">
        <v>1240</v>
      </c>
      <c r="B565" s="9">
        <v>46175</v>
      </c>
      <c r="C565" t="s">
        <v>1241</v>
      </c>
      <c r="D565" t="s">
        <v>61</v>
      </c>
      <c r="E565" t="s">
        <v>41</v>
      </c>
      <c r="F565" t="s">
        <v>83</v>
      </c>
      <c r="G565" t="s">
        <v>84</v>
      </c>
      <c r="H565">
        <v>1</v>
      </c>
      <c r="I565" t="s">
        <v>106</v>
      </c>
      <c r="J565" t="s">
        <v>62</v>
      </c>
      <c r="K565" t="s">
        <v>103</v>
      </c>
      <c r="L565" t="s">
        <v>30</v>
      </c>
      <c r="M565" t="s">
        <v>58</v>
      </c>
    </row>
    <row r="566" spans="1:13" x14ac:dyDescent="0.35">
      <c r="A566" t="s">
        <v>1242</v>
      </c>
      <c r="B566" s="9">
        <v>46132</v>
      </c>
      <c r="C566" t="s">
        <v>1243</v>
      </c>
      <c r="D566" t="s">
        <v>15</v>
      </c>
      <c r="E566" t="s">
        <v>16</v>
      </c>
      <c r="F566" t="s">
        <v>42</v>
      </c>
      <c r="G566" t="s">
        <v>43</v>
      </c>
      <c r="H566">
        <v>1</v>
      </c>
      <c r="I566" t="s">
        <v>19</v>
      </c>
      <c r="J566" t="s">
        <v>1244</v>
      </c>
      <c r="K566" t="s">
        <v>111</v>
      </c>
      <c r="L566" t="s">
        <v>30</v>
      </c>
      <c r="M566" t="s">
        <v>58</v>
      </c>
    </row>
    <row r="567" spans="1:13" x14ac:dyDescent="0.35">
      <c r="A567" t="s">
        <v>1245</v>
      </c>
      <c r="B567" s="9">
        <v>46141</v>
      </c>
      <c r="C567" t="s">
        <v>1246</v>
      </c>
      <c r="D567" t="s">
        <v>116</v>
      </c>
      <c r="E567" t="s">
        <v>41</v>
      </c>
      <c r="F567" t="s">
        <v>83</v>
      </c>
      <c r="G567" t="s">
        <v>84</v>
      </c>
      <c r="H567">
        <v>-1</v>
      </c>
      <c r="I567" t="s">
        <v>102</v>
      </c>
      <c r="J567" t="s">
        <v>1136</v>
      </c>
      <c r="K567" t="s">
        <v>103</v>
      </c>
      <c r="L567" t="s">
        <v>30</v>
      </c>
      <c r="M567" t="s">
        <v>22</v>
      </c>
    </row>
    <row r="568" spans="1:13" x14ac:dyDescent="0.35">
      <c r="A568" t="s">
        <v>1247</v>
      </c>
      <c r="B568" s="9">
        <v>46170</v>
      </c>
      <c r="C568" t="s">
        <v>1248</v>
      </c>
      <c r="D568" t="s">
        <v>15</v>
      </c>
      <c r="E568" t="s">
        <v>25</v>
      </c>
      <c r="F568" t="s">
        <v>47</v>
      </c>
      <c r="G568" t="s">
        <v>48</v>
      </c>
      <c r="H568">
        <v>1</v>
      </c>
      <c r="I568" t="s">
        <v>79</v>
      </c>
      <c r="J568" t="s">
        <v>79</v>
      </c>
      <c r="K568" t="s">
        <v>50</v>
      </c>
      <c r="L568" t="s">
        <v>30</v>
      </c>
      <c r="M568" t="s">
        <v>22</v>
      </c>
    </row>
    <row r="569" spans="1:13" x14ac:dyDescent="0.35">
      <c r="A569" t="s">
        <v>1249</v>
      </c>
      <c r="B569" s="9">
        <v>46092</v>
      </c>
      <c r="C569" t="s">
        <v>1250</v>
      </c>
      <c r="D569" t="s">
        <v>94</v>
      </c>
      <c r="E569" t="s">
        <v>16</v>
      </c>
      <c r="F569" t="s">
        <v>83</v>
      </c>
      <c r="G569" t="s">
        <v>84</v>
      </c>
      <c r="H569">
        <v>1</v>
      </c>
      <c r="I569" t="s">
        <v>19</v>
      </c>
      <c r="J569" t="s">
        <v>19</v>
      </c>
      <c r="K569">
        <v>340</v>
      </c>
      <c r="L569" t="s">
        <v>30</v>
      </c>
      <c r="M569" t="s">
        <v>22</v>
      </c>
    </row>
    <row r="570" spans="1:13" x14ac:dyDescent="0.35">
      <c r="A570" t="s">
        <v>1251</v>
      </c>
      <c r="B570" s="9">
        <v>46114</v>
      </c>
      <c r="C570" t="s">
        <v>1252</v>
      </c>
      <c r="D570" t="s">
        <v>99</v>
      </c>
      <c r="E570" t="s">
        <v>16</v>
      </c>
      <c r="F570" t="s">
        <v>26</v>
      </c>
      <c r="G570" t="s">
        <v>27</v>
      </c>
      <c r="H570">
        <v>2</v>
      </c>
      <c r="I570" t="s">
        <v>49</v>
      </c>
      <c r="J570" t="s">
        <v>178</v>
      </c>
      <c r="K570">
        <v>520</v>
      </c>
      <c r="L570" t="s">
        <v>30</v>
      </c>
      <c r="M570" t="s">
        <v>22</v>
      </c>
    </row>
    <row r="571" spans="1:13" x14ac:dyDescent="0.35">
      <c r="A571" t="s">
        <v>1253</v>
      </c>
      <c r="B571" s="9">
        <v>46170</v>
      </c>
      <c r="C571" t="s">
        <v>1254</v>
      </c>
      <c r="D571" t="s">
        <v>94</v>
      </c>
      <c r="E571" t="s">
        <v>16</v>
      </c>
      <c r="F571" t="s">
        <v>74</v>
      </c>
      <c r="G571" t="s">
        <v>75</v>
      </c>
      <c r="H571">
        <v>1</v>
      </c>
      <c r="I571" t="s">
        <v>254</v>
      </c>
      <c r="J571" t="s">
        <v>254</v>
      </c>
      <c r="K571" t="s">
        <v>76</v>
      </c>
      <c r="L571" t="s">
        <v>30</v>
      </c>
      <c r="M571" t="s">
        <v>22</v>
      </c>
    </row>
    <row r="572" spans="1:13" x14ac:dyDescent="0.35">
      <c r="A572" t="s">
        <v>1255</v>
      </c>
      <c r="B572" s="9">
        <v>46186</v>
      </c>
      <c r="C572" t="s">
        <v>1256</v>
      </c>
      <c r="D572" t="s">
        <v>66</v>
      </c>
      <c r="E572" t="s">
        <v>16</v>
      </c>
      <c r="F572" t="s">
        <v>83</v>
      </c>
      <c r="G572" t="s">
        <v>84</v>
      </c>
      <c r="H572">
        <v>2</v>
      </c>
      <c r="I572" t="s">
        <v>28</v>
      </c>
      <c r="J572" t="s">
        <v>316</v>
      </c>
      <c r="K572" t="s">
        <v>103</v>
      </c>
      <c r="L572" t="s">
        <v>30</v>
      </c>
      <c r="M572" t="s">
        <v>22</v>
      </c>
    </row>
    <row r="573" spans="1:13" x14ac:dyDescent="0.35">
      <c r="A573" t="s">
        <v>1257</v>
      </c>
      <c r="B573" s="9">
        <v>46071</v>
      </c>
      <c r="C573" t="s">
        <v>1258</v>
      </c>
      <c r="D573" t="s">
        <v>53</v>
      </c>
      <c r="E573" t="s">
        <v>25</v>
      </c>
      <c r="F573" t="s">
        <v>74</v>
      </c>
      <c r="G573" t="s">
        <v>75</v>
      </c>
      <c r="H573">
        <v>1</v>
      </c>
      <c r="I573" t="s">
        <v>132</v>
      </c>
      <c r="J573" t="s">
        <v>132</v>
      </c>
      <c r="K573">
        <v>410</v>
      </c>
      <c r="L573" t="s">
        <v>30</v>
      </c>
      <c r="M573" t="s">
        <v>22</v>
      </c>
    </row>
    <row r="574" spans="1:13" x14ac:dyDescent="0.35">
      <c r="A574" t="s">
        <v>1259</v>
      </c>
      <c r="B574" s="9">
        <v>46146</v>
      </c>
      <c r="C574" t="s">
        <v>1260</v>
      </c>
      <c r="D574" t="s">
        <v>94</v>
      </c>
      <c r="E574" t="s">
        <v>67</v>
      </c>
      <c r="F574" t="s">
        <v>17</v>
      </c>
      <c r="G574" t="s">
        <v>18</v>
      </c>
      <c r="H574">
        <v>1</v>
      </c>
      <c r="I574" t="s">
        <v>362</v>
      </c>
      <c r="J574" t="s">
        <v>68</v>
      </c>
      <c r="K574" t="s">
        <v>29</v>
      </c>
      <c r="L574" t="s">
        <v>30</v>
      </c>
      <c r="M574" t="s">
        <v>58</v>
      </c>
    </row>
    <row r="575" spans="1:13" x14ac:dyDescent="0.35">
      <c r="A575" t="s">
        <v>1261</v>
      </c>
      <c r="B575" s="9">
        <v>46041</v>
      </c>
      <c r="C575" t="s">
        <v>790</v>
      </c>
      <c r="D575" t="s">
        <v>53</v>
      </c>
      <c r="E575" t="s">
        <v>41</v>
      </c>
      <c r="F575" t="s">
        <v>83</v>
      </c>
      <c r="G575" t="s">
        <v>84</v>
      </c>
      <c r="H575">
        <v>1</v>
      </c>
      <c r="I575" t="s">
        <v>49</v>
      </c>
      <c r="J575" t="s">
        <v>1262</v>
      </c>
      <c r="K575">
        <v>340</v>
      </c>
      <c r="L575" t="s">
        <v>30</v>
      </c>
      <c r="M575" t="s">
        <v>22</v>
      </c>
    </row>
    <row r="576" spans="1:13" x14ac:dyDescent="0.35">
      <c r="A576" t="s">
        <v>1263</v>
      </c>
      <c r="B576" s="9">
        <v>46036</v>
      </c>
      <c r="C576" t="s">
        <v>1264</v>
      </c>
      <c r="D576" t="s">
        <v>40</v>
      </c>
      <c r="E576" t="s">
        <v>67</v>
      </c>
      <c r="F576" t="s">
        <v>74</v>
      </c>
      <c r="G576" t="s">
        <v>75</v>
      </c>
      <c r="H576">
        <v>1</v>
      </c>
      <c r="I576" t="s">
        <v>71</v>
      </c>
      <c r="J576" t="s">
        <v>71</v>
      </c>
      <c r="K576">
        <v>410</v>
      </c>
      <c r="L576" t="s">
        <v>30</v>
      </c>
      <c r="M576" t="s">
        <v>58</v>
      </c>
    </row>
    <row r="577" spans="1:13" x14ac:dyDescent="0.35">
      <c r="A577" t="s">
        <v>1265</v>
      </c>
      <c r="B577" s="9">
        <v>46113</v>
      </c>
      <c r="C577" t="s">
        <v>1266</v>
      </c>
      <c r="D577" t="s">
        <v>33</v>
      </c>
      <c r="E577" t="s">
        <v>16</v>
      </c>
      <c r="F577" t="s">
        <v>47</v>
      </c>
      <c r="G577" t="s">
        <v>48</v>
      </c>
      <c r="H577">
        <v>2</v>
      </c>
      <c r="I577" t="s">
        <v>170</v>
      </c>
      <c r="J577" t="s">
        <v>152</v>
      </c>
      <c r="K577">
        <v>380</v>
      </c>
      <c r="L577" t="s">
        <v>30</v>
      </c>
      <c r="M577" t="s">
        <v>22</v>
      </c>
    </row>
    <row r="578" spans="1:13" x14ac:dyDescent="0.35">
      <c r="A578" t="s">
        <v>1267</v>
      </c>
      <c r="B578" t="s">
        <v>1268</v>
      </c>
      <c r="C578" t="s">
        <v>1269</v>
      </c>
      <c r="D578" t="s">
        <v>53</v>
      </c>
      <c r="E578" t="s">
        <v>25</v>
      </c>
      <c r="F578" t="s">
        <v>74</v>
      </c>
      <c r="G578" t="s">
        <v>75</v>
      </c>
      <c r="H578">
        <v>1</v>
      </c>
      <c r="I578" t="s">
        <v>106</v>
      </c>
      <c r="J578" t="s">
        <v>1270</v>
      </c>
      <c r="K578">
        <v>410</v>
      </c>
      <c r="L578" t="s">
        <v>30</v>
      </c>
      <c r="M578" t="s">
        <v>58</v>
      </c>
    </row>
    <row r="579" spans="1:13" x14ac:dyDescent="0.35">
      <c r="A579" t="s">
        <v>1271</v>
      </c>
      <c r="B579" s="9">
        <v>46067</v>
      </c>
      <c r="C579" t="s">
        <v>1272</v>
      </c>
      <c r="D579" t="s">
        <v>53</v>
      </c>
      <c r="E579" t="s">
        <v>16</v>
      </c>
      <c r="F579" t="s">
        <v>89</v>
      </c>
      <c r="G579" t="s">
        <v>90</v>
      </c>
      <c r="H579">
        <v>2</v>
      </c>
      <c r="I579" t="s">
        <v>136</v>
      </c>
      <c r="J579" t="s">
        <v>164</v>
      </c>
      <c r="K579">
        <v>640</v>
      </c>
      <c r="L579" t="s">
        <v>21</v>
      </c>
      <c r="M579" t="s">
        <v>22</v>
      </c>
    </row>
    <row r="580" spans="1:13" x14ac:dyDescent="0.35">
      <c r="A580" t="s">
        <v>1273</v>
      </c>
      <c r="B580" t="s">
        <v>1274</v>
      </c>
      <c r="C580" t="s">
        <v>1275</v>
      </c>
      <c r="D580" t="s">
        <v>116</v>
      </c>
      <c r="E580" t="s">
        <v>25</v>
      </c>
      <c r="F580" t="s">
        <v>35</v>
      </c>
      <c r="G580" t="s">
        <v>36</v>
      </c>
      <c r="H580">
        <v>3</v>
      </c>
      <c r="I580" t="s">
        <v>106</v>
      </c>
      <c r="J580" t="s">
        <v>160</v>
      </c>
      <c r="K580" t="s">
        <v>37</v>
      </c>
      <c r="L580" t="s">
        <v>30</v>
      </c>
      <c r="M580" t="s">
        <v>22</v>
      </c>
    </row>
    <row r="581" spans="1:13" x14ac:dyDescent="0.35">
      <c r="A581" t="s">
        <v>1276</v>
      </c>
      <c r="B581" s="9">
        <v>46105</v>
      </c>
      <c r="C581" t="s">
        <v>1277</v>
      </c>
      <c r="D581" t="s">
        <v>99</v>
      </c>
      <c r="E581" t="s">
        <v>41</v>
      </c>
      <c r="F581" t="s">
        <v>17</v>
      </c>
      <c r="G581" t="s">
        <v>18</v>
      </c>
      <c r="H581">
        <v>1</v>
      </c>
      <c r="I581" t="s">
        <v>85</v>
      </c>
      <c r="J581" t="s">
        <v>85</v>
      </c>
      <c r="K581">
        <v>520</v>
      </c>
      <c r="L581" t="s">
        <v>30</v>
      </c>
      <c r="M581" t="s">
        <v>58</v>
      </c>
    </row>
    <row r="582" spans="1:13" x14ac:dyDescent="0.35">
      <c r="A582" t="s">
        <v>1278</v>
      </c>
      <c r="B582" s="9">
        <v>46197</v>
      </c>
      <c r="C582" t="s">
        <v>234</v>
      </c>
      <c r="D582" t="s">
        <v>116</v>
      </c>
      <c r="E582" t="s">
        <v>25</v>
      </c>
      <c r="F582" t="s">
        <v>42</v>
      </c>
      <c r="G582" t="s">
        <v>43</v>
      </c>
      <c r="H582">
        <v>1</v>
      </c>
      <c r="I582" t="s">
        <v>608</v>
      </c>
      <c r="J582" t="s">
        <v>132</v>
      </c>
      <c r="K582" t="s">
        <v>111</v>
      </c>
      <c r="L582" t="s">
        <v>30</v>
      </c>
      <c r="M582" t="s">
        <v>22</v>
      </c>
    </row>
    <row r="583" spans="1:13" x14ac:dyDescent="0.35">
      <c r="A583" t="s">
        <v>1279</v>
      </c>
      <c r="B583" s="9">
        <v>46045</v>
      </c>
      <c r="C583" t="s">
        <v>1280</v>
      </c>
      <c r="D583" t="s">
        <v>66</v>
      </c>
      <c r="E583" t="s">
        <v>67</v>
      </c>
      <c r="F583" t="s">
        <v>89</v>
      </c>
      <c r="G583" t="s">
        <v>90</v>
      </c>
      <c r="H583">
        <v>2</v>
      </c>
      <c r="I583" t="s">
        <v>102</v>
      </c>
      <c r="J583" t="s">
        <v>181</v>
      </c>
      <c r="K583">
        <v>640</v>
      </c>
      <c r="L583" t="s">
        <v>21</v>
      </c>
      <c r="M583" t="s">
        <v>22</v>
      </c>
    </row>
    <row r="584" spans="1:13" x14ac:dyDescent="0.35">
      <c r="A584" t="s">
        <v>1281</v>
      </c>
      <c r="B584" s="9">
        <v>46069</v>
      </c>
      <c r="C584" t="s">
        <v>555</v>
      </c>
      <c r="D584" t="s">
        <v>53</v>
      </c>
      <c r="E584" t="s">
        <v>25</v>
      </c>
      <c r="F584" t="s">
        <v>35</v>
      </c>
      <c r="G584" t="s">
        <v>36</v>
      </c>
      <c r="H584">
        <v>2</v>
      </c>
      <c r="I584" t="s">
        <v>1282</v>
      </c>
      <c r="J584" t="s">
        <v>178</v>
      </c>
      <c r="K584">
        <v>85</v>
      </c>
      <c r="L584" t="s">
        <v>21</v>
      </c>
      <c r="M584" t="s">
        <v>22</v>
      </c>
    </row>
    <row r="585" spans="1:13" x14ac:dyDescent="0.35">
      <c r="A585" t="s">
        <v>1283</v>
      </c>
      <c r="B585" s="9">
        <v>46064</v>
      </c>
      <c r="C585" t="s">
        <v>139</v>
      </c>
      <c r="D585" t="s">
        <v>116</v>
      </c>
      <c r="E585" t="s">
        <v>25</v>
      </c>
      <c r="F585" t="s">
        <v>42</v>
      </c>
      <c r="G585" t="s">
        <v>43</v>
      </c>
      <c r="H585">
        <v>2</v>
      </c>
      <c r="I585" t="s">
        <v>68</v>
      </c>
      <c r="J585" t="s">
        <v>248</v>
      </c>
      <c r="K585">
        <v>190</v>
      </c>
      <c r="L585" t="s">
        <v>30</v>
      </c>
      <c r="M585" t="s">
        <v>58</v>
      </c>
    </row>
    <row r="586" spans="1:13" x14ac:dyDescent="0.35">
      <c r="A586" t="s">
        <v>1284</v>
      </c>
      <c r="B586" s="9">
        <v>46081</v>
      </c>
      <c r="C586" t="s">
        <v>1285</v>
      </c>
      <c r="D586" t="s">
        <v>94</v>
      </c>
      <c r="E586" t="s">
        <v>41</v>
      </c>
      <c r="F586" t="s">
        <v>17</v>
      </c>
      <c r="G586" t="s">
        <v>18</v>
      </c>
      <c r="H586">
        <v>2</v>
      </c>
      <c r="I586" t="s">
        <v>645</v>
      </c>
      <c r="J586" t="s">
        <v>181</v>
      </c>
      <c r="K586">
        <v>520</v>
      </c>
      <c r="L586" t="s">
        <v>30</v>
      </c>
      <c r="M586" t="s">
        <v>58</v>
      </c>
    </row>
    <row r="587" spans="1:13" x14ac:dyDescent="0.35">
      <c r="A587" t="s">
        <v>1286</v>
      </c>
      <c r="B587" s="9">
        <v>46134</v>
      </c>
      <c r="C587" t="s">
        <v>1287</v>
      </c>
      <c r="D587" t="s">
        <v>40</v>
      </c>
      <c r="E587" t="s">
        <v>16</v>
      </c>
      <c r="F587" t="s">
        <v>35</v>
      </c>
      <c r="G587" t="s">
        <v>36</v>
      </c>
      <c r="H587">
        <v>2</v>
      </c>
      <c r="I587" t="s">
        <v>71</v>
      </c>
      <c r="J587" t="s">
        <v>286</v>
      </c>
      <c r="K587" t="s">
        <v>37</v>
      </c>
      <c r="L587" t="s">
        <v>30</v>
      </c>
      <c r="M587" t="s">
        <v>22</v>
      </c>
    </row>
    <row r="588" spans="1:13" x14ac:dyDescent="0.35">
      <c r="A588" t="s">
        <v>1288</v>
      </c>
      <c r="B588" s="9">
        <v>46092</v>
      </c>
      <c r="C588" t="s">
        <v>1289</v>
      </c>
      <c r="D588" t="s">
        <v>33</v>
      </c>
      <c r="E588" t="s">
        <v>67</v>
      </c>
      <c r="F588" t="s">
        <v>83</v>
      </c>
      <c r="G588" t="s">
        <v>84</v>
      </c>
      <c r="H588">
        <v>1</v>
      </c>
      <c r="I588" t="s">
        <v>71</v>
      </c>
      <c r="J588" t="s">
        <v>71</v>
      </c>
      <c r="K588">
        <v>340</v>
      </c>
      <c r="L588" t="s">
        <v>30</v>
      </c>
      <c r="M588" t="s">
        <v>22</v>
      </c>
    </row>
    <row r="589" spans="1:13" x14ac:dyDescent="0.35">
      <c r="A589" t="s">
        <v>1290</v>
      </c>
      <c r="B589" t="s">
        <v>1291</v>
      </c>
      <c r="C589" t="s">
        <v>1292</v>
      </c>
      <c r="D589" t="s">
        <v>66</v>
      </c>
      <c r="E589" t="s">
        <v>41</v>
      </c>
      <c r="F589" t="s">
        <v>74</v>
      </c>
      <c r="G589" t="s">
        <v>75</v>
      </c>
      <c r="H589">
        <v>3</v>
      </c>
      <c r="I589" t="s">
        <v>132</v>
      </c>
      <c r="J589" t="s">
        <v>232</v>
      </c>
      <c r="K589" t="s">
        <v>76</v>
      </c>
      <c r="L589" t="s">
        <v>30</v>
      </c>
      <c r="M589" t="s">
        <v>22</v>
      </c>
    </row>
    <row r="590" spans="1:13" x14ac:dyDescent="0.35">
      <c r="A590" t="s">
        <v>1293</v>
      </c>
      <c r="B590" t="s">
        <v>1294</v>
      </c>
      <c r="C590" t="s">
        <v>1260</v>
      </c>
      <c r="D590" t="s">
        <v>116</v>
      </c>
      <c r="E590" t="s">
        <v>34</v>
      </c>
      <c r="F590" t="s">
        <v>42</v>
      </c>
      <c r="G590" t="s">
        <v>43</v>
      </c>
      <c r="H590">
        <v>2</v>
      </c>
      <c r="I590" t="s">
        <v>220</v>
      </c>
      <c r="J590" t="s">
        <v>221</v>
      </c>
      <c r="K590" t="s">
        <v>111</v>
      </c>
      <c r="L590" t="s">
        <v>30</v>
      </c>
      <c r="M590" t="s">
        <v>22</v>
      </c>
    </row>
    <row r="591" spans="1:13" x14ac:dyDescent="0.35">
      <c r="A591" t="s">
        <v>1295</v>
      </c>
      <c r="B591" s="9">
        <v>46192</v>
      </c>
      <c r="C591" t="s">
        <v>1296</v>
      </c>
      <c r="D591" t="s">
        <v>15</v>
      </c>
      <c r="E591" t="s">
        <v>34</v>
      </c>
      <c r="F591" t="s">
        <v>83</v>
      </c>
      <c r="G591" t="s">
        <v>84</v>
      </c>
      <c r="H591">
        <v>3</v>
      </c>
      <c r="I591" t="s">
        <v>106</v>
      </c>
      <c r="J591" t="s">
        <v>160</v>
      </c>
      <c r="K591" t="s">
        <v>103</v>
      </c>
      <c r="L591" t="s">
        <v>21</v>
      </c>
      <c r="M591" t="s">
        <v>22</v>
      </c>
    </row>
    <row r="592" spans="1:13" x14ac:dyDescent="0.35">
      <c r="A592" t="s">
        <v>1297</v>
      </c>
      <c r="B592" s="9">
        <v>46140</v>
      </c>
      <c r="C592" t="s">
        <v>1298</v>
      </c>
      <c r="D592" t="s">
        <v>94</v>
      </c>
      <c r="E592" t="s">
        <v>67</v>
      </c>
      <c r="F592" t="s">
        <v>35</v>
      </c>
      <c r="G592" t="s">
        <v>36</v>
      </c>
      <c r="H592">
        <v>3</v>
      </c>
      <c r="I592" t="s">
        <v>132</v>
      </c>
      <c r="J592" t="s">
        <v>232</v>
      </c>
      <c r="K592" t="s">
        <v>37</v>
      </c>
      <c r="L592" t="s">
        <v>30</v>
      </c>
      <c r="M592" t="s">
        <v>22</v>
      </c>
    </row>
    <row r="593" spans="1:13" x14ac:dyDescent="0.35">
      <c r="A593" t="s">
        <v>1299</v>
      </c>
      <c r="B593" s="9">
        <v>46082</v>
      </c>
      <c r="C593" t="s">
        <v>1300</v>
      </c>
      <c r="D593" t="s">
        <v>33</v>
      </c>
      <c r="E593" t="s">
        <v>25</v>
      </c>
      <c r="F593" t="s">
        <v>89</v>
      </c>
      <c r="G593" t="s">
        <v>90</v>
      </c>
      <c r="H593">
        <v>3</v>
      </c>
      <c r="I593" t="s">
        <v>136</v>
      </c>
      <c r="J593" t="s">
        <v>137</v>
      </c>
      <c r="K593">
        <v>640</v>
      </c>
      <c r="L593" t="s">
        <v>30</v>
      </c>
      <c r="M593" t="s">
        <v>58</v>
      </c>
    </row>
    <row r="594" spans="1:13" x14ac:dyDescent="0.35">
      <c r="A594" t="s">
        <v>1301</v>
      </c>
      <c r="B594" s="9">
        <v>46058</v>
      </c>
      <c r="C594" t="s">
        <v>1302</v>
      </c>
      <c r="D594" t="s">
        <v>40</v>
      </c>
      <c r="E594" t="s">
        <v>34</v>
      </c>
      <c r="F594" t="s">
        <v>42</v>
      </c>
      <c r="G594" t="s">
        <v>43</v>
      </c>
      <c r="H594">
        <v>3</v>
      </c>
      <c r="I594" t="s">
        <v>132</v>
      </c>
      <c r="J594" t="s">
        <v>232</v>
      </c>
      <c r="K594">
        <v>190</v>
      </c>
      <c r="L594" t="s">
        <v>30</v>
      </c>
      <c r="M594" t="s">
        <v>58</v>
      </c>
    </row>
    <row r="595" spans="1:13" x14ac:dyDescent="0.35">
      <c r="A595" t="s">
        <v>1303</v>
      </c>
      <c r="B595" s="9">
        <v>46173</v>
      </c>
      <c r="C595" t="s">
        <v>199</v>
      </c>
      <c r="D595" t="s">
        <v>94</v>
      </c>
      <c r="E595" t="s">
        <v>16</v>
      </c>
      <c r="F595" t="s">
        <v>42</v>
      </c>
      <c r="G595" t="s">
        <v>43</v>
      </c>
      <c r="H595">
        <v>2</v>
      </c>
      <c r="I595" t="s">
        <v>85</v>
      </c>
      <c r="J595" t="s">
        <v>267</v>
      </c>
      <c r="K595" t="s">
        <v>111</v>
      </c>
      <c r="L595" t="s">
        <v>30</v>
      </c>
      <c r="M595" t="s">
        <v>22</v>
      </c>
    </row>
    <row r="596" spans="1:13" x14ac:dyDescent="0.35">
      <c r="A596" t="s">
        <v>1304</v>
      </c>
      <c r="B596" s="9">
        <v>46047</v>
      </c>
      <c r="C596" t="s">
        <v>1305</v>
      </c>
      <c r="D596" t="s">
        <v>33</v>
      </c>
      <c r="E596" t="s">
        <v>67</v>
      </c>
      <c r="F596" t="s">
        <v>35</v>
      </c>
      <c r="G596" t="s">
        <v>36</v>
      </c>
      <c r="H596">
        <v>1</v>
      </c>
      <c r="I596" t="s">
        <v>102</v>
      </c>
      <c r="J596" t="s">
        <v>102</v>
      </c>
      <c r="K596">
        <v>85</v>
      </c>
      <c r="L596" t="s">
        <v>30</v>
      </c>
      <c r="M596" t="s">
        <v>58</v>
      </c>
    </row>
    <row r="597" spans="1:13" x14ac:dyDescent="0.35">
      <c r="A597" t="s">
        <v>1306</v>
      </c>
      <c r="B597" s="9">
        <v>46063</v>
      </c>
      <c r="C597" t="s">
        <v>923</v>
      </c>
      <c r="D597" t="s">
        <v>94</v>
      </c>
      <c r="E597" t="s">
        <v>41</v>
      </c>
      <c r="F597" t="s">
        <v>35</v>
      </c>
      <c r="G597" t="s">
        <v>36</v>
      </c>
      <c r="H597">
        <v>2</v>
      </c>
      <c r="I597" t="s">
        <v>132</v>
      </c>
      <c r="J597" t="s">
        <v>133</v>
      </c>
      <c r="K597">
        <v>85</v>
      </c>
      <c r="L597" t="s">
        <v>30</v>
      </c>
      <c r="M597" t="s">
        <v>22</v>
      </c>
    </row>
    <row r="598" spans="1:13" x14ac:dyDescent="0.35">
      <c r="A598" t="s">
        <v>1307</v>
      </c>
      <c r="B598" s="9">
        <v>46203</v>
      </c>
      <c r="C598" t="s">
        <v>870</v>
      </c>
      <c r="D598" t="s">
        <v>46</v>
      </c>
      <c r="E598" t="s">
        <v>25</v>
      </c>
      <c r="F598" t="s">
        <v>42</v>
      </c>
      <c r="G598" t="s">
        <v>43</v>
      </c>
      <c r="H598">
        <v>1</v>
      </c>
      <c r="I598" t="s">
        <v>645</v>
      </c>
      <c r="J598" t="s">
        <v>102</v>
      </c>
      <c r="K598" t="s">
        <v>111</v>
      </c>
      <c r="L598" t="s">
        <v>30</v>
      </c>
      <c r="M598" t="s">
        <v>58</v>
      </c>
    </row>
    <row r="599" spans="1:13" x14ac:dyDescent="0.35">
      <c r="A599" t="s">
        <v>1308</v>
      </c>
      <c r="B599" s="9">
        <v>46047</v>
      </c>
      <c r="C599" t="s">
        <v>1305</v>
      </c>
      <c r="D599" t="s">
        <v>116</v>
      </c>
      <c r="E599" t="s">
        <v>67</v>
      </c>
      <c r="F599" t="s">
        <v>83</v>
      </c>
      <c r="G599" t="s">
        <v>84</v>
      </c>
      <c r="H599">
        <v>3</v>
      </c>
      <c r="I599" t="s">
        <v>62</v>
      </c>
      <c r="J599" t="s">
        <v>488</v>
      </c>
      <c r="K599">
        <v>340</v>
      </c>
      <c r="L599" t="s">
        <v>30</v>
      </c>
      <c r="M599" t="s">
        <v>58</v>
      </c>
    </row>
    <row r="600" spans="1:13" x14ac:dyDescent="0.35">
      <c r="A600" t="s">
        <v>1309</v>
      </c>
      <c r="B600" t="s">
        <v>259</v>
      </c>
      <c r="C600" t="s">
        <v>1310</v>
      </c>
      <c r="D600" t="s">
        <v>99</v>
      </c>
      <c r="E600" t="s">
        <v>25</v>
      </c>
      <c r="F600" t="s">
        <v>83</v>
      </c>
      <c r="G600" t="s">
        <v>84</v>
      </c>
      <c r="H600">
        <v>2</v>
      </c>
      <c r="I600" t="s">
        <v>19</v>
      </c>
      <c r="J600" t="s">
        <v>238</v>
      </c>
      <c r="K600" t="s">
        <v>103</v>
      </c>
      <c r="L600" t="s">
        <v>21</v>
      </c>
      <c r="M600" t="s">
        <v>22</v>
      </c>
    </row>
    <row r="601" spans="1:13" x14ac:dyDescent="0.35">
      <c r="A601" t="s">
        <v>1311</v>
      </c>
      <c r="B601" s="9">
        <v>46093</v>
      </c>
      <c r="C601" t="s">
        <v>1312</v>
      </c>
      <c r="D601" t="s">
        <v>40</v>
      </c>
      <c r="E601" t="s">
        <v>67</v>
      </c>
      <c r="F601" t="s">
        <v>26</v>
      </c>
      <c r="G601" t="s">
        <v>27</v>
      </c>
      <c r="H601">
        <v>2</v>
      </c>
      <c r="I601" t="s">
        <v>68</v>
      </c>
      <c r="J601" t="s">
        <v>248</v>
      </c>
      <c r="K601">
        <v>520</v>
      </c>
      <c r="L601" t="s">
        <v>30</v>
      </c>
      <c r="M601" t="s">
        <v>22</v>
      </c>
    </row>
    <row r="602" spans="1:13" x14ac:dyDescent="0.35">
      <c r="A602" t="s">
        <v>1313</v>
      </c>
      <c r="B602" s="9">
        <v>46114</v>
      </c>
      <c r="C602" t="s">
        <v>1314</v>
      </c>
      <c r="D602" t="s">
        <v>33</v>
      </c>
      <c r="E602" t="s">
        <v>41</v>
      </c>
      <c r="F602" t="s">
        <v>74</v>
      </c>
      <c r="G602" t="s">
        <v>75</v>
      </c>
      <c r="H602">
        <v>1</v>
      </c>
      <c r="I602" t="s">
        <v>220</v>
      </c>
      <c r="J602" t="s">
        <v>220</v>
      </c>
      <c r="K602">
        <v>410</v>
      </c>
      <c r="L602" t="s">
        <v>30</v>
      </c>
      <c r="M602" t="s">
        <v>22</v>
      </c>
    </row>
    <row r="603" spans="1:13" x14ac:dyDescent="0.35">
      <c r="A603" t="s">
        <v>1315</v>
      </c>
      <c r="B603" s="9">
        <v>46329</v>
      </c>
      <c r="C603" t="s">
        <v>1122</v>
      </c>
      <c r="D603" t="s">
        <v>99</v>
      </c>
      <c r="E603" t="s">
        <v>16</v>
      </c>
      <c r="F603" t="s">
        <v>74</v>
      </c>
      <c r="G603" t="s">
        <v>75</v>
      </c>
      <c r="H603">
        <v>2</v>
      </c>
      <c r="I603" t="s">
        <v>106</v>
      </c>
      <c r="J603" t="s">
        <v>107</v>
      </c>
      <c r="K603">
        <v>410</v>
      </c>
      <c r="L603" t="s">
        <v>21</v>
      </c>
      <c r="M603" t="s">
        <v>22</v>
      </c>
    </row>
    <row r="604" spans="1:13" x14ac:dyDescent="0.35">
      <c r="A604" t="s">
        <v>1316</v>
      </c>
      <c r="B604" s="9">
        <v>46033</v>
      </c>
      <c r="C604" t="s">
        <v>1317</v>
      </c>
      <c r="D604" t="s">
        <v>40</v>
      </c>
      <c r="E604" t="s">
        <v>41</v>
      </c>
      <c r="F604" t="s">
        <v>74</v>
      </c>
      <c r="G604" t="s">
        <v>75</v>
      </c>
      <c r="H604">
        <v>2</v>
      </c>
      <c r="I604" t="s">
        <v>49</v>
      </c>
      <c r="J604" t="s">
        <v>178</v>
      </c>
      <c r="K604">
        <v>410</v>
      </c>
      <c r="L604" t="s">
        <v>30</v>
      </c>
      <c r="M604" t="s">
        <v>22</v>
      </c>
    </row>
    <row r="605" spans="1:13" x14ac:dyDescent="0.35">
      <c r="A605" t="s">
        <v>1318</v>
      </c>
      <c r="B605" s="9">
        <v>46197</v>
      </c>
      <c r="C605" t="s">
        <v>1319</v>
      </c>
      <c r="D605" t="s">
        <v>61</v>
      </c>
      <c r="E605" t="s">
        <v>34</v>
      </c>
      <c r="F605" t="s">
        <v>42</v>
      </c>
      <c r="G605" t="s">
        <v>43</v>
      </c>
      <c r="H605">
        <v>2</v>
      </c>
      <c r="I605" t="s">
        <v>85</v>
      </c>
      <c r="J605" t="s">
        <v>267</v>
      </c>
      <c r="K605" t="s">
        <v>111</v>
      </c>
      <c r="L605" t="s">
        <v>30</v>
      </c>
      <c r="M605" t="s">
        <v>22</v>
      </c>
    </row>
    <row r="606" spans="1:13" x14ac:dyDescent="0.35">
      <c r="A606" t="s">
        <v>1320</v>
      </c>
      <c r="B606" s="9">
        <v>46054</v>
      </c>
      <c r="C606" t="s">
        <v>1321</v>
      </c>
      <c r="D606" t="s">
        <v>53</v>
      </c>
      <c r="E606" t="s">
        <v>34</v>
      </c>
      <c r="F606" t="s">
        <v>89</v>
      </c>
      <c r="G606" t="s">
        <v>90</v>
      </c>
      <c r="H606">
        <v>-1</v>
      </c>
      <c r="I606" t="s">
        <v>136</v>
      </c>
      <c r="J606" t="s">
        <v>1322</v>
      </c>
      <c r="K606">
        <v>640</v>
      </c>
      <c r="L606" t="s">
        <v>30</v>
      </c>
      <c r="M606" t="s">
        <v>22</v>
      </c>
    </row>
    <row r="607" spans="1:13" x14ac:dyDescent="0.35">
      <c r="A607" t="s">
        <v>1323</v>
      </c>
      <c r="B607" s="9">
        <v>46035</v>
      </c>
      <c r="C607" t="s">
        <v>1324</v>
      </c>
      <c r="D607" t="s">
        <v>66</v>
      </c>
      <c r="E607" t="s">
        <v>16</v>
      </c>
      <c r="F607" t="s">
        <v>35</v>
      </c>
      <c r="G607" t="s">
        <v>36</v>
      </c>
      <c r="H607">
        <v>2</v>
      </c>
      <c r="I607" t="s">
        <v>79</v>
      </c>
      <c r="J607" t="s">
        <v>143</v>
      </c>
      <c r="K607">
        <v>85</v>
      </c>
      <c r="L607" t="s">
        <v>30</v>
      </c>
      <c r="M607" t="s">
        <v>22</v>
      </c>
    </row>
    <row r="608" spans="1:13" x14ac:dyDescent="0.35">
      <c r="A608" t="s">
        <v>1325</v>
      </c>
      <c r="B608" s="9">
        <v>46202</v>
      </c>
      <c r="C608" t="s">
        <v>1189</v>
      </c>
      <c r="D608" t="s">
        <v>46</v>
      </c>
      <c r="E608" t="s">
        <v>16</v>
      </c>
      <c r="F608" t="s">
        <v>83</v>
      </c>
      <c r="G608" t="s">
        <v>84</v>
      </c>
      <c r="H608">
        <v>2</v>
      </c>
      <c r="I608" t="s">
        <v>19</v>
      </c>
      <c r="J608" t="s">
        <v>238</v>
      </c>
      <c r="K608" t="s">
        <v>103</v>
      </c>
      <c r="L608" t="s">
        <v>21</v>
      </c>
      <c r="M608" t="s">
        <v>22</v>
      </c>
    </row>
    <row r="609" spans="1:13" x14ac:dyDescent="0.35">
      <c r="A609" t="s">
        <v>1326</v>
      </c>
      <c r="B609" s="9">
        <v>46078</v>
      </c>
      <c r="C609" t="s">
        <v>852</v>
      </c>
      <c r="D609" t="s">
        <v>40</v>
      </c>
      <c r="E609" t="s">
        <v>16</v>
      </c>
      <c r="F609" t="s">
        <v>26</v>
      </c>
      <c r="G609" t="s">
        <v>27</v>
      </c>
      <c r="H609">
        <v>2</v>
      </c>
      <c r="I609" t="s">
        <v>56</v>
      </c>
      <c r="J609" t="s">
        <v>193</v>
      </c>
      <c r="K609">
        <v>520</v>
      </c>
      <c r="L609" t="s">
        <v>30</v>
      </c>
      <c r="M609" t="s">
        <v>58</v>
      </c>
    </row>
    <row r="610" spans="1:13" x14ac:dyDescent="0.35">
      <c r="A610" t="s">
        <v>1327</v>
      </c>
      <c r="B610" s="9">
        <v>46100</v>
      </c>
      <c r="C610" t="s">
        <v>1133</v>
      </c>
      <c r="D610" t="s">
        <v>33</v>
      </c>
      <c r="E610" t="s">
        <v>67</v>
      </c>
      <c r="F610" t="s">
        <v>26</v>
      </c>
      <c r="G610" t="s">
        <v>27</v>
      </c>
      <c r="H610">
        <v>2</v>
      </c>
      <c r="I610" t="s">
        <v>132</v>
      </c>
      <c r="J610" t="s">
        <v>133</v>
      </c>
      <c r="K610">
        <v>520</v>
      </c>
      <c r="L610" t="s">
        <v>30</v>
      </c>
      <c r="M610" t="s">
        <v>22</v>
      </c>
    </row>
    <row r="611" spans="1:13" x14ac:dyDescent="0.35">
      <c r="A611" t="s">
        <v>1328</v>
      </c>
      <c r="B611" s="9">
        <v>46199</v>
      </c>
      <c r="C611" t="s">
        <v>1329</v>
      </c>
      <c r="D611" t="s">
        <v>94</v>
      </c>
      <c r="E611" t="s">
        <v>41</v>
      </c>
      <c r="F611" t="s">
        <v>35</v>
      </c>
      <c r="G611" t="s">
        <v>36</v>
      </c>
      <c r="H611">
        <v>1</v>
      </c>
      <c r="I611" t="s">
        <v>68</v>
      </c>
      <c r="J611" t="s">
        <v>68</v>
      </c>
      <c r="K611" t="s">
        <v>37</v>
      </c>
      <c r="L611" t="s">
        <v>30</v>
      </c>
      <c r="M611" t="s">
        <v>58</v>
      </c>
    </row>
    <row r="612" spans="1:13" x14ac:dyDescent="0.35">
      <c r="A612" t="s">
        <v>1330</v>
      </c>
      <c r="B612" s="9">
        <v>46144</v>
      </c>
      <c r="C612" t="s">
        <v>1179</v>
      </c>
      <c r="D612" t="s">
        <v>99</v>
      </c>
      <c r="E612" t="s">
        <v>16</v>
      </c>
      <c r="F612" t="s">
        <v>47</v>
      </c>
      <c r="G612" t="s">
        <v>48</v>
      </c>
      <c r="H612">
        <v>3</v>
      </c>
      <c r="I612" t="s">
        <v>71</v>
      </c>
      <c r="J612" t="s">
        <v>379</v>
      </c>
      <c r="K612" t="s">
        <v>50</v>
      </c>
      <c r="L612" t="s">
        <v>30</v>
      </c>
      <c r="M612" t="s">
        <v>22</v>
      </c>
    </row>
    <row r="613" spans="1:13" x14ac:dyDescent="0.35">
      <c r="A613" t="s">
        <v>1331</v>
      </c>
      <c r="B613" s="9">
        <v>46037</v>
      </c>
      <c r="C613" t="s">
        <v>1332</v>
      </c>
      <c r="D613" t="s">
        <v>99</v>
      </c>
      <c r="E613" t="s">
        <v>41</v>
      </c>
      <c r="F613" t="s">
        <v>47</v>
      </c>
      <c r="G613" t="s">
        <v>48</v>
      </c>
      <c r="H613">
        <v>1</v>
      </c>
      <c r="I613" t="s">
        <v>102</v>
      </c>
      <c r="J613" t="s">
        <v>102</v>
      </c>
      <c r="K613">
        <v>380</v>
      </c>
      <c r="L613" t="s">
        <v>21</v>
      </c>
      <c r="M613" t="s">
        <v>22</v>
      </c>
    </row>
    <row r="614" spans="1:13" x14ac:dyDescent="0.35">
      <c r="A614" t="s">
        <v>1333</v>
      </c>
      <c r="B614" s="9">
        <v>46101</v>
      </c>
      <c r="C614" t="s">
        <v>574</v>
      </c>
      <c r="D614" t="s">
        <v>33</v>
      </c>
      <c r="E614" t="s">
        <v>34</v>
      </c>
      <c r="F614" t="s">
        <v>89</v>
      </c>
      <c r="G614" t="s">
        <v>90</v>
      </c>
      <c r="H614">
        <v>2</v>
      </c>
      <c r="I614" t="s">
        <v>170</v>
      </c>
      <c r="J614" t="s">
        <v>152</v>
      </c>
      <c r="K614">
        <v>640</v>
      </c>
      <c r="L614" t="s">
        <v>30</v>
      </c>
      <c r="M614" t="s">
        <v>22</v>
      </c>
    </row>
    <row r="615" spans="1:13" x14ac:dyDescent="0.35">
      <c r="A615" t="s">
        <v>1334</v>
      </c>
      <c r="B615" s="9">
        <v>46029</v>
      </c>
      <c r="C615" t="s">
        <v>1335</v>
      </c>
      <c r="D615" t="s">
        <v>40</v>
      </c>
      <c r="E615" t="s">
        <v>25</v>
      </c>
      <c r="F615" t="s">
        <v>74</v>
      </c>
      <c r="G615" t="s">
        <v>75</v>
      </c>
      <c r="H615">
        <v>1</v>
      </c>
      <c r="I615" t="s">
        <v>62</v>
      </c>
      <c r="J615" t="s">
        <v>1336</v>
      </c>
      <c r="K615">
        <v>410</v>
      </c>
      <c r="L615" t="s">
        <v>30</v>
      </c>
      <c r="M615" t="s">
        <v>22</v>
      </c>
    </row>
    <row r="616" spans="1:13" x14ac:dyDescent="0.35">
      <c r="A616" t="s">
        <v>1337</v>
      </c>
      <c r="B616" s="9">
        <v>46059</v>
      </c>
      <c r="C616" t="s">
        <v>1338</v>
      </c>
      <c r="D616" t="s">
        <v>15</v>
      </c>
      <c r="E616" t="s">
        <v>34</v>
      </c>
      <c r="F616" t="s">
        <v>35</v>
      </c>
      <c r="G616" t="s">
        <v>36</v>
      </c>
      <c r="H616">
        <v>1</v>
      </c>
      <c r="I616" t="s">
        <v>132</v>
      </c>
      <c r="J616" t="s">
        <v>132</v>
      </c>
      <c r="K616" t="s">
        <v>37</v>
      </c>
      <c r="L616" t="s">
        <v>30</v>
      </c>
      <c r="M616" t="s">
        <v>22</v>
      </c>
    </row>
    <row r="617" spans="1:13" x14ac:dyDescent="0.35">
      <c r="A617" t="s">
        <v>1339</v>
      </c>
      <c r="B617" s="9">
        <v>46174</v>
      </c>
      <c r="C617" t="s">
        <v>1340</v>
      </c>
      <c r="D617" t="s">
        <v>116</v>
      </c>
      <c r="E617" t="s">
        <v>25</v>
      </c>
      <c r="F617" t="s">
        <v>47</v>
      </c>
      <c r="G617" t="s">
        <v>48</v>
      </c>
      <c r="H617">
        <v>3</v>
      </c>
      <c r="I617" t="s">
        <v>71</v>
      </c>
      <c r="J617" t="s">
        <v>379</v>
      </c>
      <c r="K617">
        <v>380</v>
      </c>
      <c r="L617" t="s">
        <v>30</v>
      </c>
      <c r="M617" t="s">
        <v>58</v>
      </c>
    </row>
    <row r="618" spans="1:13" x14ac:dyDescent="0.35">
      <c r="A618" t="s">
        <v>1341</v>
      </c>
      <c r="B618" s="9">
        <v>46138</v>
      </c>
      <c r="C618" t="s">
        <v>1342</v>
      </c>
      <c r="D618" t="s">
        <v>94</v>
      </c>
      <c r="E618" t="s">
        <v>41</v>
      </c>
      <c r="F618" t="s">
        <v>74</v>
      </c>
      <c r="G618" t="s">
        <v>75</v>
      </c>
      <c r="H618">
        <v>3</v>
      </c>
      <c r="I618" t="s">
        <v>68</v>
      </c>
      <c r="J618" t="s">
        <v>205</v>
      </c>
      <c r="K618" t="s">
        <v>76</v>
      </c>
      <c r="L618" t="s">
        <v>30</v>
      </c>
      <c r="M618" t="s">
        <v>22</v>
      </c>
    </row>
    <row r="619" spans="1:13" x14ac:dyDescent="0.35">
      <c r="A619" t="s">
        <v>1343</v>
      </c>
      <c r="B619" s="9">
        <v>46145</v>
      </c>
      <c r="C619" t="s">
        <v>547</v>
      </c>
      <c r="D619" t="s">
        <v>94</v>
      </c>
      <c r="E619" t="s">
        <v>34</v>
      </c>
      <c r="F619" t="s">
        <v>42</v>
      </c>
      <c r="G619" t="s">
        <v>43</v>
      </c>
      <c r="H619">
        <v>1</v>
      </c>
      <c r="I619" t="s">
        <v>1344</v>
      </c>
      <c r="J619" t="s">
        <v>136</v>
      </c>
      <c r="K619" t="s">
        <v>111</v>
      </c>
      <c r="L619" t="s">
        <v>30</v>
      </c>
      <c r="M619" t="s">
        <v>22</v>
      </c>
    </row>
    <row r="620" spans="1:13" x14ac:dyDescent="0.35">
      <c r="A620" t="s">
        <v>1345</v>
      </c>
      <c r="B620" t="s">
        <v>935</v>
      </c>
      <c r="C620" t="s">
        <v>1346</v>
      </c>
      <c r="D620" t="s">
        <v>33</v>
      </c>
      <c r="E620" t="s">
        <v>25</v>
      </c>
      <c r="F620" t="s">
        <v>83</v>
      </c>
      <c r="G620" t="s">
        <v>84</v>
      </c>
      <c r="H620">
        <v>3</v>
      </c>
      <c r="I620" t="s">
        <v>102</v>
      </c>
      <c r="J620" t="s">
        <v>1347</v>
      </c>
      <c r="K620">
        <v>340</v>
      </c>
      <c r="L620" t="s">
        <v>30</v>
      </c>
      <c r="M620" t="s">
        <v>58</v>
      </c>
    </row>
    <row r="621" spans="1:13" x14ac:dyDescent="0.35">
      <c r="A621" t="s">
        <v>1348</v>
      </c>
      <c r="B621" s="9">
        <v>46047</v>
      </c>
      <c r="C621" t="s">
        <v>1349</v>
      </c>
      <c r="D621" t="s">
        <v>15</v>
      </c>
      <c r="E621" t="s">
        <v>67</v>
      </c>
      <c r="F621" t="s">
        <v>47</v>
      </c>
      <c r="G621" t="s">
        <v>48</v>
      </c>
      <c r="H621">
        <v>2</v>
      </c>
      <c r="I621" t="s">
        <v>136</v>
      </c>
      <c r="J621" t="s">
        <v>164</v>
      </c>
      <c r="K621">
        <v>380</v>
      </c>
      <c r="L621" t="s">
        <v>30</v>
      </c>
      <c r="M621" t="s">
        <v>22</v>
      </c>
    </row>
    <row r="622" spans="1:13" x14ac:dyDescent="0.35">
      <c r="A622" t="s">
        <v>1350</v>
      </c>
      <c r="B622" s="9">
        <v>46038</v>
      </c>
      <c r="C622" t="s">
        <v>1351</v>
      </c>
      <c r="D622" t="s">
        <v>15</v>
      </c>
      <c r="E622" t="s">
        <v>16</v>
      </c>
      <c r="F622" t="s">
        <v>47</v>
      </c>
      <c r="G622" t="s">
        <v>48</v>
      </c>
      <c r="H622">
        <v>3</v>
      </c>
      <c r="I622" t="s">
        <v>136</v>
      </c>
      <c r="J622" t="s">
        <v>1352</v>
      </c>
      <c r="K622">
        <v>380</v>
      </c>
      <c r="L622" t="s">
        <v>30</v>
      </c>
      <c r="M622" t="s">
        <v>58</v>
      </c>
    </row>
    <row r="623" spans="1:13" x14ac:dyDescent="0.35">
      <c r="A623" t="s">
        <v>1353</v>
      </c>
      <c r="B623" s="9">
        <v>46079</v>
      </c>
      <c r="C623" t="s">
        <v>1354</v>
      </c>
      <c r="D623" t="s">
        <v>53</v>
      </c>
      <c r="E623" t="s">
        <v>67</v>
      </c>
      <c r="F623" t="s">
        <v>89</v>
      </c>
      <c r="G623" t="s">
        <v>90</v>
      </c>
      <c r="H623">
        <v>1</v>
      </c>
      <c r="I623" t="s">
        <v>136</v>
      </c>
      <c r="J623" t="s">
        <v>136</v>
      </c>
      <c r="K623">
        <v>640</v>
      </c>
      <c r="L623" t="s">
        <v>21</v>
      </c>
      <c r="M623" t="s">
        <v>58</v>
      </c>
    </row>
    <row r="624" spans="1:13" x14ac:dyDescent="0.35">
      <c r="A624" t="s">
        <v>1355</v>
      </c>
      <c r="B624" s="9">
        <v>46208</v>
      </c>
      <c r="C624" t="s">
        <v>1356</v>
      </c>
      <c r="D624" t="s">
        <v>99</v>
      </c>
      <c r="E624" t="s">
        <v>67</v>
      </c>
      <c r="F624" t="s">
        <v>89</v>
      </c>
      <c r="G624" t="s">
        <v>90</v>
      </c>
      <c r="H624">
        <v>3</v>
      </c>
      <c r="I624" t="s">
        <v>254</v>
      </c>
      <c r="J624" t="s">
        <v>390</v>
      </c>
      <c r="K624" t="s">
        <v>108</v>
      </c>
      <c r="L624" t="s">
        <v>30</v>
      </c>
      <c r="M624" t="s">
        <v>22</v>
      </c>
    </row>
    <row r="625" spans="1:13" x14ac:dyDescent="0.35">
      <c r="A625" t="s">
        <v>1357</v>
      </c>
      <c r="B625" s="9">
        <v>46103</v>
      </c>
      <c r="C625" t="s">
        <v>1358</v>
      </c>
      <c r="D625" t="s">
        <v>99</v>
      </c>
      <c r="E625" t="s">
        <v>16</v>
      </c>
      <c r="F625" t="s">
        <v>42</v>
      </c>
      <c r="G625" t="s">
        <v>43</v>
      </c>
      <c r="H625">
        <v>1</v>
      </c>
      <c r="I625" t="s">
        <v>102</v>
      </c>
      <c r="J625" t="s">
        <v>102</v>
      </c>
      <c r="K625">
        <v>190</v>
      </c>
      <c r="L625" t="s">
        <v>30</v>
      </c>
      <c r="M625" t="s">
        <v>58</v>
      </c>
    </row>
    <row r="626" spans="1:13" x14ac:dyDescent="0.35">
      <c r="A626" t="s">
        <v>1359</v>
      </c>
      <c r="B626" s="9">
        <v>46047</v>
      </c>
      <c r="C626" t="s">
        <v>1360</v>
      </c>
      <c r="D626" t="s">
        <v>94</v>
      </c>
      <c r="E626" t="s">
        <v>41</v>
      </c>
      <c r="F626" t="s">
        <v>74</v>
      </c>
      <c r="G626" t="s">
        <v>75</v>
      </c>
      <c r="H626">
        <v>2</v>
      </c>
      <c r="I626" t="s">
        <v>56</v>
      </c>
      <c r="J626" t="s">
        <v>697</v>
      </c>
      <c r="K626">
        <v>410</v>
      </c>
      <c r="L626" t="s">
        <v>30</v>
      </c>
      <c r="M626" t="s">
        <v>22</v>
      </c>
    </row>
    <row r="627" spans="1:13" x14ac:dyDescent="0.35">
      <c r="A627" t="s">
        <v>1361</v>
      </c>
      <c r="B627" s="9">
        <v>46150</v>
      </c>
      <c r="C627" t="s">
        <v>1362</v>
      </c>
      <c r="D627" t="s">
        <v>15</v>
      </c>
      <c r="E627" t="s">
        <v>67</v>
      </c>
      <c r="F627" t="s">
        <v>89</v>
      </c>
      <c r="G627" t="s">
        <v>90</v>
      </c>
      <c r="H627">
        <v>1</v>
      </c>
      <c r="I627" t="s">
        <v>85</v>
      </c>
      <c r="J627" t="s">
        <v>85</v>
      </c>
      <c r="K627" t="s">
        <v>108</v>
      </c>
      <c r="L627" t="s">
        <v>21</v>
      </c>
      <c r="M627" t="s">
        <v>22</v>
      </c>
    </row>
    <row r="628" spans="1:13" x14ac:dyDescent="0.35">
      <c r="A628" t="s">
        <v>1363</v>
      </c>
      <c r="B628" s="9">
        <v>46064</v>
      </c>
      <c r="C628" t="s">
        <v>1364</v>
      </c>
      <c r="D628" t="s">
        <v>94</v>
      </c>
      <c r="E628" t="s">
        <v>41</v>
      </c>
      <c r="F628" t="s">
        <v>83</v>
      </c>
      <c r="G628" t="s">
        <v>84</v>
      </c>
      <c r="H628">
        <v>2</v>
      </c>
      <c r="I628" t="s">
        <v>220</v>
      </c>
      <c r="J628" t="s">
        <v>221</v>
      </c>
      <c r="K628">
        <v>340</v>
      </c>
      <c r="L628" t="s">
        <v>30</v>
      </c>
      <c r="M628" t="s">
        <v>22</v>
      </c>
    </row>
    <row r="629" spans="1:13" x14ac:dyDescent="0.35">
      <c r="A629" t="s">
        <v>1365</v>
      </c>
      <c r="B629" s="9">
        <v>46176</v>
      </c>
      <c r="C629" t="s">
        <v>919</v>
      </c>
      <c r="D629" t="s">
        <v>116</v>
      </c>
      <c r="E629" t="s">
        <v>67</v>
      </c>
      <c r="F629" t="s">
        <v>89</v>
      </c>
      <c r="G629" t="s">
        <v>90</v>
      </c>
      <c r="H629">
        <v>2</v>
      </c>
      <c r="I629" t="s">
        <v>56</v>
      </c>
      <c r="J629" t="s">
        <v>193</v>
      </c>
      <c r="K629" t="s">
        <v>108</v>
      </c>
      <c r="L629" t="s">
        <v>30</v>
      </c>
      <c r="M629" t="s">
        <v>58</v>
      </c>
    </row>
    <row r="630" spans="1:13" x14ac:dyDescent="0.35">
      <c r="A630" t="s">
        <v>1366</v>
      </c>
      <c r="B630" s="9">
        <v>46061</v>
      </c>
      <c r="C630" t="s">
        <v>1367</v>
      </c>
      <c r="D630" t="s">
        <v>116</v>
      </c>
      <c r="E630" t="s">
        <v>41</v>
      </c>
      <c r="F630" t="s">
        <v>17</v>
      </c>
      <c r="G630" t="s">
        <v>18</v>
      </c>
      <c r="H630">
        <v>1</v>
      </c>
      <c r="I630" t="s">
        <v>136</v>
      </c>
      <c r="J630" t="s">
        <v>136</v>
      </c>
      <c r="K630">
        <v>520</v>
      </c>
      <c r="L630" t="s">
        <v>30</v>
      </c>
      <c r="M630" t="s">
        <v>58</v>
      </c>
    </row>
    <row r="631" spans="1:13" x14ac:dyDescent="0.35">
      <c r="A631" t="s">
        <v>1368</v>
      </c>
      <c r="B631" s="9">
        <v>46136</v>
      </c>
      <c r="C631" t="s">
        <v>1369</v>
      </c>
      <c r="D631" t="s">
        <v>46</v>
      </c>
      <c r="E631" t="s">
        <v>34</v>
      </c>
      <c r="F631" t="s">
        <v>89</v>
      </c>
      <c r="G631" t="s">
        <v>90</v>
      </c>
      <c r="H631">
        <v>2</v>
      </c>
      <c r="I631" t="s">
        <v>192</v>
      </c>
      <c r="J631" t="s">
        <v>193</v>
      </c>
      <c r="K631" t="s">
        <v>108</v>
      </c>
      <c r="L631" t="s">
        <v>21</v>
      </c>
      <c r="M631" t="s">
        <v>58</v>
      </c>
    </row>
    <row r="632" spans="1:13" x14ac:dyDescent="0.35">
      <c r="A632" t="s">
        <v>1370</v>
      </c>
      <c r="B632" t="s">
        <v>629</v>
      </c>
      <c r="C632" t="s">
        <v>741</v>
      </c>
      <c r="D632" t="s">
        <v>66</v>
      </c>
      <c r="E632" t="s">
        <v>67</v>
      </c>
      <c r="F632" t="s">
        <v>35</v>
      </c>
      <c r="G632" t="s">
        <v>36</v>
      </c>
      <c r="H632">
        <v>1</v>
      </c>
      <c r="I632" t="s">
        <v>49</v>
      </c>
      <c r="J632" t="s">
        <v>49</v>
      </c>
      <c r="K632">
        <v>85</v>
      </c>
      <c r="L632" t="s">
        <v>30</v>
      </c>
      <c r="M632" t="s">
        <v>58</v>
      </c>
    </row>
    <row r="633" spans="1:13" x14ac:dyDescent="0.35">
      <c r="A633" t="s">
        <v>1371</v>
      </c>
      <c r="B633" s="9">
        <v>46097</v>
      </c>
      <c r="C633" t="s">
        <v>1372</v>
      </c>
      <c r="D633" t="s">
        <v>94</v>
      </c>
      <c r="E633" t="s">
        <v>34</v>
      </c>
      <c r="F633" t="s">
        <v>35</v>
      </c>
      <c r="G633" t="s">
        <v>36</v>
      </c>
      <c r="H633">
        <v>2</v>
      </c>
      <c r="I633" t="s">
        <v>19</v>
      </c>
      <c r="J633" t="s">
        <v>238</v>
      </c>
      <c r="K633">
        <v>85</v>
      </c>
      <c r="L633" t="s">
        <v>30</v>
      </c>
      <c r="M633" t="s">
        <v>22</v>
      </c>
    </row>
    <row r="634" spans="1:13" x14ac:dyDescent="0.35">
      <c r="A634" t="s">
        <v>1373</v>
      </c>
      <c r="B634" t="s">
        <v>1374</v>
      </c>
      <c r="C634" t="s">
        <v>1375</v>
      </c>
      <c r="D634" t="s">
        <v>61</v>
      </c>
      <c r="E634" t="s">
        <v>41</v>
      </c>
      <c r="F634" t="s">
        <v>42</v>
      </c>
      <c r="G634" t="s">
        <v>43</v>
      </c>
      <c r="H634">
        <v>3</v>
      </c>
      <c r="I634" t="s">
        <v>68</v>
      </c>
      <c r="J634" t="s">
        <v>205</v>
      </c>
      <c r="K634" t="s">
        <v>111</v>
      </c>
      <c r="L634" t="s">
        <v>30</v>
      </c>
      <c r="M634" t="s">
        <v>58</v>
      </c>
    </row>
    <row r="635" spans="1:13" x14ac:dyDescent="0.35">
      <c r="A635" t="s">
        <v>1376</v>
      </c>
      <c r="B635" s="9">
        <v>46206</v>
      </c>
      <c r="C635" t="s">
        <v>1377</v>
      </c>
      <c r="D635" t="s">
        <v>61</v>
      </c>
      <c r="E635" t="s">
        <v>25</v>
      </c>
      <c r="F635" t="s">
        <v>42</v>
      </c>
      <c r="G635" t="s">
        <v>43</v>
      </c>
      <c r="H635">
        <v>3</v>
      </c>
      <c r="I635" t="s">
        <v>254</v>
      </c>
      <c r="J635" t="s">
        <v>390</v>
      </c>
      <c r="K635" t="s">
        <v>111</v>
      </c>
      <c r="L635" t="s">
        <v>21</v>
      </c>
      <c r="M635" t="s">
        <v>22</v>
      </c>
    </row>
    <row r="636" spans="1:13" x14ac:dyDescent="0.35">
      <c r="A636" t="s">
        <v>1378</v>
      </c>
      <c r="B636" s="9">
        <v>46266</v>
      </c>
      <c r="C636" t="s">
        <v>1379</v>
      </c>
      <c r="D636" t="s">
        <v>40</v>
      </c>
      <c r="E636" t="s">
        <v>25</v>
      </c>
      <c r="F636" t="s">
        <v>89</v>
      </c>
      <c r="G636" t="s">
        <v>90</v>
      </c>
      <c r="H636">
        <v>2</v>
      </c>
      <c r="I636" t="s">
        <v>106</v>
      </c>
      <c r="J636" t="s">
        <v>1380</v>
      </c>
      <c r="K636">
        <v>640</v>
      </c>
      <c r="L636" t="s">
        <v>21</v>
      </c>
      <c r="M636" t="s">
        <v>22</v>
      </c>
    </row>
    <row r="637" spans="1:13" x14ac:dyDescent="0.35">
      <c r="A637" t="s">
        <v>1381</v>
      </c>
      <c r="B637" s="9">
        <v>46115</v>
      </c>
      <c r="C637" t="s">
        <v>1382</v>
      </c>
      <c r="D637" t="s">
        <v>53</v>
      </c>
      <c r="E637" t="s">
        <v>41</v>
      </c>
      <c r="F637" t="s">
        <v>74</v>
      </c>
      <c r="G637" t="s">
        <v>75</v>
      </c>
      <c r="H637">
        <v>1</v>
      </c>
      <c r="I637" t="s">
        <v>68</v>
      </c>
      <c r="J637" t="s">
        <v>68</v>
      </c>
      <c r="K637">
        <v>410</v>
      </c>
      <c r="L637" t="s">
        <v>30</v>
      </c>
      <c r="M637" t="s">
        <v>58</v>
      </c>
    </row>
    <row r="638" spans="1:13" x14ac:dyDescent="0.35">
      <c r="A638" t="s">
        <v>1383</v>
      </c>
      <c r="B638" s="9">
        <v>46191</v>
      </c>
      <c r="C638" t="s">
        <v>794</v>
      </c>
      <c r="D638" t="s">
        <v>94</v>
      </c>
      <c r="E638" t="s">
        <v>25</v>
      </c>
      <c r="F638" t="s">
        <v>47</v>
      </c>
      <c r="G638" t="s">
        <v>48</v>
      </c>
      <c r="H638">
        <v>1</v>
      </c>
      <c r="I638" t="s">
        <v>106</v>
      </c>
      <c r="J638" t="s">
        <v>106</v>
      </c>
      <c r="K638" t="s">
        <v>50</v>
      </c>
      <c r="L638" t="s">
        <v>30</v>
      </c>
      <c r="M638" t="s">
        <v>22</v>
      </c>
    </row>
    <row r="639" spans="1:13" x14ac:dyDescent="0.35">
      <c r="A639" t="s">
        <v>1384</v>
      </c>
      <c r="B639" s="9">
        <v>46113</v>
      </c>
      <c r="C639" t="s">
        <v>1385</v>
      </c>
      <c r="D639" t="s">
        <v>53</v>
      </c>
      <c r="E639" t="s">
        <v>16</v>
      </c>
      <c r="F639" t="s">
        <v>42</v>
      </c>
      <c r="G639" t="s">
        <v>43</v>
      </c>
      <c r="H639">
        <v>1</v>
      </c>
      <c r="I639" t="s">
        <v>106</v>
      </c>
      <c r="J639" t="s">
        <v>106</v>
      </c>
      <c r="K639">
        <v>190</v>
      </c>
      <c r="L639" t="s">
        <v>30</v>
      </c>
      <c r="M639" t="s">
        <v>22</v>
      </c>
    </row>
    <row r="640" spans="1:13" x14ac:dyDescent="0.35">
      <c r="A640" t="s">
        <v>1386</v>
      </c>
      <c r="B640" s="9">
        <v>46129</v>
      </c>
      <c r="C640" t="s">
        <v>1387</v>
      </c>
      <c r="D640" t="s">
        <v>99</v>
      </c>
      <c r="E640" t="s">
        <v>67</v>
      </c>
      <c r="F640" t="s">
        <v>47</v>
      </c>
      <c r="G640" t="s">
        <v>48</v>
      </c>
      <c r="H640">
        <v>2</v>
      </c>
      <c r="I640" t="s">
        <v>254</v>
      </c>
      <c r="J640" t="s">
        <v>156</v>
      </c>
      <c r="K640">
        <v>380</v>
      </c>
      <c r="L640" t="s">
        <v>21</v>
      </c>
      <c r="M640" t="s">
        <v>58</v>
      </c>
    </row>
    <row r="641" spans="1:13" x14ac:dyDescent="0.35">
      <c r="A641" t="s">
        <v>1388</v>
      </c>
      <c r="B641" s="9">
        <v>46148</v>
      </c>
      <c r="C641" t="s">
        <v>611</v>
      </c>
      <c r="D641" t="s">
        <v>94</v>
      </c>
      <c r="E641" t="s">
        <v>25</v>
      </c>
      <c r="F641" t="s">
        <v>42</v>
      </c>
      <c r="G641" t="s">
        <v>43</v>
      </c>
      <c r="H641">
        <v>2</v>
      </c>
      <c r="I641" t="s">
        <v>79</v>
      </c>
      <c r="J641" t="s">
        <v>143</v>
      </c>
      <c r="K641" t="s">
        <v>111</v>
      </c>
      <c r="L641" t="s">
        <v>30</v>
      </c>
      <c r="M641" t="s">
        <v>22</v>
      </c>
    </row>
    <row r="642" spans="1:13" x14ac:dyDescent="0.35">
      <c r="A642" t="s">
        <v>1389</v>
      </c>
      <c r="B642" s="9">
        <v>46095</v>
      </c>
      <c r="C642" t="s">
        <v>1390</v>
      </c>
      <c r="D642" t="s">
        <v>66</v>
      </c>
      <c r="E642" t="s">
        <v>34</v>
      </c>
      <c r="F642" t="s">
        <v>83</v>
      </c>
      <c r="G642" t="s">
        <v>84</v>
      </c>
      <c r="H642">
        <v>2</v>
      </c>
      <c r="I642" t="s">
        <v>132</v>
      </c>
      <c r="J642" t="s">
        <v>133</v>
      </c>
      <c r="K642">
        <v>340</v>
      </c>
      <c r="L642" t="s">
        <v>30</v>
      </c>
      <c r="M642" t="s">
        <v>22</v>
      </c>
    </row>
    <row r="643" spans="1:13" x14ac:dyDescent="0.35">
      <c r="A643" t="s">
        <v>1391</v>
      </c>
      <c r="B643" s="9">
        <v>46055</v>
      </c>
      <c r="C643" t="s">
        <v>1392</v>
      </c>
      <c r="D643" t="s">
        <v>33</v>
      </c>
      <c r="E643" t="s">
        <v>41</v>
      </c>
      <c r="F643" t="s">
        <v>47</v>
      </c>
      <c r="G643" t="s">
        <v>48</v>
      </c>
      <c r="H643">
        <v>1</v>
      </c>
      <c r="I643" t="s">
        <v>71</v>
      </c>
      <c r="J643" t="s">
        <v>71</v>
      </c>
      <c r="K643">
        <v>380</v>
      </c>
      <c r="L643" t="s">
        <v>30</v>
      </c>
      <c r="M643" t="s">
        <v>22</v>
      </c>
    </row>
    <row r="644" spans="1:13" x14ac:dyDescent="0.35">
      <c r="A644" t="s">
        <v>1393</v>
      </c>
      <c r="B644" s="9">
        <v>46031</v>
      </c>
      <c r="C644" t="s">
        <v>1394</v>
      </c>
      <c r="D644" t="s">
        <v>40</v>
      </c>
      <c r="E644" t="s">
        <v>25</v>
      </c>
      <c r="F644" t="s">
        <v>74</v>
      </c>
      <c r="G644" t="s">
        <v>75</v>
      </c>
      <c r="H644">
        <v>2</v>
      </c>
      <c r="I644" t="s">
        <v>500</v>
      </c>
      <c r="J644" t="s">
        <v>221</v>
      </c>
      <c r="K644">
        <v>410</v>
      </c>
      <c r="L644" t="s">
        <v>30</v>
      </c>
      <c r="M644" t="s">
        <v>22</v>
      </c>
    </row>
    <row r="645" spans="1:13" x14ac:dyDescent="0.35">
      <c r="A645" t="s">
        <v>1395</v>
      </c>
      <c r="B645" s="9">
        <v>46115</v>
      </c>
      <c r="C645" t="s">
        <v>147</v>
      </c>
      <c r="D645" t="s">
        <v>46</v>
      </c>
      <c r="E645" t="s">
        <v>16</v>
      </c>
      <c r="F645" t="s">
        <v>83</v>
      </c>
      <c r="G645" t="s">
        <v>84</v>
      </c>
      <c r="H645">
        <v>2</v>
      </c>
      <c r="I645" t="s">
        <v>102</v>
      </c>
      <c r="J645" t="s">
        <v>181</v>
      </c>
      <c r="K645">
        <v>340</v>
      </c>
      <c r="L645" t="s">
        <v>21</v>
      </c>
      <c r="M645" t="s">
        <v>22</v>
      </c>
    </row>
    <row r="646" spans="1:13" x14ac:dyDescent="0.35">
      <c r="A646" t="s">
        <v>1396</v>
      </c>
      <c r="B646" s="9">
        <v>46136</v>
      </c>
      <c r="C646" t="s">
        <v>1367</v>
      </c>
      <c r="D646" t="s">
        <v>66</v>
      </c>
      <c r="E646" t="s">
        <v>25</v>
      </c>
      <c r="F646" t="s">
        <v>17</v>
      </c>
      <c r="G646" t="s">
        <v>18</v>
      </c>
      <c r="H646">
        <v>2</v>
      </c>
      <c r="I646" t="s">
        <v>85</v>
      </c>
      <c r="J646" t="s">
        <v>267</v>
      </c>
      <c r="K646" t="s">
        <v>29</v>
      </c>
      <c r="L646" t="s">
        <v>30</v>
      </c>
      <c r="M646" t="s">
        <v>22</v>
      </c>
    </row>
    <row r="647" spans="1:13" x14ac:dyDescent="0.35">
      <c r="A647" t="s">
        <v>1397</v>
      </c>
      <c r="B647" t="s">
        <v>1398</v>
      </c>
      <c r="C647" t="s">
        <v>1399</v>
      </c>
      <c r="D647" t="s">
        <v>61</v>
      </c>
      <c r="E647" t="s">
        <v>34</v>
      </c>
      <c r="F647" t="s">
        <v>89</v>
      </c>
      <c r="G647" t="s">
        <v>90</v>
      </c>
      <c r="H647">
        <v>1</v>
      </c>
      <c r="I647" t="s">
        <v>71</v>
      </c>
      <c r="J647" t="s">
        <v>71</v>
      </c>
      <c r="K647">
        <v>640</v>
      </c>
      <c r="L647" t="s">
        <v>30</v>
      </c>
      <c r="M647" t="s">
        <v>58</v>
      </c>
    </row>
    <row r="648" spans="1:13" x14ac:dyDescent="0.35">
      <c r="A648" t="s">
        <v>1400</v>
      </c>
      <c r="B648" s="9">
        <v>46040</v>
      </c>
      <c r="C648" t="s">
        <v>1401</v>
      </c>
      <c r="D648" t="s">
        <v>61</v>
      </c>
      <c r="E648" t="s">
        <v>25</v>
      </c>
      <c r="F648" t="s">
        <v>47</v>
      </c>
      <c r="G648" t="s">
        <v>48</v>
      </c>
      <c r="H648">
        <v>3</v>
      </c>
      <c r="I648" t="s">
        <v>102</v>
      </c>
      <c r="J648" t="s">
        <v>127</v>
      </c>
      <c r="K648">
        <v>380</v>
      </c>
      <c r="L648" t="s">
        <v>21</v>
      </c>
      <c r="M648" t="s">
        <v>58</v>
      </c>
    </row>
    <row r="649" spans="1:13" x14ac:dyDescent="0.35">
      <c r="A649" t="s">
        <v>1402</v>
      </c>
      <c r="B649" s="9">
        <v>46109</v>
      </c>
      <c r="C649" t="s">
        <v>1403</v>
      </c>
      <c r="D649" t="s">
        <v>99</v>
      </c>
      <c r="E649" t="s">
        <v>41</v>
      </c>
      <c r="F649" t="s">
        <v>35</v>
      </c>
      <c r="G649" t="s">
        <v>36</v>
      </c>
      <c r="H649">
        <v>-1</v>
      </c>
      <c r="I649" t="s">
        <v>71</v>
      </c>
      <c r="J649" t="s">
        <v>1404</v>
      </c>
      <c r="K649">
        <v>85</v>
      </c>
      <c r="L649" t="s">
        <v>30</v>
      </c>
      <c r="M649" t="s">
        <v>22</v>
      </c>
    </row>
    <row r="650" spans="1:13" x14ac:dyDescent="0.35">
      <c r="A650" t="s">
        <v>1405</v>
      </c>
      <c r="B650" s="9">
        <v>46163</v>
      </c>
      <c r="C650" t="s">
        <v>1356</v>
      </c>
      <c r="D650" t="s">
        <v>94</v>
      </c>
      <c r="E650" t="s">
        <v>16</v>
      </c>
      <c r="F650" t="s">
        <v>89</v>
      </c>
      <c r="G650" t="s">
        <v>90</v>
      </c>
      <c r="H650">
        <v>1</v>
      </c>
      <c r="I650" t="s">
        <v>28</v>
      </c>
      <c r="J650" t="s">
        <v>28</v>
      </c>
      <c r="K650" t="s">
        <v>108</v>
      </c>
      <c r="L650" t="s">
        <v>30</v>
      </c>
      <c r="M650" t="s">
        <v>22</v>
      </c>
    </row>
    <row r="651" spans="1:13" x14ac:dyDescent="0.35">
      <c r="A651" t="s">
        <v>1406</v>
      </c>
      <c r="B651" s="9">
        <v>46097</v>
      </c>
      <c r="C651" t="s">
        <v>1407</v>
      </c>
      <c r="D651" t="s">
        <v>94</v>
      </c>
      <c r="E651" t="s">
        <v>67</v>
      </c>
      <c r="F651" t="s">
        <v>35</v>
      </c>
      <c r="G651" t="s">
        <v>36</v>
      </c>
      <c r="H651">
        <v>2</v>
      </c>
      <c r="I651" t="s">
        <v>56</v>
      </c>
      <c r="J651" t="s">
        <v>193</v>
      </c>
      <c r="K651">
        <v>85</v>
      </c>
      <c r="L651" t="s">
        <v>30</v>
      </c>
      <c r="M651" t="s">
        <v>22</v>
      </c>
    </row>
    <row r="652" spans="1:13" x14ac:dyDescent="0.35">
      <c r="A652" t="s">
        <v>1408</v>
      </c>
      <c r="B652" s="9">
        <v>46056</v>
      </c>
      <c r="C652" t="s">
        <v>1409</v>
      </c>
      <c r="D652" t="s">
        <v>46</v>
      </c>
      <c r="E652" t="s">
        <v>16</v>
      </c>
      <c r="F652" t="s">
        <v>89</v>
      </c>
      <c r="G652" t="s">
        <v>90</v>
      </c>
      <c r="H652">
        <v>2</v>
      </c>
      <c r="I652" t="s">
        <v>106</v>
      </c>
      <c r="J652" t="s">
        <v>107</v>
      </c>
      <c r="K652">
        <v>640</v>
      </c>
      <c r="L652" t="s">
        <v>21</v>
      </c>
      <c r="M652" t="s">
        <v>22</v>
      </c>
    </row>
    <row r="653" spans="1:13" x14ac:dyDescent="0.35">
      <c r="A653" t="s">
        <v>1410</v>
      </c>
      <c r="B653" s="9">
        <v>46091</v>
      </c>
      <c r="C653" t="s">
        <v>1411</v>
      </c>
      <c r="D653" t="s">
        <v>61</v>
      </c>
      <c r="E653" t="s">
        <v>67</v>
      </c>
      <c r="F653" t="s">
        <v>35</v>
      </c>
      <c r="G653" t="s">
        <v>36</v>
      </c>
      <c r="H653">
        <v>2</v>
      </c>
      <c r="I653" t="s">
        <v>71</v>
      </c>
      <c r="J653" t="s">
        <v>286</v>
      </c>
      <c r="K653">
        <v>85</v>
      </c>
      <c r="L653" t="s">
        <v>30</v>
      </c>
      <c r="M653" t="s">
        <v>22</v>
      </c>
    </row>
    <row r="654" spans="1:13" x14ac:dyDescent="0.35">
      <c r="A654" t="s">
        <v>1412</v>
      </c>
      <c r="B654" s="9">
        <v>46029</v>
      </c>
      <c r="C654" t="s">
        <v>990</v>
      </c>
      <c r="D654" t="s">
        <v>40</v>
      </c>
      <c r="E654" t="s">
        <v>34</v>
      </c>
      <c r="F654" t="s">
        <v>35</v>
      </c>
      <c r="G654" t="s">
        <v>36</v>
      </c>
      <c r="H654">
        <v>3</v>
      </c>
      <c r="I654" t="s">
        <v>79</v>
      </c>
      <c r="J654" t="s">
        <v>91</v>
      </c>
      <c r="K654">
        <v>85</v>
      </c>
      <c r="L654" t="s">
        <v>30</v>
      </c>
      <c r="M654" t="s">
        <v>22</v>
      </c>
    </row>
    <row r="655" spans="1:13" x14ac:dyDescent="0.35">
      <c r="A655" t="s">
        <v>1413</v>
      </c>
      <c r="B655" t="s">
        <v>1414</v>
      </c>
      <c r="C655" t="s">
        <v>1415</v>
      </c>
      <c r="D655" t="s">
        <v>40</v>
      </c>
      <c r="E655" t="s">
        <v>25</v>
      </c>
      <c r="F655" t="s">
        <v>83</v>
      </c>
      <c r="G655" t="s">
        <v>84</v>
      </c>
      <c r="H655">
        <v>1</v>
      </c>
      <c r="I655" t="s">
        <v>479</v>
      </c>
      <c r="J655" t="s">
        <v>71</v>
      </c>
      <c r="K655" t="s">
        <v>103</v>
      </c>
      <c r="L655" t="s">
        <v>21</v>
      </c>
      <c r="M655" t="s">
        <v>58</v>
      </c>
    </row>
    <row r="656" spans="1:13" x14ac:dyDescent="0.35">
      <c r="A656" t="s">
        <v>1416</v>
      </c>
      <c r="B656" s="9">
        <v>46026</v>
      </c>
      <c r="C656" t="s">
        <v>1417</v>
      </c>
      <c r="D656" t="s">
        <v>46</v>
      </c>
      <c r="E656" t="s">
        <v>16</v>
      </c>
      <c r="F656" t="s">
        <v>26</v>
      </c>
      <c r="G656" t="s">
        <v>27</v>
      </c>
      <c r="H656">
        <v>1</v>
      </c>
      <c r="I656" t="s">
        <v>68</v>
      </c>
      <c r="J656" t="s">
        <v>68</v>
      </c>
      <c r="K656">
        <v>520</v>
      </c>
      <c r="L656" t="s">
        <v>30</v>
      </c>
      <c r="M656" t="s">
        <v>22</v>
      </c>
    </row>
    <row r="657" spans="1:13" x14ac:dyDescent="0.35">
      <c r="A657" t="s">
        <v>1418</v>
      </c>
      <c r="B657" s="9">
        <v>46133</v>
      </c>
      <c r="C657" t="s">
        <v>1028</v>
      </c>
      <c r="D657" t="s">
        <v>53</v>
      </c>
      <c r="E657" t="s">
        <v>67</v>
      </c>
      <c r="F657" t="s">
        <v>17</v>
      </c>
      <c r="G657" t="s">
        <v>18</v>
      </c>
      <c r="H657">
        <v>1</v>
      </c>
      <c r="I657" t="s">
        <v>1419</v>
      </c>
      <c r="J657" t="s">
        <v>132</v>
      </c>
      <c r="K657" t="s">
        <v>29</v>
      </c>
      <c r="L657" t="s">
        <v>30</v>
      </c>
      <c r="M657" t="s">
        <v>22</v>
      </c>
    </row>
    <row r="658" spans="1:13" x14ac:dyDescent="0.35">
      <c r="A658" t="s">
        <v>1420</v>
      </c>
      <c r="B658" t="s">
        <v>1294</v>
      </c>
      <c r="C658" t="s">
        <v>996</v>
      </c>
      <c r="D658" t="s">
        <v>99</v>
      </c>
      <c r="E658" t="s">
        <v>67</v>
      </c>
      <c r="F658" t="s">
        <v>42</v>
      </c>
      <c r="G658" t="s">
        <v>43</v>
      </c>
      <c r="H658">
        <v>1</v>
      </c>
      <c r="I658" t="s">
        <v>106</v>
      </c>
      <c r="J658" t="s">
        <v>106</v>
      </c>
      <c r="K658" t="s">
        <v>111</v>
      </c>
      <c r="L658" t="s">
        <v>30</v>
      </c>
      <c r="M658" t="s">
        <v>22</v>
      </c>
    </row>
    <row r="659" spans="1:13" x14ac:dyDescent="0.35">
      <c r="A659" t="s">
        <v>1421</v>
      </c>
      <c r="B659" s="9">
        <v>46171</v>
      </c>
      <c r="C659" t="s">
        <v>1422</v>
      </c>
      <c r="D659" t="s">
        <v>94</v>
      </c>
      <c r="E659" t="s">
        <v>34</v>
      </c>
      <c r="F659" t="s">
        <v>74</v>
      </c>
      <c r="G659" t="s">
        <v>75</v>
      </c>
      <c r="H659">
        <v>2</v>
      </c>
      <c r="I659" t="s">
        <v>102</v>
      </c>
      <c r="J659" t="s">
        <v>181</v>
      </c>
      <c r="K659" t="s">
        <v>76</v>
      </c>
      <c r="L659" t="s">
        <v>30</v>
      </c>
      <c r="M659" t="s">
        <v>22</v>
      </c>
    </row>
    <row r="660" spans="1:13" x14ac:dyDescent="0.35">
      <c r="A660" t="s">
        <v>1423</v>
      </c>
      <c r="B660" s="9">
        <v>46149</v>
      </c>
      <c r="C660" t="s">
        <v>1424</v>
      </c>
      <c r="D660" t="s">
        <v>33</v>
      </c>
      <c r="E660" t="s">
        <v>41</v>
      </c>
      <c r="F660" t="s">
        <v>47</v>
      </c>
      <c r="G660" t="s">
        <v>48</v>
      </c>
      <c r="H660">
        <v>1</v>
      </c>
      <c r="I660" t="s">
        <v>220</v>
      </c>
      <c r="J660" t="s">
        <v>1425</v>
      </c>
      <c r="K660" t="s">
        <v>50</v>
      </c>
      <c r="L660" t="s">
        <v>30</v>
      </c>
      <c r="M660" t="s">
        <v>22</v>
      </c>
    </row>
    <row r="661" spans="1:13" x14ac:dyDescent="0.35">
      <c r="A661" t="s">
        <v>1426</v>
      </c>
      <c r="B661" s="9">
        <v>46121</v>
      </c>
      <c r="C661" t="s">
        <v>543</v>
      </c>
      <c r="D661" t="s">
        <v>94</v>
      </c>
      <c r="E661" t="s">
        <v>67</v>
      </c>
      <c r="F661" t="s">
        <v>74</v>
      </c>
      <c r="G661" t="s">
        <v>75</v>
      </c>
      <c r="H661">
        <v>1</v>
      </c>
      <c r="I661" t="s">
        <v>132</v>
      </c>
      <c r="J661" t="s">
        <v>132</v>
      </c>
      <c r="K661">
        <v>410</v>
      </c>
      <c r="L661" t="s">
        <v>30</v>
      </c>
      <c r="M661" t="s">
        <v>22</v>
      </c>
    </row>
    <row r="662" spans="1:13" x14ac:dyDescent="0.35">
      <c r="A662" t="s">
        <v>1427</v>
      </c>
      <c r="B662" s="9">
        <v>46190</v>
      </c>
      <c r="C662" t="s">
        <v>1428</v>
      </c>
      <c r="D662" t="s">
        <v>46</v>
      </c>
      <c r="E662" t="s">
        <v>34</v>
      </c>
      <c r="F662" t="s">
        <v>89</v>
      </c>
      <c r="G662" t="s">
        <v>90</v>
      </c>
      <c r="H662">
        <v>1</v>
      </c>
      <c r="I662" t="s">
        <v>426</v>
      </c>
      <c r="J662" t="s">
        <v>28</v>
      </c>
      <c r="K662" t="s">
        <v>108</v>
      </c>
      <c r="L662" t="s">
        <v>30</v>
      </c>
      <c r="M662" t="s">
        <v>22</v>
      </c>
    </row>
    <row r="663" spans="1:13" x14ac:dyDescent="0.35">
      <c r="A663" t="s">
        <v>1429</v>
      </c>
      <c r="B663" t="s">
        <v>1430</v>
      </c>
      <c r="C663" t="s">
        <v>1431</v>
      </c>
      <c r="D663" t="s">
        <v>99</v>
      </c>
      <c r="E663" t="s">
        <v>16</v>
      </c>
      <c r="F663" t="s">
        <v>17</v>
      </c>
      <c r="G663" t="s">
        <v>18</v>
      </c>
      <c r="H663">
        <v>1</v>
      </c>
      <c r="I663" t="s">
        <v>254</v>
      </c>
      <c r="J663" t="s">
        <v>254</v>
      </c>
      <c r="K663" t="s">
        <v>29</v>
      </c>
      <c r="L663" t="s">
        <v>21</v>
      </c>
      <c r="M663" t="s">
        <v>22</v>
      </c>
    </row>
    <row r="664" spans="1:13" x14ac:dyDescent="0.35">
      <c r="A664" t="s">
        <v>1432</v>
      </c>
      <c r="B664" s="9">
        <v>46062</v>
      </c>
      <c r="C664" t="s">
        <v>1433</v>
      </c>
      <c r="D664" t="s">
        <v>15</v>
      </c>
      <c r="E664" t="s">
        <v>16</v>
      </c>
      <c r="F664" t="s">
        <v>89</v>
      </c>
      <c r="G664" t="s">
        <v>90</v>
      </c>
      <c r="H664">
        <v>1</v>
      </c>
      <c r="I664" t="s">
        <v>71</v>
      </c>
      <c r="J664" t="s">
        <v>71</v>
      </c>
      <c r="K664">
        <v>640</v>
      </c>
      <c r="L664" t="s">
        <v>21</v>
      </c>
      <c r="M664" t="s">
        <v>22</v>
      </c>
    </row>
    <row r="665" spans="1:13" x14ac:dyDescent="0.35">
      <c r="A665" t="s">
        <v>1434</v>
      </c>
      <c r="B665" s="9">
        <v>46105</v>
      </c>
      <c r="C665" t="s">
        <v>1435</v>
      </c>
      <c r="D665" t="s">
        <v>40</v>
      </c>
      <c r="E665" t="s">
        <v>16</v>
      </c>
      <c r="F665" t="s">
        <v>89</v>
      </c>
      <c r="G665" t="s">
        <v>90</v>
      </c>
      <c r="H665">
        <v>2</v>
      </c>
      <c r="I665" t="s">
        <v>102</v>
      </c>
      <c r="J665" t="s">
        <v>181</v>
      </c>
      <c r="K665">
        <v>640</v>
      </c>
      <c r="L665" t="s">
        <v>21</v>
      </c>
      <c r="M665" t="s">
        <v>22</v>
      </c>
    </row>
    <row r="666" spans="1:13" x14ac:dyDescent="0.35">
      <c r="A666" t="s">
        <v>1436</v>
      </c>
      <c r="B666" s="9">
        <v>46131</v>
      </c>
      <c r="C666" t="s">
        <v>1437</v>
      </c>
      <c r="D666" t="s">
        <v>53</v>
      </c>
      <c r="E666" t="s">
        <v>67</v>
      </c>
      <c r="F666" t="s">
        <v>74</v>
      </c>
      <c r="G666" t="s">
        <v>75</v>
      </c>
      <c r="H666">
        <v>1</v>
      </c>
      <c r="I666" t="s">
        <v>79</v>
      </c>
      <c r="J666" t="s">
        <v>79</v>
      </c>
      <c r="K666">
        <v>410</v>
      </c>
      <c r="L666" t="s">
        <v>30</v>
      </c>
      <c r="M666" t="s">
        <v>22</v>
      </c>
    </row>
    <row r="667" spans="1:13" x14ac:dyDescent="0.35">
      <c r="A667" t="s">
        <v>1438</v>
      </c>
      <c r="B667" t="s">
        <v>1439</v>
      </c>
      <c r="C667" t="s">
        <v>1440</v>
      </c>
      <c r="D667" t="s">
        <v>61</v>
      </c>
      <c r="E667" t="s">
        <v>16</v>
      </c>
      <c r="F667" t="s">
        <v>47</v>
      </c>
      <c r="G667" t="s">
        <v>48</v>
      </c>
      <c r="H667">
        <v>2</v>
      </c>
      <c r="I667" t="s">
        <v>254</v>
      </c>
      <c r="J667" t="s">
        <v>156</v>
      </c>
      <c r="K667">
        <v>380</v>
      </c>
      <c r="L667" t="s">
        <v>21</v>
      </c>
      <c r="M667" t="s">
        <v>22</v>
      </c>
    </row>
    <row r="668" spans="1:13" x14ac:dyDescent="0.35">
      <c r="A668" t="s">
        <v>1441</v>
      </c>
      <c r="B668" s="9">
        <v>46128</v>
      </c>
      <c r="C668" t="s">
        <v>1442</v>
      </c>
      <c r="D668" t="s">
        <v>99</v>
      </c>
      <c r="E668" t="s">
        <v>34</v>
      </c>
      <c r="F668" t="s">
        <v>47</v>
      </c>
      <c r="G668" t="s">
        <v>48</v>
      </c>
      <c r="H668">
        <v>3</v>
      </c>
      <c r="I668" t="s">
        <v>49</v>
      </c>
      <c r="J668" t="s">
        <v>257</v>
      </c>
      <c r="K668">
        <v>380</v>
      </c>
      <c r="L668" t="s">
        <v>21</v>
      </c>
      <c r="M668" t="s">
        <v>22</v>
      </c>
    </row>
    <row r="669" spans="1:13" x14ac:dyDescent="0.35">
      <c r="A669" t="s">
        <v>1443</v>
      </c>
      <c r="B669" s="9">
        <v>46087</v>
      </c>
      <c r="C669" t="s">
        <v>1335</v>
      </c>
      <c r="D669" t="s">
        <v>94</v>
      </c>
      <c r="E669" t="s">
        <v>34</v>
      </c>
      <c r="F669" t="s">
        <v>47</v>
      </c>
      <c r="G669" t="s">
        <v>48</v>
      </c>
      <c r="H669">
        <v>1</v>
      </c>
      <c r="I669" t="s">
        <v>608</v>
      </c>
      <c r="J669" t="s">
        <v>132</v>
      </c>
      <c r="K669">
        <v>380</v>
      </c>
      <c r="L669" t="s">
        <v>30</v>
      </c>
      <c r="M669" t="s">
        <v>22</v>
      </c>
    </row>
    <row r="670" spans="1:13" x14ac:dyDescent="0.35">
      <c r="A670" t="s">
        <v>1444</v>
      </c>
      <c r="B670" s="9">
        <v>46178</v>
      </c>
      <c r="C670" t="s">
        <v>1356</v>
      </c>
      <c r="D670" t="s">
        <v>61</v>
      </c>
      <c r="E670" t="s">
        <v>67</v>
      </c>
      <c r="F670" t="s">
        <v>47</v>
      </c>
      <c r="G670" t="s">
        <v>48</v>
      </c>
      <c r="H670">
        <v>1</v>
      </c>
      <c r="I670" t="s">
        <v>102</v>
      </c>
      <c r="J670" t="s">
        <v>1445</v>
      </c>
      <c r="K670" t="s">
        <v>50</v>
      </c>
      <c r="L670" t="s">
        <v>30</v>
      </c>
      <c r="M670" t="s">
        <v>22</v>
      </c>
    </row>
    <row r="671" spans="1:13" x14ac:dyDescent="0.35">
      <c r="A671" t="s">
        <v>1446</v>
      </c>
      <c r="B671" s="9">
        <v>46142</v>
      </c>
      <c r="C671" t="s">
        <v>1447</v>
      </c>
      <c r="D671" t="s">
        <v>94</v>
      </c>
      <c r="E671" t="s">
        <v>67</v>
      </c>
      <c r="F671" t="s">
        <v>42</v>
      </c>
      <c r="G671" t="s">
        <v>43</v>
      </c>
      <c r="H671">
        <v>1</v>
      </c>
      <c r="I671" t="s">
        <v>220</v>
      </c>
      <c r="J671" t="s">
        <v>220</v>
      </c>
      <c r="K671" t="s">
        <v>111</v>
      </c>
      <c r="L671" t="s">
        <v>30</v>
      </c>
      <c r="M671" t="s">
        <v>58</v>
      </c>
    </row>
    <row r="672" spans="1:13" x14ac:dyDescent="0.35">
      <c r="A672" t="s">
        <v>1448</v>
      </c>
      <c r="B672" s="9">
        <v>46047</v>
      </c>
      <c r="C672" t="s">
        <v>1449</v>
      </c>
      <c r="D672" t="s">
        <v>99</v>
      </c>
      <c r="E672" t="s">
        <v>16</v>
      </c>
      <c r="F672" t="s">
        <v>42</v>
      </c>
      <c r="G672" t="s">
        <v>43</v>
      </c>
      <c r="H672">
        <v>1</v>
      </c>
      <c r="I672" t="s">
        <v>106</v>
      </c>
      <c r="J672" t="s">
        <v>106</v>
      </c>
      <c r="K672">
        <v>190</v>
      </c>
      <c r="L672" t="s">
        <v>30</v>
      </c>
      <c r="M672" t="s">
        <v>22</v>
      </c>
    </row>
    <row r="673" spans="1:13" x14ac:dyDescent="0.35">
      <c r="A673" t="s">
        <v>1450</v>
      </c>
      <c r="B673" s="9">
        <v>46127</v>
      </c>
      <c r="C673" t="s">
        <v>1451</v>
      </c>
      <c r="D673" t="s">
        <v>46</v>
      </c>
      <c r="E673" t="s">
        <v>41</v>
      </c>
      <c r="F673" t="s">
        <v>26</v>
      </c>
      <c r="G673" t="s">
        <v>27</v>
      </c>
      <c r="H673">
        <v>1</v>
      </c>
      <c r="I673" t="s">
        <v>71</v>
      </c>
      <c r="J673" t="s">
        <v>71</v>
      </c>
      <c r="K673">
        <v>520</v>
      </c>
      <c r="L673" t="s">
        <v>21</v>
      </c>
      <c r="M673" t="s">
        <v>22</v>
      </c>
    </row>
    <row r="674" spans="1:13" x14ac:dyDescent="0.35">
      <c r="A674" t="s">
        <v>1452</v>
      </c>
      <c r="B674" s="9">
        <v>46185</v>
      </c>
      <c r="C674" t="s">
        <v>1227</v>
      </c>
      <c r="D674" t="s">
        <v>46</v>
      </c>
      <c r="E674" t="s">
        <v>25</v>
      </c>
      <c r="F674" t="s">
        <v>17</v>
      </c>
      <c r="G674" t="s">
        <v>18</v>
      </c>
      <c r="H674">
        <v>2</v>
      </c>
      <c r="I674" t="s">
        <v>106</v>
      </c>
      <c r="J674" t="s">
        <v>107</v>
      </c>
      <c r="K674" t="s">
        <v>29</v>
      </c>
      <c r="L674" t="s">
        <v>21</v>
      </c>
      <c r="M674" t="s">
        <v>22</v>
      </c>
    </row>
    <row r="675" spans="1:13" x14ac:dyDescent="0.35">
      <c r="A675" t="s">
        <v>1453</v>
      </c>
      <c r="B675" s="9">
        <v>46155</v>
      </c>
      <c r="C675" t="s">
        <v>1454</v>
      </c>
      <c r="D675" t="s">
        <v>15</v>
      </c>
      <c r="E675" t="s">
        <v>16</v>
      </c>
      <c r="F675" t="s">
        <v>47</v>
      </c>
      <c r="G675" t="s">
        <v>48</v>
      </c>
      <c r="H675">
        <v>2</v>
      </c>
      <c r="I675" t="s">
        <v>132</v>
      </c>
      <c r="J675" t="s">
        <v>133</v>
      </c>
      <c r="K675" t="s">
        <v>50</v>
      </c>
      <c r="L675" t="s">
        <v>30</v>
      </c>
      <c r="M675" t="s">
        <v>22</v>
      </c>
    </row>
    <row r="676" spans="1:13" x14ac:dyDescent="0.35">
      <c r="A676" t="s">
        <v>1455</v>
      </c>
      <c r="B676" s="9">
        <v>46117</v>
      </c>
      <c r="C676" t="s">
        <v>337</v>
      </c>
      <c r="D676" t="s">
        <v>33</v>
      </c>
      <c r="E676" t="s">
        <v>16</v>
      </c>
      <c r="F676" t="s">
        <v>47</v>
      </c>
      <c r="G676" t="s">
        <v>48</v>
      </c>
      <c r="H676">
        <v>1</v>
      </c>
      <c r="I676" t="s">
        <v>132</v>
      </c>
      <c r="J676" t="s">
        <v>132</v>
      </c>
      <c r="K676">
        <v>380</v>
      </c>
      <c r="L676" t="s">
        <v>30</v>
      </c>
      <c r="M676" t="s">
        <v>22</v>
      </c>
    </row>
    <row r="677" spans="1:13" x14ac:dyDescent="0.35">
      <c r="A677" t="s">
        <v>1456</v>
      </c>
      <c r="B677" s="9">
        <v>46107</v>
      </c>
      <c r="C677" t="s">
        <v>1457</v>
      </c>
      <c r="D677" t="s">
        <v>99</v>
      </c>
      <c r="E677" t="s">
        <v>67</v>
      </c>
      <c r="F677" t="s">
        <v>35</v>
      </c>
      <c r="G677" t="s">
        <v>36</v>
      </c>
      <c r="H677">
        <v>1</v>
      </c>
      <c r="I677" t="s">
        <v>737</v>
      </c>
      <c r="J677" t="s">
        <v>102</v>
      </c>
      <c r="K677">
        <v>85</v>
      </c>
      <c r="L677" t="s">
        <v>30</v>
      </c>
      <c r="M677" t="s">
        <v>22</v>
      </c>
    </row>
    <row r="678" spans="1:13" x14ac:dyDescent="0.35">
      <c r="A678" t="s">
        <v>1458</v>
      </c>
      <c r="B678" s="9">
        <v>46075</v>
      </c>
      <c r="C678" t="s">
        <v>1459</v>
      </c>
      <c r="D678" t="s">
        <v>94</v>
      </c>
      <c r="E678" t="s">
        <v>16</v>
      </c>
      <c r="F678" t="s">
        <v>89</v>
      </c>
      <c r="G678" t="s">
        <v>90</v>
      </c>
      <c r="H678">
        <v>1</v>
      </c>
      <c r="I678" t="s">
        <v>132</v>
      </c>
      <c r="J678" t="s">
        <v>132</v>
      </c>
      <c r="K678">
        <v>640</v>
      </c>
      <c r="L678" t="s">
        <v>30</v>
      </c>
      <c r="M678" t="s">
        <v>22</v>
      </c>
    </row>
    <row r="679" spans="1:13" x14ac:dyDescent="0.35">
      <c r="A679" t="s">
        <v>1460</v>
      </c>
      <c r="B679" s="9">
        <v>46074</v>
      </c>
      <c r="C679" t="s">
        <v>1461</v>
      </c>
      <c r="D679" t="s">
        <v>99</v>
      </c>
      <c r="E679" t="s">
        <v>67</v>
      </c>
      <c r="F679" t="s">
        <v>89</v>
      </c>
      <c r="G679" t="s">
        <v>90</v>
      </c>
      <c r="H679">
        <v>3</v>
      </c>
      <c r="I679" t="s">
        <v>28</v>
      </c>
      <c r="J679" t="s">
        <v>568</v>
      </c>
      <c r="K679">
        <v>640</v>
      </c>
      <c r="L679" t="s">
        <v>30</v>
      </c>
      <c r="M679" t="s">
        <v>58</v>
      </c>
    </row>
    <row r="680" spans="1:13" x14ac:dyDescent="0.35">
      <c r="A680" t="s">
        <v>1462</v>
      </c>
      <c r="B680" s="9">
        <v>46139</v>
      </c>
      <c r="C680" t="s">
        <v>1463</v>
      </c>
      <c r="D680" t="s">
        <v>53</v>
      </c>
      <c r="E680" t="s">
        <v>67</v>
      </c>
      <c r="F680" t="s">
        <v>26</v>
      </c>
      <c r="G680" t="s">
        <v>27</v>
      </c>
      <c r="H680">
        <v>3</v>
      </c>
      <c r="I680" t="s">
        <v>170</v>
      </c>
      <c r="J680" t="s">
        <v>856</v>
      </c>
      <c r="K680" t="s">
        <v>29</v>
      </c>
      <c r="L680" t="s">
        <v>30</v>
      </c>
      <c r="M680" t="s">
        <v>58</v>
      </c>
    </row>
    <row r="681" spans="1:13" x14ac:dyDescent="0.35">
      <c r="A681" t="s">
        <v>1464</v>
      </c>
      <c r="B681" s="9">
        <v>46169</v>
      </c>
      <c r="C681" t="s">
        <v>1465</v>
      </c>
      <c r="D681" t="s">
        <v>46</v>
      </c>
      <c r="E681" t="s">
        <v>34</v>
      </c>
      <c r="F681" t="s">
        <v>89</v>
      </c>
      <c r="G681" t="s">
        <v>90</v>
      </c>
      <c r="H681">
        <v>1</v>
      </c>
      <c r="I681" t="s">
        <v>102</v>
      </c>
      <c r="J681" t="s">
        <v>102</v>
      </c>
      <c r="K681" t="s">
        <v>108</v>
      </c>
      <c r="L681" t="s">
        <v>30</v>
      </c>
      <c r="M681" t="s">
        <v>22</v>
      </c>
    </row>
    <row r="682" spans="1:13" x14ac:dyDescent="0.35">
      <c r="A682" t="s">
        <v>1466</v>
      </c>
      <c r="B682" s="9">
        <v>46099</v>
      </c>
      <c r="C682" t="s">
        <v>1467</v>
      </c>
      <c r="D682" t="s">
        <v>33</v>
      </c>
      <c r="E682" t="s">
        <v>67</v>
      </c>
      <c r="F682" t="s">
        <v>42</v>
      </c>
      <c r="G682" t="s">
        <v>43</v>
      </c>
      <c r="H682">
        <v>2</v>
      </c>
      <c r="I682" t="s">
        <v>79</v>
      </c>
      <c r="J682" t="s">
        <v>143</v>
      </c>
      <c r="K682">
        <v>190</v>
      </c>
      <c r="L682" t="s">
        <v>21</v>
      </c>
      <c r="M682" t="s">
        <v>58</v>
      </c>
    </row>
    <row r="683" spans="1:13" x14ac:dyDescent="0.35">
      <c r="A683" t="s">
        <v>1468</v>
      </c>
      <c r="B683" s="9">
        <v>46037</v>
      </c>
      <c r="C683" t="s">
        <v>847</v>
      </c>
      <c r="D683" t="s">
        <v>61</v>
      </c>
      <c r="E683" t="s">
        <v>41</v>
      </c>
      <c r="F683" t="s">
        <v>17</v>
      </c>
      <c r="G683" t="s">
        <v>18</v>
      </c>
      <c r="H683">
        <v>1</v>
      </c>
      <c r="I683" t="s">
        <v>170</v>
      </c>
      <c r="J683" t="s">
        <v>170</v>
      </c>
      <c r="K683">
        <v>520</v>
      </c>
      <c r="L683" t="s">
        <v>30</v>
      </c>
      <c r="M683" t="s">
        <v>22</v>
      </c>
    </row>
    <row r="684" spans="1:13" x14ac:dyDescent="0.35">
      <c r="A684" t="s">
        <v>1469</v>
      </c>
      <c r="B684" s="9">
        <v>46270</v>
      </c>
      <c r="C684" t="s">
        <v>445</v>
      </c>
      <c r="D684" t="s">
        <v>15</v>
      </c>
      <c r="E684" t="s">
        <v>41</v>
      </c>
      <c r="F684" t="s">
        <v>47</v>
      </c>
      <c r="G684" t="s">
        <v>48</v>
      </c>
      <c r="H684">
        <v>1</v>
      </c>
      <c r="I684" t="s">
        <v>220</v>
      </c>
      <c r="J684" t="s">
        <v>220</v>
      </c>
      <c r="K684" t="s">
        <v>50</v>
      </c>
      <c r="L684" t="s">
        <v>30</v>
      </c>
      <c r="M684" t="s">
        <v>22</v>
      </c>
    </row>
    <row r="685" spans="1:13" x14ac:dyDescent="0.35">
      <c r="A685" t="s">
        <v>1470</v>
      </c>
      <c r="B685" s="9">
        <v>46092</v>
      </c>
      <c r="C685" t="s">
        <v>1471</v>
      </c>
      <c r="D685" t="s">
        <v>33</v>
      </c>
      <c r="E685" t="s">
        <v>41</v>
      </c>
      <c r="F685" t="s">
        <v>47</v>
      </c>
      <c r="G685" t="s">
        <v>48</v>
      </c>
      <c r="H685">
        <v>1</v>
      </c>
      <c r="I685" t="s">
        <v>102</v>
      </c>
      <c r="J685" t="s">
        <v>102</v>
      </c>
      <c r="K685">
        <v>380</v>
      </c>
      <c r="L685" t="s">
        <v>21</v>
      </c>
      <c r="M685" t="s">
        <v>22</v>
      </c>
    </row>
    <row r="686" spans="1:13" x14ac:dyDescent="0.35">
      <c r="A686" t="s">
        <v>1472</v>
      </c>
      <c r="B686" s="9">
        <v>46140</v>
      </c>
      <c r="C686" t="s">
        <v>1473</v>
      </c>
      <c r="D686" t="s">
        <v>15</v>
      </c>
      <c r="E686" t="s">
        <v>16</v>
      </c>
      <c r="F686" t="s">
        <v>47</v>
      </c>
      <c r="G686" t="s">
        <v>48</v>
      </c>
      <c r="H686">
        <v>3</v>
      </c>
      <c r="I686" t="s">
        <v>254</v>
      </c>
      <c r="J686" t="s">
        <v>390</v>
      </c>
      <c r="K686" t="s">
        <v>50</v>
      </c>
      <c r="L686" t="s">
        <v>30</v>
      </c>
      <c r="M686" t="s">
        <v>22</v>
      </c>
    </row>
    <row r="687" spans="1:13" x14ac:dyDescent="0.35">
      <c r="A687" t="s">
        <v>1474</v>
      </c>
      <c r="B687" s="9">
        <v>46144</v>
      </c>
      <c r="C687" t="s">
        <v>755</v>
      </c>
      <c r="D687" t="s">
        <v>99</v>
      </c>
      <c r="E687" t="s">
        <v>41</v>
      </c>
      <c r="F687" t="s">
        <v>26</v>
      </c>
      <c r="G687" t="s">
        <v>27</v>
      </c>
      <c r="H687">
        <v>2</v>
      </c>
      <c r="I687" t="s">
        <v>85</v>
      </c>
      <c r="J687" t="s">
        <v>267</v>
      </c>
      <c r="K687">
        <v>520</v>
      </c>
      <c r="L687" t="s">
        <v>30</v>
      </c>
      <c r="M687" t="s">
        <v>22</v>
      </c>
    </row>
    <row r="688" spans="1:13" x14ac:dyDescent="0.35">
      <c r="A688" t="s">
        <v>1475</v>
      </c>
      <c r="B688" s="9">
        <v>46162</v>
      </c>
      <c r="C688" t="s">
        <v>1476</v>
      </c>
      <c r="D688" t="s">
        <v>15</v>
      </c>
      <c r="E688" t="s">
        <v>25</v>
      </c>
      <c r="F688" t="s">
        <v>26</v>
      </c>
      <c r="G688" t="s">
        <v>27</v>
      </c>
      <c r="H688">
        <v>2</v>
      </c>
      <c r="I688" t="s">
        <v>62</v>
      </c>
      <c r="J688" t="s">
        <v>826</v>
      </c>
      <c r="K688" t="s">
        <v>29</v>
      </c>
      <c r="L688" t="s">
        <v>30</v>
      </c>
      <c r="M688" t="s">
        <v>22</v>
      </c>
    </row>
    <row r="689" spans="1:13" x14ac:dyDescent="0.35">
      <c r="A689" t="s">
        <v>1477</v>
      </c>
      <c r="B689" s="9">
        <v>46126</v>
      </c>
      <c r="C689" t="s">
        <v>1478</v>
      </c>
      <c r="D689" t="s">
        <v>66</v>
      </c>
      <c r="E689" t="s">
        <v>41</v>
      </c>
      <c r="F689" t="s">
        <v>42</v>
      </c>
      <c r="G689" t="s">
        <v>43</v>
      </c>
      <c r="H689">
        <v>1</v>
      </c>
      <c r="I689" t="s">
        <v>254</v>
      </c>
      <c r="J689" t="s">
        <v>254</v>
      </c>
      <c r="K689">
        <v>190</v>
      </c>
      <c r="L689" t="s">
        <v>30</v>
      </c>
      <c r="M689" t="s">
        <v>22</v>
      </c>
    </row>
    <row r="690" spans="1:13" x14ac:dyDescent="0.35">
      <c r="A690" t="s">
        <v>1479</v>
      </c>
      <c r="B690" s="9">
        <v>46177</v>
      </c>
      <c r="C690" t="s">
        <v>1480</v>
      </c>
      <c r="D690" t="s">
        <v>53</v>
      </c>
      <c r="E690" t="s">
        <v>41</v>
      </c>
      <c r="F690" t="s">
        <v>35</v>
      </c>
      <c r="G690" t="s">
        <v>36</v>
      </c>
      <c r="H690">
        <v>1</v>
      </c>
      <c r="I690" t="s">
        <v>102</v>
      </c>
      <c r="J690" t="s">
        <v>1445</v>
      </c>
      <c r="K690">
        <v>85</v>
      </c>
      <c r="L690" t="s">
        <v>21</v>
      </c>
      <c r="M690" t="s">
        <v>22</v>
      </c>
    </row>
    <row r="691" spans="1:13" x14ac:dyDescent="0.35">
      <c r="A691" t="s">
        <v>1481</v>
      </c>
      <c r="B691" s="9">
        <v>46146</v>
      </c>
      <c r="C691" t="s">
        <v>1482</v>
      </c>
      <c r="D691" t="s">
        <v>116</v>
      </c>
      <c r="E691" t="s">
        <v>25</v>
      </c>
      <c r="F691" t="s">
        <v>26</v>
      </c>
      <c r="G691" t="s">
        <v>27</v>
      </c>
      <c r="H691">
        <v>1</v>
      </c>
      <c r="I691" t="s">
        <v>19</v>
      </c>
      <c r="J691" t="s">
        <v>19</v>
      </c>
      <c r="K691" t="s">
        <v>29</v>
      </c>
      <c r="L691" t="s">
        <v>30</v>
      </c>
      <c r="M691" t="s">
        <v>22</v>
      </c>
    </row>
    <row r="692" spans="1:13" x14ac:dyDescent="0.35">
      <c r="A692" t="s">
        <v>1483</v>
      </c>
      <c r="B692" s="9">
        <v>46140</v>
      </c>
      <c r="C692" t="s">
        <v>1484</v>
      </c>
      <c r="D692" t="s">
        <v>61</v>
      </c>
      <c r="E692" t="s">
        <v>34</v>
      </c>
      <c r="F692" t="s">
        <v>35</v>
      </c>
      <c r="G692" t="s">
        <v>36</v>
      </c>
      <c r="H692">
        <v>1</v>
      </c>
      <c r="I692" t="s">
        <v>68</v>
      </c>
      <c r="J692" t="s">
        <v>68</v>
      </c>
      <c r="K692" t="s">
        <v>37</v>
      </c>
      <c r="L692" t="s">
        <v>21</v>
      </c>
      <c r="M692" t="s">
        <v>58</v>
      </c>
    </row>
    <row r="693" spans="1:13" x14ac:dyDescent="0.35">
      <c r="A693" t="s">
        <v>1485</v>
      </c>
      <c r="B693" s="9">
        <v>46163</v>
      </c>
      <c r="C693" t="s">
        <v>1486</v>
      </c>
      <c r="D693" t="s">
        <v>94</v>
      </c>
      <c r="E693" t="s">
        <v>41</v>
      </c>
      <c r="F693" t="s">
        <v>47</v>
      </c>
      <c r="G693" t="s">
        <v>48</v>
      </c>
      <c r="H693">
        <v>-1</v>
      </c>
      <c r="I693" t="s">
        <v>254</v>
      </c>
      <c r="J693" t="s">
        <v>300</v>
      </c>
      <c r="K693" t="s">
        <v>50</v>
      </c>
      <c r="L693" t="s">
        <v>21</v>
      </c>
      <c r="M693" t="s">
        <v>22</v>
      </c>
    </row>
    <row r="694" spans="1:13" x14ac:dyDescent="0.35">
      <c r="A694" t="s">
        <v>1487</v>
      </c>
      <c r="B694" s="9">
        <v>46095</v>
      </c>
      <c r="C694" t="s">
        <v>1488</v>
      </c>
      <c r="D694" t="s">
        <v>33</v>
      </c>
      <c r="E694" t="s">
        <v>34</v>
      </c>
      <c r="F694" t="s">
        <v>89</v>
      </c>
      <c r="G694" t="s">
        <v>90</v>
      </c>
      <c r="H694">
        <v>2</v>
      </c>
      <c r="I694" t="s">
        <v>19</v>
      </c>
      <c r="J694" t="s">
        <v>238</v>
      </c>
      <c r="K694">
        <v>640</v>
      </c>
      <c r="L694" t="s">
        <v>30</v>
      </c>
      <c r="M694" t="s">
        <v>22</v>
      </c>
    </row>
    <row r="695" spans="1:13" x14ac:dyDescent="0.35">
      <c r="A695" t="s">
        <v>1489</v>
      </c>
      <c r="B695" s="9">
        <v>46194</v>
      </c>
      <c r="C695" t="s">
        <v>1377</v>
      </c>
      <c r="D695" t="s">
        <v>40</v>
      </c>
      <c r="E695" t="s">
        <v>34</v>
      </c>
      <c r="F695" t="s">
        <v>83</v>
      </c>
      <c r="G695" t="s">
        <v>84</v>
      </c>
      <c r="H695">
        <v>1</v>
      </c>
      <c r="I695" t="s">
        <v>170</v>
      </c>
      <c r="J695" t="s">
        <v>170</v>
      </c>
      <c r="K695" t="s">
        <v>103</v>
      </c>
      <c r="L695" t="s">
        <v>30</v>
      </c>
      <c r="M695" t="s">
        <v>22</v>
      </c>
    </row>
    <row r="696" spans="1:13" x14ac:dyDescent="0.35">
      <c r="A696" t="s">
        <v>1490</v>
      </c>
      <c r="B696" t="s">
        <v>629</v>
      </c>
      <c r="C696" t="s">
        <v>1491</v>
      </c>
      <c r="D696" t="s">
        <v>15</v>
      </c>
      <c r="E696" t="s">
        <v>16</v>
      </c>
      <c r="F696" t="s">
        <v>47</v>
      </c>
      <c r="G696" t="s">
        <v>48</v>
      </c>
      <c r="H696">
        <v>2</v>
      </c>
      <c r="I696" t="s">
        <v>102</v>
      </c>
      <c r="J696" t="s">
        <v>181</v>
      </c>
      <c r="K696">
        <v>380</v>
      </c>
      <c r="L696" t="s">
        <v>30</v>
      </c>
      <c r="M696" t="s">
        <v>58</v>
      </c>
    </row>
    <row r="697" spans="1:13" x14ac:dyDescent="0.35">
      <c r="A697" t="s">
        <v>1492</v>
      </c>
      <c r="B697" s="9">
        <v>46106</v>
      </c>
      <c r="C697" t="s">
        <v>1486</v>
      </c>
      <c r="D697" t="s">
        <v>53</v>
      </c>
      <c r="E697" t="s">
        <v>16</v>
      </c>
      <c r="F697" t="s">
        <v>26</v>
      </c>
      <c r="G697" t="s">
        <v>27</v>
      </c>
      <c r="H697">
        <v>1</v>
      </c>
      <c r="I697" t="s">
        <v>1419</v>
      </c>
      <c r="J697" t="s">
        <v>132</v>
      </c>
      <c r="K697">
        <v>520</v>
      </c>
      <c r="L697" t="s">
        <v>30</v>
      </c>
      <c r="M697" t="s">
        <v>58</v>
      </c>
    </row>
    <row r="698" spans="1:13" x14ac:dyDescent="0.35">
      <c r="A698" t="s">
        <v>1493</v>
      </c>
      <c r="B698" s="9">
        <v>46082</v>
      </c>
      <c r="C698" t="s">
        <v>1494</v>
      </c>
      <c r="D698" t="s">
        <v>94</v>
      </c>
      <c r="E698" t="s">
        <v>41</v>
      </c>
      <c r="F698" t="s">
        <v>83</v>
      </c>
      <c r="G698" t="s">
        <v>84</v>
      </c>
      <c r="H698">
        <v>1</v>
      </c>
      <c r="I698" t="s">
        <v>68</v>
      </c>
      <c r="J698" t="s">
        <v>68</v>
      </c>
      <c r="K698">
        <v>340</v>
      </c>
      <c r="L698" t="s">
        <v>30</v>
      </c>
      <c r="M698" t="s">
        <v>22</v>
      </c>
    </row>
    <row r="699" spans="1:13" x14ac:dyDescent="0.35">
      <c r="A699" t="s">
        <v>1495</v>
      </c>
      <c r="B699" s="9">
        <v>46056</v>
      </c>
      <c r="C699" t="s">
        <v>1496</v>
      </c>
      <c r="D699" t="s">
        <v>66</v>
      </c>
      <c r="E699" t="s">
        <v>34</v>
      </c>
      <c r="F699" t="s">
        <v>26</v>
      </c>
      <c r="G699" t="s">
        <v>27</v>
      </c>
      <c r="H699">
        <v>1</v>
      </c>
      <c r="I699" t="s">
        <v>49</v>
      </c>
      <c r="J699" t="s">
        <v>1497</v>
      </c>
      <c r="K699">
        <v>520</v>
      </c>
      <c r="L699" t="s">
        <v>30</v>
      </c>
      <c r="M699" t="s">
        <v>58</v>
      </c>
    </row>
    <row r="700" spans="1:13" x14ac:dyDescent="0.35">
      <c r="A700" t="s">
        <v>1498</v>
      </c>
      <c r="B700" s="9">
        <v>46154</v>
      </c>
      <c r="C700" t="s">
        <v>490</v>
      </c>
      <c r="D700" t="s">
        <v>66</v>
      </c>
      <c r="E700" t="s">
        <v>41</v>
      </c>
      <c r="F700" t="s">
        <v>89</v>
      </c>
      <c r="G700" t="s">
        <v>90</v>
      </c>
      <c r="H700">
        <v>2</v>
      </c>
      <c r="I700" t="s">
        <v>71</v>
      </c>
      <c r="J700" t="s">
        <v>286</v>
      </c>
      <c r="K700" t="s">
        <v>108</v>
      </c>
      <c r="L700" t="s">
        <v>21</v>
      </c>
      <c r="M700" t="s">
        <v>22</v>
      </c>
    </row>
    <row r="701" spans="1:13" x14ac:dyDescent="0.35">
      <c r="A701" t="s">
        <v>1499</v>
      </c>
      <c r="B701" s="9">
        <v>46073</v>
      </c>
      <c r="C701" t="s">
        <v>1500</v>
      </c>
      <c r="D701" t="s">
        <v>33</v>
      </c>
      <c r="E701" t="s">
        <v>41</v>
      </c>
      <c r="F701" t="s">
        <v>74</v>
      </c>
      <c r="G701" t="s">
        <v>75</v>
      </c>
      <c r="H701">
        <v>1</v>
      </c>
      <c r="I701" t="s">
        <v>132</v>
      </c>
      <c r="J701" t="s">
        <v>132</v>
      </c>
      <c r="K701">
        <v>410</v>
      </c>
      <c r="L701" t="s">
        <v>30</v>
      </c>
      <c r="M701" t="s">
        <v>22</v>
      </c>
    </row>
    <row r="702" spans="1:13" x14ac:dyDescent="0.35">
      <c r="A702" t="s">
        <v>1501</v>
      </c>
      <c r="B702" s="9">
        <v>46087</v>
      </c>
      <c r="C702" t="s">
        <v>1502</v>
      </c>
      <c r="D702" t="s">
        <v>99</v>
      </c>
      <c r="E702" t="s">
        <v>16</v>
      </c>
      <c r="F702" t="s">
        <v>35</v>
      </c>
      <c r="G702" t="s">
        <v>36</v>
      </c>
      <c r="H702">
        <v>1</v>
      </c>
      <c r="I702" t="s">
        <v>68</v>
      </c>
      <c r="J702" t="s">
        <v>68</v>
      </c>
      <c r="K702">
        <v>85</v>
      </c>
      <c r="L702" t="s">
        <v>30</v>
      </c>
      <c r="M702" t="s">
        <v>22</v>
      </c>
    </row>
    <row r="703" spans="1:13" x14ac:dyDescent="0.35">
      <c r="A703" t="s">
        <v>1503</v>
      </c>
      <c r="B703" s="9">
        <v>46056</v>
      </c>
      <c r="C703" t="s">
        <v>1504</v>
      </c>
      <c r="D703" t="s">
        <v>53</v>
      </c>
      <c r="E703" t="s">
        <v>34</v>
      </c>
      <c r="F703" t="s">
        <v>74</v>
      </c>
      <c r="G703" t="s">
        <v>75</v>
      </c>
      <c r="H703">
        <v>2</v>
      </c>
      <c r="I703" t="s">
        <v>19</v>
      </c>
      <c r="J703" t="s">
        <v>238</v>
      </c>
      <c r="K703">
        <v>410</v>
      </c>
      <c r="L703" t="s">
        <v>30</v>
      </c>
      <c r="M703" t="s">
        <v>58</v>
      </c>
    </row>
    <row r="704" spans="1:13" x14ac:dyDescent="0.35">
      <c r="A704" t="s">
        <v>1505</v>
      </c>
      <c r="B704" s="9">
        <v>46176</v>
      </c>
      <c r="C704" t="s">
        <v>1506</v>
      </c>
      <c r="D704" t="s">
        <v>66</v>
      </c>
      <c r="E704" t="s">
        <v>41</v>
      </c>
      <c r="F704" t="s">
        <v>74</v>
      </c>
      <c r="G704" t="s">
        <v>75</v>
      </c>
      <c r="H704">
        <v>1</v>
      </c>
      <c r="I704" t="s">
        <v>170</v>
      </c>
      <c r="J704" t="s">
        <v>170</v>
      </c>
      <c r="K704" t="s">
        <v>76</v>
      </c>
      <c r="L704" t="s">
        <v>30</v>
      </c>
      <c r="M704" t="s">
        <v>22</v>
      </c>
    </row>
    <row r="705" spans="1:13" x14ac:dyDescent="0.35">
      <c r="A705" t="s">
        <v>1507</v>
      </c>
      <c r="B705" s="9">
        <v>46174</v>
      </c>
      <c r="C705" t="s">
        <v>1237</v>
      </c>
      <c r="D705" t="s">
        <v>99</v>
      </c>
      <c r="E705" t="s">
        <v>34</v>
      </c>
      <c r="F705" t="s">
        <v>89</v>
      </c>
      <c r="G705" t="s">
        <v>90</v>
      </c>
      <c r="H705">
        <v>2</v>
      </c>
      <c r="I705" t="s">
        <v>1508</v>
      </c>
      <c r="J705" t="s">
        <v>221</v>
      </c>
      <c r="K705" t="s">
        <v>108</v>
      </c>
      <c r="L705" t="s">
        <v>21</v>
      </c>
      <c r="M705" t="s">
        <v>22</v>
      </c>
    </row>
    <row r="706" spans="1:13" x14ac:dyDescent="0.35">
      <c r="A706" t="s">
        <v>1509</v>
      </c>
      <c r="B706" s="9">
        <v>46092</v>
      </c>
      <c r="C706" t="s">
        <v>32</v>
      </c>
      <c r="D706" t="s">
        <v>46</v>
      </c>
      <c r="E706" t="s">
        <v>25</v>
      </c>
      <c r="F706" t="s">
        <v>83</v>
      </c>
      <c r="G706" t="s">
        <v>84</v>
      </c>
      <c r="H706">
        <v>2</v>
      </c>
      <c r="I706" t="s">
        <v>71</v>
      </c>
      <c r="J706" t="s">
        <v>286</v>
      </c>
      <c r="K706">
        <v>340</v>
      </c>
      <c r="L706" t="s">
        <v>30</v>
      </c>
      <c r="M706" t="s">
        <v>58</v>
      </c>
    </row>
    <row r="707" spans="1:13" x14ac:dyDescent="0.35">
      <c r="A707" t="s">
        <v>1510</v>
      </c>
      <c r="B707" s="9">
        <v>46052</v>
      </c>
      <c r="C707" t="s">
        <v>1422</v>
      </c>
      <c r="D707" t="s">
        <v>94</v>
      </c>
      <c r="E707" t="s">
        <v>34</v>
      </c>
      <c r="F707" t="s">
        <v>74</v>
      </c>
      <c r="G707" t="s">
        <v>75</v>
      </c>
      <c r="H707">
        <v>1</v>
      </c>
      <c r="I707" t="s">
        <v>85</v>
      </c>
      <c r="J707" t="s">
        <v>85</v>
      </c>
      <c r="K707">
        <v>410</v>
      </c>
      <c r="L707" t="s">
        <v>21</v>
      </c>
      <c r="M707" t="s">
        <v>58</v>
      </c>
    </row>
    <row r="708" spans="1:13" x14ac:dyDescent="0.35">
      <c r="A708" t="s">
        <v>1511</v>
      </c>
      <c r="B708" s="9">
        <v>46175</v>
      </c>
      <c r="C708" t="s">
        <v>1512</v>
      </c>
      <c r="D708" t="s">
        <v>53</v>
      </c>
      <c r="E708" t="s">
        <v>16</v>
      </c>
      <c r="F708" t="s">
        <v>26</v>
      </c>
      <c r="G708" t="s">
        <v>27</v>
      </c>
      <c r="H708">
        <v>2</v>
      </c>
      <c r="I708" t="s">
        <v>79</v>
      </c>
      <c r="J708" t="s">
        <v>143</v>
      </c>
      <c r="K708">
        <v>520</v>
      </c>
      <c r="L708" t="s">
        <v>30</v>
      </c>
      <c r="M708" t="s">
        <v>22</v>
      </c>
    </row>
    <row r="709" spans="1:13" x14ac:dyDescent="0.35">
      <c r="A709" t="s">
        <v>1513</v>
      </c>
      <c r="B709" s="9">
        <v>46236</v>
      </c>
      <c r="C709" t="s">
        <v>1514</v>
      </c>
      <c r="D709" t="s">
        <v>40</v>
      </c>
      <c r="E709" t="s">
        <v>25</v>
      </c>
      <c r="F709" t="s">
        <v>47</v>
      </c>
      <c r="G709" t="s">
        <v>48</v>
      </c>
      <c r="H709">
        <v>1</v>
      </c>
      <c r="I709" t="s">
        <v>254</v>
      </c>
      <c r="J709" t="s">
        <v>254</v>
      </c>
      <c r="K709">
        <v>380</v>
      </c>
      <c r="L709" t="s">
        <v>21</v>
      </c>
      <c r="M709" t="s">
        <v>22</v>
      </c>
    </row>
    <row r="710" spans="1:13" x14ac:dyDescent="0.35">
      <c r="A710" t="s">
        <v>1515</v>
      </c>
      <c r="B710" s="9">
        <v>46114</v>
      </c>
      <c r="C710" t="s">
        <v>1272</v>
      </c>
      <c r="D710" t="s">
        <v>33</v>
      </c>
      <c r="E710" t="s">
        <v>67</v>
      </c>
      <c r="F710" t="s">
        <v>35</v>
      </c>
      <c r="G710" t="s">
        <v>36</v>
      </c>
      <c r="H710">
        <v>2</v>
      </c>
      <c r="I710" t="s">
        <v>62</v>
      </c>
      <c r="J710" t="s">
        <v>63</v>
      </c>
      <c r="K710">
        <v>85</v>
      </c>
      <c r="L710" t="s">
        <v>21</v>
      </c>
      <c r="M710" t="s">
        <v>22</v>
      </c>
    </row>
    <row r="711" spans="1:13" x14ac:dyDescent="0.35">
      <c r="A711" t="s">
        <v>1516</v>
      </c>
      <c r="B711" s="9">
        <v>46136</v>
      </c>
      <c r="C711" t="s">
        <v>1517</v>
      </c>
      <c r="D711" t="s">
        <v>53</v>
      </c>
      <c r="E711" t="s">
        <v>16</v>
      </c>
      <c r="F711" t="s">
        <v>47</v>
      </c>
      <c r="G711" t="s">
        <v>48</v>
      </c>
      <c r="H711">
        <v>-2</v>
      </c>
      <c r="I711" t="s">
        <v>79</v>
      </c>
      <c r="J711" t="s">
        <v>281</v>
      </c>
      <c r="K711" t="s">
        <v>50</v>
      </c>
      <c r="L711" t="s">
        <v>21</v>
      </c>
      <c r="M711" t="s">
        <v>22</v>
      </c>
    </row>
    <row r="712" spans="1:13" x14ac:dyDescent="0.35">
      <c r="A712" t="s">
        <v>1518</v>
      </c>
      <c r="B712" s="9">
        <v>46030</v>
      </c>
      <c r="C712" t="s">
        <v>1519</v>
      </c>
      <c r="D712" t="s">
        <v>33</v>
      </c>
      <c r="E712" t="s">
        <v>16</v>
      </c>
      <c r="F712" t="s">
        <v>17</v>
      </c>
      <c r="G712" t="s">
        <v>18</v>
      </c>
      <c r="H712">
        <v>1</v>
      </c>
      <c r="I712" t="s">
        <v>102</v>
      </c>
      <c r="J712" t="s">
        <v>102</v>
      </c>
      <c r="K712">
        <v>520</v>
      </c>
      <c r="L712" t="s">
        <v>30</v>
      </c>
      <c r="M712" t="s">
        <v>22</v>
      </c>
    </row>
    <row r="713" spans="1:13" x14ac:dyDescent="0.35">
      <c r="A713" t="s">
        <v>1520</v>
      </c>
      <c r="B713" s="9">
        <v>46168</v>
      </c>
      <c r="C713" t="s">
        <v>1521</v>
      </c>
      <c r="D713" t="s">
        <v>33</v>
      </c>
      <c r="E713" t="s">
        <v>16</v>
      </c>
      <c r="F713" t="s">
        <v>17</v>
      </c>
      <c r="G713" t="s">
        <v>18</v>
      </c>
      <c r="H713">
        <v>1</v>
      </c>
      <c r="I713" t="s">
        <v>19</v>
      </c>
      <c r="J713" t="s">
        <v>19</v>
      </c>
      <c r="K713" t="s">
        <v>29</v>
      </c>
      <c r="L713" t="s">
        <v>30</v>
      </c>
      <c r="M713" t="s">
        <v>22</v>
      </c>
    </row>
    <row r="714" spans="1:13" x14ac:dyDescent="0.35">
      <c r="A714" t="s">
        <v>1522</v>
      </c>
      <c r="B714" s="9">
        <v>46127</v>
      </c>
      <c r="C714" t="s">
        <v>1523</v>
      </c>
      <c r="D714" t="s">
        <v>53</v>
      </c>
      <c r="E714" t="s">
        <v>16</v>
      </c>
      <c r="F714" t="s">
        <v>35</v>
      </c>
      <c r="G714" t="s">
        <v>36</v>
      </c>
      <c r="H714">
        <v>1</v>
      </c>
      <c r="I714" t="s">
        <v>79</v>
      </c>
      <c r="J714" t="s">
        <v>79</v>
      </c>
      <c r="K714">
        <v>85</v>
      </c>
      <c r="L714" t="s">
        <v>30</v>
      </c>
      <c r="M714" t="s">
        <v>58</v>
      </c>
    </row>
    <row r="715" spans="1:13" x14ac:dyDescent="0.35">
      <c r="A715" t="s">
        <v>1524</v>
      </c>
      <c r="B715" s="9">
        <v>46151</v>
      </c>
      <c r="C715" t="s">
        <v>1463</v>
      </c>
      <c r="D715" t="s">
        <v>15</v>
      </c>
      <c r="E715" t="s">
        <v>41</v>
      </c>
      <c r="F715" t="s">
        <v>42</v>
      </c>
      <c r="G715" t="s">
        <v>43</v>
      </c>
      <c r="H715">
        <v>3</v>
      </c>
      <c r="I715" t="s">
        <v>19</v>
      </c>
      <c r="J715" t="s">
        <v>326</v>
      </c>
      <c r="K715" t="s">
        <v>111</v>
      </c>
      <c r="L715" t="s">
        <v>30</v>
      </c>
      <c r="M715" t="s">
        <v>22</v>
      </c>
    </row>
    <row r="716" spans="1:13" x14ac:dyDescent="0.35">
      <c r="A716" t="s">
        <v>1525</v>
      </c>
      <c r="B716" s="9">
        <v>46078</v>
      </c>
      <c r="C716" t="s">
        <v>1526</v>
      </c>
      <c r="D716" t="s">
        <v>99</v>
      </c>
      <c r="E716" t="s">
        <v>16</v>
      </c>
      <c r="F716" t="s">
        <v>83</v>
      </c>
      <c r="G716" t="s">
        <v>84</v>
      </c>
      <c r="H716">
        <v>3</v>
      </c>
      <c r="I716" t="s">
        <v>254</v>
      </c>
      <c r="J716" t="s">
        <v>390</v>
      </c>
      <c r="K716">
        <v>340</v>
      </c>
      <c r="L716" t="s">
        <v>30</v>
      </c>
      <c r="M716" t="s">
        <v>58</v>
      </c>
    </row>
    <row r="717" spans="1:13" x14ac:dyDescent="0.35">
      <c r="A717" t="s">
        <v>1527</v>
      </c>
      <c r="B717" s="9">
        <v>46116</v>
      </c>
      <c r="C717" t="s">
        <v>1528</v>
      </c>
      <c r="D717" t="s">
        <v>116</v>
      </c>
      <c r="E717" t="s">
        <v>67</v>
      </c>
      <c r="F717" t="s">
        <v>74</v>
      </c>
      <c r="G717" t="s">
        <v>75</v>
      </c>
      <c r="H717">
        <v>1</v>
      </c>
      <c r="I717" t="s">
        <v>673</v>
      </c>
      <c r="J717" t="s">
        <v>62</v>
      </c>
      <c r="K717">
        <v>410</v>
      </c>
      <c r="L717" t="s">
        <v>21</v>
      </c>
      <c r="M717" t="s">
        <v>58</v>
      </c>
    </row>
    <row r="718" spans="1:13" x14ac:dyDescent="0.35">
      <c r="A718" t="s">
        <v>1529</v>
      </c>
      <c r="B718" t="s">
        <v>1530</v>
      </c>
      <c r="C718" t="s">
        <v>1314</v>
      </c>
      <c r="D718" t="s">
        <v>116</v>
      </c>
      <c r="E718" t="s">
        <v>16</v>
      </c>
      <c r="F718" t="s">
        <v>74</v>
      </c>
      <c r="G718" t="s">
        <v>75</v>
      </c>
      <c r="H718">
        <v>2</v>
      </c>
      <c r="I718" t="s">
        <v>28</v>
      </c>
      <c r="J718" t="s">
        <v>316</v>
      </c>
      <c r="K718">
        <v>410</v>
      </c>
      <c r="L718" t="s">
        <v>30</v>
      </c>
      <c r="M718" t="s">
        <v>58</v>
      </c>
    </row>
    <row r="719" spans="1:13" x14ac:dyDescent="0.35">
      <c r="A719" t="s">
        <v>1531</v>
      </c>
      <c r="B719" s="9">
        <v>46043</v>
      </c>
      <c r="C719" t="s">
        <v>1532</v>
      </c>
      <c r="D719" t="s">
        <v>116</v>
      </c>
      <c r="E719" t="s">
        <v>34</v>
      </c>
      <c r="F719" t="s">
        <v>35</v>
      </c>
      <c r="G719" t="s">
        <v>36</v>
      </c>
      <c r="H719">
        <v>3</v>
      </c>
      <c r="I719" t="s">
        <v>744</v>
      </c>
      <c r="J719" t="s">
        <v>1533</v>
      </c>
      <c r="K719">
        <v>85</v>
      </c>
      <c r="L719" t="s">
        <v>21</v>
      </c>
      <c r="M719" t="s">
        <v>22</v>
      </c>
    </row>
    <row r="720" spans="1:13" x14ac:dyDescent="0.35">
      <c r="A720" t="s">
        <v>1534</v>
      </c>
      <c r="B720" s="9">
        <v>46029</v>
      </c>
      <c r="C720" t="s">
        <v>862</v>
      </c>
      <c r="D720" t="s">
        <v>40</v>
      </c>
      <c r="E720" t="s">
        <v>41</v>
      </c>
      <c r="F720" t="s">
        <v>17</v>
      </c>
      <c r="G720" t="s">
        <v>18</v>
      </c>
      <c r="H720">
        <v>1</v>
      </c>
      <c r="I720" t="s">
        <v>106</v>
      </c>
      <c r="J720" t="s">
        <v>106</v>
      </c>
      <c r="K720">
        <v>520</v>
      </c>
      <c r="L720" t="s">
        <v>30</v>
      </c>
      <c r="M720" t="s">
        <v>22</v>
      </c>
    </row>
    <row r="721" spans="1:13" x14ac:dyDescent="0.35">
      <c r="A721" t="s">
        <v>1535</v>
      </c>
      <c r="B721" s="9">
        <v>46080</v>
      </c>
      <c r="C721" t="s">
        <v>1536</v>
      </c>
      <c r="D721" t="s">
        <v>15</v>
      </c>
      <c r="E721" t="s">
        <v>67</v>
      </c>
      <c r="F721" t="s">
        <v>47</v>
      </c>
      <c r="G721" t="s">
        <v>48</v>
      </c>
      <c r="H721">
        <v>3</v>
      </c>
      <c r="I721" t="s">
        <v>49</v>
      </c>
      <c r="J721" t="s">
        <v>257</v>
      </c>
      <c r="K721">
        <v>380</v>
      </c>
      <c r="L721" t="s">
        <v>30</v>
      </c>
      <c r="M721" t="s">
        <v>58</v>
      </c>
    </row>
    <row r="722" spans="1:13" x14ac:dyDescent="0.35">
      <c r="A722" t="s">
        <v>1537</v>
      </c>
      <c r="B722" s="9">
        <v>46128</v>
      </c>
      <c r="C722" t="s">
        <v>1538</v>
      </c>
      <c r="D722" t="s">
        <v>33</v>
      </c>
      <c r="E722" t="s">
        <v>25</v>
      </c>
      <c r="F722" t="s">
        <v>42</v>
      </c>
      <c r="G722" t="s">
        <v>43</v>
      </c>
      <c r="H722">
        <v>1</v>
      </c>
      <c r="I722" t="s">
        <v>19</v>
      </c>
      <c r="J722" t="s">
        <v>19</v>
      </c>
      <c r="K722">
        <v>190</v>
      </c>
      <c r="L722" t="s">
        <v>30</v>
      </c>
      <c r="M722" t="s">
        <v>22</v>
      </c>
    </row>
    <row r="723" spans="1:13" x14ac:dyDescent="0.35">
      <c r="A723" t="s">
        <v>1539</v>
      </c>
      <c r="B723" s="9">
        <v>46189</v>
      </c>
      <c r="C723" t="s">
        <v>1540</v>
      </c>
      <c r="D723" t="s">
        <v>61</v>
      </c>
      <c r="E723" t="s">
        <v>67</v>
      </c>
      <c r="F723" t="s">
        <v>47</v>
      </c>
      <c r="G723" t="s">
        <v>48</v>
      </c>
      <c r="H723">
        <v>2</v>
      </c>
      <c r="I723" t="s">
        <v>132</v>
      </c>
      <c r="J723" t="s">
        <v>133</v>
      </c>
      <c r="K723" t="s">
        <v>50</v>
      </c>
      <c r="L723" t="s">
        <v>30</v>
      </c>
      <c r="M723" t="s">
        <v>22</v>
      </c>
    </row>
    <row r="724" spans="1:13" x14ac:dyDescent="0.35">
      <c r="A724" t="s">
        <v>1541</v>
      </c>
      <c r="B724" s="9">
        <v>46037</v>
      </c>
      <c r="C724" t="s">
        <v>332</v>
      </c>
      <c r="D724" t="s">
        <v>99</v>
      </c>
      <c r="E724" t="s">
        <v>25</v>
      </c>
      <c r="F724" t="s">
        <v>42</v>
      </c>
      <c r="G724" t="s">
        <v>43</v>
      </c>
      <c r="H724">
        <v>2</v>
      </c>
      <c r="I724" t="s">
        <v>85</v>
      </c>
      <c r="J724" t="s">
        <v>267</v>
      </c>
      <c r="K724">
        <v>190</v>
      </c>
      <c r="L724" t="s">
        <v>30</v>
      </c>
      <c r="M724" t="s">
        <v>22</v>
      </c>
    </row>
    <row r="725" spans="1:13" x14ac:dyDescent="0.35">
      <c r="A725" t="s">
        <v>1542</v>
      </c>
      <c r="B725" s="9">
        <v>46090</v>
      </c>
      <c r="C725" t="s">
        <v>1543</v>
      </c>
      <c r="D725" t="s">
        <v>99</v>
      </c>
      <c r="E725" t="s">
        <v>16</v>
      </c>
      <c r="F725" t="s">
        <v>26</v>
      </c>
      <c r="G725" t="s">
        <v>27</v>
      </c>
      <c r="H725">
        <v>2</v>
      </c>
      <c r="I725" t="s">
        <v>19</v>
      </c>
      <c r="J725" t="s">
        <v>238</v>
      </c>
      <c r="K725">
        <v>520</v>
      </c>
      <c r="L725" t="s">
        <v>30</v>
      </c>
      <c r="M725" t="s">
        <v>22</v>
      </c>
    </row>
    <row r="726" spans="1:13" x14ac:dyDescent="0.35">
      <c r="A726" t="s">
        <v>1544</v>
      </c>
      <c r="B726" s="9">
        <v>46195</v>
      </c>
      <c r="C726" t="s">
        <v>696</v>
      </c>
      <c r="D726" t="s">
        <v>40</v>
      </c>
      <c r="E726" t="s">
        <v>34</v>
      </c>
      <c r="F726" t="s">
        <v>83</v>
      </c>
      <c r="G726" t="s">
        <v>84</v>
      </c>
      <c r="H726">
        <v>2</v>
      </c>
      <c r="I726" t="s">
        <v>106</v>
      </c>
      <c r="J726" t="s">
        <v>107</v>
      </c>
      <c r="K726" t="s">
        <v>103</v>
      </c>
      <c r="L726" t="s">
        <v>30</v>
      </c>
      <c r="M726" t="s">
        <v>22</v>
      </c>
    </row>
    <row r="727" spans="1:13" x14ac:dyDescent="0.35">
      <c r="A727" t="s">
        <v>1545</v>
      </c>
      <c r="B727" s="9">
        <v>46123</v>
      </c>
      <c r="C727" t="s">
        <v>1546</v>
      </c>
      <c r="D727" t="s">
        <v>94</v>
      </c>
      <c r="E727" t="s">
        <v>41</v>
      </c>
      <c r="F727" t="s">
        <v>26</v>
      </c>
      <c r="G727" t="s">
        <v>27</v>
      </c>
      <c r="H727">
        <v>1</v>
      </c>
      <c r="I727" t="s">
        <v>85</v>
      </c>
      <c r="J727" t="s">
        <v>85</v>
      </c>
      <c r="K727">
        <v>520</v>
      </c>
      <c r="L727" t="s">
        <v>30</v>
      </c>
      <c r="M727" t="s">
        <v>22</v>
      </c>
    </row>
    <row r="728" spans="1:13" x14ac:dyDescent="0.35">
      <c r="A728" t="s">
        <v>1547</v>
      </c>
      <c r="B728" t="s">
        <v>1548</v>
      </c>
      <c r="C728" t="s">
        <v>1549</v>
      </c>
      <c r="D728" t="s">
        <v>46</v>
      </c>
      <c r="E728" t="s">
        <v>67</v>
      </c>
      <c r="F728" t="s">
        <v>47</v>
      </c>
      <c r="G728" t="s">
        <v>48</v>
      </c>
      <c r="H728">
        <v>3</v>
      </c>
      <c r="I728" t="s">
        <v>79</v>
      </c>
      <c r="J728" t="s">
        <v>91</v>
      </c>
      <c r="K728">
        <v>380</v>
      </c>
      <c r="L728" t="s">
        <v>30</v>
      </c>
      <c r="M728" t="s">
        <v>22</v>
      </c>
    </row>
    <row r="729" spans="1:13" x14ac:dyDescent="0.35">
      <c r="A729" t="s">
        <v>1550</v>
      </c>
      <c r="B729" s="9">
        <v>46031</v>
      </c>
      <c r="C729" t="s">
        <v>269</v>
      </c>
      <c r="D729" t="s">
        <v>94</v>
      </c>
      <c r="E729" t="s">
        <v>67</v>
      </c>
      <c r="F729" t="s">
        <v>42</v>
      </c>
      <c r="G729" t="s">
        <v>43</v>
      </c>
      <c r="H729">
        <v>1</v>
      </c>
      <c r="I729" t="s">
        <v>68</v>
      </c>
      <c r="J729" t="s">
        <v>68</v>
      </c>
      <c r="K729">
        <v>190</v>
      </c>
      <c r="L729" t="s">
        <v>21</v>
      </c>
      <c r="M729" t="s">
        <v>22</v>
      </c>
    </row>
    <row r="730" spans="1:13" x14ac:dyDescent="0.35">
      <c r="A730" t="s">
        <v>1551</v>
      </c>
      <c r="B730" s="9">
        <v>46180</v>
      </c>
      <c r="C730" t="s">
        <v>959</v>
      </c>
      <c r="D730" t="s">
        <v>116</v>
      </c>
      <c r="E730" t="s">
        <v>34</v>
      </c>
      <c r="F730" t="s">
        <v>74</v>
      </c>
      <c r="G730" t="s">
        <v>75</v>
      </c>
      <c r="H730">
        <v>3</v>
      </c>
      <c r="I730" t="s">
        <v>71</v>
      </c>
      <c r="J730" t="s">
        <v>379</v>
      </c>
      <c r="K730" t="s">
        <v>76</v>
      </c>
      <c r="L730" t="s">
        <v>30</v>
      </c>
      <c r="M730" t="s">
        <v>22</v>
      </c>
    </row>
    <row r="731" spans="1:13" x14ac:dyDescent="0.35">
      <c r="A731" t="s">
        <v>1552</v>
      </c>
      <c r="B731" s="9">
        <v>46081</v>
      </c>
      <c r="C731" t="s">
        <v>1553</v>
      </c>
      <c r="D731" t="s">
        <v>66</v>
      </c>
      <c r="E731" t="s">
        <v>41</v>
      </c>
      <c r="F731" t="s">
        <v>89</v>
      </c>
      <c r="G731" t="s">
        <v>90</v>
      </c>
      <c r="H731">
        <v>1</v>
      </c>
      <c r="I731" t="s">
        <v>19</v>
      </c>
      <c r="J731" t="s">
        <v>19</v>
      </c>
      <c r="K731">
        <v>640</v>
      </c>
      <c r="L731" t="s">
        <v>30</v>
      </c>
      <c r="M731" t="s">
        <v>22</v>
      </c>
    </row>
    <row r="732" spans="1:13" x14ac:dyDescent="0.35">
      <c r="A732" t="s">
        <v>1554</v>
      </c>
      <c r="B732" s="9">
        <v>46053</v>
      </c>
      <c r="C732" t="s">
        <v>1555</v>
      </c>
      <c r="D732" t="s">
        <v>33</v>
      </c>
      <c r="E732" t="s">
        <v>41</v>
      </c>
      <c r="F732" t="s">
        <v>35</v>
      </c>
      <c r="G732" t="s">
        <v>36</v>
      </c>
      <c r="H732">
        <v>1</v>
      </c>
      <c r="I732" t="s">
        <v>68</v>
      </c>
      <c r="J732" t="s">
        <v>68</v>
      </c>
      <c r="K732">
        <v>85</v>
      </c>
      <c r="L732" t="s">
        <v>21</v>
      </c>
      <c r="M732" t="s">
        <v>22</v>
      </c>
    </row>
    <row r="733" spans="1:13" x14ac:dyDescent="0.35">
      <c r="A733" t="s">
        <v>1556</v>
      </c>
      <c r="B733" s="9">
        <v>46114</v>
      </c>
      <c r="C733" t="s">
        <v>1557</v>
      </c>
      <c r="D733" t="s">
        <v>40</v>
      </c>
      <c r="E733" t="s">
        <v>16</v>
      </c>
      <c r="F733" t="s">
        <v>89</v>
      </c>
      <c r="G733" t="s">
        <v>90</v>
      </c>
      <c r="H733">
        <v>1</v>
      </c>
      <c r="I733" t="s">
        <v>254</v>
      </c>
      <c r="J733" t="s">
        <v>254</v>
      </c>
      <c r="K733">
        <v>640</v>
      </c>
      <c r="L733" t="s">
        <v>30</v>
      </c>
      <c r="M733" t="s">
        <v>22</v>
      </c>
    </row>
    <row r="734" spans="1:13" x14ac:dyDescent="0.35">
      <c r="A734" t="s">
        <v>1558</v>
      </c>
      <c r="B734" s="9">
        <v>46162</v>
      </c>
      <c r="C734" t="s">
        <v>1210</v>
      </c>
      <c r="D734" t="s">
        <v>99</v>
      </c>
      <c r="E734" t="s">
        <v>25</v>
      </c>
      <c r="F734" t="s">
        <v>35</v>
      </c>
      <c r="G734" t="s">
        <v>36</v>
      </c>
      <c r="H734">
        <v>2</v>
      </c>
      <c r="I734" t="s">
        <v>19</v>
      </c>
      <c r="J734" t="s">
        <v>238</v>
      </c>
      <c r="K734" t="s">
        <v>37</v>
      </c>
      <c r="L734" t="s">
        <v>30</v>
      </c>
      <c r="M734" t="s">
        <v>22</v>
      </c>
    </row>
    <row r="735" spans="1:13" x14ac:dyDescent="0.35">
      <c r="A735" t="s">
        <v>1559</v>
      </c>
      <c r="B735" s="9">
        <v>46149</v>
      </c>
      <c r="C735" t="s">
        <v>537</v>
      </c>
      <c r="D735" t="s">
        <v>61</v>
      </c>
      <c r="E735" t="s">
        <v>67</v>
      </c>
      <c r="F735" t="s">
        <v>89</v>
      </c>
      <c r="G735" t="s">
        <v>90</v>
      </c>
      <c r="H735">
        <v>1</v>
      </c>
      <c r="I735" t="s">
        <v>254</v>
      </c>
      <c r="J735" t="s">
        <v>254</v>
      </c>
      <c r="K735" t="s">
        <v>108</v>
      </c>
      <c r="L735" t="s">
        <v>30</v>
      </c>
      <c r="M735" t="s">
        <v>22</v>
      </c>
    </row>
    <row r="736" spans="1:13" x14ac:dyDescent="0.35">
      <c r="A736" t="s">
        <v>1560</v>
      </c>
      <c r="B736" s="9">
        <v>46069</v>
      </c>
      <c r="C736" t="s">
        <v>873</v>
      </c>
      <c r="D736" t="s">
        <v>33</v>
      </c>
      <c r="E736" t="s">
        <v>25</v>
      </c>
      <c r="F736" t="s">
        <v>47</v>
      </c>
      <c r="G736" t="s">
        <v>48</v>
      </c>
      <c r="H736">
        <v>2</v>
      </c>
      <c r="I736" t="s">
        <v>132</v>
      </c>
      <c r="J736" t="s">
        <v>133</v>
      </c>
      <c r="K736">
        <v>380</v>
      </c>
      <c r="L736" t="s">
        <v>30</v>
      </c>
      <c r="M736" t="s">
        <v>58</v>
      </c>
    </row>
    <row r="737" spans="1:13" x14ac:dyDescent="0.35">
      <c r="A737" t="s">
        <v>1561</v>
      </c>
      <c r="B737" s="9">
        <v>46041</v>
      </c>
      <c r="C737" t="s">
        <v>1562</v>
      </c>
      <c r="D737" t="s">
        <v>46</v>
      </c>
      <c r="E737" t="s">
        <v>41</v>
      </c>
      <c r="F737" t="s">
        <v>89</v>
      </c>
      <c r="G737" t="s">
        <v>90</v>
      </c>
      <c r="H737">
        <v>1</v>
      </c>
      <c r="I737" t="s">
        <v>62</v>
      </c>
      <c r="J737" t="s">
        <v>62</v>
      </c>
      <c r="K737">
        <v>640</v>
      </c>
      <c r="L737" t="s">
        <v>21</v>
      </c>
      <c r="M737" t="s">
        <v>22</v>
      </c>
    </row>
    <row r="738" spans="1:13" x14ac:dyDescent="0.35">
      <c r="A738" t="s">
        <v>1563</v>
      </c>
      <c r="B738" s="9">
        <v>46105</v>
      </c>
      <c r="C738" t="s">
        <v>1564</v>
      </c>
      <c r="D738" t="s">
        <v>99</v>
      </c>
      <c r="E738" t="s">
        <v>34</v>
      </c>
      <c r="F738" t="s">
        <v>83</v>
      </c>
      <c r="G738" t="s">
        <v>84</v>
      </c>
      <c r="H738">
        <v>2</v>
      </c>
      <c r="I738" t="s">
        <v>102</v>
      </c>
      <c r="J738" t="s">
        <v>1565</v>
      </c>
      <c r="K738">
        <v>340</v>
      </c>
      <c r="L738" t="s">
        <v>30</v>
      </c>
      <c r="M738" t="s">
        <v>22</v>
      </c>
    </row>
    <row r="739" spans="1:13" x14ac:dyDescent="0.35">
      <c r="A739" t="s">
        <v>1566</v>
      </c>
      <c r="B739" s="9">
        <v>46084</v>
      </c>
      <c r="C739" t="s">
        <v>471</v>
      </c>
      <c r="D739" t="s">
        <v>15</v>
      </c>
      <c r="E739" t="s">
        <v>25</v>
      </c>
      <c r="F739" t="s">
        <v>35</v>
      </c>
      <c r="G739" t="s">
        <v>36</v>
      </c>
      <c r="H739">
        <v>1</v>
      </c>
      <c r="I739" t="s">
        <v>254</v>
      </c>
      <c r="J739" t="s">
        <v>254</v>
      </c>
      <c r="K739">
        <v>85</v>
      </c>
      <c r="L739" t="s">
        <v>30</v>
      </c>
      <c r="M739" t="s">
        <v>22</v>
      </c>
    </row>
    <row r="740" spans="1:13" x14ac:dyDescent="0.35">
      <c r="A740" t="s">
        <v>1567</v>
      </c>
      <c r="B740" s="9">
        <v>46060</v>
      </c>
      <c r="C740" t="s">
        <v>1568</v>
      </c>
      <c r="D740" t="s">
        <v>66</v>
      </c>
      <c r="E740" t="s">
        <v>67</v>
      </c>
      <c r="F740" t="s">
        <v>26</v>
      </c>
      <c r="G740" t="s">
        <v>27</v>
      </c>
      <c r="H740">
        <v>2</v>
      </c>
      <c r="I740" t="s">
        <v>592</v>
      </c>
      <c r="J740" t="s">
        <v>164</v>
      </c>
      <c r="K740" t="s">
        <v>29</v>
      </c>
      <c r="L740" t="s">
        <v>30</v>
      </c>
      <c r="M740" t="s">
        <v>22</v>
      </c>
    </row>
    <row r="741" spans="1:13" x14ac:dyDescent="0.35">
      <c r="A741" t="s">
        <v>1569</v>
      </c>
      <c r="B741" s="9">
        <v>46111</v>
      </c>
      <c r="C741" t="s">
        <v>1570</v>
      </c>
      <c r="D741" t="s">
        <v>66</v>
      </c>
      <c r="E741" t="s">
        <v>67</v>
      </c>
      <c r="F741" t="s">
        <v>35</v>
      </c>
      <c r="G741" t="s">
        <v>36</v>
      </c>
      <c r="H741">
        <v>1</v>
      </c>
      <c r="I741" t="s">
        <v>71</v>
      </c>
      <c r="J741" t="s">
        <v>71</v>
      </c>
      <c r="K741">
        <v>85</v>
      </c>
      <c r="L741" t="s">
        <v>30</v>
      </c>
      <c r="M741" t="s">
        <v>22</v>
      </c>
    </row>
    <row r="742" spans="1:13" x14ac:dyDescent="0.35">
      <c r="A742" t="s">
        <v>1571</v>
      </c>
      <c r="B742" s="9">
        <v>46132</v>
      </c>
      <c r="C742" t="s">
        <v>477</v>
      </c>
      <c r="D742" t="s">
        <v>46</v>
      </c>
      <c r="E742" t="s">
        <v>25</v>
      </c>
      <c r="F742" t="s">
        <v>47</v>
      </c>
      <c r="G742" t="s">
        <v>48</v>
      </c>
      <c r="H742">
        <v>1</v>
      </c>
      <c r="I742" t="s">
        <v>68</v>
      </c>
      <c r="J742" t="s">
        <v>68</v>
      </c>
      <c r="K742" t="s">
        <v>50</v>
      </c>
      <c r="L742" t="s">
        <v>30</v>
      </c>
      <c r="M742" t="s">
        <v>22</v>
      </c>
    </row>
    <row r="743" spans="1:13" x14ac:dyDescent="0.35">
      <c r="A743" t="s">
        <v>1572</v>
      </c>
      <c r="B743" s="9">
        <v>46150</v>
      </c>
      <c r="C743" t="s">
        <v>769</v>
      </c>
      <c r="D743" t="s">
        <v>53</v>
      </c>
      <c r="E743" t="s">
        <v>16</v>
      </c>
      <c r="F743" t="s">
        <v>35</v>
      </c>
      <c r="G743" t="s">
        <v>36</v>
      </c>
      <c r="H743">
        <v>2</v>
      </c>
      <c r="I743" t="s">
        <v>170</v>
      </c>
      <c r="J743" t="s">
        <v>1573</v>
      </c>
      <c r="K743" t="s">
        <v>37</v>
      </c>
      <c r="L743" t="s">
        <v>30</v>
      </c>
      <c r="M743" t="s">
        <v>58</v>
      </c>
    </row>
    <row r="744" spans="1:13" x14ac:dyDescent="0.35">
      <c r="A744" t="s">
        <v>1574</v>
      </c>
      <c r="B744" s="9">
        <v>46185</v>
      </c>
      <c r="C744" t="s">
        <v>1575</v>
      </c>
      <c r="D744" t="s">
        <v>33</v>
      </c>
      <c r="E744" t="s">
        <v>67</v>
      </c>
      <c r="F744" t="s">
        <v>35</v>
      </c>
      <c r="G744" t="s">
        <v>36</v>
      </c>
      <c r="H744">
        <v>-1</v>
      </c>
      <c r="I744" t="s">
        <v>136</v>
      </c>
      <c r="J744" t="s">
        <v>1322</v>
      </c>
      <c r="K744" t="s">
        <v>37</v>
      </c>
      <c r="L744" t="s">
        <v>30</v>
      </c>
      <c r="M744" t="s">
        <v>58</v>
      </c>
    </row>
    <row r="745" spans="1:13" x14ac:dyDescent="0.35">
      <c r="A745" t="s">
        <v>1576</v>
      </c>
      <c r="B745" s="9">
        <v>46072</v>
      </c>
      <c r="C745" t="s">
        <v>1577</v>
      </c>
      <c r="D745" t="s">
        <v>33</v>
      </c>
      <c r="E745" t="s">
        <v>16</v>
      </c>
      <c r="F745" t="s">
        <v>42</v>
      </c>
      <c r="G745" t="s">
        <v>43</v>
      </c>
      <c r="H745">
        <v>1</v>
      </c>
      <c r="I745" t="s">
        <v>79</v>
      </c>
      <c r="J745" t="s">
        <v>79</v>
      </c>
      <c r="K745">
        <v>190</v>
      </c>
      <c r="L745" t="s">
        <v>30</v>
      </c>
      <c r="M745" t="s">
        <v>22</v>
      </c>
    </row>
    <row r="746" spans="1:13" x14ac:dyDescent="0.35">
      <c r="A746" t="s">
        <v>1578</v>
      </c>
      <c r="B746" s="9">
        <v>46180</v>
      </c>
      <c r="C746" t="s">
        <v>1579</v>
      </c>
      <c r="D746" t="s">
        <v>46</v>
      </c>
      <c r="E746" t="s">
        <v>41</v>
      </c>
      <c r="F746" t="s">
        <v>17</v>
      </c>
      <c r="G746" t="s">
        <v>18</v>
      </c>
      <c r="H746">
        <v>2</v>
      </c>
      <c r="I746" t="s">
        <v>79</v>
      </c>
      <c r="J746" t="s">
        <v>143</v>
      </c>
      <c r="K746" t="s">
        <v>29</v>
      </c>
      <c r="L746" t="s">
        <v>30</v>
      </c>
      <c r="M746" t="s">
        <v>22</v>
      </c>
    </row>
    <row r="747" spans="1:13" x14ac:dyDescent="0.35">
      <c r="A747" t="s">
        <v>1580</v>
      </c>
      <c r="B747" s="9">
        <v>46109</v>
      </c>
      <c r="C747" t="s">
        <v>1581</v>
      </c>
      <c r="D747" t="s">
        <v>61</v>
      </c>
      <c r="E747" t="s">
        <v>16</v>
      </c>
      <c r="F747" t="s">
        <v>74</v>
      </c>
      <c r="G747" t="s">
        <v>75</v>
      </c>
      <c r="H747">
        <v>1</v>
      </c>
      <c r="I747" t="s">
        <v>220</v>
      </c>
      <c r="J747" t="s">
        <v>220</v>
      </c>
      <c r="K747">
        <v>410</v>
      </c>
      <c r="L747" t="s">
        <v>30</v>
      </c>
      <c r="M747" t="s">
        <v>22</v>
      </c>
    </row>
    <row r="748" spans="1:13" x14ac:dyDescent="0.35">
      <c r="A748" t="s">
        <v>1582</v>
      </c>
      <c r="B748" s="9">
        <v>46029</v>
      </c>
      <c r="C748" t="s">
        <v>1583</v>
      </c>
      <c r="D748" t="s">
        <v>46</v>
      </c>
      <c r="E748" t="s">
        <v>25</v>
      </c>
      <c r="F748" t="s">
        <v>26</v>
      </c>
      <c r="G748" t="s">
        <v>27</v>
      </c>
      <c r="H748">
        <v>1</v>
      </c>
      <c r="I748" t="s">
        <v>79</v>
      </c>
      <c r="J748" t="s">
        <v>79</v>
      </c>
      <c r="K748">
        <v>520</v>
      </c>
      <c r="L748" t="s">
        <v>30</v>
      </c>
      <c r="M748" t="s">
        <v>22</v>
      </c>
    </row>
    <row r="749" spans="1:13" x14ac:dyDescent="0.35">
      <c r="A749" t="s">
        <v>1584</v>
      </c>
      <c r="B749" s="9">
        <v>46271</v>
      </c>
      <c r="C749" t="s">
        <v>1585</v>
      </c>
      <c r="D749" t="s">
        <v>66</v>
      </c>
      <c r="E749" t="s">
        <v>41</v>
      </c>
      <c r="F749" t="s">
        <v>42</v>
      </c>
      <c r="G749" t="s">
        <v>43</v>
      </c>
      <c r="H749">
        <v>1</v>
      </c>
      <c r="I749" t="s">
        <v>68</v>
      </c>
      <c r="J749" t="s">
        <v>68</v>
      </c>
      <c r="K749" t="s">
        <v>111</v>
      </c>
      <c r="L749" t="s">
        <v>21</v>
      </c>
      <c r="M749" t="s">
        <v>58</v>
      </c>
    </row>
    <row r="750" spans="1:13" x14ac:dyDescent="0.35">
      <c r="A750" t="s">
        <v>1586</v>
      </c>
      <c r="B750" s="9">
        <v>46102</v>
      </c>
      <c r="C750" t="s">
        <v>1587</v>
      </c>
      <c r="D750" t="s">
        <v>61</v>
      </c>
      <c r="E750" t="s">
        <v>34</v>
      </c>
      <c r="F750" t="s">
        <v>89</v>
      </c>
      <c r="G750" t="s">
        <v>90</v>
      </c>
      <c r="H750">
        <v>1</v>
      </c>
      <c r="I750" t="s">
        <v>68</v>
      </c>
      <c r="J750" t="s">
        <v>68</v>
      </c>
      <c r="K750">
        <v>640</v>
      </c>
      <c r="L750" t="s">
        <v>21</v>
      </c>
      <c r="M750" t="s">
        <v>22</v>
      </c>
    </row>
    <row r="751" spans="1:13" x14ac:dyDescent="0.35">
      <c r="A751" t="s">
        <v>1588</v>
      </c>
      <c r="B751" s="9">
        <v>46114</v>
      </c>
      <c r="C751" t="s">
        <v>1589</v>
      </c>
      <c r="D751" t="s">
        <v>61</v>
      </c>
      <c r="E751" t="s">
        <v>41</v>
      </c>
      <c r="F751" t="s">
        <v>74</v>
      </c>
      <c r="G751" t="s">
        <v>75</v>
      </c>
      <c r="H751">
        <v>1</v>
      </c>
      <c r="I751" t="s">
        <v>993</v>
      </c>
      <c r="J751" t="s">
        <v>254</v>
      </c>
      <c r="K751">
        <v>410</v>
      </c>
      <c r="L751" t="s">
        <v>30</v>
      </c>
      <c r="M751" t="s">
        <v>22</v>
      </c>
    </row>
    <row r="752" spans="1:13" x14ac:dyDescent="0.35">
      <c r="A752" t="s">
        <v>1590</v>
      </c>
      <c r="B752" s="9">
        <v>46189</v>
      </c>
      <c r="C752" t="s">
        <v>583</v>
      </c>
      <c r="D752" t="s">
        <v>99</v>
      </c>
      <c r="E752" t="s">
        <v>34</v>
      </c>
      <c r="F752" t="s">
        <v>47</v>
      </c>
      <c r="G752" t="s">
        <v>48</v>
      </c>
      <c r="H752">
        <v>1</v>
      </c>
      <c r="I752" t="s">
        <v>132</v>
      </c>
      <c r="J752" t="s">
        <v>132</v>
      </c>
      <c r="K752" t="s">
        <v>50</v>
      </c>
      <c r="L752" t="s">
        <v>30</v>
      </c>
      <c r="M752" t="s">
        <v>22</v>
      </c>
    </row>
    <row r="753" spans="1:13" x14ac:dyDescent="0.35">
      <c r="A753" t="s">
        <v>1591</v>
      </c>
      <c r="B753" s="9">
        <v>46041</v>
      </c>
      <c r="C753" t="s">
        <v>1592</v>
      </c>
      <c r="D753" t="s">
        <v>53</v>
      </c>
      <c r="E753" t="s">
        <v>41</v>
      </c>
      <c r="F753" t="s">
        <v>26</v>
      </c>
      <c r="G753" t="s">
        <v>27</v>
      </c>
      <c r="H753">
        <v>1</v>
      </c>
      <c r="I753" t="s">
        <v>132</v>
      </c>
      <c r="J753" t="s">
        <v>132</v>
      </c>
      <c r="K753">
        <v>520</v>
      </c>
      <c r="L753" t="s">
        <v>30</v>
      </c>
      <c r="M753" t="s">
        <v>22</v>
      </c>
    </row>
    <row r="754" spans="1:13" x14ac:dyDescent="0.35">
      <c r="A754" t="s">
        <v>1593</v>
      </c>
      <c r="B754" s="9">
        <v>46067</v>
      </c>
      <c r="C754" t="s">
        <v>1168</v>
      </c>
      <c r="D754" t="s">
        <v>66</v>
      </c>
      <c r="E754" t="s">
        <v>41</v>
      </c>
      <c r="F754" t="s">
        <v>42</v>
      </c>
      <c r="G754" t="s">
        <v>43</v>
      </c>
      <c r="H754">
        <v>3</v>
      </c>
      <c r="I754" t="s">
        <v>132</v>
      </c>
      <c r="J754" t="s">
        <v>232</v>
      </c>
      <c r="K754">
        <v>190</v>
      </c>
      <c r="L754" t="s">
        <v>30</v>
      </c>
      <c r="M754" t="s">
        <v>22</v>
      </c>
    </row>
    <row r="755" spans="1:13" x14ac:dyDescent="0.35">
      <c r="A755" t="s">
        <v>1594</v>
      </c>
      <c r="B755" s="9">
        <v>46170</v>
      </c>
      <c r="C755" t="s">
        <v>1595</v>
      </c>
      <c r="D755" t="s">
        <v>15</v>
      </c>
      <c r="E755" t="s">
        <v>67</v>
      </c>
      <c r="F755" t="s">
        <v>26</v>
      </c>
      <c r="G755" t="s">
        <v>27</v>
      </c>
      <c r="H755">
        <v>1</v>
      </c>
      <c r="I755" t="s">
        <v>79</v>
      </c>
      <c r="J755" t="s">
        <v>79</v>
      </c>
      <c r="K755" t="s">
        <v>29</v>
      </c>
      <c r="L755" t="s">
        <v>30</v>
      </c>
      <c r="M755" t="s">
        <v>22</v>
      </c>
    </row>
    <row r="756" spans="1:13" x14ac:dyDescent="0.35">
      <c r="A756" t="s">
        <v>1596</v>
      </c>
      <c r="B756" s="9">
        <v>46144</v>
      </c>
      <c r="C756" t="s">
        <v>1597</v>
      </c>
      <c r="D756" t="s">
        <v>46</v>
      </c>
      <c r="E756" t="s">
        <v>41</v>
      </c>
      <c r="F756" t="s">
        <v>83</v>
      </c>
      <c r="G756" t="s">
        <v>84</v>
      </c>
      <c r="H756">
        <v>1</v>
      </c>
      <c r="I756" t="s">
        <v>106</v>
      </c>
      <c r="J756" t="s">
        <v>106</v>
      </c>
      <c r="K756">
        <v>340</v>
      </c>
      <c r="L756" t="s">
        <v>21</v>
      </c>
      <c r="M756" t="s">
        <v>22</v>
      </c>
    </row>
    <row r="757" spans="1:13" x14ac:dyDescent="0.35">
      <c r="A757" t="s">
        <v>1598</v>
      </c>
      <c r="B757" s="9">
        <v>46187</v>
      </c>
      <c r="C757" t="s">
        <v>1599</v>
      </c>
      <c r="D757" t="s">
        <v>15</v>
      </c>
      <c r="E757" t="s">
        <v>25</v>
      </c>
      <c r="F757" t="s">
        <v>47</v>
      </c>
      <c r="G757" t="s">
        <v>48</v>
      </c>
      <c r="H757">
        <v>1</v>
      </c>
      <c r="I757" t="s">
        <v>79</v>
      </c>
      <c r="J757" t="s">
        <v>79</v>
      </c>
      <c r="K757" t="s">
        <v>50</v>
      </c>
      <c r="L757" t="s">
        <v>30</v>
      </c>
      <c r="M757" t="s">
        <v>22</v>
      </c>
    </row>
    <row r="758" spans="1:13" x14ac:dyDescent="0.35">
      <c r="A758" t="s">
        <v>1600</v>
      </c>
      <c r="B758" s="9">
        <v>46120</v>
      </c>
      <c r="C758" t="s">
        <v>1601</v>
      </c>
      <c r="D758" t="s">
        <v>46</v>
      </c>
      <c r="E758" t="s">
        <v>41</v>
      </c>
      <c r="F758" t="s">
        <v>47</v>
      </c>
      <c r="G758" t="s">
        <v>48</v>
      </c>
      <c r="H758">
        <v>2</v>
      </c>
      <c r="I758" t="s">
        <v>49</v>
      </c>
      <c r="J758" t="s">
        <v>178</v>
      </c>
      <c r="K758">
        <v>380</v>
      </c>
      <c r="L758" t="s">
        <v>21</v>
      </c>
      <c r="M758" t="s">
        <v>22</v>
      </c>
    </row>
    <row r="759" spans="1:13" x14ac:dyDescent="0.35">
      <c r="A759" t="s">
        <v>1602</v>
      </c>
      <c r="B759" s="9">
        <v>46129</v>
      </c>
      <c r="C759" t="s">
        <v>451</v>
      </c>
      <c r="D759" t="s">
        <v>15</v>
      </c>
      <c r="E759" t="s">
        <v>67</v>
      </c>
      <c r="F759" t="s">
        <v>47</v>
      </c>
      <c r="G759" t="s">
        <v>48</v>
      </c>
      <c r="H759">
        <v>1</v>
      </c>
      <c r="I759" t="s">
        <v>79</v>
      </c>
      <c r="J759" t="s">
        <v>79</v>
      </c>
      <c r="K759">
        <v>380</v>
      </c>
      <c r="L759" t="s">
        <v>21</v>
      </c>
      <c r="M759" t="s">
        <v>58</v>
      </c>
    </row>
    <row r="760" spans="1:13" x14ac:dyDescent="0.35">
      <c r="A760" t="s">
        <v>1603</v>
      </c>
      <c r="B760" s="9">
        <v>46196</v>
      </c>
      <c r="C760" t="s">
        <v>1117</v>
      </c>
      <c r="D760" t="s">
        <v>66</v>
      </c>
      <c r="E760" t="s">
        <v>34</v>
      </c>
      <c r="F760" t="s">
        <v>35</v>
      </c>
      <c r="G760" t="s">
        <v>36</v>
      </c>
      <c r="H760">
        <v>1</v>
      </c>
      <c r="I760" t="s">
        <v>79</v>
      </c>
      <c r="J760" t="s">
        <v>79</v>
      </c>
      <c r="K760" t="s">
        <v>37</v>
      </c>
      <c r="L760" t="s">
        <v>30</v>
      </c>
      <c r="M760" t="s">
        <v>22</v>
      </c>
    </row>
    <row r="761" spans="1:13" x14ac:dyDescent="0.35">
      <c r="A761" t="s">
        <v>1604</v>
      </c>
      <c r="B761" s="9">
        <v>46063</v>
      </c>
      <c r="C761" t="s">
        <v>763</v>
      </c>
      <c r="D761" t="s">
        <v>66</v>
      </c>
      <c r="E761" t="s">
        <v>16</v>
      </c>
      <c r="F761" t="s">
        <v>89</v>
      </c>
      <c r="G761" t="s">
        <v>90</v>
      </c>
      <c r="H761">
        <v>2</v>
      </c>
      <c r="I761" t="s">
        <v>102</v>
      </c>
      <c r="J761" t="s">
        <v>181</v>
      </c>
      <c r="K761">
        <v>640</v>
      </c>
      <c r="L761" t="s">
        <v>30</v>
      </c>
      <c r="M761" t="s">
        <v>22</v>
      </c>
    </row>
    <row r="762" spans="1:13" x14ac:dyDescent="0.35">
      <c r="A762" t="s">
        <v>1605</v>
      </c>
      <c r="B762" s="9">
        <v>46199</v>
      </c>
      <c r="C762" t="s">
        <v>344</v>
      </c>
      <c r="D762" t="s">
        <v>66</v>
      </c>
      <c r="E762" t="s">
        <v>67</v>
      </c>
      <c r="F762" t="s">
        <v>17</v>
      </c>
      <c r="G762" t="s">
        <v>18</v>
      </c>
      <c r="H762">
        <v>1</v>
      </c>
      <c r="I762" t="s">
        <v>71</v>
      </c>
      <c r="J762" t="s">
        <v>71</v>
      </c>
      <c r="K762" t="s">
        <v>29</v>
      </c>
      <c r="L762" t="s">
        <v>30</v>
      </c>
      <c r="M762" t="s">
        <v>22</v>
      </c>
    </row>
    <row r="763" spans="1:13" x14ac:dyDescent="0.35">
      <c r="A763" t="s">
        <v>1606</v>
      </c>
      <c r="B763" s="9">
        <v>46113</v>
      </c>
      <c r="C763" t="s">
        <v>1008</v>
      </c>
      <c r="D763" t="s">
        <v>61</v>
      </c>
      <c r="E763" t="s">
        <v>34</v>
      </c>
      <c r="F763" t="s">
        <v>89</v>
      </c>
      <c r="G763" t="s">
        <v>90</v>
      </c>
      <c r="H763">
        <v>1</v>
      </c>
      <c r="I763" t="s">
        <v>254</v>
      </c>
      <c r="J763" t="s">
        <v>254</v>
      </c>
      <c r="K763">
        <v>640</v>
      </c>
      <c r="L763" t="s">
        <v>30</v>
      </c>
      <c r="M763" t="s">
        <v>22</v>
      </c>
    </row>
    <row r="764" spans="1:13" x14ac:dyDescent="0.35">
      <c r="A764" t="s">
        <v>1607</v>
      </c>
      <c r="B764" s="9">
        <v>46182</v>
      </c>
      <c r="C764" t="s">
        <v>1608</v>
      </c>
      <c r="D764" t="s">
        <v>66</v>
      </c>
      <c r="E764" t="s">
        <v>34</v>
      </c>
      <c r="F764" t="s">
        <v>42</v>
      </c>
      <c r="G764" t="s">
        <v>43</v>
      </c>
      <c r="H764">
        <v>1</v>
      </c>
      <c r="I764" t="s">
        <v>68</v>
      </c>
      <c r="J764" t="s">
        <v>68</v>
      </c>
      <c r="K764" t="s">
        <v>111</v>
      </c>
      <c r="L764" t="s">
        <v>30</v>
      </c>
      <c r="M764" t="s">
        <v>58</v>
      </c>
    </row>
    <row r="765" spans="1:13" x14ac:dyDescent="0.35">
      <c r="A765" t="s">
        <v>1609</v>
      </c>
      <c r="B765" t="s">
        <v>1610</v>
      </c>
      <c r="C765" t="s">
        <v>358</v>
      </c>
      <c r="D765" t="s">
        <v>99</v>
      </c>
      <c r="E765" t="s">
        <v>16</v>
      </c>
      <c r="F765" t="s">
        <v>26</v>
      </c>
      <c r="G765" t="s">
        <v>27</v>
      </c>
      <c r="H765">
        <v>1</v>
      </c>
      <c r="I765" t="s">
        <v>71</v>
      </c>
      <c r="J765" t="s">
        <v>71</v>
      </c>
      <c r="K765" t="s">
        <v>29</v>
      </c>
      <c r="L765" t="s">
        <v>30</v>
      </c>
      <c r="M765" t="s">
        <v>58</v>
      </c>
    </row>
    <row r="766" spans="1:13" x14ac:dyDescent="0.35">
      <c r="A766" t="s">
        <v>1611</v>
      </c>
      <c r="B766" s="9">
        <v>46206</v>
      </c>
      <c r="C766" t="s">
        <v>1612</v>
      </c>
      <c r="D766" t="s">
        <v>15</v>
      </c>
      <c r="E766" t="s">
        <v>16</v>
      </c>
      <c r="F766" t="s">
        <v>26</v>
      </c>
      <c r="G766" t="s">
        <v>27</v>
      </c>
      <c r="H766">
        <v>2</v>
      </c>
      <c r="I766" t="s">
        <v>170</v>
      </c>
      <c r="J766" t="s">
        <v>152</v>
      </c>
      <c r="K766" t="s">
        <v>29</v>
      </c>
      <c r="L766" t="s">
        <v>30</v>
      </c>
      <c r="M766" t="s">
        <v>22</v>
      </c>
    </row>
    <row r="767" spans="1:13" x14ac:dyDescent="0.35">
      <c r="A767" t="s">
        <v>1613</v>
      </c>
      <c r="B767" s="9">
        <v>46180</v>
      </c>
      <c r="C767" t="s">
        <v>519</v>
      </c>
      <c r="D767" t="s">
        <v>53</v>
      </c>
      <c r="E767" t="s">
        <v>25</v>
      </c>
      <c r="F767" t="s">
        <v>47</v>
      </c>
      <c r="G767" t="s">
        <v>48</v>
      </c>
      <c r="H767">
        <v>1</v>
      </c>
      <c r="I767" t="s">
        <v>56</v>
      </c>
      <c r="J767" t="s">
        <v>56</v>
      </c>
      <c r="K767" t="s">
        <v>50</v>
      </c>
      <c r="L767" t="s">
        <v>30</v>
      </c>
      <c r="M767" t="s">
        <v>22</v>
      </c>
    </row>
    <row r="768" spans="1:13" x14ac:dyDescent="0.35">
      <c r="A768" t="s">
        <v>1614</v>
      </c>
      <c r="B768" s="9">
        <v>46057</v>
      </c>
      <c r="C768" t="s">
        <v>564</v>
      </c>
      <c r="D768" t="s">
        <v>40</v>
      </c>
      <c r="E768" t="s">
        <v>34</v>
      </c>
      <c r="F768" t="s">
        <v>35</v>
      </c>
      <c r="G768" t="s">
        <v>36</v>
      </c>
      <c r="H768">
        <v>1</v>
      </c>
      <c r="I768" t="s">
        <v>132</v>
      </c>
      <c r="J768" t="s">
        <v>132</v>
      </c>
      <c r="K768">
        <v>85</v>
      </c>
      <c r="L768" t="s">
        <v>21</v>
      </c>
      <c r="M768" t="s">
        <v>58</v>
      </c>
    </row>
    <row r="769" spans="1:13" x14ac:dyDescent="0.35">
      <c r="A769" t="s">
        <v>1615</v>
      </c>
      <c r="B769" s="9">
        <v>46193</v>
      </c>
      <c r="C769" t="s">
        <v>490</v>
      </c>
      <c r="D769" t="s">
        <v>61</v>
      </c>
      <c r="E769" t="s">
        <v>25</v>
      </c>
      <c r="F769" t="s">
        <v>35</v>
      </c>
      <c r="G769" t="s">
        <v>36</v>
      </c>
      <c r="H769">
        <v>1</v>
      </c>
      <c r="I769" t="s">
        <v>102</v>
      </c>
      <c r="J769" t="s">
        <v>102</v>
      </c>
      <c r="K769" t="s">
        <v>37</v>
      </c>
      <c r="L769" t="s">
        <v>30</v>
      </c>
      <c r="M769" t="s">
        <v>58</v>
      </c>
    </row>
    <row r="770" spans="1:13" x14ac:dyDescent="0.35">
      <c r="A770" t="s">
        <v>1224</v>
      </c>
      <c r="B770" s="9">
        <v>46359</v>
      </c>
      <c r="C770" t="s">
        <v>1076</v>
      </c>
      <c r="D770" t="s">
        <v>40</v>
      </c>
      <c r="E770" t="s">
        <v>41</v>
      </c>
      <c r="F770" t="s">
        <v>47</v>
      </c>
      <c r="G770" t="s">
        <v>48</v>
      </c>
      <c r="H770">
        <v>3</v>
      </c>
      <c r="I770" t="s">
        <v>71</v>
      </c>
      <c r="J770" t="s">
        <v>1225</v>
      </c>
      <c r="K770">
        <v>380</v>
      </c>
      <c r="L770" t="s">
        <v>30</v>
      </c>
      <c r="M770" t="s">
        <v>58</v>
      </c>
    </row>
    <row r="771" spans="1:13" x14ac:dyDescent="0.35">
      <c r="A771" t="s">
        <v>1616</v>
      </c>
      <c r="B771" s="9">
        <v>46175</v>
      </c>
      <c r="C771" t="s">
        <v>150</v>
      </c>
      <c r="D771" t="s">
        <v>33</v>
      </c>
      <c r="E771" t="s">
        <v>34</v>
      </c>
      <c r="F771" t="s">
        <v>42</v>
      </c>
      <c r="G771" t="s">
        <v>43</v>
      </c>
      <c r="H771">
        <v>-2</v>
      </c>
      <c r="I771" t="s">
        <v>79</v>
      </c>
      <c r="J771" t="s">
        <v>1617</v>
      </c>
      <c r="K771" t="s">
        <v>111</v>
      </c>
      <c r="L771" t="s">
        <v>30</v>
      </c>
      <c r="M771" t="s">
        <v>58</v>
      </c>
    </row>
    <row r="772" spans="1:13" x14ac:dyDescent="0.35">
      <c r="A772" t="s">
        <v>1618</v>
      </c>
      <c r="B772" s="9">
        <v>46122</v>
      </c>
      <c r="C772" t="s">
        <v>1619</v>
      </c>
      <c r="D772" t="s">
        <v>46</v>
      </c>
      <c r="E772" t="s">
        <v>34</v>
      </c>
      <c r="F772" t="s">
        <v>35</v>
      </c>
      <c r="G772" t="s">
        <v>36</v>
      </c>
      <c r="H772">
        <v>3</v>
      </c>
      <c r="I772" t="s">
        <v>106</v>
      </c>
      <c r="J772" t="s">
        <v>160</v>
      </c>
      <c r="K772">
        <v>85</v>
      </c>
      <c r="L772" t="s">
        <v>21</v>
      </c>
      <c r="M772" t="s">
        <v>22</v>
      </c>
    </row>
    <row r="773" spans="1:13" x14ac:dyDescent="0.35">
      <c r="A773" t="s">
        <v>1620</v>
      </c>
      <c r="B773" s="9">
        <v>46196</v>
      </c>
      <c r="C773" t="s">
        <v>604</v>
      </c>
      <c r="D773" t="s">
        <v>46</v>
      </c>
      <c r="E773" t="s">
        <v>16</v>
      </c>
      <c r="F773" t="s">
        <v>83</v>
      </c>
      <c r="G773" t="s">
        <v>84</v>
      </c>
      <c r="H773">
        <v>1</v>
      </c>
      <c r="I773" t="s">
        <v>132</v>
      </c>
      <c r="J773" t="s">
        <v>132</v>
      </c>
      <c r="K773" t="s">
        <v>103</v>
      </c>
      <c r="L773" t="s">
        <v>30</v>
      </c>
      <c r="M773" t="s">
        <v>22</v>
      </c>
    </row>
    <row r="774" spans="1:13" x14ac:dyDescent="0.35">
      <c r="A774" t="s">
        <v>1621</v>
      </c>
      <c r="B774" s="9">
        <v>46104</v>
      </c>
      <c r="C774" t="s">
        <v>966</v>
      </c>
      <c r="D774" t="s">
        <v>46</v>
      </c>
      <c r="E774" t="s">
        <v>41</v>
      </c>
      <c r="F774" t="s">
        <v>26</v>
      </c>
      <c r="G774" t="s">
        <v>27</v>
      </c>
      <c r="H774">
        <v>1</v>
      </c>
      <c r="I774" t="s">
        <v>132</v>
      </c>
      <c r="J774" t="s">
        <v>132</v>
      </c>
      <c r="K774">
        <v>520</v>
      </c>
      <c r="L774" t="s">
        <v>21</v>
      </c>
      <c r="M774" t="s">
        <v>22</v>
      </c>
    </row>
    <row r="775" spans="1:13" x14ac:dyDescent="0.35">
      <c r="A775" t="s">
        <v>1622</v>
      </c>
      <c r="B775" s="9">
        <v>46091</v>
      </c>
      <c r="C775" t="s">
        <v>1623</v>
      </c>
      <c r="D775" t="s">
        <v>61</v>
      </c>
      <c r="E775" t="s">
        <v>25</v>
      </c>
      <c r="F775" t="s">
        <v>42</v>
      </c>
      <c r="G775" t="s">
        <v>43</v>
      </c>
      <c r="H775">
        <v>-1</v>
      </c>
      <c r="I775" t="s">
        <v>426</v>
      </c>
      <c r="J775" t="s">
        <v>1624</v>
      </c>
      <c r="K775">
        <v>190</v>
      </c>
      <c r="L775" t="s">
        <v>30</v>
      </c>
      <c r="M775" t="s">
        <v>22</v>
      </c>
    </row>
    <row r="776" spans="1:13" x14ac:dyDescent="0.35">
      <c r="A776" t="s">
        <v>1625</v>
      </c>
      <c r="B776" s="9">
        <v>46049</v>
      </c>
      <c r="C776" t="s">
        <v>1626</v>
      </c>
      <c r="D776" t="s">
        <v>94</v>
      </c>
      <c r="E776" t="s">
        <v>34</v>
      </c>
      <c r="F776" t="s">
        <v>74</v>
      </c>
      <c r="G776" t="s">
        <v>75</v>
      </c>
      <c r="H776">
        <v>2</v>
      </c>
      <c r="I776" t="s">
        <v>68</v>
      </c>
      <c r="J776" t="s">
        <v>248</v>
      </c>
      <c r="K776">
        <v>410</v>
      </c>
      <c r="L776" t="s">
        <v>21</v>
      </c>
      <c r="M776" t="s">
        <v>22</v>
      </c>
    </row>
    <row r="777" spans="1:13" x14ac:dyDescent="0.35">
      <c r="A777" t="s">
        <v>1627</v>
      </c>
      <c r="B777" s="9">
        <v>46079</v>
      </c>
      <c r="C777" t="s">
        <v>1628</v>
      </c>
      <c r="D777" t="s">
        <v>99</v>
      </c>
      <c r="E777" t="s">
        <v>67</v>
      </c>
      <c r="F777" t="s">
        <v>35</v>
      </c>
      <c r="G777" t="s">
        <v>36</v>
      </c>
      <c r="H777">
        <v>2</v>
      </c>
      <c r="I777" t="s">
        <v>254</v>
      </c>
      <c r="J777" t="s">
        <v>156</v>
      </c>
      <c r="K777">
        <v>85</v>
      </c>
      <c r="L777" t="s">
        <v>21</v>
      </c>
      <c r="M777" t="s">
        <v>58</v>
      </c>
    </row>
    <row r="778" spans="1:13" x14ac:dyDescent="0.35">
      <c r="A778" t="s">
        <v>1629</v>
      </c>
      <c r="B778" s="9">
        <v>46166</v>
      </c>
      <c r="C778" t="s">
        <v>1630</v>
      </c>
      <c r="D778" t="s">
        <v>33</v>
      </c>
      <c r="E778" t="s">
        <v>25</v>
      </c>
      <c r="F778" t="s">
        <v>74</v>
      </c>
      <c r="G778" t="s">
        <v>75</v>
      </c>
      <c r="H778">
        <v>2</v>
      </c>
      <c r="I778" t="s">
        <v>254</v>
      </c>
      <c r="J778" t="s">
        <v>156</v>
      </c>
      <c r="K778" t="s">
        <v>76</v>
      </c>
      <c r="L778" t="s">
        <v>30</v>
      </c>
      <c r="M778" t="s">
        <v>58</v>
      </c>
    </row>
    <row r="779" spans="1:13" x14ac:dyDescent="0.35">
      <c r="A779" t="s">
        <v>1631</v>
      </c>
      <c r="B779" s="9">
        <v>46037</v>
      </c>
      <c r="C779" t="s">
        <v>594</v>
      </c>
      <c r="D779" t="s">
        <v>15</v>
      </c>
      <c r="E779" t="s">
        <v>67</v>
      </c>
      <c r="F779" t="s">
        <v>17</v>
      </c>
      <c r="G779" t="s">
        <v>18</v>
      </c>
      <c r="H779">
        <v>1</v>
      </c>
      <c r="I779" t="s">
        <v>132</v>
      </c>
      <c r="J779" t="s">
        <v>132</v>
      </c>
      <c r="K779">
        <v>520</v>
      </c>
      <c r="L779" t="s">
        <v>21</v>
      </c>
      <c r="M779" t="s">
        <v>58</v>
      </c>
    </row>
    <row r="780" spans="1:13" x14ac:dyDescent="0.35">
      <c r="A780" t="s">
        <v>1632</v>
      </c>
      <c r="B780" s="9">
        <v>46061</v>
      </c>
      <c r="C780" t="s">
        <v>1633</v>
      </c>
      <c r="D780" t="s">
        <v>66</v>
      </c>
      <c r="E780" t="s">
        <v>41</v>
      </c>
      <c r="F780" t="s">
        <v>17</v>
      </c>
      <c r="G780" t="s">
        <v>18</v>
      </c>
      <c r="H780">
        <v>2</v>
      </c>
      <c r="I780" t="s">
        <v>71</v>
      </c>
      <c r="J780" t="s">
        <v>286</v>
      </c>
      <c r="K780">
        <v>520</v>
      </c>
      <c r="L780" t="s">
        <v>30</v>
      </c>
      <c r="M780" t="s">
        <v>22</v>
      </c>
    </row>
    <row r="781" spans="1:13" x14ac:dyDescent="0.35">
      <c r="A781" t="s">
        <v>1634</v>
      </c>
      <c r="B781" s="9">
        <v>46158</v>
      </c>
      <c r="C781" t="s">
        <v>123</v>
      </c>
      <c r="D781" t="s">
        <v>66</v>
      </c>
      <c r="E781" t="s">
        <v>41</v>
      </c>
      <c r="F781" t="s">
        <v>26</v>
      </c>
      <c r="G781" t="s">
        <v>27</v>
      </c>
      <c r="H781">
        <v>1</v>
      </c>
      <c r="I781" t="s">
        <v>106</v>
      </c>
      <c r="J781" t="s">
        <v>62</v>
      </c>
      <c r="K781" t="s">
        <v>29</v>
      </c>
      <c r="L781" t="s">
        <v>21</v>
      </c>
      <c r="M781" t="s">
        <v>22</v>
      </c>
    </row>
    <row r="782" spans="1:13" x14ac:dyDescent="0.35">
      <c r="A782" t="s">
        <v>1635</v>
      </c>
      <c r="B782" s="9">
        <v>46129</v>
      </c>
      <c r="C782" t="s">
        <v>1636</v>
      </c>
      <c r="D782" t="s">
        <v>46</v>
      </c>
      <c r="E782" t="s">
        <v>67</v>
      </c>
      <c r="F782" t="s">
        <v>83</v>
      </c>
      <c r="G782" t="s">
        <v>84</v>
      </c>
      <c r="H782">
        <v>1</v>
      </c>
      <c r="I782" t="s">
        <v>62</v>
      </c>
      <c r="J782" t="s">
        <v>62</v>
      </c>
      <c r="K782">
        <v>340</v>
      </c>
      <c r="L782" t="s">
        <v>30</v>
      </c>
      <c r="M782" t="s">
        <v>58</v>
      </c>
    </row>
    <row r="783" spans="1:13" x14ac:dyDescent="0.35">
      <c r="A783" t="s">
        <v>1637</v>
      </c>
      <c r="B783" s="9">
        <v>46057</v>
      </c>
      <c r="C783" t="s">
        <v>1638</v>
      </c>
      <c r="D783" t="s">
        <v>66</v>
      </c>
      <c r="E783" t="s">
        <v>67</v>
      </c>
      <c r="F783" t="s">
        <v>42</v>
      </c>
      <c r="G783" t="s">
        <v>43</v>
      </c>
      <c r="H783">
        <v>1</v>
      </c>
      <c r="I783" t="s">
        <v>71</v>
      </c>
      <c r="J783" t="s">
        <v>71</v>
      </c>
      <c r="K783">
        <v>190</v>
      </c>
      <c r="L783" t="s">
        <v>21</v>
      </c>
      <c r="M783" t="s">
        <v>22</v>
      </c>
    </row>
    <row r="784" spans="1:13" x14ac:dyDescent="0.35">
      <c r="A784" t="s">
        <v>1639</v>
      </c>
      <c r="B784" s="9">
        <v>46171</v>
      </c>
      <c r="C784" t="s">
        <v>1640</v>
      </c>
      <c r="D784" t="s">
        <v>33</v>
      </c>
      <c r="E784" t="s">
        <v>16</v>
      </c>
      <c r="F784" t="s">
        <v>42</v>
      </c>
      <c r="G784" t="s">
        <v>43</v>
      </c>
      <c r="H784">
        <v>1</v>
      </c>
      <c r="I784" t="s">
        <v>254</v>
      </c>
      <c r="J784" t="s">
        <v>254</v>
      </c>
      <c r="K784" t="s">
        <v>111</v>
      </c>
      <c r="L784" t="s">
        <v>30</v>
      </c>
      <c r="M784" t="s">
        <v>22</v>
      </c>
    </row>
    <row r="785" spans="1:13" x14ac:dyDescent="0.35">
      <c r="A785" t="s">
        <v>1641</v>
      </c>
      <c r="B785" t="s">
        <v>1530</v>
      </c>
      <c r="C785" t="s">
        <v>1642</v>
      </c>
      <c r="D785" t="s">
        <v>116</v>
      </c>
      <c r="E785" t="s">
        <v>34</v>
      </c>
      <c r="F785" t="s">
        <v>47</v>
      </c>
      <c r="G785" t="s">
        <v>48</v>
      </c>
      <c r="H785">
        <v>1</v>
      </c>
      <c r="I785" t="s">
        <v>79</v>
      </c>
      <c r="J785" t="s">
        <v>79</v>
      </c>
      <c r="K785">
        <v>380</v>
      </c>
      <c r="L785" t="s">
        <v>30</v>
      </c>
      <c r="M785" t="s">
        <v>58</v>
      </c>
    </row>
    <row r="786" spans="1:13" x14ac:dyDescent="0.35">
      <c r="A786" t="s">
        <v>1643</v>
      </c>
      <c r="B786" t="s">
        <v>1430</v>
      </c>
      <c r="C786" t="s">
        <v>1644</v>
      </c>
      <c r="D786" t="s">
        <v>46</v>
      </c>
      <c r="E786" t="s">
        <v>34</v>
      </c>
      <c r="F786" t="s">
        <v>83</v>
      </c>
      <c r="G786" t="s">
        <v>84</v>
      </c>
      <c r="H786">
        <v>2</v>
      </c>
      <c r="I786" t="s">
        <v>56</v>
      </c>
      <c r="J786" t="s">
        <v>193</v>
      </c>
      <c r="K786" t="s">
        <v>103</v>
      </c>
      <c r="L786" t="s">
        <v>21</v>
      </c>
      <c r="M786" t="s">
        <v>58</v>
      </c>
    </row>
    <row r="787" spans="1:13" x14ac:dyDescent="0.35">
      <c r="A787" t="s">
        <v>1645</v>
      </c>
      <c r="B787" t="s">
        <v>775</v>
      </c>
      <c r="C787" t="s">
        <v>260</v>
      </c>
      <c r="D787" t="s">
        <v>99</v>
      </c>
      <c r="E787" t="s">
        <v>67</v>
      </c>
      <c r="F787" t="s">
        <v>17</v>
      </c>
      <c r="G787" t="s">
        <v>18</v>
      </c>
      <c r="H787">
        <v>2</v>
      </c>
      <c r="I787" t="s">
        <v>28</v>
      </c>
      <c r="J787" t="s">
        <v>316</v>
      </c>
      <c r="K787">
        <v>520</v>
      </c>
      <c r="L787" t="s">
        <v>21</v>
      </c>
      <c r="M787" t="s">
        <v>58</v>
      </c>
    </row>
    <row r="788" spans="1:13" x14ac:dyDescent="0.35">
      <c r="A788" t="s">
        <v>1646</v>
      </c>
      <c r="B788" s="9">
        <v>46143</v>
      </c>
      <c r="C788" t="s">
        <v>1647</v>
      </c>
      <c r="D788" t="s">
        <v>53</v>
      </c>
      <c r="E788" t="s">
        <v>25</v>
      </c>
      <c r="F788" t="s">
        <v>83</v>
      </c>
      <c r="G788" t="s">
        <v>84</v>
      </c>
      <c r="H788">
        <v>2</v>
      </c>
      <c r="I788" t="s">
        <v>132</v>
      </c>
      <c r="J788" t="s">
        <v>133</v>
      </c>
      <c r="K788" t="s">
        <v>103</v>
      </c>
      <c r="L788" t="s">
        <v>30</v>
      </c>
      <c r="M788" t="s">
        <v>58</v>
      </c>
    </row>
    <row r="789" spans="1:13" x14ac:dyDescent="0.35">
      <c r="A789" t="s">
        <v>1648</v>
      </c>
      <c r="B789" s="9">
        <v>46157</v>
      </c>
      <c r="C789" t="s">
        <v>1649</v>
      </c>
      <c r="D789" t="s">
        <v>46</v>
      </c>
      <c r="E789" t="s">
        <v>34</v>
      </c>
      <c r="F789" t="s">
        <v>35</v>
      </c>
      <c r="G789" t="s">
        <v>36</v>
      </c>
      <c r="H789">
        <v>2</v>
      </c>
      <c r="I789" t="s">
        <v>132</v>
      </c>
      <c r="J789" t="s">
        <v>133</v>
      </c>
      <c r="K789" t="s">
        <v>37</v>
      </c>
      <c r="L789" t="s">
        <v>30</v>
      </c>
      <c r="M789" t="s">
        <v>22</v>
      </c>
    </row>
    <row r="790" spans="1:13" x14ac:dyDescent="0.35">
      <c r="A790" t="s">
        <v>1650</v>
      </c>
      <c r="B790" s="9">
        <v>46121</v>
      </c>
      <c r="C790" t="s">
        <v>1651</v>
      </c>
      <c r="D790" t="s">
        <v>46</v>
      </c>
      <c r="E790" t="s">
        <v>16</v>
      </c>
      <c r="F790" t="s">
        <v>26</v>
      </c>
      <c r="G790" t="s">
        <v>27</v>
      </c>
      <c r="H790">
        <v>1</v>
      </c>
      <c r="I790" t="s">
        <v>79</v>
      </c>
      <c r="J790" t="s">
        <v>79</v>
      </c>
      <c r="K790">
        <v>520</v>
      </c>
      <c r="L790" t="s">
        <v>30</v>
      </c>
      <c r="M790" t="s">
        <v>22</v>
      </c>
    </row>
    <row r="791" spans="1:13" x14ac:dyDescent="0.35">
      <c r="A791" t="s">
        <v>1652</v>
      </c>
      <c r="B791" s="9">
        <v>46050</v>
      </c>
      <c r="C791" t="s">
        <v>1653</v>
      </c>
      <c r="D791" t="s">
        <v>40</v>
      </c>
      <c r="E791" t="s">
        <v>41</v>
      </c>
      <c r="F791" t="s">
        <v>26</v>
      </c>
      <c r="G791" t="s">
        <v>27</v>
      </c>
      <c r="H791">
        <v>2</v>
      </c>
      <c r="I791" t="s">
        <v>170</v>
      </c>
      <c r="J791" t="s">
        <v>152</v>
      </c>
      <c r="K791">
        <v>520</v>
      </c>
      <c r="L791" t="s">
        <v>30</v>
      </c>
      <c r="M791" t="s">
        <v>22</v>
      </c>
    </row>
    <row r="792" spans="1:13" x14ac:dyDescent="0.35">
      <c r="A792" t="s">
        <v>1654</v>
      </c>
      <c r="B792" s="9">
        <v>46150</v>
      </c>
      <c r="C792" t="s">
        <v>1655</v>
      </c>
      <c r="D792" t="s">
        <v>94</v>
      </c>
      <c r="E792" t="s">
        <v>67</v>
      </c>
      <c r="F792" t="s">
        <v>47</v>
      </c>
      <c r="G792" t="s">
        <v>48</v>
      </c>
      <c r="H792">
        <v>1</v>
      </c>
      <c r="I792" t="s">
        <v>85</v>
      </c>
      <c r="J792" t="s">
        <v>85</v>
      </c>
      <c r="K792" t="s">
        <v>50</v>
      </c>
      <c r="L792" t="s">
        <v>30</v>
      </c>
      <c r="M792" t="s">
        <v>58</v>
      </c>
    </row>
    <row r="793" spans="1:13" x14ac:dyDescent="0.35">
      <c r="A793" t="s">
        <v>1656</v>
      </c>
      <c r="B793" s="9">
        <v>46154</v>
      </c>
      <c r="C793" t="s">
        <v>342</v>
      </c>
      <c r="D793" t="s">
        <v>66</v>
      </c>
      <c r="E793" t="s">
        <v>25</v>
      </c>
      <c r="F793" t="s">
        <v>17</v>
      </c>
      <c r="G793" t="s">
        <v>18</v>
      </c>
      <c r="H793">
        <v>1</v>
      </c>
      <c r="I793" t="s">
        <v>170</v>
      </c>
      <c r="J793" t="s">
        <v>170</v>
      </c>
      <c r="K793" t="s">
        <v>29</v>
      </c>
      <c r="L793" t="s">
        <v>30</v>
      </c>
      <c r="M793" t="s">
        <v>22</v>
      </c>
    </row>
    <row r="794" spans="1:13" x14ac:dyDescent="0.35">
      <c r="A794" t="s">
        <v>1657</v>
      </c>
      <c r="B794" s="9">
        <v>46037</v>
      </c>
      <c r="C794" t="s">
        <v>1239</v>
      </c>
      <c r="D794" t="s">
        <v>40</v>
      </c>
      <c r="E794" t="s">
        <v>16</v>
      </c>
      <c r="F794" t="s">
        <v>26</v>
      </c>
      <c r="G794" t="s">
        <v>27</v>
      </c>
      <c r="H794">
        <v>1</v>
      </c>
      <c r="I794" t="s">
        <v>170</v>
      </c>
      <c r="J794" t="s">
        <v>170</v>
      </c>
      <c r="K794">
        <v>520</v>
      </c>
      <c r="L794" t="s">
        <v>30</v>
      </c>
      <c r="M794" t="s">
        <v>22</v>
      </c>
    </row>
    <row r="795" spans="1:13" x14ac:dyDescent="0.35">
      <c r="A795" t="s">
        <v>1658</v>
      </c>
      <c r="B795" t="s">
        <v>1530</v>
      </c>
      <c r="C795" t="s">
        <v>1659</v>
      </c>
      <c r="D795" t="s">
        <v>94</v>
      </c>
      <c r="E795" t="s">
        <v>34</v>
      </c>
      <c r="F795" t="s">
        <v>26</v>
      </c>
      <c r="G795" t="s">
        <v>27</v>
      </c>
      <c r="H795">
        <v>1</v>
      </c>
      <c r="I795" t="s">
        <v>19</v>
      </c>
      <c r="J795" t="s">
        <v>19</v>
      </c>
      <c r="K795">
        <v>520</v>
      </c>
      <c r="L795" t="s">
        <v>30</v>
      </c>
      <c r="M795" t="s">
        <v>22</v>
      </c>
    </row>
    <row r="796" spans="1:13" x14ac:dyDescent="0.35">
      <c r="A796" t="s">
        <v>1660</v>
      </c>
      <c r="B796" s="9">
        <v>46173</v>
      </c>
      <c r="C796" t="s">
        <v>513</v>
      </c>
      <c r="D796" t="s">
        <v>116</v>
      </c>
      <c r="E796" t="s">
        <v>41</v>
      </c>
      <c r="F796" t="s">
        <v>42</v>
      </c>
      <c r="G796" t="s">
        <v>43</v>
      </c>
      <c r="H796">
        <v>2</v>
      </c>
      <c r="I796" t="s">
        <v>588</v>
      </c>
      <c r="J796" t="s">
        <v>63</v>
      </c>
      <c r="K796" t="s">
        <v>111</v>
      </c>
      <c r="L796" t="s">
        <v>30</v>
      </c>
      <c r="M796" t="s">
        <v>58</v>
      </c>
    </row>
    <row r="797" spans="1:13" x14ac:dyDescent="0.35">
      <c r="A797" t="s">
        <v>1661</v>
      </c>
      <c r="B797" s="9">
        <v>46080</v>
      </c>
      <c r="C797" t="s">
        <v>1662</v>
      </c>
      <c r="D797" t="s">
        <v>15</v>
      </c>
      <c r="E797" t="s">
        <v>16</v>
      </c>
      <c r="F797" t="s">
        <v>47</v>
      </c>
      <c r="G797" t="s">
        <v>48</v>
      </c>
      <c r="H797">
        <v>1</v>
      </c>
      <c r="I797" t="s">
        <v>71</v>
      </c>
      <c r="J797" t="s">
        <v>1663</v>
      </c>
      <c r="K797">
        <v>380</v>
      </c>
      <c r="L797" t="s">
        <v>30</v>
      </c>
      <c r="M797" t="s">
        <v>22</v>
      </c>
    </row>
    <row r="798" spans="1:13" x14ac:dyDescent="0.35">
      <c r="A798" t="s">
        <v>1664</v>
      </c>
      <c r="B798" s="9">
        <v>46063</v>
      </c>
      <c r="C798" t="s">
        <v>485</v>
      </c>
      <c r="D798" t="s">
        <v>61</v>
      </c>
      <c r="E798" t="s">
        <v>41</v>
      </c>
      <c r="F798" t="s">
        <v>35</v>
      </c>
      <c r="G798" t="s">
        <v>36</v>
      </c>
      <c r="H798">
        <v>1</v>
      </c>
      <c r="I798" t="s">
        <v>85</v>
      </c>
      <c r="J798" t="s">
        <v>85</v>
      </c>
      <c r="K798">
        <v>85</v>
      </c>
      <c r="L798" t="s">
        <v>30</v>
      </c>
      <c r="M798" t="s">
        <v>22</v>
      </c>
    </row>
    <row r="799" spans="1:13" x14ac:dyDescent="0.35">
      <c r="A799" t="s">
        <v>1665</v>
      </c>
      <c r="B799" t="s">
        <v>1666</v>
      </c>
      <c r="C799" t="s">
        <v>1667</v>
      </c>
      <c r="D799" t="s">
        <v>66</v>
      </c>
      <c r="E799" t="s">
        <v>67</v>
      </c>
      <c r="F799" t="s">
        <v>26</v>
      </c>
      <c r="G799" t="s">
        <v>27</v>
      </c>
      <c r="H799">
        <v>1</v>
      </c>
      <c r="I799" t="s">
        <v>102</v>
      </c>
      <c r="J799" t="s">
        <v>102</v>
      </c>
      <c r="K799" t="s">
        <v>29</v>
      </c>
      <c r="L799" t="s">
        <v>30</v>
      </c>
      <c r="M799" t="s">
        <v>22</v>
      </c>
    </row>
    <row r="800" spans="1:13" x14ac:dyDescent="0.35">
      <c r="A800" t="s">
        <v>1668</v>
      </c>
      <c r="B800" s="9">
        <v>46037</v>
      </c>
      <c r="C800" t="s">
        <v>1669</v>
      </c>
      <c r="D800" t="s">
        <v>46</v>
      </c>
      <c r="E800" t="s">
        <v>67</v>
      </c>
      <c r="F800" t="s">
        <v>17</v>
      </c>
      <c r="G800" t="s">
        <v>18</v>
      </c>
      <c r="H800">
        <v>1</v>
      </c>
      <c r="I800" t="s">
        <v>85</v>
      </c>
      <c r="J800" t="s">
        <v>85</v>
      </c>
      <c r="K800">
        <v>520</v>
      </c>
      <c r="L800" t="s">
        <v>30</v>
      </c>
      <c r="M800" t="s">
        <v>22</v>
      </c>
    </row>
    <row r="801" spans="1:13" x14ac:dyDescent="0.35">
      <c r="A801" t="s">
        <v>1670</v>
      </c>
      <c r="B801" s="9">
        <v>46165</v>
      </c>
      <c r="C801" t="s">
        <v>852</v>
      </c>
      <c r="D801" t="s">
        <v>66</v>
      </c>
      <c r="E801" t="s">
        <v>67</v>
      </c>
      <c r="F801" t="s">
        <v>35</v>
      </c>
      <c r="G801" t="s">
        <v>36</v>
      </c>
      <c r="H801">
        <v>3</v>
      </c>
      <c r="I801" t="s">
        <v>106</v>
      </c>
      <c r="J801" t="s">
        <v>160</v>
      </c>
      <c r="K801" t="s">
        <v>37</v>
      </c>
      <c r="L801" t="s">
        <v>30</v>
      </c>
      <c r="M801" t="s">
        <v>22</v>
      </c>
    </row>
    <row r="802" spans="1:13" x14ac:dyDescent="0.35">
      <c r="A802" t="s">
        <v>1671</v>
      </c>
      <c r="B802" s="9">
        <v>46151</v>
      </c>
      <c r="C802" t="s">
        <v>1672</v>
      </c>
      <c r="D802" t="s">
        <v>99</v>
      </c>
      <c r="E802" t="s">
        <v>34</v>
      </c>
      <c r="F802" t="s">
        <v>35</v>
      </c>
      <c r="G802" t="s">
        <v>36</v>
      </c>
      <c r="H802">
        <v>2</v>
      </c>
      <c r="I802" t="s">
        <v>102</v>
      </c>
      <c r="J802" t="s">
        <v>181</v>
      </c>
      <c r="K802" t="s">
        <v>37</v>
      </c>
      <c r="L802" t="s">
        <v>30</v>
      </c>
      <c r="M802" t="s">
        <v>58</v>
      </c>
    </row>
    <row r="803" spans="1:13" x14ac:dyDescent="0.35">
      <c r="A803" t="s">
        <v>1673</v>
      </c>
      <c r="B803" s="9">
        <v>46095</v>
      </c>
      <c r="C803" t="s">
        <v>1674</v>
      </c>
      <c r="D803" t="s">
        <v>94</v>
      </c>
      <c r="E803" t="s">
        <v>41</v>
      </c>
      <c r="F803" t="s">
        <v>83</v>
      </c>
      <c r="G803" t="s">
        <v>84</v>
      </c>
      <c r="H803">
        <v>1</v>
      </c>
      <c r="I803" t="s">
        <v>744</v>
      </c>
      <c r="J803" t="s">
        <v>106</v>
      </c>
      <c r="K803">
        <v>340</v>
      </c>
      <c r="L803" t="s">
        <v>21</v>
      </c>
      <c r="M803" t="s">
        <v>22</v>
      </c>
    </row>
    <row r="804" spans="1:13" x14ac:dyDescent="0.35">
      <c r="A804" t="s">
        <v>1675</v>
      </c>
      <c r="B804" s="9">
        <v>46080</v>
      </c>
      <c r="C804" t="s">
        <v>177</v>
      </c>
      <c r="D804" t="s">
        <v>33</v>
      </c>
      <c r="E804" t="s">
        <v>34</v>
      </c>
      <c r="F804" t="s">
        <v>47</v>
      </c>
      <c r="G804" t="s">
        <v>48</v>
      </c>
      <c r="H804">
        <v>1</v>
      </c>
      <c r="I804" t="s">
        <v>19</v>
      </c>
      <c r="J804" t="s">
        <v>19</v>
      </c>
      <c r="K804">
        <v>380</v>
      </c>
      <c r="L804" t="s">
        <v>30</v>
      </c>
      <c r="M804" t="s">
        <v>22</v>
      </c>
    </row>
    <row r="805" spans="1:13" x14ac:dyDescent="0.35">
      <c r="A805" t="s">
        <v>1676</v>
      </c>
      <c r="B805" s="9">
        <v>46124</v>
      </c>
      <c r="C805" t="s">
        <v>1314</v>
      </c>
      <c r="D805" t="s">
        <v>40</v>
      </c>
      <c r="E805" t="s">
        <v>25</v>
      </c>
      <c r="F805" t="s">
        <v>74</v>
      </c>
      <c r="G805" t="s">
        <v>75</v>
      </c>
      <c r="H805">
        <v>2</v>
      </c>
      <c r="I805" t="s">
        <v>106</v>
      </c>
      <c r="J805" t="s">
        <v>107</v>
      </c>
      <c r="K805">
        <v>410</v>
      </c>
      <c r="L805" t="s">
        <v>30</v>
      </c>
      <c r="M805" t="s">
        <v>22</v>
      </c>
    </row>
    <row r="806" spans="1:13" x14ac:dyDescent="0.35">
      <c r="A806" t="s">
        <v>1677</v>
      </c>
      <c r="B806" s="9">
        <v>46041</v>
      </c>
      <c r="C806" t="s">
        <v>1678</v>
      </c>
      <c r="D806" t="s">
        <v>66</v>
      </c>
      <c r="E806" t="s">
        <v>67</v>
      </c>
      <c r="F806" t="s">
        <v>74</v>
      </c>
      <c r="G806" t="s">
        <v>75</v>
      </c>
      <c r="H806">
        <v>2</v>
      </c>
      <c r="I806" t="s">
        <v>68</v>
      </c>
      <c r="J806" t="s">
        <v>248</v>
      </c>
      <c r="K806">
        <v>410</v>
      </c>
      <c r="L806" t="s">
        <v>30</v>
      </c>
      <c r="M806" t="s">
        <v>22</v>
      </c>
    </row>
    <row r="807" spans="1:13" x14ac:dyDescent="0.35">
      <c r="A807" t="s">
        <v>1679</v>
      </c>
      <c r="B807" s="9">
        <v>46133</v>
      </c>
      <c r="C807" t="s">
        <v>750</v>
      </c>
      <c r="D807" t="s">
        <v>15</v>
      </c>
      <c r="E807" t="s">
        <v>41</v>
      </c>
      <c r="F807" t="s">
        <v>42</v>
      </c>
      <c r="G807" t="s">
        <v>43</v>
      </c>
      <c r="H807">
        <v>1</v>
      </c>
      <c r="I807" t="s">
        <v>102</v>
      </c>
      <c r="J807" t="s">
        <v>102</v>
      </c>
      <c r="K807" t="s">
        <v>111</v>
      </c>
      <c r="L807" t="s">
        <v>30</v>
      </c>
      <c r="M807" t="s">
        <v>22</v>
      </c>
    </row>
    <row r="808" spans="1:13" x14ac:dyDescent="0.35">
      <c r="A808" t="s">
        <v>1680</v>
      </c>
      <c r="B808" s="9">
        <v>46176</v>
      </c>
      <c r="C808" t="s">
        <v>1046</v>
      </c>
      <c r="D808" t="s">
        <v>99</v>
      </c>
      <c r="E808" t="s">
        <v>34</v>
      </c>
      <c r="F808" t="s">
        <v>26</v>
      </c>
      <c r="G808" t="s">
        <v>27</v>
      </c>
      <c r="H808">
        <v>2</v>
      </c>
      <c r="I808" t="s">
        <v>254</v>
      </c>
      <c r="J808" t="s">
        <v>156</v>
      </c>
      <c r="K808" t="s">
        <v>29</v>
      </c>
      <c r="L808" t="s">
        <v>21</v>
      </c>
      <c r="M808" t="s">
        <v>22</v>
      </c>
    </row>
    <row r="809" spans="1:13" x14ac:dyDescent="0.35">
      <c r="A809" t="s">
        <v>1681</v>
      </c>
      <c r="B809" s="9">
        <v>46165</v>
      </c>
      <c r="C809" t="s">
        <v>1682</v>
      </c>
      <c r="D809" t="s">
        <v>33</v>
      </c>
      <c r="E809" t="s">
        <v>34</v>
      </c>
      <c r="F809" t="s">
        <v>17</v>
      </c>
      <c r="G809" t="s">
        <v>18</v>
      </c>
      <c r="H809">
        <v>1</v>
      </c>
      <c r="I809" t="s">
        <v>85</v>
      </c>
      <c r="J809" t="s">
        <v>85</v>
      </c>
      <c r="K809" t="s">
        <v>29</v>
      </c>
      <c r="L809" t="s">
        <v>30</v>
      </c>
      <c r="M809" t="s">
        <v>58</v>
      </c>
    </row>
    <row r="810" spans="1:13" x14ac:dyDescent="0.35">
      <c r="A810" t="s">
        <v>1683</v>
      </c>
      <c r="B810" s="9">
        <v>46185</v>
      </c>
      <c r="C810" t="s">
        <v>1684</v>
      </c>
      <c r="D810" t="s">
        <v>40</v>
      </c>
      <c r="E810" t="s">
        <v>41</v>
      </c>
      <c r="F810" t="s">
        <v>17</v>
      </c>
      <c r="G810" t="s">
        <v>18</v>
      </c>
      <c r="H810">
        <v>2</v>
      </c>
      <c r="I810" t="s">
        <v>79</v>
      </c>
      <c r="J810" t="s">
        <v>143</v>
      </c>
      <c r="K810" t="s">
        <v>29</v>
      </c>
      <c r="L810" t="s">
        <v>30</v>
      </c>
      <c r="M810" t="s">
        <v>22</v>
      </c>
    </row>
    <row r="811" spans="1:13" x14ac:dyDescent="0.35">
      <c r="A811" t="s">
        <v>1685</v>
      </c>
      <c r="B811" s="9">
        <v>46065</v>
      </c>
      <c r="C811" t="s">
        <v>1686</v>
      </c>
      <c r="D811" t="s">
        <v>99</v>
      </c>
      <c r="E811" t="s">
        <v>34</v>
      </c>
      <c r="F811" t="s">
        <v>47</v>
      </c>
      <c r="G811" t="s">
        <v>48</v>
      </c>
      <c r="H811">
        <v>2</v>
      </c>
      <c r="I811" t="s">
        <v>254</v>
      </c>
      <c r="J811" t="s">
        <v>156</v>
      </c>
      <c r="K811">
        <v>380</v>
      </c>
      <c r="L811" t="s">
        <v>30</v>
      </c>
      <c r="M811" t="s">
        <v>58</v>
      </c>
    </row>
    <row r="812" spans="1:13" x14ac:dyDescent="0.35">
      <c r="A812" t="s">
        <v>1687</v>
      </c>
      <c r="B812" s="9">
        <v>46117</v>
      </c>
      <c r="C812" t="s">
        <v>1688</v>
      </c>
      <c r="D812" t="s">
        <v>116</v>
      </c>
      <c r="E812" t="s">
        <v>41</v>
      </c>
      <c r="F812" t="s">
        <v>35</v>
      </c>
      <c r="G812" t="s">
        <v>36</v>
      </c>
      <c r="H812">
        <v>2</v>
      </c>
      <c r="I812" t="s">
        <v>102</v>
      </c>
      <c r="J812" t="s">
        <v>181</v>
      </c>
      <c r="K812">
        <v>85</v>
      </c>
      <c r="L812" t="s">
        <v>30</v>
      </c>
      <c r="M812" t="s">
        <v>22</v>
      </c>
    </row>
    <row r="813" spans="1:13" x14ac:dyDescent="0.35">
      <c r="A813" t="s">
        <v>1689</v>
      </c>
      <c r="B813" s="9">
        <v>46101</v>
      </c>
      <c r="C813" t="s">
        <v>1057</v>
      </c>
      <c r="D813" t="s">
        <v>40</v>
      </c>
      <c r="E813" t="s">
        <v>34</v>
      </c>
      <c r="F813" t="s">
        <v>47</v>
      </c>
      <c r="G813" t="s">
        <v>48</v>
      </c>
      <c r="H813">
        <v>1</v>
      </c>
      <c r="I813" t="s">
        <v>132</v>
      </c>
      <c r="J813" t="s">
        <v>132</v>
      </c>
      <c r="K813">
        <v>380</v>
      </c>
      <c r="L813" t="s">
        <v>30</v>
      </c>
      <c r="M813" t="s">
        <v>58</v>
      </c>
    </row>
    <row r="814" spans="1:13" x14ac:dyDescent="0.35">
      <c r="A814" t="s">
        <v>1690</v>
      </c>
      <c r="B814" s="9">
        <v>46084</v>
      </c>
      <c r="C814" t="s">
        <v>1691</v>
      </c>
      <c r="D814" t="s">
        <v>116</v>
      </c>
      <c r="E814" t="s">
        <v>41</v>
      </c>
      <c r="F814" t="s">
        <v>89</v>
      </c>
      <c r="G814" t="s">
        <v>90</v>
      </c>
      <c r="H814">
        <v>1</v>
      </c>
      <c r="I814" t="s">
        <v>254</v>
      </c>
      <c r="J814" t="s">
        <v>254</v>
      </c>
      <c r="K814">
        <v>640</v>
      </c>
      <c r="L814" t="s">
        <v>30</v>
      </c>
      <c r="M814" t="s">
        <v>22</v>
      </c>
    </row>
    <row r="815" spans="1:13" x14ac:dyDescent="0.35">
      <c r="A815" t="s">
        <v>1692</v>
      </c>
      <c r="B815" s="9">
        <v>46153</v>
      </c>
      <c r="C815" t="s">
        <v>313</v>
      </c>
      <c r="D815" t="s">
        <v>61</v>
      </c>
      <c r="E815" t="s">
        <v>67</v>
      </c>
      <c r="F815" t="s">
        <v>89</v>
      </c>
      <c r="G815" t="s">
        <v>90</v>
      </c>
      <c r="H815">
        <v>1</v>
      </c>
      <c r="I815" t="s">
        <v>19</v>
      </c>
      <c r="J815" t="s">
        <v>19</v>
      </c>
      <c r="K815" t="s">
        <v>108</v>
      </c>
      <c r="L815" t="s">
        <v>30</v>
      </c>
      <c r="M815" t="s">
        <v>22</v>
      </c>
    </row>
    <row r="816" spans="1:13" x14ac:dyDescent="0.35">
      <c r="A816" t="s">
        <v>1693</v>
      </c>
      <c r="B816" s="9">
        <v>46202</v>
      </c>
      <c r="C816" t="s">
        <v>337</v>
      </c>
      <c r="D816" t="s">
        <v>99</v>
      </c>
      <c r="E816" t="s">
        <v>67</v>
      </c>
      <c r="F816" t="s">
        <v>47</v>
      </c>
      <c r="G816" t="s">
        <v>48</v>
      </c>
      <c r="H816">
        <v>2</v>
      </c>
      <c r="I816" t="s">
        <v>68</v>
      </c>
      <c r="J816" t="s">
        <v>248</v>
      </c>
      <c r="K816" t="s">
        <v>50</v>
      </c>
      <c r="L816" t="s">
        <v>21</v>
      </c>
      <c r="M816" t="s">
        <v>22</v>
      </c>
    </row>
    <row r="817" spans="1:13" x14ac:dyDescent="0.35">
      <c r="A817" t="s">
        <v>1694</v>
      </c>
      <c r="B817" s="9">
        <v>46086</v>
      </c>
      <c r="C817" t="s">
        <v>428</v>
      </c>
      <c r="D817" t="s">
        <v>46</v>
      </c>
      <c r="E817" t="s">
        <v>67</v>
      </c>
      <c r="F817" t="s">
        <v>83</v>
      </c>
      <c r="G817" t="s">
        <v>84</v>
      </c>
      <c r="H817">
        <v>-3</v>
      </c>
      <c r="I817" t="s">
        <v>136</v>
      </c>
      <c r="J817" t="s">
        <v>1695</v>
      </c>
      <c r="K817">
        <v>340</v>
      </c>
      <c r="L817" t="s">
        <v>30</v>
      </c>
      <c r="M817" t="s">
        <v>22</v>
      </c>
    </row>
    <row r="818" spans="1:13" x14ac:dyDescent="0.35">
      <c r="A818" t="s">
        <v>1696</v>
      </c>
      <c r="B818" s="9">
        <v>46140</v>
      </c>
      <c r="C818" t="s">
        <v>1292</v>
      </c>
      <c r="D818" t="s">
        <v>116</v>
      </c>
      <c r="E818" t="s">
        <v>25</v>
      </c>
      <c r="F818" t="s">
        <v>83</v>
      </c>
      <c r="G818" t="s">
        <v>84</v>
      </c>
      <c r="H818">
        <v>1</v>
      </c>
      <c r="I818" t="s">
        <v>68</v>
      </c>
      <c r="J818" t="s">
        <v>68</v>
      </c>
      <c r="K818" t="s">
        <v>103</v>
      </c>
      <c r="L818" t="s">
        <v>21</v>
      </c>
      <c r="M818" t="s">
        <v>22</v>
      </c>
    </row>
    <row r="819" spans="1:13" x14ac:dyDescent="0.35">
      <c r="A819" t="s">
        <v>1697</v>
      </c>
      <c r="B819" s="9">
        <v>46171</v>
      </c>
      <c r="C819" t="s">
        <v>933</v>
      </c>
      <c r="D819" t="s">
        <v>116</v>
      </c>
      <c r="E819" t="s">
        <v>41</v>
      </c>
      <c r="F819" t="s">
        <v>35</v>
      </c>
      <c r="G819" t="s">
        <v>36</v>
      </c>
      <c r="H819">
        <v>1</v>
      </c>
      <c r="I819" t="s">
        <v>71</v>
      </c>
      <c r="J819" t="s">
        <v>71</v>
      </c>
      <c r="K819" t="s">
        <v>37</v>
      </c>
      <c r="L819" t="s">
        <v>30</v>
      </c>
      <c r="M819" t="s">
        <v>58</v>
      </c>
    </row>
    <row r="820" spans="1:13" x14ac:dyDescent="0.35">
      <c r="A820" t="s">
        <v>1698</v>
      </c>
      <c r="B820" s="9">
        <v>46168</v>
      </c>
      <c r="C820" t="s">
        <v>509</v>
      </c>
      <c r="D820" t="s">
        <v>46</v>
      </c>
      <c r="E820" t="s">
        <v>25</v>
      </c>
      <c r="F820" t="s">
        <v>42</v>
      </c>
      <c r="G820" t="s">
        <v>43</v>
      </c>
      <c r="H820">
        <v>2</v>
      </c>
      <c r="I820" t="s">
        <v>106</v>
      </c>
      <c r="J820" t="s">
        <v>107</v>
      </c>
      <c r="K820" t="s">
        <v>111</v>
      </c>
      <c r="L820" t="s">
        <v>30</v>
      </c>
      <c r="M820" t="s">
        <v>22</v>
      </c>
    </row>
    <row r="821" spans="1:13" x14ac:dyDescent="0.35">
      <c r="A821" t="s">
        <v>1699</v>
      </c>
      <c r="B821" s="9">
        <v>46194</v>
      </c>
      <c r="C821" t="s">
        <v>783</v>
      </c>
      <c r="D821" t="s">
        <v>94</v>
      </c>
      <c r="E821" t="s">
        <v>16</v>
      </c>
      <c r="F821" t="s">
        <v>17</v>
      </c>
      <c r="G821" t="s">
        <v>18</v>
      </c>
      <c r="H821">
        <v>1</v>
      </c>
      <c r="I821" t="s">
        <v>71</v>
      </c>
      <c r="J821" t="s">
        <v>71</v>
      </c>
      <c r="K821" t="s">
        <v>29</v>
      </c>
      <c r="L821" t="s">
        <v>30</v>
      </c>
      <c r="M821" t="s">
        <v>58</v>
      </c>
    </row>
    <row r="822" spans="1:13" x14ac:dyDescent="0.35">
      <c r="A822" t="s">
        <v>1700</v>
      </c>
      <c r="B822" s="9">
        <v>46097</v>
      </c>
      <c r="C822" t="s">
        <v>1006</v>
      </c>
      <c r="D822" t="s">
        <v>53</v>
      </c>
      <c r="E822" t="s">
        <v>67</v>
      </c>
      <c r="F822" t="s">
        <v>26</v>
      </c>
      <c r="G822" t="s">
        <v>27</v>
      </c>
      <c r="H822">
        <v>1</v>
      </c>
      <c r="I822" t="s">
        <v>220</v>
      </c>
      <c r="J822" t="s">
        <v>220</v>
      </c>
      <c r="K822">
        <v>520</v>
      </c>
      <c r="L822" t="s">
        <v>30</v>
      </c>
      <c r="M822" t="s">
        <v>22</v>
      </c>
    </row>
    <row r="823" spans="1:13" x14ac:dyDescent="0.35">
      <c r="A823" t="s">
        <v>1701</v>
      </c>
      <c r="B823" s="9">
        <v>46091</v>
      </c>
      <c r="C823" t="s">
        <v>1702</v>
      </c>
      <c r="D823" t="s">
        <v>116</v>
      </c>
      <c r="E823" t="s">
        <v>25</v>
      </c>
      <c r="F823" t="s">
        <v>17</v>
      </c>
      <c r="G823" t="s">
        <v>18</v>
      </c>
      <c r="H823">
        <v>1</v>
      </c>
      <c r="I823" t="s">
        <v>71</v>
      </c>
      <c r="J823" t="s">
        <v>71</v>
      </c>
      <c r="K823">
        <v>520</v>
      </c>
      <c r="L823" t="s">
        <v>30</v>
      </c>
      <c r="M823" t="s">
        <v>22</v>
      </c>
    </row>
    <row r="824" spans="1:13" x14ac:dyDescent="0.35">
      <c r="A824" t="s">
        <v>1703</v>
      </c>
      <c r="B824" s="9">
        <v>46100</v>
      </c>
      <c r="C824" t="s">
        <v>868</v>
      </c>
      <c r="D824" t="s">
        <v>15</v>
      </c>
      <c r="E824" t="s">
        <v>67</v>
      </c>
      <c r="F824" t="s">
        <v>74</v>
      </c>
      <c r="G824" t="s">
        <v>75</v>
      </c>
      <c r="H824">
        <v>1</v>
      </c>
      <c r="I824" t="s">
        <v>170</v>
      </c>
      <c r="J824" t="s">
        <v>1704</v>
      </c>
      <c r="K824">
        <v>410</v>
      </c>
      <c r="L824" t="s">
        <v>30</v>
      </c>
      <c r="M824" t="s">
        <v>22</v>
      </c>
    </row>
    <row r="825" spans="1:13" x14ac:dyDescent="0.35">
      <c r="A825" t="s">
        <v>1705</v>
      </c>
      <c r="B825" t="s">
        <v>1374</v>
      </c>
      <c r="C825" t="s">
        <v>1706</v>
      </c>
      <c r="D825" t="s">
        <v>33</v>
      </c>
      <c r="E825" t="s">
        <v>34</v>
      </c>
      <c r="F825" t="s">
        <v>26</v>
      </c>
      <c r="G825" t="s">
        <v>27</v>
      </c>
      <c r="H825">
        <v>3</v>
      </c>
      <c r="I825" t="s">
        <v>170</v>
      </c>
      <c r="J825" t="s">
        <v>856</v>
      </c>
      <c r="K825" t="s">
        <v>29</v>
      </c>
      <c r="L825" t="s">
        <v>21</v>
      </c>
      <c r="M825" t="s">
        <v>58</v>
      </c>
    </row>
    <row r="826" spans="1:13" x14ac:dyDescent="0.35">
      <c r="A826" t="s">
        <v>1423</v>
      </c>
      <c r="B826" s="9">
        <v>46149</v>
      </c>
      <c r="C826" t="s">
        <v>1424</v>
      </c>
      <c r="D826" t="s">
        <v>33</v>
      </c>
      <c r="E826" t="s">
        <v>41</v>
      </c>
      <c r="F826" t="s">
        <v>47</v>
      </c>
      <c r="G826" t="s">
        <v>48</v>
      </c>
      <c r="H826">
        <v>1</v>
      </c>
      <c r="I826" t="s">
        <v>220</v>
      </c>
      <c r="J826" t="s">
        <v>1425</v>
      </c>
      <c r="K826" t="s">
        <v>50</v>
      </c>
      <c r="L826" t="s">
        <v>30</v>
      </c>
      <c r="M826" t="s">
        <v>22</v>
      </c>
    </row>
    <row r="827" spans="1:13" x14ac:dyDescent="0.35">
      <c r="A827" t="s">
        <v>1707</v>
      </c>
      <c r="B827" s="9">
        <v>46153</v>
      </c>
      <c r="C827" t="s">
        <v>1708</v>
      </c>
      <c r="D827" t="s">
        <v>46</v>
      </c>
      <c r="E827" t="s">
        <v>67</v>
      </c>
      <c r="F827" t="s">
        <v>83</v>
      </c>
      <c r="G827" t="s">
        <v>84</v>
      </c>
      <c r="H827">
        <v>1</v>
      </c>
      <c r="I827" t="s">
        <v>132</v>
      </c>
      <c r="J827" t="s">
        <v>132</v>
      </c>
      <c r="K827" t="s">
        <v>103</v>
      </c>
      <c r="L827" t="s">
        <v>21</v>
      </c>
      <c r="M827" t="s">
        <v>22</v>
      </c>
    </row>
    <row r="828" spans="1:13" x14ac:dyDescent="0.35">
      <c r="A828" t="s">
        <v>1709</v>
      </c>
      <c r="B828" s="9">
        <v>46133</v>
      </c>
      <c r="C828" t="s">
        <v>313</v>
      </c>
      <c r="D828" t="s">
        <v>40</v>
      </c>
      <c r="E828" t="s">
        <v>41</v>
      </c>
      <c r="F828" t="s">
        <v>83</v>
      </c>
      <c r="G828" t="s">
        <v>84</v>
      </c>
      <c r="H828">
        <v>1</v>
      </c>
      <c r="I828" t="s">
        <v>220</v>
      </c>
      <c r="J828" t="s">
        <v>220</v>
      </c>
      <c r="K828" t="s">
        <v>103</v>
      </c>
      <c r="L828" t="s">
        <v>30</v>
      </c>
      <c r="M828" t="s">
        <v>58</v>
      </c>
    </row>
    <row r="829" spans="1:13" x14ac:dyDescent="0.35">
      <c r="A829" t="s">
        <v>1710</v>
      </c>
      <c r="B829" s="9">
        <v>46183</v>
      </c>
      <c r="C829" t="s">
        <v>1711</v>
      </c>
      <c r="D829" t="s">
        <v>66</v>
      </c>
      <c r="E829" t="s">
        <v>25</v>
      </c>
      <c r="F829" t="s">
        <v>17</v>
      </c>
      <c r="G829" t="s">
        <v>18</v>
      </c>
      <c r="H829">
        <v>1</v>
      </c>
      <c r="I829" t="s">
        <v>79</v>
      </c>
      <c r="J829" t="s">
        <v>79</v>
      </c>
      <c r="K829" t="s">
        <v>29</v>
      </c>
      <c r="L829" t="s">
        <v>30</v>
      </c>
      <c r="M829" t="s">
        <v>22</v>
      </c>
    </row>
    <row r="830" spans="1:13" x14ac:dyDescent="0.35">
      <c r="A830" t="s">
        <v>1712</v>
      </c>
      <c r="B830" s="9">
        <v>46102</v>
      </c>
      <c r="C830" t="s">
        <v>1713</v>
      </c>
      <c r="D830" t="s">
        <v>61</v>
      </c>
      <c r="E830" t="s">
        <v>67</v>
      </c>
      <c r="F830" t="s">
        <v>26</v>
      </c>
      <c r="G830" t="s">
        <v>27</v>
      </c>
      <c r="H830">
        <v>3</v>
      </c>
      <c r="I830" t="s">
        <v>136</v>
      </c>
      <c r="J830" t="s">
        <v>137</v>
      </c>
      <c r="K830">
        <v>520</v>
      </c>
      <c r="L830" t="s">
        <v>30</v>
      </c>
      <c r="M830" t="s">
        <v>22</v>
      </c>
    </row>
    <row r="831" spans="1:13" x14ac:dyDescent="0.35">
      <c r="A831" t="s">
        <v>1714</v>
      </c>
      <c r="B831" s="9">
        <v>46149</v>
      </c>
      <c r="C831" t="s">
        <v>1715</v>
      </c>
      <c r="D831" t="s">
        <v>53</v>
      </c>
      <c r="E831" t="s">
        <v>34</v>
      </c>
      <c r="F831" t="s">
        <v>17</v>
      </c>
      <c r="G831" t="s">
        <v>18</v>
      </c>
      <c r="H831">
        <v>1</v>
      </c>
      <c r="I831" t="s">
        <v>71</v>
      </c>
      <c r="J831" t="s">
        <v>56</v>
      </c>
      <c r="K831" t="s">
        <v>29</v>
      </c>
      <c r="L831" t="s">
        <v>30</v>
      </c>
      <c r="M831" t="s">
        <v>22</v>
      </c>
    </row>
    <row r="832" spans="1:13" x14ac:dyDescent="0.35">
      <c r="A832" t="s">
        <v>1716</v>
      </c>
      <c r="B832" t="s">
        <v>1717</v>
      </c>
      <c r="C832" t="s">
        <v>229</v>
      </c>
      <c r="D832" t="s">
        <v>15</v>
      </c>
      <c r="E832" t="s">
        <v>25</v>
      </c>
      <c r="F832" t="s">
        <v>26</v>
      </c>
      <c r="G832" t="s">
        <v>27</v>
      </c>
      <c r="H832">
        <v>2</v>
      </c>
      <c r="I832" t="s">
        <v>170</v>
      </c>
      <c r="J832" t="s">
        <v>152</v>
      </c>
      <c r="K832">
        <v>520</v>
      </c>
      <c r="L832" t="s">
        <v>30</v>
      </c>
      <c r="M832" t="s">
        <v>22</v>
      </c>
    </row>
    <row r="833" spans="1:13" x14ac:dyDescent="0.35">
      <c r="A833" t="s">
        <v>1718</v>
      </c>
      <c r="B833" t="s">
        <v>470</v>
      </c>
      <c r="C833" t="s">
        <v>1719</v>
      </c>
      <c r="D833" t="s">
        <v>66</v>
      </c>
      <c r="E833" t="s">
        <v>16</v>
      </c>
      <c r="F833" t="s">
        <v>74</v>
      </c>
      <c r="G833" t="s">
        <v>75</v>
      </c>
      <c r="H833">
        <v>1</v>
      </c>
      <c r="I833" t="s">
        <v>220</v>
      </c>
      <c r="J833" t="s">
        <v>220</v>
      </c>
      <c r="K833">
        <v>410</v>
      </c>
      <c r="L833" t="s">
        <v>21</v>
      </c>
      <c r="M833" t="s">
        <v>22</v>
      </c>
    </row>
    <row r="834" spans="1:13" x14ac:dyDescent="0.35">
      <c r="A834" t="s">
        <v>1720</v>
      </c>
      <c r="B834" s="9">
        <v>46097</v>
      </c>
      <c r="C834" t="s">
        <v>1721</v>
      </c>
      <c r="D834" t="s">
        <v>40</v>
      </c>
      <c r="E834" t="s">
        <v>34</v>
      </c>
      <c r="F834" t="s">
        <v>83</v>
      </c>
      <c r="G834" t="s">
        <v>84</v>
      </c>
      <c r="H834">
        <v>3</v>
      </c>
      <c r="I834" t="s">
        <v>19</v>
      </c>
      <c r="J834" t="s">
        <v>326</v>
      </c>
      <c r="K834">
        <v>340</v>
      </c>
      <c r="L834" t="s">
        <v>30</v>
      </c>
      <c r="M834" t="s">
        <v>22</v>
      </c>
    </row>
    <row r="835" spans="1:13" x14ac:dyDescent="0.35">
      <c r="A835" t="s">
        <v>1722</v>
      </c>
      <c r="B835" s="9">
        <v>46038</v>
      </c>
      <c r="C835" t="s">
        <v>1723</v>
      </c>
      <c r="D835" t="s">
        <v>99</v>
      </c>
      <c r="E835" t="s">
        <v>34</v>
      </c>
      <c r="F835" t="s">
        <v>74</v>
      </c>
      <c r="G835" t="s">
        <v>75</v>
      </c>
      <c r="H835">
        <v>3</v>
      </c>
      <c r="I835" t="s">
        <v>136</v>
      </c>
      <c r="J835" t="s">
        <v>137</v>
      </c>
      <c r="K835">
        <v>410</v>
      </c>
      <c r="L835" t="s">
        <v>21</v>
      </c>
      <c r="M835" t="s">
        <v>22</v>
      </c>
    </row>
    <row r="836" spans="1:13" x14ac:dyDescent="0.35">
      <c r="A836" t="s">
        <v>1724</v>
      </c>
      <c r="B836" s="9">
        <v>46141</v>
      </c>
      <c r="C836" t="s">
        <v>1725</v>
      </c>
      <c r="D836" t="s">
        <v>40</v>
      </c>
      <c r="E836" t="s">
        <v>16</v>
      </c>
      <c r="F836" t="s">
        <v>89</v>
      </c>
      <c r="G836" t="s">
        <v>90</v>
      </c>
      <c r="H836">
        <v>-1</v>
      </c>
      <c r="I836" t="s">
        <v>68</v>
      </c>
      <c r="J836" t="s">
        <v>1726</v>
      </c>
      <c r="K836" t="s">
        <v>108</v>
      </c>
      <c r="L836" t="s">
        <v>30</v>
      </c>
      <c r="M836" t="s">
        <v>22</v>
      </c>
    </row>
    <row r="837" spans="1:13" x14ac:dyDescent="0.35">
      <c r="A837" t="s">
        <v>1727</v>
      </c>
      <c r="B837" t="s">
        <v>470</v>
      </c>
      <c r="C837" t="s">
        <v>950</v>
      </c>
      <c r="D837" t="s">
        <v>40</v>
      </c>
      <c r="E837" t="s">
        <v>34</v>
      </c>
      <c r="F837" t="s">
        <v>42</v>
      </c>
      <c r="G837" t="s">
        <v>43</v>
      </c>
      <c r="H837">
        <v>1</v>
      </c>
      <c r="I837" t="s">
        <v>68</v>
      </c>
      <c r="J837" t="s">
        <v>68</v>
      </c>
      <c r="K837">
        <v>190</v>
      </c>
      <c r="L837" t="s">
        <v>30</v>
      </c>
      <c r="M837" t="s">
        <v>22</v>
      </c>
    </row>
    <row r="838" spans="1:13" x14ac:dyDescent="0.35">
      <c r="A838" t="s">
        <v>1728</v>
      </c>
      <c r="B838" s="9">
        <v>46029</v>
      </c>
      <c r="C838" t="s">
        <v>399</v>
      </c>
      <c r="D838" t="s">
        <v>66</v>
      </c>
      <c r="E838" t="s">
        <v>25</v>
      </c>
      <c r="F838" t="s">
        <v>35</v>
      </c>
      <c r="G838" t="s">
        <v>36</v>
      </c>
      <c r="H838">
        <v>1</v>
      </c>
      <c r="I838" t="s">
        <v>170</v>
      </c>
      <c r="J838" t="s">
        <v>1729</v>
      </c>
      <c r="K838">
        <v>85</v>
      </c>
      <c r="L838" t="s">
        <v>30</v>
      </c>
      <c r="M838" t="s">
        <v>22</v>
      </c>
    </row>
    <row r="839" spans="1:13" x14ac:dyDescent="0.35">
      <c r="A839" t="s">
        <v>1730</v>
      </c>
      <c r="B839" s="9">
        <v>46209</v>
      </c>
      <c r="C839" t="s">
        <v>1731</v>
      </c>
      <c r="D839" t="s">
        <v>61</v>
      </c>
      <c r="E839" t="s">
        <v>34</v>
      </c>
      <c r="F839" t="s">
        <v>26</v>
      </c>
      <c r="G839" t="s">
        <v>27</v>
      </c>
      <c r="H839">
        <v>2</v>
      </c>
      <c r="I839" t="s">
        <v>79</v>
      </c>
      <c r="J839" t="s">
        <v>143</v>
      </c>
      <c r="K839" t="s">
        <v>29</v>
      </c>
      <c r="L839" t="s">
        <v>30</v>
      </c>
      <c r="M839" t="s">
        <v>22</v>
      </c>
    </row>
    <row r="840" spans="1:13" x14ac:dyDescent="0.35">
      <c r="A840" t="s">
        <v>1732</v>
      </c>
      <c r="B840" s="9">
        <v>46101</v>
      </c>
      <c r="C840" t="s">
        <v>1733</v>
      </c>
      <c r="D840" t="s">
        <v>15</v>
      </c>
      <c r="E840" t="s">
        <v>34</v>
      </c>
      <c r="F840" t="s">
        <v>83</v>
      </c>
      <c r="G840" t="s">
        <v>84</v>
      </c>
      <c r="H840">
        <v>1</v>
      </c>
      <c r="I840" t="s">
        <v>85</v>
      </c>
      <c r="J840" t="s">
        <v>85</v>
      </c>
      <c r="K840">
        <v>340</v>
      </c>
      <c r="L840" t="s">
        <v>30</v>
      </c>
      <c r="M840" t="s">
        <v>22</v>
      </c>
    </row>
    <row r="841" spans="1:13" x14ac:dyDescent="0.35">
      <c r="A841" t="s">
        <v>1734</v>
      </c>
      <c r="B841" s="9">
        <v>46145</v>
      </c>
      <c r="C841" t="s">
        <v>1735</v>
      </c>
      <c r="D841" t="s">
        <v>61</v>
      </c>
      <c r="E841" t="s">
        <v>34</v>
      </c>
      <c r="F841" t="s">
        <v>89</v>
      </c>
      <c r="G841" t="s">
        <v>90</v>
      </c>
      <c r="H841">
        <v>2</v>
      </c>
      <c r="I841" t="s">
        <v>102</v>
      </c>
      <c r="J841" t="s">
        <v>181</v>
      </c>
      <c r="K841" t="s">
        <v>108</v>
      </c>
      <c r="L841" t="s">
        <v>30</v>
      </c>
      <c r="M841" t="s">
        <v>22</v>
      </c>
    </row>
    <row r="842" spans="1:13" x14ac:dyDescent="0.35">
      <c r="A842" t="s">
        <v>1736</v>
      </c>
      <c r="B842" s="9">
        <v>46096</v>
      </c>
      <c r="C842" t="s">
        <v>1737</v>
      </c>
      <c r="D842" t="s">
        <v>40</v>
      </c>
      <c r="E842" t="s">
        <v>25</v>
      </c>
      <c r="F842" t="s">
        <v>42</v>
      </c>
      <c r="G842" t="s">
        <v>43</v>
      </c>
      <c r="H842">
        <v>-1</v>
      </c>
      <c r="I842" t="s">
        <v>56</v>
      </c>
      <c r="J842" t="s">
        <v>1738</v>
      </c>
      <c r="K842">
        <v>190</v>
      </c>
      <c r="L842" t="s">
        <v>30</v>
      </c>
      <c r="M842" t="s">
        <v>58</v>
      </c>
    </row>
    <row r="843" spans="1:13" x14ac:dyDescent="0.35">
      <c r="A843" t="s">
        <v>1739</v>
      </c>
      <c r="B843" s="9">
        <v>46190</v>
      </c>
      <c r="C843" t="s">
        <v>1740</v>
      </c>
      <c r="D843" t="s">
        <v>33</v>
      </c>
      <c r="E843" t="s">
        <v>16</v>
      </c>
      <c r="F843" t="s">
        <v>47</v>
      </c>
      <c r="G843" t="s">
        <v>48</v>
      </c>
      <c r="H843">
        <v>2</v>
      </c>
      <c r="I843" t="s">
        <v>79</v>
      </c>
      <c r="J843" t="s">
        <v>1741</v>
      </c>
      <c r="K843" t="s">
        <v>50</v>
      </c>
      <c r="L843" t="s">
        <v>30</v>
      </c>
      <c r="M843" t="s">
        <v>22</v>
      </c>
    </row>
    <row r="844" spans="1:13" x14ac:dyDescent="0.35">
      <c r="A844" t="s">
        <v>1742</v>
      </c>
      <c r="B844" s="9">
        <v>46131</v>
      </c>
      <c r="C844" t="s">
        <v>1743</v>
      </c>
      <c r="D844" t="s">
        <v>15</v>
      </c>
      <c r="E844" t="s">
        <v>34</v>
      </c>
      <c r="F844" t="s">
        <v>26</v>
      </c>
      <c r="G844" t="s">
        <v>27</v>
      </c>
      <c r="H844">
        <v>2</v>
      </c>
      <c r="I844" t="s">
        <v>68</v>
      </c>
      <c r="J844" t="s">
        <v>248</v>
      </c>
      <c r="K844">
        <v>520</v>
      </c>
      <c r="L844" t="s">
        <v>30</v>
      </c>
      <c r="M844" t="s">
        <v>22</v>
      </c>
    </row>
    <row r="845" spans="1:13" x14ac:dyDescent="0.35">
      <c r="A845" t="s">
        <v>1744</v>
      </c>
      <c r="B845" s="9">
        <v>46057</v>
      </c>
      <c r="C845" t="s">
        <v>1745</v>
      </c>
      <c r="D845" t="s">
        <v>46</v>
      </c>
      <c r="E845" t="s">
        <v>25</v>
      </c>
      <c r="F845" t="s">
        <v>35</v>
      </c>
      <c r="G845" t="s">
        <v>36</v>
      </c>
      <c r="H845">
        <v>3</v>
      </c>
      <c r="I845" t="s">
        <v>68</v>
      </c>
      <c r="J845" t="s">
        <v>205</v>
      </c>
      <c r="K845">
        <v>85</v>
      </c>
      <c r="L845" t="s">
        <v>30</v>
      </c>
      <c r="M845" t="s">
        <v>22</v>
      </c>
    </row>
    <row r="846" spans="1:13" x14ac:dyDescent="0.35">
      <c r="A846" t="s">
        <v>1746</v>
      </c>
      <c r="B846" s="9">
        <v>46044</v>
      </c>
      <c r="C846" t="s">
        <v>1342</v>
      </c>
      <c r="D846" t="s">
        <v>33</v>
      </c>
      <c r="E846" t="s">
        <v>34</v>
      </c>
      <c r="F846" t="s">
        <v>35</v>
      </c>
      <c r="G846" t="s">
        <v>36</v>
      </c>
      <c r="H846">
        <v>2</v>
      </c>
      <c r="I846" t="s">
        <v>1344</v>
      </c>
      <c r="J846" t="s">
        <v>164</v>
      </c>
      <c r="K846">
        <v>85</v>
      </c>
      <c r="L846" t="s">
        <v>21</v>
      </c>
      <c r="M846" t="s">
        <v>22</v>
      </c>
    </row>
    <row r="847" spans="1:13" x14ac:dyDescent="0.35">
      <c r="A847" t="s">
        <v>1747</v>
      </c>
      <c r="B847" t="s">
        <v>1748</v>
      </c>
      <c r="C847" t="s">
        <v>481</v>
      </c>
      <c r="D847" t="s">
        <v>53</v>
      </c>
      <c r="E847" t="s">
        <v>16</v>
      </c>
      <c r="F847" t="s">
        <v>26</v>
      </c>
      <c r="G847" t="s">
        <v>27</v>
      </c>
      <c r="H847">
        <v>1</v>
      </c>
      <c r="I847" t="s">
        <v>254</v>
      </c>
      <c r="J847" t="s">
        <v>254</v>
      </c>
      <c r="K847" t="s">
        <v>29</v>
      </c>
      <c r="L847" t="s">
        <v>30</v>
      </c>
      <c r="M847" t="s">
        <v>22</v>
      </c>
    </row>
    <row r="848" spans="1:13" x14ac:dyDescent="0.35">
      <c r="A848" t="s">
        <v>1749</v>
      </c>
      <c r="B848" s="9">
        <v>46095</v>
      </c>
      <c r="C848" t="s">
        <v>1473</v>
      </c>
      <c r="D848" t="s">
        <v>99</v>
      </c>
      <c r="E848" t="s">
        <v>25</v>
      </c>
      <c r="F848" t="s">
        <v>35</v>
      </c>
      <c r="G848" t="s">
        <v>36</v>
      </c>
      <c r="H848">
        <v>2</v>
      </c>
      <c r="I848" t="s">
        <v>49</v>
      </c>
      <c r="J848" t="s">
        <v>178</v>
      </c>
      <c r="K848">
        <v>85</v>
      </c>
      <c r="L848" t="s">
        <v>30</v>
      </c>
      <c r="M848" t="s">
        <v>22</v>
      </c>
    </row>
    <row r="849" spans="1:13" x14ac:dyDescent="0.35">
      <c r="A849" t="s">
        <v>1750</v>
      </c>
      <c r="B849" s="9">
        <v>46206</v>
      </c>
      <c r="C849" t="s">
        <v>1751</v>
      </c>
      <c r="D849" t="s">
        <v>53</v>
      </c>
      <c r="E849" t="s">
        <v>67</v>
      </c>
      <c r="F849" t="s">
        <v>17</v>
      </c>
      <c r="G849" t="s">
        <v>18</v>
      </c>
      <c r="H849">
        <v>2</v>
      </c>
      <c r="I849" t="s">
        <v>19</v>
      </c>
      <c r="J849" t="s">
        <v>238</v>
      </c>
      <c r="K849" t="s">
        <v>29</v>
      </c>
      <c r="L849" t="s">
        <v>21</v>
      </c>
      <c r="M849" t="s">
        <v>22</v>
      </c>
    </row>
    <row r="850" spans="1:13" x14ac:dyDescent="0.35">
      <c r="A850" t="s">
        <v>1752</v>
      </c>
      <c r="B850" t="s">
        <v>1753</v>
      </c>
      <c r="C850" t="s">
        <v>583</v>
      </c>
      <c r="D850" t="s">
        <v>15</v>
      </c>
      <c r="E850" t="s">
        <v>25</v>
      </c>
      <c r="F850" t="s">
        <v>35</v>
      </c>
      <c r="G850" t="s">
        <v>36</v>
      </c>
      <c r="H850">
        <v>2</v>
      </c>
      <c r="I850" t="s">
        <v>254</v>
      </c>
      <c r="J850" t="s">
        <v>156</v>
      </c>
      <c r="K850">
        <v>85</v>
      </c>
      <c r="L850" t="s">
        <v>30</v>
      </c>
      <c r="M850" t="s">
        <v>58</v>
      </c>
    </row>
    <row r="851" spans="1:13" x14ac:dyDescent="0.35">
      <c r="A851" t="s">
        <v>1754</v>
      </c>
      <c r="B851" s="9">
        <v>46148</v>
      </c>
      <c r="C851" t="s">
        <v>1755</v>
      </c>
      <c r="D851" t="s">
        <v>116</v>
      </c>
      <c r="E851" t="s">
        <v>41</v>
      </c>
      <c r="F851" t="s">
        <v>83</v>
      </c>
      <c r="G851" t="s">
        <v>84</v>
      </c>
      <c r="H851">
        <v>2</v>
      </c>
      <c r="I851" t="s">
        <v>1213</v>
      </c>
      <c r="J851" t="s">
        <v>107</v>
      </c>
      <c r="K851" t="s">
        <v>103</v>
      </c>
      <c r="L851" t="s">
        <v>21</v>
      </c>
      <c r="M851" t="s">
        <v>22</v>
      </c>
    </row>
    <row r="852" spans="1:13" x14ac:dyDescent="0.35">
      <c r="A852" t="s">
        <v>1756</v>
      </c>
      <c r="B852" t="s">
        <v>1757</v>
      </c>
      <c r="C852" t="s">
        <v>1758</v>
      </c>
      <c r="D852" t="s">
        <v>53</v>
      </c>
      <c r="E852" t="s">
        <v>16</v>
      </c>
      <c r="F852" t="s">
        <v>35</v>
      </c>
      <c r="G852" t="s">
        <v>36</v>
      </c>
      <c r="H852">
        <v>1</v>
      </c>
      <c r="I852" t="s">
        <v>136</v>
      </c>
      <c r="J852" t="s">
        <v>136</v>
      </c>
      <c r="K852" t="s">
        <v>37</v>
      </c>
      <c r="L852" t="s">
        <v>30</v>
      </c>
      <c r="M852" t="s">
        <v>22</v>
      </c>
    </row>
    <row r="853" spans="1:13" x14ac:dyDescent="0.35">
      <c r="A853" t="s">
        <v>1759</v>
      </c>
      <c r="B853" s="9">
        <v>46172</v>
      </c>
      <c r="C853" t="s">
        <v>1760</v>
      </c>
      <c r="D853" t="s">
        <v>94</v>
      </c>
      <c r="E853" t="s">
        <v>25</v>
      </c>
      <c r="F853" t="s">
        <v>47</v>
      </c>
      <c r="G853" t="s">
        <v>48</v>
      </c>
      <c r="H853">
        <v>1</v>
      </c>
      <c r="I853" t="s">
        <v>170</v>
      </c>
      <c r="J853" t="s">
        <v>170</v>
      </c>
      <c r="K853" t="s">
        <v>50</v>
      </c>
      <c r="L853" t="s">
        <v>30</v>
      </c>
      <c r="M853" t="s">
        <v>22</v>
      </c>
    </row>
    <row r="854" spans="1:13" x14ac:dyDescent="0.35">
      <c r="A854" t="s">
        <v>1761</v>
      </c>
      <c r="B854" s="9">
        <v>46087</v>
      </c>
      <c r="C854" t="s">
        <v>1762</v>
      </c>
      <c r="D854" t="s">
        <v>61</v>
      </c>
      <c r="E854" t="s">
        <v>34</v>
      </c>
      <c r="F854" t="s">
        <v>89</v>
      </c>
      <c r="G854" t="s">
        <v>90</v>
      </c>
      <c r="H854">
        <v>3</v>
      </c>
      <c r="I854" t="s">
        <v>56</v>
      </c>
      <c r="J854" t="s">
        <v>57</v>
      </c>
      <c r="K854">
        <v>640</v>
      </c>
      <c r="L854" t="s">
        <v>30</v>
      </c>
      <c r="M854" t="s">
        <v>22</v>
      </c>
    </row>
    <row r="855" spans="1:13" x14ac:dyDescent="0.35">
      <c r="A855" t="s">
        <v>1763</v>
      </c>
      <c r="B855" s="9">
        <v>46156</v>
      </c>
      <c r="C855" t="s">
        <v>1764</v>
      </c>
      <c r="D855" t="s">
        <v>61</v>
      </c>
      <c r="E855" t="s">
        <v>16</v>
      </c>
      <c r="F855" t="s">
        <v>83</v>
      </c>
      <c r="G855" t="s">
        <v>84</v>
      </c>
      <c r="H855">
        <v>2</v>
      </c>
      <c r="I855" t="s">
        <v>79</v>
      </c>
      <c r="J855" t="s">
        <v>143</v>
      </c>
      <c r="K855" t="s">
        <v>103</v>
      </c>
      <c r="L855" t="s">
        <v>30</v>
      </c>
      <c r="M855" t="s">
        <v>22</v>
      </c>
    </row>
    <row r="856" spans="1:13" x14ac:dyDescent="0.35">
      <c r="A856" t="s">
        <v>1765</v>
      </c>
      <c r="B856" s="9">
        <v>46088</v>
      </c>
      <c r="C856" t="s">
        <v>1766</v>
      </c>
      <c r="D856" t="s">
        <v>33</v>
      </c>
      <c r="E856" t="s">
        <v>41</v>
      </c>
      <c r="F856" t="s">
        <v>17</v>
      </c>
      <c r="G856" t="s">
        <v>18</v>
      </c>
      <c r="H856">
        <v>1</v>
      </c>
      <c r="I856" t="s">
        <v>426</v>
      </c>
      <c r="J856" t="s">
        <v>1767</v>
      </c>
      <c r="K856">
        <v>520</v>
      </c>
      <c r="L856" t="s">
        <v>30</v>
      </c>
      <c r="M856" t="s">
        <v>22</v>
      </c>
    </row>
    <row r="857" spans="1:13" x14ac:dyDescent="0.35">
      <c r="A857" t="s">
        <v>1768</v>
      </c>
      <c r="B857" s="9">
        <v>46204</v>
      </c>
      <c r="C857" t="s">
        <v>1769</v>
      </c>
      <c r="D857" t="s">
        <v>40</v>
      </c>
      <c r="E857" t="s">
        <v>16</v>
      </c>
      <c r="F857" t="s">
        <v>35</v>
      </c>
      <c r="G857" t="s">
        <v>36</v>
      </c>
      <c r="H857">
        <v>3</v>
      </c>
      <c r="I857" t="s">
        <v>19</v>
      </c>
      <c r="J857" t="s">
        <v>326</v>
      </c>
      <c r="K857" t="s">
        <v>37</v>
      </c>
      <c r="L857" t="s">
        <v>30</v>
      </c>
      <c r="M857" t="s">
        <v>22</v>
      </c>
    </row>
    <row r="858" spans="1:13" x14ac:dyDescent="0.35">
      <c r="A858" t="s">
        <v>1770</v>
      </c>
      <c r="B858" s="9">
        <v>46059</v>
      </c>
      <c r="C858" t="s">
        <v>1329</v>
      </c>
      <c r="D858" t="s">
        <v>99</v>
      </c>
      <c r="E858" t="s">
        <v>34</v>
      </c>
      <c r="F858" t="s">
        <v>89</v>
      </c>
      <c r="G858" t="s">
        <v>90</v>
      </c>
      <c r="H858">
        <v>1</v>
      </c>
      <c r="I858" t="s">
        <v>68</v>
      </c>
      <c r="J858" t="s">
        <v>68</v>
      </c>
      <c r="K858">
        <v>640</v>
      </c>
      <c r="L858" t="s">
        <v>30</v>
      </c>
      <c r="M858" t="s">
        <v>58</v>
      </c>
    </row>
    <row r="859" spans="1:13" x14ac:dyDescent="0.35">
      <c r="A859" t="s">
        <v>1771</v>
      </c>
      <c r="B859" s="9">
        <v>46131</v>
      </c>
      <c r="C859" t="s">
        <v>1285</v>
      </c>
      <c r="D859" t="s">
        <v>33</v>
      </c>
      <c r="E859" t="s">
        <v>34</v>
      </c>
      <c r="F859" t="s">
        <v>42</v>
      </c>
      <c r="G859" t="s">
        <v>43</v>
      </c>
      <c r="H859">
        <v>1</v>
      </c>
      <c r="I859" t="s">
        <v>254</v>
      </c>
      <c r="J859" t="s">
        <v>254</v>
      </c>
      <c r="K859">
        <v>190</v>
      </c>
      <c r="L859" t="s">
        <v>30</v>
      </c>
      <c r="M859" t="s">
        <v>22</v>
      </c>
    </row>
    <row r="860" spans="1:13" x14ac:dyDescent="0.35">
      <c r="A860" t="s">
        <v>1772</v>
      </c>
      <c r="B860" s="9">
        <v>46137</v>
      </c>
      <c r="C860" t="s">
        <v>1773</v>
      </c>
      <c r="D860" t="s">
        <v>61</v>
      </c>
      <c r="E860" t="s">
        <v>67</v>
      </c>
      <c r="F860" t="s">
        <v>26</v>
      </c>
      <c r="G860" t="s">
        <v>27</v>
      </c>
      <c r="H860">
        <v>2</v>
      </c>
      <c r="I860" t="s">
        <v>71</v>
      </c>
      <c r="J860" t="s">
        <v>286</v>
      </c>
      <c r="K860" t="s">
        <v>29</v>
      </c>
      <c r="L860" t="s">
        <v>21</v>
      </c>
      <c r="M860" t="s">
        <v>22</v>
      </c>
    </row>
    <row r="861" spans="1:13" x14ac:dyDescent="0.35">
      <c r="A861" t="s">
        <v>1774</v>
      </c>
      <c r="B861" s="9">
        <v>46203</v>
      </c>
      <c r="C861" t="s">
        <v>1403</v>
      </c>
      <c r="D861" t="s">
        <v>15</v>
      </c>
      <c r="E861" t="s">
        <v>67</v>
      </c>
      <c r="F861" t="s">
        <v>74</v>
      </c>
      <c r="G861" t="s">
        <v>75</v>
      </c>
      <c r="H861">
        <v>-3</v>
      </c>
      <c r="I861" t="s">
        <v>254</v>
      </c>
      <c r="J861" t="s">
        <v>1775</v>
      </c>
      <c r="K861" t="s">
        <v>76</v>
      </c>
      <c r="L861" t="s">
        <v>30</v>
      </c>
      <c r="M861" t="s">
        <v>22</v>
      </c>
    </row>
    <row r="862" spans="1:13" x14ac:dyDescent="0.35">
      <c r="A862" t="s">
        <v>1776</v>
      </c>
      <c r="B862" s="9">
        <v>46030</v>
      </c>
      <c r="C862" t="s">
        <v>1777</v>
      </c>
      <c r="D862" t="s">
        <v>46</v>
      </c>
      <c r="E862" t="s">
        <v>67</v>
      </c>
      <c r="F862" t="s">
        <v>17</v>
      </c>
      <c r="G862" t="s">
        <v>18</v>
      </c>
      <c r="H862">
        <v>3</v>
      </c>
      <c r="I862" t="s">
        <v>56</v>
      </c>
      <c r="J862" t="s">
        <v>57</v>
      </c>
      <c r="K862">
        <v>520</v>
      </c>
      <c r="L862" t="s">
        <v>30</v>
      </c>
      <c r="M862" t="s">
        <v>22</v>
      </c>
    </row>
    <row r="863" spans="1:13" x14ac:dyDescent="0.35">
      <c r="A863" t="s">
        <v>1778</v>
      </c>
      <c r="B863" t="s">
        <v>424</v>
      </c>
      <c r="C863" t="s">
        <v>977</v>
      </c>
      <c r="D863" t="s">
        <v>40</v>
      </c>
      <c r="E863" t="s">
        <v>67</v>
      </c>
      <c r="F863" t="s">
        <v>74</v>
      </c>
      <c r="G863" t="s">
        <v>75</v>
      </c>
      <c r="H863">
        <v>-1</v>
      </c>
      <c r="I863" t="s">
        <v>106</v>
      </c>
      <c r="J863" t="s">
        <v>202</v>
      </c>
      <c r="K863">
        <v>410</v>
      </c>
      <c r="L863" t="s">
        <v>30</v>
      </c>
      <c r="M863" t="s">
        <v>22</v>
      </c>
    </row>
    <row r="864" spans="1:13" x14ac:dyDescent="0.35">
      <c r="A864" t="s">
        <v>1779</v>
      </c>
      <c r="B864" s="9">
        <v>46062</v>
      </c>
      <c r="C864" t="s">
        <v>1780</v>
      </c>
      <c r="D864" t="s">
        <v>33</v>
      </c>
      <c r="E864" t="s">
        <v>16</v>
      </c>
      <c r="F864" t="s">
        <v>74</v>
      </c>
      <c r="G864" t="s">
        <v>75</v>
      </c>
      <c r="H864">
        <v>1</v>
      </c>
      <c r="I864" t="s">
        <v>49</v>
      </c>
      <c r="J864" t="s">
        <v>49</v>
      </c>
      <c r="K864">
        <v>410</v>
      </c>
      <c r="L864" t="s">
        <v>21</v>
      </c>
      <c r="M864" t="s">
        <v>22</v>
      </c>
    </row>
    <row r="865" spans="1:13" x14ac:dyDescent="0.35">
      <c r="A865" t="s">
        <v>1781</v>
      </c>
      <c r="B865" s="9">
        <v>46192</v>
      </c>
      <c r="C865" t="s">
        <v>1782</v>
      </c>
      <c r="D865" t="s">
        <v>99</v>
      </c>
      <c r="E865" t="s">
        <v>67</v>
      </c>
      <c r="F865" t="s">
        <v>17</v>
      </c>
      <c r="G865" t="s">
        <v>18</v>
      </c>
      <c r="H865">
        <v>2</v>
      </c>
      <c r="I865" t="s">
        <v>106</v>
      </c>
      <c r="J865" t="s">
        <v>107</v>
      </c>
      <c r="K865" t="s">
        <v>29</v>
      </c>
      <c r="L865" t="s">
        <v>21</v>
      </c>
      <c r="M865" t="s">
        <v>22</v>
      </c>
    </row>
    <row r="866" spans="1:13" x14ac:dyDescent="0.35">
      <c r="A866" t="s">
        <v>1783</v>
      </c>
      <c r="B866" s="9">
        <v>46168</v>
      </c>
      <c r="C866" t="s">
        <v>1784</v>
      </c>
      <c r="D866" t="s">
        <v>99</v>
      </c>
      <c r="E866" t="s">
        <v>16</v>
      </c>
      <c r="F866" t="s">
        <v>74</v>
      </c>
      <c r="G866" t="s">
        <v>75</v>
      </c>
      <c r="H866">
        <v>3</v>
      </c>
      <c r="I866" t="s">
        <v>132</v>
      </c>
      <c r="J866" t="s">
        <v>232</v>
      </c>
      <c r="K866" t="s">
        <v>76</v>
      </c>
      <c r="L866" t="s">
        <v>21</v>
      </c>
      <c r="M866" t="s">
        <v>58</v>
      </c>
    </row>
    <row r="867" spans="1:13" x14ac:dyDescent="0.35">
      <c r="A867" t="s">
        <v>1785</v>
      </c>
      <c r="B867" s="9">
        <v>46196</v>
      </c>
      <c r="C867" t="s">
        <v>1786</v>
      </c>
      <c r="D867" t="s">
        <v>66</v>
      </c>
      <c r="E867" t="s">
        <v>16</v>
      </c>
      <c r="F867" t="s">
        <v>42</v>
      </c>
      <c r="G867" t="s">
        <v>43</v>
      </c>
      <c r="H867">
        <v>3</v>
      </c>
      <c r="I867" t="s">
        <v>254</v>
      </c>
      <c r="J867" t="s">
        <v>390</v>
      </c>
      <c r="K867" t="s">
        <v>111</v>
      </c>
      <c r="L867" t="s">
        <v>30</v>
      </c>
      <c r="M867" t="s">
        <v>58</v>
      </c>
    </row>
    <row r="868" spans="1:13" x14ac:dyDescent="0.35">
      <c r="A868" t="s">
        <v>1787</v>
      </c>
      <c r="B868" s="9">
        <v>46177</v>
      </c>
      <c r="C868" t="s">
        <v>688</v>
      </c>
      <c r="D868" t="s">
        <v>116</v>
      </c>
      <c r="E868" t="s">
        <v>25</v>
      </c>
      <c r="F868" t="s">
        <v>47</v>
      </c>
      <c r="G868" t="s">
        <v>48</v>
      </c>
      <c r="H868">
        <v>2</v>
      </c>
      <c r="I868" t="s">
        <v>71</v>
      </c>
      <c r="J868" t="s">
        <v>286</v>
      </c>
      <c r="K868" t="s">
        <v>50</v>
      </c>
      <c r="L868" t="s">
        <v>30</v>
      </c>
      <c r="M868" t="s">
        <v>22</v>
      </c>
    </row>
    <row r="869" spans="1:13" x14ac:dyDescent="0.35">
      <c r="A869" t="s">
        <v>1788</v>
      </c>
      <c r="B869" s="9">
        <v>46179</v>
      </c>
      <c r="C869" t="s">
        <v>1789</v>
      </c>
      <c r="D869" t="s">
        <v>99</v>
      </c>
      <c r="E869" t="s">
        <v>16</v>
      </c>
      <c r="F869" t="s">
        <v>17</v>
      </c>
      <c r="G869" t="s">
        <v>18</v>
      </c>
      <c r="H869">
        <v>1</v>
      </c>
      <c r="I869" t="s">
        <v>85</v>
      </c>
      <c r="J869" t="s">
        <v>85</v>
      </c>
      <c r="K869" t="s">
        <v>29</v>
      </c>
      <c r="L869" t="s">
        <v>30</v>
      </c>
      <c r="M869" t="s">
        <v>22</v>
      </c>
    </row>
    <row r="870" spans="1:13" x14ac:dyDescent="0.35">
      <c r="A870" t="s">
        <v>1790</v>
      </c>
      <c r="B870" s="9">
        <v>46130</v>
      </c>
      <c r="C870" t="s">
        <v>533</v>
      </c>
      <c r="D870" t="s">
        <v>99</v>
      </c>
      <c r="E870" t="s">
        <v>41</v>
      </c>
      <c r="F870" t="s">
        <v>47</v>
      </c>
      <c r="G870" t="s">
        <v>48</v>
      </c>
      <c r="H870">
        <v>1</v>
      </c>
      <c r="I870" t="s">
        <v>102</v>
      </c>
      <c r="J870" t="s">
        <v>102</v>
      </c>
      <c r="K870">
        <v>380</v>
      </c>
      <c r="L870" t="s">
        <v>30</v>
      </c>
      <c r="M870" t="s">
        <v>22</v>
      </c>
    </row>
    <row r="871" spans="1:13" x14ac:dyDescent="0.35">
      <c r="A871" t="s">
        <v>1791</v>
      </c>
      <c r="B871" s="9">
        <v>46131</v>
      </c>
      <c r="C871" t="s">
        <v>1792</v>
      </c>
      <c r="D871" t="s">
        <v>33</v>
      </c>
      <c r="E871" t="s">
        <v>25</v>
      </c>
      <c r="F871" t="s">
        <v>35</v>
      </c>
      <c r="G871" t="s">
        <v>36</v>
      </c>
      <c r="H871">
        <v>1</v>
      </c>
      <c r="I871" t="s">
        <v>62</v>
      </c>
      <c r="J871" t="s">
        <v>62</v>
      </c>
      <c r="K871">
        <v>85</v>
      </c>
      <c r="L871" t="s">
        <v>30</v>
      </c>
      <c r="M871" t="s">
        <v>58</v>
      </c>
    </row>
    <row r="872" spans="1:13" x14ac:dyDescent="0.35">
      <c r="A872" t="s">
        <v>1793</v>
      </c>
      <c r="B872" s="9">
        <v>46103</v>
      </c>
      <c r="C872" t="s">
        <v>635</v>
      </c>
      <c r="D872" t="s">
        <v>33</v>
      </c>
      <c r="E872" t="s">
        <v>41</v>
      </c>
      <c r="F872" t="s">
        <v>83</v>
      </c>
      <c r="G872" t="s">
        <v>84</v>
      </c>
      <c r="H872">
        <v>3</v>
      </c>
      <c r="I872" t="s">
        <v>102</v>
      </c>
      <c r="J872" t="s">
        <v>127</v>
      </c>
      <c r="K872">
        <v>340</v>
      </c>
      <c r="L872" t="s">
        <v>30</v>
      </c>
      <c r="M872" t="s">
        <v>22</v>
      </c>
    </row>
    <row r="873" spans="1:13" x14ac:dyDescent="0.35">
      <c r="A873" t="s">
        <v>1794</v>
      </c>
      <c r="B873" s="9">
        <v>46160</v>
      </c>
      <c r="C873" t="s">
        <v>1210</v>
      </c>
      <c r="D873" t="s">
        <v>94</v>
      </c>
      <c r="E873" t="s">
        <v>16</v>
      </c>
      <c r="F873" t="s">
        <v>17</v>
      </c>
      <c r="G873" t="s">
        <v>18</v>
      </c>
      <c r="H873">
        <v>1</v>
      </c>
      <c r="I873" t="s">
        <v>132</v>
      </c>
      <c r="J873" t="s">
        <v>132</v>
      </c>
      <c r="K873" t="s">
        <v>29</v>
      </c>
      <c r="L873" t="s">
        <v>30</v>
      </c>
      <c r="M873" t="s">
        <v>58</v>
      </c>
    </row>
    <row r="874" spans="1:13" x14ac:dyDescent="0.35">
      <c r="A874" t="s">
        <v>1795</v>
      </c>
      <c r="B874" s="9">
        <v>46183</v>
      </c>
      <c r="C874" t="s">
        <v>1796</v>
      </c>
      <c r="D874" t="s">
        <v>94</v>
      </c>
      <c r="E874" t="s">
        <v>34</v>
      </c>
      <c r="F874" t="s">
        <v>35</v>
      </c>
      <c r="G874" t="s">
        <v>36</v>
      </c>
      <c r="H874">
        <v>2</v>
      </c>
      <c r="I874" t="s">
        <v>220</v>
      </c>
      <c r="J874" t="s">
        <v>257</v>
      </c>
      <c r="K874" t="s">
        <v>37</v>
      </c>
      <c r="L874" t="s">
        <v>30</v>
      </c>
      <c r="M874" t="s">
        <v>22</v>
      </c>
    </row>
    <row r="875" spans="1:13" x14ac:dyDescent="0.35">
      <c r="A875" t="s">
        <v>1797</v>
      </c>
      <c r="B875" s="9">
        <v>46031</v>
      </c>
      <c r="C875" t="s">
        <v>1798</v>
      </c>
      <c r="D875" t="s">
        <v>61</v>
      </c>
      <c r="E875" t="s">
        <v>34</v>
      </c>
      <c r="F875" t="s">
        <v>35</v>
      </c>
      <c r="G875" t="s">
        <v>36</v>
      </c>
      <c r="H875">
        <v>2</v>
      </c>
      <c r="I875" t="s">
        <v>56</v>
      </c>
      <c r="J875" t="s">
        <v>193</v>
      </c>
      <c r="K875">
        <v>85</v>
      </c>
      <c r="L875" t="s">
        <v>21</v>
      </c>
      <c r="M875" t="s">
        <v>22</v>
      </c>
    </row>
    <row r="876" spans="1:13" x14ac:dyDescent="0.35">
      <c r="A876" t="s">
        <v>1799</v>
      </c>
      <c r="B876" s="9">
        <v>46094</v>
      </c>
      <c r="C876" t="s">
        <v>1800</v>
      </c>
      <c r="D876" t="s">
        <v>15</v>
      </c>
      <c r="E876" t="s">
        <v>67</v>
      </c>
      <c r="F876" t="s">
        <v>35</v>
      </c>
      <c r="G876" t="s">
        <v>36</v>
      </c>
      <c r="H876">
        <v>2</v>
      </c>
      <c r="I876" t="s">
        <v>106</v>
      </c>
      <c r="J876" t="s">
        <v>107</v>
      </c>
      <c r="K876">
        <v>85</v>
      </c>
      <c r="L876" t="s">
        <v>30</v>
      </c>
      <c r="M876" t="s">
        <v>58</v>
      </c>
    </row>
    <row r="877" spans="1:13" x14ac:dyDescent="0.35">
      <c r="A877" t="s">
        <v>1801</v>
      </c>
      <c r="B877" s="9">
        <v>46205</v>
      </c>
      <c r="C877" t="s">
        <v>1802</v>
      </c>
      <c r="D877" t="s">
        <v>46</v>
      </c>
      <c r="E877" t="s">
        <v>67</v>
      </c>
      <c r="F877" t="s">
        <v>89</v>
      </c>
      <c r="G877" t="s">
        <v>90</v>
      </c>
      <c r="H877">
        <v>1</v>
      </c>
      <c r="I877" t="s">
        <v>136</v>
      </c>
      <c r="J877" t="s">
        <v>136</v>
      </c>
      <c r="K877" t="s">
        <v>108</v>
      </c>
      <c r="L877" t="s">
        <v>30</v>
      </c>
      <c r="M877" t="s">
        <v>58</v>
      </c>
    </row>
    <row r="878" spans="1:13" x14ac:dyDescent="0.35">
      <c r="A878" t="s">
        <v>1803</v>
      </c>
      <c r="B878" s="9">
        <v>46103</v>
      </c>
      <c r="C878" t="s">
        <v>475</v>
      </c>
      <c r="D878" t="s">
        <v>46</v>
      </c>
      <c r="E878" t="s">
        <v>41</v>
      </c>
      <c r="F878" t="s">
        <v>35</v>
      </c>
      <c r="G878" t="s">
        <v>36</v>
      </c>
      <c r="H878">
        <v>2</v>
      </c>
      <c r="I878" t="s">
        <v>79</v>
      </c>
      <c r="J878" t="s">
        <v>267</v>
      </c>
      <c r="K878">
        <v>85</v>
      </c>
      <c r="L878" t="s">
        <v>30</v>
      </c>
      <c r="M878" t="s">
        <v>58</v>
      </c>
    </row>
    <row r="879" spans="1:13" x14ac:dyDescent="0.35">
      <c r="A879" t="s">
        <v>1804</v>
      </c>
      <c r="B879" s="9">
        <v>46169</v>
      </c>
      <c r="C879" t="s">
        <v>60</v>
      </c>
      <c r="D879" t="s">
        <v>53</v>
      </c>
      <c r="E879" t="s">
        <v>67</v>
      </c>
      <c r="F879" t="s">
        <v>47</v>
      </c>
      <c r="G879" t="s">
        <v>48</v>
      </c>
      <c r="H879">
        <v>1</v>
      </c>
      <c r="I879" t="s">
        <v>132</v>
      </c>
      <c r="J879" t="s">
        <v>132</v>
      </c>
      <c r="K879" t="s">
        <v>50</v>
      </c>
      <c r="L879" t="s">
        <v>30</v>
      </c>
      <c r="M879" t="s">
        <v>58</v>
      </c>
    </row>
    <row r="880" spans="1:13" x14ac:dyDescent="0.35">
      <c r="A880" t="s">
        <v>1805</v>
      </c>
      <c r="B880" s="9">
        <v>46109</v>
      </c>
      <c r="C880" t="s">
        <v>1168</v>
      </c>
      <c r="D880" t="s">
        <v>46</v>
      </c>
      <c r="E880" t="s">
        <v>67</v>
      </c>
      <c r="F880" t="s">
        <v>26</v>
      </c>
      <c r="G880" t="s">
        <v>27</v>
      </c>
      <c r="H880">
        <v>1</v>
      </c>
      <c r="I880" t="s">
        <v>68</v>
      </c>
      <c r="J880" t="s">
        <v>68</v>
      </c>
      <c r="K880">
        <v>520</v>
      </c>
      <c r="L880" t="s">
        <v>30</v>
      </c>
      <c r="M880" t="s">
        <v>58</v>
      </c>
    </row>
    <row r="881" spans="1:13" x14ac:dyDescent="0.35">
      <c r="A881" t="s">
        <v>1806</v>
      </c>
      <c r="B881" t="s">
        <v>1807</v>
      </c>
      <c r="C881" t="s">
        <v>1808</v>
      </c>
      <c r="D881" t="s">
        <v>61</v>
      </c>
      <c r="E881" t="s">
        <v>67</v>
      </c>
      <c r="F881" t="s">
        <v>17</v>
      </c>
      <c r="G881" t="s">
        <v>18</v>
      </c>
      <c r="H881">
        <v>2</v>
      </c>
      <c r="I881" t="s">
        <v>106</v>
      </c>
      <c r="J881" t="s">
        <v>107</v>
      </c>
      <c r="K881" t="s">
        <v>29</v>
      </c>
      <c r="L881" t="s">
        <v>30</v>
      </c>
      <c r="M881" t="s">
        <v>22</v>
      </c>
    </row>
    <row r="882" spans="1:13" x14ac:dyDescent="0.35">
      <c r="A882" t="s">
        <v>1809</v>
      </c>
      <c r="B882" s="9">
        <v>46192</v>
      </c>
      <c r="C882" t="s">
        <v>1289</v>
      </c>
      <c r="D882" t="s">
        <v>116</v>
      </c>
      <c r="E882" t="s">
        <v>16</v>
      </c>
      <c r="F882" t="s">
        <v>26</v>
      </c>
      <c r="G882" t="s">
        <v>27</v>
      </c>
      <c r="H882">
        <v>1</v>
      </c>
      <c r="I882" t="s">
        <v>102</v>
      </c>
      <c r="J882" t="s">
        <v>102</v>
      </c>
      <c r="K882" t="s">
        <v>29</v>
      </c>
      <c r="L882" t="s">
        <v>30</v>
      </c>
      <c r="M882" t="s">
        <v>22</v>
      </c>
    </row>
    <row r="883" spans="1:13" x14ac:dyDescent="0.35">
      <c r="A883" t="s">
        <v>1810</v>
      </c>
      <c r="B883" s="9">
        <v>46031</v>
      </c>
      <c r="C883" t="s">
        <v>1811</v>
      </c>
      <c r="D883" t="s">
        <v>99</v>
      </c>
      <c r="E883" t="s">
        <v>34</v>
      </c>
      <c r="F883" t="s">
        <v>83</v>
      </c>
      <c r="G883" t="s">
        <v>84</v>
      </c>
      <c r="H883">
        <v>1</v>
      </c>
      <c r="I883" t="s">
        <v>500</v>
      </c>
      <c r="J883" t="s">
        <v>220</v>
      </c>
      <c r="K883">
        <v>340</v>
      </c>
      <c r="L883" t="s">
        <v>21</v>
      </c>
      <c r="M883" t="s">
        <v>22</v>
      </c>
    </row>
    <row r="884" spans="1:13" x14ac:dyDescent="0.35">
      <c r="A884" t="s">
        <v>1812</v>
      </c>
      <c r="B884" s="9">
        <v>46029</v>
      </c>
      <c r="C884" t="s">
        <v>1813</v>
      </c>
      <c r="D884" t="s">
        <v>40</v>
      </c>
      <c r="E884" t="s">
        <v>41</v>
      </c>
      <c r="F884" t="s">
        <v>26</v>
      </c>
      <c r="G884" t="s">
        <v>27</v>
      </c>
      <c r="H884">
        <v>3</v>
      </c>
      <c r="I884" t="s">
        <v>49</v>
      </c>
      <c r="J884" t="s">
        <v>257</v>
      </c>
      <c r="K884">
        <v>520</v>
      </c>
      <c r="L884" t="s">
        <v>21</v>
      </c>
      <c r="M884" t="s">
        <v>22</v>
      </c>
    </row>
    <row r="885" spans="1:13" x14ac:dyDescent="0.35">
      <c r="A885" t="s">
        <v>1814</v>
      </c>
      <c r="B885" s="9">
        <v>46117</v>
      </c>
      <c r="C885" t="s">
        <v>1815</v>
      </c>
      <c r="D885" t="s">
        <v>46</v>
      </c>
      <c r="E885" t="s">
        <v>41</v>
      </c>
      <c r="F885" t="s">
        <v>35</v>
      </c>
      <c r="G885" t="s">
        <v>36</v>
      </c>
      <c r="H885">
        <v>1</v>
      </c>
      <c r="I885" t="s">
        <v>62</v>
      </c>
      <c r="J885" t="s">
        <v>62</v>
      </c>
      <c r="K885">
        <v>85</v>
      </c>
      <c r="L885" t="s">
        <v>30</v>
      </c>
      <c r="M885" t="s">
        <v>58</v>
      </c>
    </row>
    <row r="886" spans="1:13" x14ac:dyDescent="0.35">
      <c r="A886" t="s">
        <v>1816</v>
      </c>
      <c r="B886" s="9">
        <v>46179</v>
      </c>
      <c r="C886" t="s">
        <v>1817</v>
      </c>
      <c r="D886" t="s">
        <v>116</v>
      </c>
      <c r="E886" t="s">
        <v>34</v>
      </c>
      <c r="F886" t="s">
        <v>83</v>
      </c>
      <c r="G886" t="s">
        <v>84</v>
      </c>
      <c r="H886">
        <v>3</v>
      </c>
      <c r="I886" t="s">
        <v>79</v>
      </c>
      <c r="J886" t="s">
        <v>91</v>
      </c>
      <c r="K886" t="s">
        <v>103</v>
      </c>
      <c r="L886" t="s">
        <v>21</v>
      </c>
      <c r="M886" t="s">
        <v>22</v>
      </c>
    </row>
    <row r="887" spans="1:13" x14ac:dyDescent="0.35">
      <c r="A887" t="s">
        <v>1818</v>
      </c>
      <c r="B887" s="9">
        <v>46078</v>
      </c>
      <c r="C887" t="s">
        <v>1735</v>
      </c>
      <c r="D887" t="s">
        <v>46</v>
      </c>
      <c r="E887" t="s">
        <v>16</v>
      </c>
      <c r="F887" t="s">
        <v>17</v>
      </c>
      <c r="G887" t="s">
        <v>18</v>
      </c>
      <c r="H887">
        <v>3</v>
      </c>
      <c r="I887" t="s">
        <v>170</v>
      </c>
      <c r="J887" t="s">
        <v>856</v>
      </c>
      <c r="K887">
        <v>520</v>
      </c>
      <c r="L887" t="s">
        <v>21</v>
      </c>
      <c r="M887" t="s">
        <v>58</v>
      </c>
    </row>
    <row r="888" spans="1:13" x14ac:dyDescent="0.35">
      <c r="A888" t="s">
        <v>1819</v>
      </c>
      <c r="B888" t="s">
        <v>1820</v>
      </c>
      <c r="C888" t="s">
        <v>139</v>
      </c>
      <c r="D888" t="s">
        <v>15</v>
      </c>
      <c r="E888" t="s">
        <v>41</v>
      </c>
      <c r="F888" t="s">
        <v>74</v>
      </c>
      <c r="G888" t="s">
        <v>75</v>
      </c>
      <c r="H888">
        <v>1</v>
      </c>
      <c r="I888" t="s">
        <v>140</v>
      </c>
      <c r="J888" t="s">
        <v>19</v>
      </c>
      <c r="K888">
        <v>410</v>
      </c>
      <c r="L888" t="s">
        <v>30</v>
      </c>
      <c r="M888" t="s">
        <v>22</v>
      </c>
    </row>
    <row r="889" spans="1:13" x14ac:dyDescent="0.35">
      <c r="A889" t="s">
        <v>1821</v>
      </c>
      <c r="B889" s="9">
        <v>46159</v>
      </c>
      <c r="C889" t="s">
        <v>1133</v>
      </c>
      <c r="D889" t="s">
        <v>40</v>
      </c>
      <c r="E889" t="s">
        <v>34</v>
      </c>
      <c r="F889" t="s">
        <v>47</v>
      </c>
      <c r="G889" t="s">
        <v>48</v>
      </c>
      <c r="H889">
        <v>3</v>
      </c>
      <c r="I889" t="s">
        <v>62</v>
      </c>
      <c r="J889" t="s">
        <v>488</v>
      </c>
      <c r="K889" t="s">
        <v>50</v>
      </c>
      <c r="L889" t="s">
        <v>30</v>
      </c>
      <c r="M889" t="s">
        <v>22</v>
      </c>
    </row>
    <row r="890" spans="1:13" x14ac:dyDescent="0.35">
      <c r="A890" t="s">
        <v>1822</v>
      </c>
      <c r="B890" s="9">
        <v>46092</v>
      </c>
      <c r="C890" t="s">
        <v>1296</v>
      </c>
      <c r="D890" t="s">
        <v>94</v>
      </c>
      <c r="E890" t="s">
        <v>25</v>
      </c>
      <c r="F890" t="s">
        <v>74</v>
      </c>
      <c r="G890" t="s">
        <v>75</v>
      </c>
      <c r="H890">
        <v>3</v>
      </c>
      <c r="I890" t="s">
        <v>79</v>
      </c>
      <c r="J890" t="s">
        <v>91</v>
      </c>
      <c r="K890">
        <v>410</v>
      </c>
      <c r="L890" t="s">
        <v>30</v>
      </c>
      <c r="M890" t="s">
        <v>22</v>
      </c>
    </row>
    <row r="891" spans="1:13" x14ac:dyDescent="0.35">
      <c r="A891" t="s">
        <v>1823</v>
      </c>
      <c r="B891" s="9">
        <v>46082</v>
      </c>
      <c r="C891" t="s">
        <v>1824</v>
      </c>
      <c r="D891" t="s">
        <v>94</v>
      </c>
      <c r="E891" t="s">
        <v>41</v>
      </c>
      <c r="F891" t="s">
        <v>26</v>
      </c>
      <c r="G891" t="s">
        <v>27</v>
      </c>
      <c r="H891">
        <v>1</v>
      </c>
      <c r="I891" t="s">
        <v>106</v>
      </c>
      <c r="J891" t="s">
        <v>106</v>
      </c>
      <c r="K891">
        <v>520</v>
      </c>
      <c r="L891" t="s">
        <v>30</v>
      </c>
      <c r="M891" t="s">
        <v>58</v>
      </c>
    </row>
    <row r="892" spans="1:13" x14ac:dyDescent="0.35">
      <c r="A892" t="s">
        <v>1825</v>
      </c>
      <c r="B892" s="9">
        <v>46075</v>
      </c>
      <c r="C892" t="s">
        <v>1826</v>
      </c>
      <c r="D892" t="s">
        <v>33</v>
      </c>
      <c r="E892" t="s">
        <v>67</v>
      </c>
      <c r="F892" t="s">
        <v>83</v>
      </c>
      <c r="G892" t="s">
        <v>84</v>
      </c>
      <c r="H892">
        <v>1</v>
      </c>
      <c r="I892" t="s">
        <v>56</v>
      </c>
      <c r="J892" t="s">
        <v>56</v>
      </c>
      <c r="K892">
        <v>340</v>
      </c>
      <c r="L892" t="s">
        <v>30</v>
      </c>
      <c r="M892" t="s">
        <v>22</v>
      </c>
    </row>
    <row r="893" spans="1:13" x14ac:dyDescent="0.35">
      <c r="A893" t="s">
        <v>1827</v>
      </c>
      <c r="B893" s="9">
        <v>46035</v>
      </c>
      <c r="C893" t="s">
        <v>1828</v>
      </c>
      <c r="D893" t="s">
        <v>94</v>
      </c>
      <c r="E893" t="s">
        <v>16</v>
      </c>
      <c r="F893" t="s">
        <v>74</v>
      </c>
      <c r="G893" t="s">
        <v>75</v>
      </c>
      <c r="H893">
        <v>1</v>
      </c>
      <c r="I893" t="s">
        <v>56</v>
      </c>
      <c r="J893" t="s">
        <v>56</v>
      </c>
      <c r="K893">
        <v>410</v>
      </c>
      <c r="L893" t="s">
        <v>21</v>
      </c>
      <c r="M893" t="s">
        <v>22</v>
      </c>
    </row>
    <row r="894" spans="1:13" x14ac:dyDescent="0.35">
      <c r="A894" t="s">
        <v>1829</v>
      </c>
      <c r="B894" s="9">
        <v>46143</v>
      </c>
      <c r="C894" t="s">
        <v>1392</v>
      </c>
      <c r="D894" t="s">
        <v>46</v>
      </c>
      <c r="E894" t="s">
        <v>67</v>
      </c>
      <c r="F894" t="s">
        <v>35</v>
      </c>
      <c r="G894" t="s">
        <v>36</v>
      </c>
      <c r="H894">
        <v>2</v>
      </c>
      <c r="I894" t="s">
        <v>71</v>
      </c>
      <c r="J894" t="s">
        <v>286</v>
      </c>
      <c r="K894" t="s">
        <v>37</v>
      </c>
      <c r="L894" t="s">
        <v>30</v>
      </c>
      <c r="M894" t="s">
        <v>22</v>
      </c>
    </row>
    <row r="895" spans="1:13" x14ac:dyDescent="0.35">
      <c r="A895" t="s">
        <v>1830</v>
      </c>
      <c r="B895" s="9">
        <v>46114</v>
      </c>
      <c r="C895" t="s">
        <v>1831</v>
      </c>
      <c r="D895" t="s">
        <v>61</v>
      </c>
      <c r="E895" t="s">
        <v>41</v>
      </c>
      <c r="F895" t="s">
        <v>35</v>
      </c>
      <c r="G895" t="s">
        <v>36</v>
      </c>
      <c r="H895">
        <v>3</v>
      </c>
      <c r="I895" t="s">
        <v>102</v>
      </c>
      <c r="J895" t="s">
        <v>127</v>
      </c>
      <c r="K895">
        <v>85</v>
      </c>
      <c r="L895" t="s">
        <v>30</v>
      </c>
      <c r="M895" t="s">
        <v>58</v>
      </c>
    </row>
    <row r="896" spans="1:13" x14ac:dyDescent="0.35">
      <c r="A896" t="s">
        <v>1832</v>
      </c>
      <c r="B896" s="9">
        <v>46048</v>
      </c>
      <c r="C896" t="s">
        <v>1833</v>
      </c>
      <c r="D896" t="s">
        <v>94</v>
      </c>
      <c r="E896" t="s">
        <v>16</v>
      </c>
      <c r="F896" t="s">
        <v>74</v>
      </c>
      <c r="G896" t="s">
        <v>75</v>
      </c>
      <c r="H896">
        <v>2</v>
      </c>
      <c r="I896" t="s">
        <v>49</v>
      </c>
      <c r="J896" t="s">
        <v>178</v>
      </c>
      <c r="K896">
        <v>410</v>
      </c>
      <c r="L896" t="s">
        <v>21</v>
      </c>
      <c r="M896" t="s">
        <v>22</v>
      </c>
    </row>
    <row r="897" spans="1:13" x14ac:dyDescent="0.35">
      <c r="A897" t="s">
        <v>1834</v>
      </c>
      <c r="B897" s="9">
        <v>46199</v>
      </c>
      <c r="C897" t="s">
        <v>1835</v>
      </c>
      <c r="D897" t="s">
        <v>66</v>
      </c>
      <c r="E897" t="s">
        <v>34</v>
      </c>
      <c r="F897" t="s">
        <v>26</v>
      </c>
      <c r="G897" t="s">
        <v>27</v>
      </c>
      <c r="H897">
        <v>1</v>
      </c>
      <c r="I897" t="s">
        <v>68</v>
      </c>
      <c r="J897" t="s">
        <v>68</v>
      </c>
      <c r="K897" t="s">
        <v>29</v>
      </c>
      <c r="L897" t="s">
        <v>30</v>
      </c>
      <c r="M897" t="s">
        <v>22</v>
      </c>
    </row>
    <row r="898" spans="1:13" x14ac:dyDescent="0.35">
      <c r="A898" t="s">
        <v>1836</v>
      </c>
      <c r="B898" s="9">
        <v>46053</v>
      </c>
      <c r="C898" t="s">
        <v>1138</v>
      </c>
      <c r="D898" t="s">
        <v>66</v>
      </c>
      <c r="E898" t="s">
        <v>41</v>
      </c>
      <c r="F898" t="s">
        <v>47</v>
      </c>
      <c r="G898" t="s">
        <v>48</v>
      </c>
      <c r="H898">
        <v>1</v>
      </c>
      <c r="I898" t="s">
        <v>132</v>
      </c>
      <c r="J898" t="s">
        <v>132</v>
      </c>
      <c r="K898">
        <v>380</v>
      </c>
      <c r="L898" t="s">
        <v>21</v>
      </c>
      <c r="M898" t="s">
        <v>22</v>
      </c>
    </row>
    <row r="899" spans="1:13" x14ac:dyDescent="0.35">
      <c r="A899" t="s">
        <v>1837</v>
      </c>
      <c r="B899" s="9">
        <v>46069</v>
      </c>
      <c r="C899" t="s">
        <v>529</v>
      </c>
      <c r="D899" t="s">
        <v>53</v>
      </c>
      <c r="E899" t="s">
        <v>67</v>
      </c>
      <c r="F899" t="s">
        <v>83</v>
      </c>
      <c r="G899" t="s">
        <v>84</v>
      </c>
      <c r="H899">
        <v>1</v>
      </c>
      <c r="I899" t="s">
        <v>254</v>
      </c>
      <c r="J899" t="s">
        <v>254</v>
      </c>
      <c r="K899">
        <v>340</v>
      </c>
      <c r="L899" t="s">
        <v>30</v>
      </c>
      <c r="M899" t="s">
        <v>22</v>
      </c>
    </row>
    <row r="900" spans="1:13" x14ac:dyDescent="0.35">
      <c r="A900" t="s">
        <v>1838</v>
      </c>
      <c r="B900" s="9">
        <v>46081</v>
      </c>
      <c r="C900" t="s">
        <v>1839</v>
      </c>
      <c r="D900" t="s">
        <v>33</v>
      </c>
      <c r="E900" t="s">
        <v>67</v>
      </c>
      <c r="F900" t="s">
        <v>47</v>
      </c>
      <c r="G900" t="s">
        <v>48</v>
      </c>
      <c r="H900">
        <v>1</v>
      </c>
      <c r="I900" t="s">
        <v>28</v>
      </c>
      <c r="J900" t="s">
        <v>28</v>
      </c>
      <c r="K900">
        <v>380</v>
      </c>
      <c r="L900" t="s">
        <v>30</v>
      </c>
      <c r="M900" t="s">
        <v>22</v>
      </c>
    </row>
    <row r="901" spans="1:13" x14ac:dyDescent="0.35">
      <c r="A901" t="s">
        <v>1840</v>
      </c>
      <c r="B901" s="9">
        <v>46131</v>
      </c>
      <c r="C901" t="s">
        <v>1841</v>
      </c>
      <c r="D901" t="s">
        <v>66</v>
      </c>
      <c r="E901" t="s">
        <v>16</v>
      </c>
      <c r="F901" t="s">
        <v>74</v>
      </c>
      <c r="G901" t="s">
        <v>75</v>
      </c>
      <c r="H901">
        <v>2</v>
      </c>
      <c r="I901" t="s">
        <v>68</v>
      </c>
      <c r="J901" t="s">
        <v>248</v>
      </c>
      <c r="K901">
        <v>410</v>
      </c>
      <c r="L901" t="s">
        <v>30</v>
      </c>
      <c r="M901" t="s">
        <v>22</v>
      </c>
    </row>
    <row r="902" spans="1:13" x14ac:dyDescent="0.35">
      <c r="A902" t="s">
        <v>1842</v>
      </c>
      <c r="B902" s="9">
        <v>46029</v>
      </c>
      <c r="C902" t="s">
        <v>1843</v>
      </c>
      <c r="D902" t="s">
        <v>66</v>
      </c>
      <c r="E902" t="s">
        <v>25</v>
      </c>
      <c r="F902" t="s">
        <v>26</v>
      </c>
      <c r="G902" t="s">
        <v>27</v>
      </c>
      <c r="H902">
        <v>1</v>
      </c>
      <c r="I902" t="s">
        <v>254</v>
      </c>
      <c r="J902" t="s">
        <v>254</v>
      </c>
      <c r="K902">
        <v>520</v>
      </c>
      <c r="L902" t="s">
        <v>30</v>
      </c>
      <c r="M902" t="s">
        <v>58</v>
      </c>
    </row>
    <row r="903" spans="1:13" x14ac:dyDescent="0.35">
      <c r="A903" t="s">
        <v>1844</v>
      </c>
      <c r="B903" s="9">
        <v>46123</v>
      </c>
      <c r="C903" t="s">
        <v>96</v>
      </c>
      <c r="D903" t="s">
        <v>116</v>
      </c>
      <c r="E903" t="s">
        <v>34</v>
      </c>
      <c r="F903" t="s">
        <v>89</v>
      </c>
      <c r="G903" t="s">
        <v>90</v>
      </c>
      <c r="H903">
        <v>1</v>
      </c>
      <c r="I903" t="s">
        <v>220</v>
      </c>
      <c r="J903" t="s">
        <v>1425</v>
      </c>
      <c r="K903">
        <v>640</v>
      </c>
      <c r="L903" t="s">
        <v>30</v>
      </c>
      <c r="M903" t="s">
        <v>22</v>
      </c>
    </row>
    <row r="904" spans="1:13" x14ac:dyDescent="0.35">
      <c r="A904" t="s">
        <v>1845</v>
      </c>
      <c r="B904" s="9">
        <v>46163</v>
      </c>
      <c r="C904" t="s">
        <v>504</v>
      </c>
      <c r="D904" t="s">
        <v>66</v>
      </c>
      <c r="E904" t="s">
        <v>25</v>
      </c>
      <c r="F904" t="s">
        <v>47</v>
      </c>
      <c r="G904" t="s">
        <v>48</v>
      </c>
      <c r="H904">
        <v>2</v>
      </c>
      <c r="I904" t="s">
        <v>71</v>
      </c>
      <c r="J904" t="s">
        <v>286</v>
      </c>
      <c r="K904" t="s">
        <v>50</v>
      </c>
      <c r="L904" t="s">
        <v>30</v>
      </c>
      <c r="M904" t="s">
        <v>22</v>
      </c>
    </row>
    <row r="905" spans="1:13" x14ac:dyDescent="0.35">
      <c r="A905" t="s">
        <v>1846</v>
      </c>
      <c r="B905" s="9">
        <v>46187</v>
      </c>
      <c r="C905" t="s">
        <v>293</v>
      </c>
      <c r="D905" t="s">
        <v>99</v>
      </c>
      <c r="E905" t="s">
        <v>34</v>
      </c>
      <c r="F905" t="s">
        <v>89</v>
      </c>
      <c r="G905" t="s">
        <v>90</v>
      </c>
      <c r="H905">
        <v>1</v>
      </c>
      <c r="I905" t="s">
        <v>102</v>
      </c>
      <c r="J905" t="s">
        <v>102</v>
      </c>
      <c r="K905" t="s">
        <v>108</v>
      </c>
      <c r="L905" t="s">
        <v>30</v>
      </c>
      <c r="M905" t="s">
        <v>58</v>
      </c>
    </row>
    <row r="906" spans="1:13" x14ac:dyDescent="0.35">
      <c r="A906" t="s">
        <v>1847</v>
      </c>
      <c r="B906" s="9">
        <v>46070</v>
      </c>
      <c r="C906" t="s">
        <v>1848</v>
      </c>
      <c r="D906" t="s">
        <v>53</v>
      </c>
      <c r="E906" t="s">
        <v>67</v>
      </c>
      <c r="F906" t="s">
        <v>42</v>
      </c>
      <c r="G906" t="s">
        <v>43</v>
      </c>
      <c r="H906">
        <v>1</v>
      </c>
      <c r="I906" t="s">
        <v>136</v>
      </c>
      <c r="J906" t="s">
        <v>136</v>
      </c>
      <c r="K906">
        <v>190</v>
      </c>
      <c r="L906" t="s">
        <v>30</v>
      </c>
      <c r="M906" t="s">
        <v>58</v>
      </c>
    </row>
    <row r="907" spans="1:13" x14ac:dyDescent="0.35">
      <c r="A907" t="s">
        <v>1849</v>
      </c>
      <c r="B907" s="9">
        <v>46047</v>
      </c>
      <c r="C907" t="s">
        <v>1850</v>
      </c>
      <c r="D907" t="s">
        <v>66</v>
      </c>
      <c r="E907" t="s">
        <v>67</v>
      </c>
      <c r="F907" t="s">
        <v>47</v>
      </c>
      <c r="G907" t="s">
        <v>48</v>
      </c>
      <c r="H907">
        <v>1</v>
      </c>
      <c r="I907" t="s">
        <v>220</v>
      </c>
      <c r="J907" t="s">
        <v>220</v>
      </c>
      <c r="K907">
        <v>380</v>
      </c>
      <c r="L907" t="s">
        <v>30</v>
      </c>
      <c r="M907" t="s">
        <v>58</v>
      </c>
    </row>
    <row r="908" spans="1:13" x14ac:dyDescent="0.35">
      <c r="A908" t="s">
        <v>1851</v>
      </c>
      <c r="B908" s="9">
        <v>46080</v>
      </c>
      <c r="C908" t="s">
        <v>1852</v>
      </c>
      <c r="D908" t="s">
        <v>33</v>
      </c>
      <c r="E908" t="s">
        <v>67</v>
      </c>
      <c r="F908" t="s">
        <v>42</v>
      </c>
      <c r="G908" t="s">
        <v>43</v>
      </c>
      <c r="H908">
        <v>1</v>
      </c>
      <c r="I908" t="s">
        <v>79</v>
      </c>
      <c r="J908" t="s">
        <v>79</v>
      </c>
      <c r="K908">
        <v>190</v>
      </c>
      <c r="L908" t="s">
        <v>30</v>
      </c>
      <c r="M908" t="s">
        <v>22</v>
      </c>
    </row>
    <row r="909" spans="1:13" x14ac:dyDescent="0.35">
      <c r="A909" t="s">
        <v>1853</v>
      </c>
      <c r="B909" s="9">
        <v>46143</v>
      </c>
      <c r="C909" t="s">
        <v>1854</v>
      </c>
      <c r="D909" t="s">
        <v>94</v>
      </c>
      <c r="E909" t="s">
        <v>25</v>
      </c>
      <c r="F909" t="s">
        <v>83</v>
      </c>
      <c r="G909" t="s">
        <v>84</v>
      </c>
      <c r="H909">
        <v>1</v>
      </c>
      <c r="I909" t="s">
        <v>102</v>
      </c>
      <c r="J909" t="s">
        <v>102</v>
      </c>
      <c r="K909" t="s">
        <v>103</v>
      </c>
      <c r="L909" t="s">
        <v>30</v>
      </c>
      <c r="M909" t="s">
        <v>58</v>
      </c>
    </row>
    <row r="910" spans="1:13" x14ac:dyDescent="0.35">
      <c r="A910" t="s">
        <v>1855</v>
      </c>
      <c r="B910" t="s">
        <v>1856</v>
      </c>
      <c r="C910" t="s">
        <v>82</v>
      </c>
      <c r="D910" t="s">
        <v>15</v>
      </c>
      <c r="E910" t="s">
        <v>16</v>
      </c>
      <c r="F910" t="s">
        <v>35</v>
      </c>
      <c r="G910" t="s">
        <v>36</v>
      </c>
      <c r="H910">
        <v>1</v>
      </c>
      <c r="I910" t="s">
        <v>49</v>
      </c>
      <c r="J910" t="s">
        <v>49</v>
      </c>
      <c r="K910" t="s">
        <v>37</v>
      </c>
      <c r="L910" t="s">
        <v>30</v>
      </c>
      <c r="M910" t="s">
        <v>22</v>
      </c>
    </row>
    <row r="911" spans="1:13" x14ac:dyDescent="0.35">
      <c r="A911" t="s">
        <v>1857</v>
      </c>
      <c r="B911" s="9">
        <v>46175</v>
      </c>
      <c r="C911" t="s">
        <v>315</v>
      </c>
      <c r="D911" t="s">
        <v>66</v>
      </c>
      <c r="E911" t="s">
        <v>34</v>
      </c>
      <c r="F911" t="s">
        <v>35</v>
      </c>
      <c r="G911" t="s">
        <v>36</v>
      </c>
      <c r="H911">
        <v>2</v>
      </c>
      <c r="I911" t="s">
        <v>170</v>
      </c>
      <c r="J911" t="s">
        <v>152</v>
      </c>
      <c r="K911">
        <v>85</v>
      </c>
      <c r="L911" t="s">
        <v>30</v>
      </c>
      <c r="M911" t="s">
        <v>22</v>
      </c>
    </row>
    <row r="912" spans="1:13" x14ac:dyDescent="0.35">
      <c r="A912" t="s">
        <v>1858</v>
      </c>
      <c r="B912" s="9">
        <v>46139</v>
      </c>
      <c r="C912" t="s">
        <v>1859</v>
      </c>
      <c r="D912" t="s">
        <v>53</v>
      </c>
      <c r="E912" t="s">
        <v>25</v>
      </c>
      <c r="F912" t="s">
        <v>47</v>
      </c>
      <c r="G912" t="s">
        <v>48</v>
      </c>
      <c r="H912">
        <v>3</v>
      </c>
      <c r="I912" t="s">
        <v>132</v>
      </c>
      <c r="J912" t="s">
        <v>232</v>
      </c>
      <c r="K912" t="s">
        <v>50</v>
      </c>
      <c r="L912" t="s">
        <v>21</v>
      </c>
      <c r="M912" t="s">
        <v>22</v>
      </c>
    </row>
    <row r="913" spans="1:13" x14ac:dyDescent="0.35">
      <c r="A913" t="s">
        <v>1860</v>
      </c>
      <c r="B913" s="9">
        <v>46149</v>
      </c>
      <c r="C913" t="s">
        <v>1861</v>
      </c>
      <c r="D913" t="s">
        <v>116</v>
      </c>
      <c r="E913" t="s">
        <v>16</v>
      </c>
      <c r="F913" t="s">
        <v>42</v>
      </c>
      <c r="G913" t="s">
        <v>43</v>
      </c>
      <c r="H913">
        <v>1</v>
      </c>
      <c r="I913" t="s">
        <v>71</v>
      </c>
      <c r="J913" t="s">
        <v>71</v>
      </c>
      <c r="K913" t="s">
        <v>111</v>
      </c>
      <c r="L913" t="s">
        <v>30</v>
      </c>
      <c r="M913" t="s">
        <v>58</v>
      </c>
    </row>
    <row r="914" spans="1:13" x14ac:dyDescent="0.35">
      <c r="A914" t="s">
        <v>900</v>
      </c>
      <c r="B914" s="9">
        <v>46098</v>
      </c>
      <c r="C914" t="s">
        <v>901</v>
      </c>
      <c r="D914" t="s">
        <v>61</v>
      </c>
      <c r="E914" t="s">
        <v>16</v>
      </c>
      <c r="F914" t="s">
        <v>89</v>
      </c>
      <c r="G914" t="s">
        <v>90</v>
      </c>
      <c r="H914">
        <v>1</v>
      </c>
      <c r="I914" t="s">
        <v>28</v>
      </c>
      <c r="J914" t="s">
        <v>28</v>
      </c>
      <c r="K914">
        <v>640</v>
      </c>
      <c r="L914" t="s">
        <v>30</v>
      </c>
      <c r="M914" t="s">
        <v>22</v>
      </c>
    </row>
    <row r="915" spans="1:13" x14ac:dyDescent="0.35">
      <c r="A915" t="s">
        <v>1862</v>
      </c>
      <c r="B915" s="9">
        <v>46025</v>
      </c>
      <c r="C915" t="s">
        <v>655</v>
      </c>
      <c r="D915" t="s">
        <v>40</v>
      </c>
      <c r="E915" t="s">
        <v>41</v>
      </c>
      <c r="F915" t="s">
        <v>26</v>
      </c>
      <c r="G915" t="s">
        <v>27</v>
      </c>
      <c r="H915">
        <v>2</v>
      </c>
      <c r="I915" t="s">
        <v>106</v>
      </c>
      <c r="J915" t="s">
        <v>107</v>
      </c>
      <c r="K915">
        <v>520</v>
      </c>
      <c r="L915" t="s">
        <v>21</v>
      </c>
      <c r="M915" t="s">
        <v>58</v>
      </c>
    </row>
    <row r="916" spans="1:13" x14ac:dyDescent="0.35">
      <c r="A916" t="s">
        <v>1863</v>
      </c>
      <c r="B916" s="9">
        <v>46056</v>
      </c>
      <c r="C916" t="s">
        <v>1861</v>
      </c>
      <c r="D916" t="s">
        <v>116</v>
      </c>
      <c r="E916" t="s">
        <v>41</v>
      </c>
      <c r="F916" t="s">
        <v>47</v>
      </c>
      <c r="G916" t="s">
        <v>48</v>
      </c>
      <c r="H916">
        <v>2</v>
      </c>
      <c r="I916" t="s">
        <v>132</v>
      </c>
      <c r="J916" t="s">
        <v>133</v>
      </c>
      <c r="K916">
        <v>380</v>
      </c>
      <c r="L916" t="s">
        <v>30</v>
      </c>
      <c r="M916" t="s">
        <v>22</v>
      </c>
    </row>
    <row r="917" spans="1:13" x14ac:dyDescent="0.35">
      <c r="A917" t="s">
        <v>1864</v>
      </c>
      <c r="B917" s="9">
        <v>46135</v>
      </c>
      <c r="C917" t="s">
        <v>985</v>
      </c>
      <c r="D917" t="s">
        <v>53</v>
      </c>
      <c r="E917" t="s">
        <v>34</v>
      </c>
      <c r="F917" t="s">
        <v>47</v>
      </c>
      <c r="G917" t="s">
        <v>48</v>
      </c>
      <c r="H917">
        <v>2</v>
      </c>
      <c r="I917" t="s">
        <v>71</v>
      </c>
      <c r="J917" t="s">
        <v>286</v>
      </c>
      <c r="K917" t="s">
        <v>50</v>
      </c>
      <c r="L917" t="s">
        <v>30</v>
      </c>
      <c r="M917" t="s">
        <v>58</v>
      </c>
    </row>
    <row r="918" spans="1:13" x14ac:dyDescent="0.35">
      <c r="A918" t="s">
        <v>1865</v>
      </c>
      <c r="B918" s="9">
        <v>46191</v>
      </c>
      <c r="C918" t="s">
        <v>1866</v>
      </c>
      <c r="D918" t="s">
        <v>61</v>
      </c>
      <c r="E918" t="s">
        <v>34</v>
      </c>
      <c r="F918" t="s">
        <v>26</v>
      </c>
      <c r="G918" t="s">
        <v>27</v>
      </c>
      <c r="H918">
        <v>2</v>
      </c>
      <c r="I918" t="s">
        <v>56</v>
      </c>
      <c r="J918" t="s">
        <v>193</v>
      </c>
      <c r="K918" t="s">
        <v>29</v>
      </c>
      <c r="L918" t="s">
        <v>30</v>
      </c>
      <c r="M918" t="s">
        <v>58</v>
      </c>
    </row>
    <row r="919" spans="1:13" x14ac:dyDescent="0.35">
      <c r="A919" t="s">
        <v>1867</v>
      </c>
      <c r="B919" s="9">
        <v>46149</v>
      </c>
      <c r="C919" t="s">
        <v>1868</v>
      </c>
      <c r="D919" t="s">
        <v>33</v>
      </c>
      <c r="E919" t="s">
        <v>34</v>
      </c>
      <c r="F919" t="s">
        <v>83</v>
      </c>
      <c r="G919" t="s">
        <v>84</v>
      </c>
      <c r="H919">
        <v>1</v>
      </c>
      <c r="I919" t="s">
        <v>68</v>
      </c>
      <c r="J919" t="s">
        <v>68</v>
      </c>
      <c r="K919" t="s">
        <v>103</v>
      </c>
      <c r="L919" t="s">
        <v>30</v>
      </c>
      <c r="M919" t="s">
        <v>22</v>
      </c>
    </row>
    <row r="920" spans="1:13" x14ac:dyDescent="0.35">
      <c r="A920" t="s">
        <v>1869</v>
      </c>
      <c r="B920" s="9">
        <v>46136</v>
      </c>
      <c r="C920" t="s">
        <v>1870</v>
      </c>
      <c r="D920" t="s">
        <v>99</v>
      </c>
      <c r="E920" t="s">
        <v>16</v>
      </c>
      <c r="F920" t="s">
        <v>89</v>
      </c>
      <c r="G920" t="s">
        <v>90</v>
      </c>
      <c r="H920">
        <v>2</v>
      </c>
      <c r="I920" t="s">
        <v>106</v>
      </c>
      <c r="J920" t="s">
        <v>107</v>
      </c>
      <c r="K920" t="s">
        <v>108</v>
      </c>
      <c r="L920" t="s">
        <v>30</v>
      </c>
      <c r="M920" t="s">
        <v>22</v>
      </c>
    </row>
    <row r="921" spans="1:13" x14ac:dyDescent="0.35">
      <c r="A921" t="s">
        <v>1871</v>
      </c>
      <c r="B921" s="9">
        <v>46117</v>
      </c>
      <c r="C921" t="s">
        <v>1872</v>
      </c>
      <c r="D921" t="s">
        <v>33</v>
      </c>
      <c r="E921" t="s">
        <v>16</v>
      </c>
      <c r="F921" t="s">
        <v>42</v>
      </c>
      <c r="G921" t="s">
        <v>43</v>
      </c>
      <c r="H921">
        <v>-1</v>
      </c>
      <c r="I921" t="s">
        <v>132</v>
      </c>
      <c r="J921" t="s">
        <v>1873</v>
      </c>
      <c r="K921" t="s">
        <v>111</v>
      </c>
      <c r="L921" t="s">
        <v>30</v>
      </c>
      <c r="M921" t="s">
        <v>22</v>
      </c>
    </row>
    <row r="922" spans="1:13" x14ac:dyDescent="0.35">
      <c r="A922" t="s">
        <v>1874</v>
      </c>
      <c r="B922" s="9">
        <v>46191</v>
      </c>
      <c r="C922" t="s">
        <v>455</v>
      </c>
      <c r="D922" t="s">
        <v>99</v>
      </c>
      <c r="E922" t="s">
        <v>34</v>
      </c>
      <c r="F922" t="s">
        <v>83</v>
      </c>
      <c r="G922" t="s">
        <v>84</v>
      </c>
      <c r="H922">
        <v>3</v>
      </c>
      <c r="I922" t="s">
        <v>62</v>
      </c>
      <c r="J922" t="s">
        <v>488</v>
      </c>
      <c r="K922" t="s">
        <v>103</v>
      </c>
      <c r="L922" t="s">
        <v>30</v>
      </c>
      <c r="M922" t="s">
        <v>22</v>
      </c>
    </row>
    <row r="923" spans="1:13" x14ac:dyDescent="0.35">
      <c r="A923" t="s">
        <v>1875</v>
      </c>
      <c r="B923" s="9">
        <v>46127</v>
      </c>
      <c r="C923" t="s">
        <v>1876</v>
      </c>
      <c r="D923" t="s">
        <v>66</v>
      </c>
      <c r="E923" t="s">
        <v>16</v>
      </c>
      <c r="F923" t="s">
        <v>83</v>
      </c>
      <c r="G923" t="s">
        <v>84</v>
      </c>
      <c r="H923">
        <v>2</v>
      </c>
      <c r="I923" t="s">
        <v>106</v>
      </c>
      <c r="J923" t="s">
        <v>107</v>
      </c>
      <c r="K923">
        <v>340</v>
      </c>
      <c r="L923" t="s">
        <v>30</v>
      </c>
      <c r="M923" t="s">
        <v>22</v>
      </c>
    </row>
    <row r="924" spans="1:13" x14ac:dyDescent="0.35">
      <c r="A924" t="s">
        <v>1877</v>
      </c>
      <c r="B924" s="9">
        <v>46166</v>
      </c>
      <c r="C924" t="s">
        <v>1878</v>
      </c>
      <c r="D924" t="s">
        <v>40</v>
      </c>
      <c r="E924" t="s">
        <v>34</v>
      </c>
      <c r="F924" t="s">
        <v>17</v>
      </c>
      <c r="G924" t="s">
        <v>18</v>
      </c>
      <c r="H924">
        <v>3</v>
      </c>
      <c r="I924" t="s">
        <v>1002</v>
      </c>
      <c r="J924" t="s">
        <v>86</v>
      </c>
      <c r="K924" t="s">
        <v>29</v>
      </c>
      <c r="L924" t="s">
        <v>30</v>
      </c>
      <c r="M924" t="s">
        <v>58</v>
      </c>
    </row>
    <row r="925" spans="1:13" x14ac:dyDescent="0.35">
      <c r="A925" t="s">
        <v>1879</v>
      </c>
      <c r="B925" s="9">
        <v>46237</v>
      </c>
      <c r="C925" t="s">
        <v>1159</v>
      </c>
      <c r="D925" t="s">
        <v>40</v>
      </c>
      <c r="E925" t="s">
        <v>34</v>
      </c>
      <c r="F925" t="s">
        <v>42</v>
      </c>
      <c r="G925" t="s">
        <v>43</v>
      </c>
      <c r="H925">
        <v>2</v>
      </c>
      <c r="I925" t="s">
        <v>106</v>
      </c>
      <c r="J925" t="s">
        <v>107</v>
      </c>
      <c r="K925">
        <v>190</v>
      </c>
      <c r="L925" t="s">
        <v>30</v>
      </c>
      <c r="M925" t="s">
        <v>22</v>
      </c>
    </row>
    <row r="926" spans="1:13" x14ac:dyDescent="0.35">
      <c r="A926" t="s">
        <v>1880</v>
      </c>
      <c r="B926" s="9">
        <v>46099</v>
      </c>
      <c r="C926" t="s">
        <v>123</v>
      </c>
      <c r="D926" t="s">
        <v>61</v>
      </c>
      <c r="E926" t="s">
        <v>41</v>
      </c>
      <c r="F926" t="s">
        <v>35</v>
      </c>
      <c r="G926" t="s">
        <v>36</v>
      </c>
      <c r="H926">
        <v>3</v>
      </c>
      <c r="I926" t="s">
        <v>106</v>
      </c>
      <c r="J926" t="s">
        <v>160</v>
      </c>
      <c r="K926">
        <v>85</v>
      </c>
      <c r="L926" t="s">
        <v>30</v>
      </c>
      <c r="M926" t="s">
        <v>22</v>
      </c>
    </row>
    <row r="927" spans="1:13" x14ac:dyDescent="0.35">
      <c r="A927" t="s">
        <v>1881</v>
      </c>
      <c r="B927" s="9">
        <v>46056</v>
      </c>
      <c r="C927" t="s">
        <v>1659</v>
      </c>
      <c r="D927" t="s">
        <v>40</v>
      </c>
      <c r="E927" t="s">
        <v>16</v>
      </c>
      <c r="F927" t="s">
        <v>26</v>
      </c>
      <c r="G927" t="s">
        <v>27</v>
      </c>
      <c r="H927">
        <v>2</v>
      </c>
      <c r="I927" t="s">
        <v>106</v>
      </c>
      <c r="J927" t="s">
        <v>107</v>
      </c>
      <c r="K927">
        <v>520</v>
      </c>
      <c r="L927" t="s">
        <v>30</v>
      </c>
      <c r="M927" t="s">
        <v>22</v>
      </c>
    </row>
    <row r="928" spans="1:13" x14ac:dyDescent="0.35">
      <c r="A928" t="s">
        <v>1882</v>
      </c>
      <c r="B928" s="9">
        <v>46152</v>
      </c>
      <c r="C928" t="s">
        <v>1883</v>
      </c>
      <c r="D928" t="s">
        <v>53</v>
      </c>
      <c r="E928" t="s">
        <v>16</v>
      </c>
      <c r="F928" t="s">
        <v>17</v>
      </c>
      <c r="G928" t="s">
        <v>18</v>
      </c>
      <c r="H928">
        <v>2</v>
      </c>
      <c r="I928" t="s">
        <v>19</v>
      </c>
      <c r="J928" t="s">
        <v>238</v>
      </c>
      <c r="K928" t="s">
        <v>29</v>
      </c>
      <c r="L928" t="s">
        <v>30</v>
      </c>
      <c r="M928" t="s">
        <v>22</v>
      </c>
    </row>
    <row r="929" spans="1:13" x14ac:dyDescent="0.35">
      <c r="A929" t="s">
        <v>1884</v>
      </c>
      <c r="B929" s="9">
        <v>46078</v>
      </c>
      <c r="C929" t="s">
        <v>1885</v>
      </c>
      <c r="D929" t="s">
        <v>66</v>
      </c>
      <c r="E929" t="s">
        <v>41</v>
      </c>
      <c r="F929" t="s">
        <v>47</v>
      </c>
      <c r="G929" t="s">
        <v>48</v>
      </c>
      <c r="H929">
        <v>3</v>
      </c>
      <c r="I929" t="s">
        <v>68</v>
      </c>
      <c r="J929" t="s">
        <v>205</v>
      </c>
      <c r="K929">
        <v>380</v>
      </c>
      <c r="L929" t="s">
        <v>21</v>
      </c>
      <c r="M929" t="s">
        <v>58</v>
      </c>
    </row>
    <row r="930" spans="1:13" x14ac:dyDescent="0.35">
      <c r="A930" t="s">
        <v>1886</v>
      </c>
      <c r="B930" s="9">
        <v>46077</v>
      </c>
      <c r="C930" t="s">
        <v>1514</v>
      </c>
      <c r="D930" t="s">
        <v>40</v>
      </c>
      <c r="E930" t="s">
        <v>16</v>
      </c>
      <c r="F930" t="s">
        <v>83</v>
      </c>
      <c r="G930" t="s">
        <v>84</v>
      </c>
      <c r="H930">
        <v>1</v>
      </c>
      <c r="I930" t="s">
        <v>220</v>
      </c>
      <c r="J930" t="s">
        <v>220</v>
      </c>
      <c r="K930">
        <v>340</v>
      </c>
      <c r="L930" t="s">
        <v>30</v>
      </c>
      <c r="M930" t="s">
        <v>22</v>
      </c>
    </row>
    <row r="931" spans="1:13" x14ac:dyDescent="0.35">
      <c r="A931" t="s">
        <v>1887</v>
      </c>
      <c r="B931" s="9">
        <v>46206</v>
      </c>
      <c r="C931" t="s">
        <v>1888</v>
      </c>
      <c r="D931" t="s">
        <v>61</v>
      </c>
      <c r="E931" t="s">
        <v>34</v>
      </c>
      <c r="F931" t="s">
        <v>35</v>
      </c>
      <c r="G931" t="s">
        <v>36</v>
      </c>
      <c r="H931">
        <v>1</v>
      </c>
      <c r="I931" t="s">
        <v>68</v>
      </c>
      <c r="J931" t="s">
        <v>68</v>
      </c>
      <c r="K931" t="s">
        <v>37</v>
      </c>
      <c r="L931" t="s">
        <v>30</v>
      </c>
      <c r="M931" t="s">
        <v>22</v>
      </c>
    </row>
    <row r="932" spans="1:13" x14ac:dyDescent="0.35">
      <c r="A932" t="s">
        <v>1889</v>
      </c>
      <c r="B932" s="9">
        <v>46034</v>
      </c>
      <c r="C932" t="s">
        <v>1890</v>
      </c>
      <c r="D932" t="s">
        <v>15</v>
      </c>
      <c r="E932" t="s">
        <v>41</v>
      </c>
      <c r="F932" t="s">
        <v>83</v>
      </c>
      <c r="G932" t="s">
        <v>84</v>
      </c>
      <c r="H932">
        <v>3</v>
      </c>
      <c r="I932" t="s">
        <v>68</v>
      </c>
      <c r="J932" t="s">
        <v>205</v>
      </c>
      <c r="K932">
        <v>340</v>
      </c>
      <c r="L932" t="s">
        <v>30</v>
      </c>
      <c r="M932" t="s">
        <v>22</v>
      </c>
    </row>
    <row r="933" spans="1:13" x14ac:dyDescent="0.35">
      <c r="A933" t="s">
        <v>1891</v>
      </c>
      <c r="B933" s="9">
        <v>46119</v>
      </c>
      <c r="C933" t="s">
        <v>830</v>
      </c>
      <c r="D933" t="s">
        <v>61</v>
      </c>
      <c r="E933" t="s">
        <v>41</v>
      </c>
      <c r="F933" t="s">
        <v>26</v>
      </c>
      <c r="G933" t="s">
        <v>27</v>
      </c>
      <c r="H933">
        <v>2</v>
      </c>
      <c r="I933" t="s">
        <v>71</v>
      </c>
      <c r="J933" t="s">
        <v>286</v>
      </c>
      <c r="K933">
        <v>520</v>
      </c>
      <c r="L933" t="s">
        <v>30</v>
      </c>
      <c r="M933" t="s">
        <v>58</v>
      </c>
    </row>
    <row r="934" spans="1:13" x14ac:dyDescent="0.35">
      <c r="A934" t="s">
        <v>1892</v>
      </c>
      <c r="B934" s="9">
        <v>46052</v>
      </c>
      <c r="C934" t="s">
        <v>783</v>
      </c>
      <c r="D934" t="s">
        <v>15</v>
      </c>
      <c r="E934" t="s">
        <v>67</v>
      </c>
      <c r="F934" t="s">
        <v>26</v>
      </c>
      <c r="G934" t="s">
        <v>27</v>
      </c>
      <c r="H934">
        <v>2</v>
      </c>
      <c r="I934" t="s">
        <v>254</v>
      </c>
      <c r="J934" t="s">
        <v>156</v>
      </c>
      <c r="K934">
        <v>520</v>
      </c>
      <c r="L934" t="s">
        <v>30</v>
      </c>
      <c r="M934" t="s">
        <v>22</v>
      </c>
    </row>
    <row r="935" spans="1:13" x14ac:dyDescent="0.35">
      <c r="A935" t="s">
        <v>1893</v>
      </c>
      <c r="B935" s="9">
        <v>46055</v>
      </c>
      <c r="C935" t="s">
        <v>726</v>
      </c>
      <c r="D935" t="s">
        <v>61</v>
      </c>
      <c r="E935" t="s">
        <v>34</v>
      </c>
      <c r="F935" t="s">
        <v>83</v>
      </c>
      <c r="G935" t="s">
        <v>84</v>
      </c>
      <c r="H935">
        <v>1</v>
      </c>
      <c r="I935" t="s">
        <v>1419</v>
      </c>
      <c r="J935" t="s">
        <v>132</v>
      </c>
      <c r="K935">
        <v>340</v>
      </c>
      <c r="L935" t="s">
        <v>30</v>
      </c>
      <c r="M935" t="s">
        <v>22</v>
      </c>
    </row>
    <row r="936" spans="1:13" x14ac:dyDescent="0.35">
      <c r="A936" t="s">
        <v>1894</v>
      </c>
      <c r="B936" s="9">
        <v>46059</v>
      </c>
      <c r="C936" t="s">
        <v>1059</v>
      </c>
      <c r="D936" t="s">
        <v>94</v>
      </c>
      <c r="E936" t="s">
        <v>67</v>
      </c>
      <c r="F936" t="s">
        <v>17</v>
      </c>
      <c r="G936" t="s">
        <v>18</v>
      </c>
      <c r="H936">
        <v>1</v>
      </c>
      <c r="I936" t="s">
        <v>106</v>
      </c>
      <c r="J936" t="s">
        <v>106</v>
      </c>
      <c r="K936">
        <v>520</v>
      </c>
      <c r="L936" t="s">
        <v>30</v>
      </c>
      <c r="M936" t="s">
        <v>22</v>
      </c>
    </row>
    <row r="937" spans="1:13" x14ac:dyDescent="0.35">
      <c r="A937" t="s">
        <v>1895</v>
      </c>
      <c r="B937" t="s">
        <v>778</v>
      </c>
      <c r="C937" t="s">
        <v>1896</v>
      </c>
      <c r="D937" t="s">
        <v>40</v>
      </c>
      <c r="E937" t="s">
        <v>16</v>
      </c>
      <c r="F937" t="s">
        <v>26</v>
      </c>
      <c r="G937" t="s">
        <v>27</v>
      </c>
      <c r="H937">
        <v>3</v>
      </c>
      <c r="I937" t="s">
        <v>106</v>
      </c>
      <c r="J937" t="s">
        <v>160</v>
      </c>
      <c r="K937" t="s">
        <v>29</v>
      </c>
      <c r="L937" t="s">
        <v>30</v>
      </c>
      <c r="M937" t="s">
        <v>22</v>
      </c>
    </row>
    <row r="938" spans="1:13" x14ac:dyDescent="0.35">
      <c r="A938" t="s">
        <v>1897</v>
      </c>
      <c r="B938" s="9">
        <v>46196</v>
      </c>
      <c r="C938" t="s">
        <v>1898</v>
      </c>
      <c r="D938" t="s">
        <v>61</v>
      </c>
      <c r="E938" t="s">
        <v>67</v>
      </c>
      <c r="F938" t="s">
        <v>42</v>
      </c>
      <c r="G938" t="s">
        <v>43</v>
      </c>
      <c r="H938">
        <v>1</v>
      </c>
      <c r="I938" t="s">
        <v>132</v>
      </c>
      <c r="J938" t="s">
        <v>132</v>
      </c>
      <c r="K938" t="s">
        <v>111</v>
      </c>
      <c r="L938" t="s">
        <v>30</v>
      </c>
      <c r="M938" t="s">
        <v>22</v>
      </c>
    </row>
    <row r="939" spans="1:13" x14ac:dyDescent="0.35">
      <c r="A939" t="s">
        <v>1899</v>
      </c>
      <c r="B939" t="s">
        <v>1900</v>
      </c>
      <c r="C939" t="s">
        <v>1731</v>
      </c>
      <c r="D939" t="s">
        <v>33</v>
      </c>
      <c r="E939" t="s">
        <v>16</v>
      </c>
      <c r="F939" t="s">
        <v>35</v>
      </c>
      <c r="G939" t="s">
        <v>36</v>
      </c>
      <c r="H939">
        <v>2</v>
      </c>
      <c r="I939" t="s">
        <v>132</v>
      </c>
      <c r="J939" t="s">
        <v>133</v>
      </c>
      <c r="K939" t="s">
        <v>37</v>
      </c>
      <c r="L939" t="s">
        <v>30</v>
      </c>
      <c r="M939" t="s">
        <v>22</v>
      </c>
    </row>
    <row r="940" spans="1:13" x14ac:dyDescent="0.35">
      <c r="A940" t="s">
        <v>1901</v>
      </c>
      <c r="B940" s="9">
        <v>46038</v>
      </c>
      <c r="C940" t="s">
        <v>1435</v>
      </c>
      <c r="D940" t="s">
        <v>40</v>
      </c>
      <c r="E940" t="s">
        <v>34</v>
      </c>
      <c r="F940" t="s">
        <v>47</v>
      </c>
      <c r="G940" t="s">
        <v>48</v>
      </c>
      <c r="H940">
        <v>-3</v>
      </c>
      <c r="I940" t="s">
        <v>102</v>
      </c>
      <c r="J940" t="s">
        <v>1902</v>
      </c>
      <c r="K940">
        <v>380</v>
      </c>
      <c r="L940" t="s">
        <v>30</v>
      </c>
      <c r="M940" t="s">
        <v>58</v>
      </c>
    </row>
    <row r="941" spans="1:13" x14ac:dyDescent="0.35">
      <c r="A941" t="s">
        <v>1903</v>
      </c>
      <c r="B941" s="9">
        <v>46150</v>
      </c>
      <c r="C941" t="s">
        <v>1231</v>
      </c>
      <c r="D941" t="s">
        <v>66</v>
      </c>
      <c r="E941" t="s">
        <v>25</v>
      </c>
      <c r="F941" t="s">
        <v>89</v>
      </c>
      <c r="G941" t="s">
        <v>90</v>
      </c>
      <c r="H941">
        <v>1</v>
      </c>
      <c r="I941" t="s">
        <v>56</v>
      </c>
      <c r="J941" t="s">
        <v>56</v>
      </c>
      <c r="K941" t="s">
        <v>108</v>
      </c>
      <c r="L941" t="s">
        <v>30</v>
      </c>
      <c r="M941" t="s">
        <v>22</v>
      </c>
    </row>
    <row r="942" spans="1:13" x14ac:dyDescent="0.35">
      <c r="A942" t="s">
        <v>1904</v>
      </c>
      <c r="B942" s="9">
        <v>46069</v>
      </c>
      <c r="C942" t="s">
        <v>956</v>
      </c>
      <c r="D942" t="s">
        <v>15</v>
      </c>
      <c r="E942" t="s">
        <v>25</v>
      </c>
      <c r="F942" t="s">
        <v>42</v>
      </c>
      <c r="G942" t="s">
        <v>43</v>
      </c>
      <c r="H942">
        <v>-3</v>
      </c>
      <c r="I942" t="s">
        <v>132</v>
      </c>
      <c r="J942" t="s">
        <v>1905</v>
      </c>
      <c r="K942">
        <v>190</v>
      </c>
      <c r="L942" t="s">
        <v>30</v>
      </c>
      <c r="M942" t="s">
        <v>22</v>
      </c>
    </row>
    <row r="943" spans="1:13" x14ac:dyDescent="0.35">
      <c r="A943" t="s">
        <v>1906</v>
      </c>
      <c r="B943" t="s">
        <v>1907</v>
      </c>
      <c r="C943" t="s">
        <v>1908</v>
      </c>
      <c r="D943" t="s">
        <v>46</v>
      </c>
      <c r="E943" t="s">
        <v>67</v>
      </c>
      <c r="F943" t="s">
        <v>74</v>
      </c>
      <c r="G943" t="s">
        <v>75</v>
      </c>
      <c r="H943">
        <v>1</v>
      </c>
      <c r="I943" t="s">
        <v>132</v>
      </c>
      <c r="J943" t="s">
        <v>132</v>
      </c>
      <c r="K943">
        <v>410</v>
      </c>
      <c r="L943" t="s">
        <v>30</v>
      </c>
      <c r="M943" t="s">
        <v>22</v>
      </c>
    </row>
    <row r="944" spans="1:13" x14ac:dyDescent="0.35">
      <c r="A944" t="s">
        <v>1909</v>
      </c>
      <c r="B944" s="9">
        <v>46188</v>
      </c>
      <c r="C944" t="s">
        <v>1910</v>
      </c>
      <c r="D944" t="s">
        <v>99</v>
      </c>
      <c r="E944" t="s">
        <v>25</v>
      </c>
      <c r="F944" t="s">
        <v>26</v>
      </c>
      <c r="G944" t="s">
        <v>27</v>
      </c>
      <c r="H944">
        <v>1</v>
      </c>
      <c r="I944" t="s">
        <v>136</v>
      </c>
      <c r="J944" t="s">
        <v>136</v>
      </c>
      <c r="K944" t="s">
        <v>29</v>
      </c>
      <c r="L944" t="s">
        <v>30</v>
      </c>
      <c r="M944" t="s">
        <v>22</v>
      </c>
    </row>
    <row r="945" spans="1:13" x14ac:dyDescent="0.35">
      <c r="A945" t="s">
        <v>1911</v>
      </c>
      <c r="B945" s="9">
        <v>46122</v>
      </c>
      <c r="C945" t="s">
        <v>1912</v>
      </c>
      <c r="D945" t="s">
        <v>46</v>
      </c>
      <c r="E945" t="s">
        <v>67</v>
      </c>
      <c r="F945" t="s">
        <v>35</v>
      </c>
      <c r="G945" t="s">
        <v>36</v>
      </c>
      <c r="H945">
        <v>1</v>
      </c>
      <c r="I945" t="s">
        <v>56</v>
      </c>
      <c r="J945" t="s">
        <v>56</v>
      </c>
      <c r="K945">
        <v>85</v>
      </c>
      <c r="L945" t="s">
        <v>30</v>
      </c>
      <c r="M945" t="s">
        <v>58</v>
      </c>
    </row>
    <row r="946" spans="1:13" x14ac:dyDescent="0.35">
      <c r="A946" t="s">
        <v>1913</v>
      </c>
      <c r="B946" s="9">
        <v>46099</v>
      </c>
      <c r="C946" t="s">
        <v>1914</v>
      </c>
      <c r="D946" t="s">
        <v>40</v>
      </c>
      <c r="E946" t="s">
        <v>16</v>
      </c>
      <c r="F946" t="s">
        <v>47</v>
      </c>
      <c r="G946" t="s">
        <v>48</v>
      </c>
      <c r="H946">
        <v>1</v>
      </c>
      <c r="I946" t="s">
        <v>19</v>
      </c>
      <c r="J946" t="s">
        <v>19</v>
      </c>
      <c r="K946">
        <v>380</v>
      </c>
      <c r="L946" t="s">
        <v>30</v>
      </c>
      <c r="M946" t="s">
        <v>22</v>
      </c>
    </row>
    <row r="947" spans="1:13" x14ac:dyDescent="0.35">
      <c r="A947" t="s">
        <v>1915</v>
      </c>
      <c r="B947" s="9">
        <v>46182</v>
      </c>
      <c r="C947" t="s">
        <v>760</v>
      </c>
      <c r="D947" t="s">
        <v>116</v>
      </c>
      <c r="E947" t="s">
        <v>16</v>
      </c>
      <c r="F947" t="s">
        <v>83</v>
      </c>
      <c r="G947" t="s">
        <v>84</v>
      </c>
      <c r="H947">
        <v>2</v>
      </c>
      <c r="I947" t="s">
        <v>254</v>
      </c>
      <c r="J947" t="s">
        <v>156</v>
      </c>
      <c r="K947" t="s">
        <v>103</v>
      </c>
      <c r="L947" t="s">
        <v>30</v>
      </c>
      <c r="M947" t="s">
        <v>22</v>
      </c>
    </row>
    <row r="948" spans="1:13" x14ac:dyDescent="0.35">
      <c r="A948" t="s">
        <v>1916</v>
      </c>
      <c r="B948" s="9">
        <v>46173</v>
      </c>
      <c r="C948" t="s">
        <v>615</v>
      </c>
      <c r="D948" t="s">
        <v>99</v>
      </c>
      <c r="E948" t="s">
        <v>34</v>
      </c>
      <c r="F948" t="s">
        <v>26</v>
      </c>
      <c r="G948" t="s">
        <v>27</v>
      </c>
      <c r="H948">
        <v>1</v>
      </c>
      <c r="I948" t="s">
        <v>79</v>
      </c>
      <c r="J948" t="s">
        <v>79</v>
      </c>
      <c r="K948" t="s">
        <v>29</v>
      </c>
      <c r="L948" t="s">
        <v>30</v>
      </c>
      <c r="M948" t="s">
        <v>22</v>
      </c>
    </row>
    <row r="949" spans="1:13" x14ac:dyDescent="0.35">
      <c r="A949" t="s">
        <v>1917</v>
      </c>
      <c r="B949" s="9">
        <v>46134</v>
      </c>
      <c r="C949" t="s">
        <v>1918</v>
      </c>
      <c r="D949" t="s">
        <v>99</v>
      </c>
      <c r="E949" t="s">
        <v>25</v>
      </c>
      <c r="F949" t="s">
        <v>74</v>
      </c>
      <c r="G949" t="s">
        <v>75</v>
      </c>
      <c r="H949">
        <v>1</v>
      </c>
      <c r="I949" t="s">
        <v>254</v>
      </c>
      <c r="J949" t="s">
        <v>254</v>
      </c>
      <c r="K949" t="s">
        <v>76</v>
      </c>
      <c r="L949" t="s">
        <v>30</v>
      </c>
      <c r="M949" t="s">
        <v>58</v>
      </c>
    </row>
    <row r="950" spans="1:13" x14ac:dyDescent="0.35">
      <c r="A950" t="s">
        <v>1919</v>
      </c>
      <c r="B950" s="9">
        <v>46177</v>
      </c>
      <c r="C950" t="s">
        <v>1920</v>
      </c>
      <c r="D950" t="s">
        <v>61</v>
      </c>
      <c r="E950" t="s">
        <v>67</v>
      </c>
      <c r="F950" t="s">
        <v>83</v>
      </c>
      <c r="G950" t="s">
        <v>84</v>
      </c>
      <c r="H950">
        <v>2</v>
      </c>
      <c r="I950" t="s">
        <v>102</v>
      </c>
      <c r="J950" t="s">
        <v>181</v>
      </c>
      <c r="K950" t="s">
        <v>103</v>
      </c>
      <c r="L950" t="s">
        <v>30</v>
      </c>
      <c r="M950" t="s">
        <v>58</v>
      </c>
    </row>
    <row r="951" spans="1:13" x14ac:dyDescent="0.35">
      <c r="A951" t="s">
        <v>1921</v>
      </c>
      <c r="B951" s="9">
        <v>46066</v>
      </c>
      <c r="C951" t="s">
        <v>940</v>
      </c>
      <c r="D951" t="s">
        <v>61</v>
      </c>
      <c r="E951" t="s">
        <v>41</v>
      </c>
      <c r="F951" t="s">
        <v>83</v>
      </c>
      <c r="G951" t="s">
        <v>84</v>
      </c>
      <c r="H951">
        <v>2</v>
      </c>
      <c r="I951" t="s">
        <v>19</v>
      </c>
      <c r="J951" t="s">
        <v>238</v>
      </c>
      <c r="K951">
        <v>340</v>
      </c>
      <c r="L951" t="s">
        <v>30</v>
      </c>
      <c r="M951" t="s">
        <v>22</v>
      </c>
    </row>
    <row r="952" spans="1:13" x14ac:dyDescent="0.35">
      <c r="A952" t="s">
        <v>1922</v>
      </c>
      <c r="B952" s="9">
        <v>46116</v>
      </c>
      <c r="C952" t="s">
        <v>1667</v>
      </c>
      <c r="D952" t="s">
        <v>94</v>
      </c>
      <c r="E952" t="s">
        <v>16</v>
      </c>
      <c r="F952" t="s">
        <v>47</v>
      </c>
      <c r="G952" t="s">
        <v>48</v>
      </c>
      <c r="H952">
        <v>3</v>
      </c>
      <c r="I952" t="s">
        <v>136</v>
      </c>
      <c r="J952" t="s">
        <v>137</v>
      </c>
      <c r="K952">
        <v>380</v>
      </c>
      <c r="L952" t="s">
        <v>30</v>
      </c>
      <c r="M952" t="s">
        <v>22</v>
      </c>
    </row>
    <row r="953" spans="1:13" x14ac:dyDescent="0.35">
      <c r="A953" t="s">
        <v>1923</v>
      </c>
      <c r="B953" s="9">
        <v>46106</v>
      </c>
      <c r="C953" t="s">
        <v>1924</v>
      </c>
      <c r="D953" t="s">
        <v>94</v>
      </c>
      <c r="E953" t="s">
        <v>67</v>
      </c>
      <c r="F953" t="s">
        <v>74</v>
      </c>
      <c r="G953" t="s">
        <v>75</v>
      </c>
      <c r="H953">
        <v>-2</v>
      </c>
      <c r="I953" t="s">
        <v>254</v>
      </c>
      <c r="J953" t="s">
        <v>767</v>
      </c>
      <c r="K953">
        <v>410</v>
      </c>
      <c r="L953" t="s">
        <v>30</v>
      </c>
      <c r="M953" t="s">
        <v>58</v>
      </c>
    </row>
    <row r="954" spans="1:13" x14ac:dyDescent="0.35">
      <c r="A954" t="s">
        <v>1925</v>
      </c>
      <c r="B954" t="s">
        <v>1926</v>
      </c>
      <c r="C954" t="s">
        <v>1375</v>
      </c>
      <c r="D954" t="s">
        <v>33</v>
      </c>
      <c r="E954" t="s">
        <v>34</v>
      </c>
      <c r="F954" t="s">
        <v>26</v>
      </c>
      <c r="G954" t="s">
        <v>27</v>
      </c>
      <c r="H954">
        <v>1</v>
      </c>
      <c r="I954" t="s">
        <v>79</v>
      </c>
      <c r="J954" t="s">
        <v>79</v>
      </c>
      <c r="K954" t="s">
        <v>29</v>
      </c>
      <c r="L954" t="s">
        <v>21</v>
      </c>
      <c r="M954" t="s">
        <v>58</v>
      </c>
    </row>
    <row r="955" spans="1:13" x14ac:dyDescent="0.35">
      <c r="A955" t="s">
        <v>1927</v>
      </c>
      <c r="B955" s="9">
        <v>46124</v>
      </c>
      <c r="C955" t="s">
        <v>743</v>
      </c>
      <c r="D955" t="s">
        <v>53</v>
      </c>
      <c r="E955" t="s">
        <v>67</v>
      </c>
      <c r="F955" t="s">
        <v>17</v>
      </c>
      <c r="G955" t="s">
        <v>18</v>
      </c>
      <c r="H955">
        <v>2</v>
      </c>
      <c r="I955" t="s">
        <v>19</v>
      </c>
      <c r="J955" t="s">
        <v>238</v>
      </c>
      <c r="K955">
        <v>520</v>
      </c>
      <c r="L955" t="s">
        <v>30</v>
      </c>
      <c r="M955" t="s">
        <v>22</v>
      </c>
    </row>
    <row r="956" spans="1:13" x14ac:dyDescent="0.35">
      <c r="A956" t="s">
        <v>1928</v>
      </c>
      <c r="B956" s="9">
        <v>46108</v>
      </c>
      <c r="C956" t="s">
        <v>1929</v>
      </c>
      <c r="D956" t="s">
        <v>53</v>
      </c>
      <c r="E956" t="s">
        <v>34</v>
      </c>
      <c r="F956" t="s">
        <v>83</v>
      </c>
      <c r="G956" t="s">
        <v>84</v>
      </c>
      <c r="H956">
        <v>1</v>
      </c>
      <c r="I956" t="s">
        <v>68</v>
      </c>
      <c r="J956" t="s">
        <v>68</v>
      </c>
      <c r="K956">
        <v>340</v>
      </c>
      <c r="L956" t="s">
        <v>21</v>
      </c>
      <c r="M956" t="s">
        <v>22</v>
      </c>
    </row>
    <row r="957" spans="1:13" x14ac:dyDescent="0.35">
      <c r="A957" t="s">
        <v>1930</v>
      </c>
      <c r="B957" s="9">
        <v>46171</v>
      </c>
      <c r="C957" t="s">
        <v>1931</v>
      </c>
      <c r="D957" t="s">
        <v>40</v>
      </c>
      <c r="E957" t="s">
        <v>67</v>
      </c>
      <c r="F957" t="s">
        <v>47</v>
      </c>
      <c r="G957" t="s">
        <v>48</v>
      </c>
      <c r="H957">
        <v>2</v>
      </c>
      <c r="I957" t="s">
        <v>132</v>
      </c>
      <c r="J957" t="s">
        <v>133</v>
      </c>
      <c r="K957" t="s">
        <v>50</v>
      </c>
      <c r="L957" t="s">
        <v>30</v>
      </c>
      <c r="M957" t="s">
        <v>58</v>
      </c>
    </row>
    <row r="958" spans="1:13" x14ac:dyDescent="0.35">
      <c r="A958" t="s">
        <v>1932</v>
      </c>
      <c r="B958" s="9">
        <v>46327</v>
      </c>
      <c r="C958" t="s">
        <v>712</v>
      </c>
      <c r="D958" t="s">
        <v>33</v>
      </c>
      <c r="E958" t="s">
        <v>25</v>
      </c>
      <c r="F958" t="s">
        <v>26</v>
      </c>
      <c r="G958" t="s">
        <v>27</v>
      </c>
      <c r="H958">
        <v>3</v>
      </c>
      <c r="I958" t="s">
        <v>254</v>
      </c>
      <c r="J958" t="s">
        <v>390</v>
      </c>
      <c r="K958">
        <v>520</v>
      </c>
      <c r="L958" t="s">
        <v>21</v>
      </c>
      <c r="M958" t="s">
        <v>22</v>
      </c>
    </row>
    <row r="959" spans="1:13" x14ac:dyDescent="0.35">
      <c r="A959" t="s">
        <v>1933</v>
      </c>
      <c r="B959" s="9">
        <v>46164</v>
      </c>
      <c r="C959" t="s">
        <v>1934</v>
      </c>
      <c r="D959" t="s">
        <v>66</v>
      </c>
      <c r="E959" t="s">
        <v>16</v>
      </c>
      <c r="F959" t="s">
        <v>35</v>
      </c>
      <c r="G959" t="s">
        <v>36</v>
      </c>
      <c r="H959">
        <v>1</v>
      </c>
      <c r="I959" t="s">
        <v>254</v>
      </c>
      <c r="J959" t="s">
        <v>254</v>
      </c>
      <c r="K959" t="s">
        <v>37</v>
      </c>
      <c r="L959" t="s">
        <v>30</v>
      </c>
      <c r="M959" t="s">
        <v>58</v>
      </c>
    </row>
    <row r="960" spans="1:13" x14ac:dyDescent="0.35">
      <c r="A960" t="s">
        <v>1935</v>
      </c>
      <c r="B960" t="s">
        <v>236</v>
      </c>
      <c r="C960" t="s">
        <v>1210</v>
      </c>
      <c r="D960" t="s">
        <v>40</v>
      </c>
      <c r="E960" t="s">
        <v>16</v>
      </c>
      <c r="F960" t="s">
        <v>35</v>
      </c>
      <c r="G960" t="s">
        <v>36</v>
      </c>
      <c r="H960">
        <v>2</v>
      </c>
      <c r="I960" t="s">
        <v>56</v>
      </c>
      <c r="J960" t="s">
        <v>193</v>
      </c>
      <c r="K960">
        <v>85</v>
      </c>
      <c r="L960" t="s">
        <v>21</v>
      </c>
      <c r="M960" t="s">
        <v>22</v>
      </c>
    </row>
    <row r="961" spans="1:13" x14ac:dyDescent="0.35">
      <c r="A961" t="s">
        <v>1936</v>
      </c>
      <c r="B961" s="9">
        <v>46176</v>
      </c>
      <c r="C961" t="s">
        <v>1183</v>
      </c>
      <c r="D961" t="s">
        <v>40</v>
      </c>
      <c r="E961" t="s">
        <v>34</v>
      </c>
      <c r="F961" t="s">
        <v>26</v>
      </c>
      <c r="G961" t="s">
        <v>27</v>
      </c>
      <c r="H961">
        <v>2</v>
      </c>
      <c r="I961" t="s">
        <v>56</v>
      </c>
      <c r="J961" t="s">
        <v>193</v>
      </c>
      <c r="K961" t="s">
        <v>29</v>
      </c>
      <c r="L961" t="s">
        <v>21</v>
      </c>
      <c r="M961" t="s">
        <v>58</v>
      </c>
    </row>
    <row r="962" spans="1:13" x14ac:dyDescent="0.35">
      <c r="A962" t="s">
        <v>1937</v>
      </c>
      <c r="B962" s="9">
        <v>46150</v>
      </c>
      <c r="C962" t="s">
        <v>1938</v>
      </c>
      <c r="D962" t="s">
        <v>99</v>
      </c>
      <c r="E962" t="s">
        <v>25</v>
      </c>
      <c r="F962" t="s">
        <v>74</v>
      </c>
      <c r="G962" t="s">
        <v>75</v>
      </c>
      <c r="H962">
        <v>1</v>
      </c>
      <c r="I962" t="s">
        <v>56</v>
      </c>
      <c r="J962" t="s">
        <v>56</v>
      </c>
      <c r="K962" t="s">
        <v>76</v>
      </c>
      <c r="L962" t="s">
        <v>21</v>
      </c>
      <c r="M962" t="s">
        <v>22</v>
      </c>
    </row>
    <row r="963" spans="1:13" x14ac:dyDescent="0.35">
      <c r="A963" t="s">
        <v>1939</v>
      </c>
      <c r="B963" s="9">
        <v>46180</v>
      </c>
      <c r="C963" t="s">
        <v>1940</v>
      </c>
      <c r="D963" t="s">
        <v>94</v>
      </c>
      <c r="E963" t="s">
        <v>16</v>
      </c>
      <c r="F963" t="s">
        <v>42</v>
      </c>
      <c r="G963" t="s">
        <v>43</v>
      </c>
      <c r="H963">
        <v>1</v>
      </c>
      <c r="I963" t="s">
        <v>102</v>
      </c>
      <c r="J963" t="s">
        <v>102</v>
      </c>
      <c r="K963" t="s">
        <v>111</v>
      </c>
      <c r="L963" t="s">
        <v>30</v>
      </c>
      <c r="M963" t="s">
        <v>58</v>
      </c>
    </row>
    <row r="964" spans="1:13" x14ac:dyDescent="0.35">
      <c r="A964" t="s">
        <v>1941</v>
      </c>
      <c r="B964" s="9">
        <v>46175</v>
      </c>
      <c r="C964" t="s">
        <v>1942</v>
      </c>
      <c r="D964" t="s">
        <v>15</v>
      </c>
      <c r="E964" t="s">
        <v>25</v>
      </c>
      <c r="F964" t="s">
        <v>74</v>
      </c>
      <c r="G964" t="s">
        <v>75</v>
      </c>
      <c r="H964">
        <v>1</v>
      </c>
      <c r="I964" t="s">
        <v>220</v>
      </c>
      <c r="J964" t="s">
        <v>220</v>
      </c>
      <c r="K964" t="s">
        <v>76</v>
      </c>
      <c r="L964" t="s">
        <v>30</v>
      </c>
      <c r="M964" t="s">
        <v>22</v>
      </c>
    </row>
    <row r="965" spans="1:13" x14ac:dyDescent="0.35">
      <c r="A965" t="s">
        <v>1943</v>
      </c>
      <c r="B965" t="s">
        <v>1753</v>
      </c>
      <c r="C965" t="s">
        <v>1944</v>
      </c>
      <c r="D965" t="s">
        <v>116</v>
      </c>
      <c r="E965" t="s">
        <v>67</v>
      </c>
      <c r="F965" t="s">
        <v>83</v>
      </c>
      <c r="G965" t="s">
        <v>84</v>
      </c>
      <c r="H965">
        <v>2</v>
      </c>
      <c r="I965" t="s">
        <v>102</v>
      </c>
      <c r="J965" t="s">
        <v>181</v>
      </c>
      <c r="K965">
        <v>340</v>
      </c>
      <c r="L965" t="s">
        <v>21</v>
      </c>
      <c r="M965" t="s">
        <v>22</v>
      </c>
    </row>
    <row r="966" spans="1:13" x14ac:dyDescent="0.35">
      <c r="A966" t="s">
        <v>1945</v>
      </c>
      <c r="B966" s="9">
        <v>46170</v>
      </c>
      <c r="C966" t="s">
        <v>1946</v>
      </c>
      <c r="D966" t="s">
        <v>116</v>
      </c>
      <c r="E966" t="s">
        <v>67</v>
      </c>
      <c r="F966" t="s">
        <v>26</v>
      </c>
      <c r="G966" t="s">
        <v>27</v>
      </c>
      <c r="H966">
        <v>1</v>
      </c>
      <c r="I966" t="s">
        <v>132</v>
      </c>
      <c r="J966" t="s">
        <v>132</v>
      </c>
      <c r="K966" t="s">
        <v>29</v>
      </c>
      <c r="L966" t="s">
        <v>21</v>
      </c>
      <c r="M966" t="s">
        <v>58</v>
      </c>
    </row>
    <row r="967" spans="1:13" x14ac:dyDescent="0.35">
      <c r="A967" t="s">
        <v>1947</v>
      </c>
      <c r="B967" t="s">
        <v>1948</v>
      </c>
      <c r="C967" t="s">
        <v>1165</v>
      </c>
      <c r="D967" t="s">
        <v>66</v>
      </c>
      <c r="E967" t="s">
        <v>41</v>
      </c>
      <c r="F967" t="s">
        <v>42</v>
      </c>
      <c r="G967" t="s">
        <v>43</v>
      </c>
      <c r="H967">
        <v>1</v>
      </c>
      <c r="I967" t="s">
        <v>49</v>
      </c>
      <c r="J967" t="s">
        <v>1497</v>
      </c>
      <c r="K967">
        <v>190</v>
      </c>
      <c r="L967" t="s">
        <v>30</v>
      </c>
      <c r="M967" t="s">
        <v>22</v>
      </c>
    </row>
    <row r="968" spans="1:13" x14ac:dyDescent="0.35">
      <c r="A968" t="s">
        <v>1949</v>
      </c>
      <c r="B968" s="9">
        <v>46067</v>
      </c>
      <c r="C968" t="s">
        <v>862</v>
      </c>
      <c r="D968" t="s">
        <v>66</v>
      </c>
      <c r="E968" t="s">
        <v>41</v>
      </c>
      <c r="F968" t="s">
        <v>26</v>
      </c>
      <c r="G968" t="s">
        <v>27</v>
      </c>
      <c r="H968">
        <v>3</v>
      </c>
      <c r="I968" t="s">
        <v>132</v>
      </c>
      <c r="J968" t="s">
        <v>232</v>
      </c>
      <c r="K968">
        <v>520</v>
      </c>
      <c r="L968" t="s">
        <v>30</v>
      </c>
      <c r="M968" t="s">
        <v>22</v>
      </c>
    </row>
    <row r="969" spans="1:13" x14ac:dyDescent="0.35">
      <c r="A969" t="s">
        <v>1950</v>
      </c>
      <c r="B969" s="9">
        <v>46141</v>
      </c>
      <c r="C969" t="s">
        <v>1951</v>
      </c>
      <c r="D969" t="s">
        <v>66</v>
      </c>
      <c r="E969" t="s">
        <v>25</v>
      </c>
      <c r="F969" t="s">
        <v>89</v>
      </c>
      <c r="G969" t="s">
        <v>90</v>
      </c>
      <c r="H969">
        <v>3</v>
      </c>
      <c r="I969" t="s">
        <v>71</v>
      </c>
      <c r="J969" t="s">
        <v>379</v>
      </c>
      <c r="K969" t="s">
        <v>108</v>
      </c>
      <c r="L969" t="s">
        <v>30</v>
      </c>
      <c r="M969" t="s">
        <v>22</v>
      </c>
    </row>
    <row r="970" spans="1:13" x14ac:dyDescent="0.35">
      <c r="A970" t="s">
        <v>1952</v>
      </c>
      <c r="B970" s="9">
        <v>46175</v>
      </c>
      <c r="C970" t="s">
        <v>1953</v>
      </c>
      <c r="D970" t="s">
        <v>99</v>
      </c>
      <c r="E970" t="s">
        <v>41</v>
      </c>
      <c r="F970" t="s">
        <v>35</v>
      </c>
      <c r="G970" t="s">
        <v>36</v>
      </c>
      <c r="H970">
        <v>3</v>
      </c>
      <c r="I970" t="s">
        <v>254</v>
      </c>
      <c r="J970" t="s">
        <v>390</v>
      </c>
      <c r="K970" t="s">
        <v>37</v>
      </c>
      <c r="L970" t="s">
        <v>30</v>
      </c>
      <c r="M970" t="s">
        <v>22</v>
      </c>
    </row>
    <row r="971" spans="1:13" x14ac:dyDescent="0.35">
      <c r="A971" t="s">
        <v>1954</v>
      </c>
      <c r="B971" s="9">
        <v>46081</v>
      </c>
      <c r="C971" t="s">
        <v>502</v>
      </c>
      <c r="D971" t="s">
        <v>33</v>
      </c>
      <c r="E971" t="s">
        <v>16</v>
      </c>
      <c r="F971" t="s">
        <v>42</v>
      </c>
      <c r="G971" t="s">
        <v>43</v>
      </c>
      <c r="H971">
        <v>1</v>
      </c>
      <c r="I971" t="s">
        <v>79</v>
      </c>
      <c r="J971" t="s">
        <v>79</v>
      </c>
      <c r="K971">
        <v>190</v>
      </c>
      <c r="L971" t="s">
        <v>30</v>
      </c>
      <c r="M971" t="s">
        <v>22</v>
      </c>
    </row>
    <row r="972" spans="1:13" x14ac:dyDescent="0.35">
      <c r="A972" t="s">
        <v>1955</v>
      </c>
      <c r="B972" s="9">
        <v>46137</v>
      </c>
      <c r="C972" t="s">
        <v>858</v>
      </c>
      <c r="D972" t="s">
        <v>15</v>
      </c>
      <c r="E972" t="s">
        <v>34</v>
      </c>
      <c r="F972" t="s">
        <v>42</v>
      </c>
      <c r="G972" t="s">
        <v>43</v>
      </c>
      <c r="H972">
        <v>2</v>
      </c>
      <c r="I972" t="s">
        <v>71</v>
      </c>
      <c r="J972" t="s">
        <v>286</v>
      </c>
      <c r="K972" t="s">
        <v>111</v>
      </c>
      <c r="L972" t="s">
        <v>21</v>
      </c>
      <c r="M972" t="s">
        <v>22</v>
      </c>
    </row>
    <row r="973" spans="1:13" x14ac:dyDescent="0.35">
      <c r="A973" t="s">
        <v>1956</v>
      </c>
      <c r="B973" s="9">
        <v>46181</v>
      </c>
      <c r="C973" t="s">
        <v>1957</v>
      </c>
      <c r="D973" t="s">
        <v>15</v>
      </c>
      <c r="E973" t="s">
        <v>41</v>
      </c>
      <c r="F973" t="s">
        <v>42</v>
      </c>
      <c r="G973" t="s">
        <v>43</v>
      </c>
      <c r="H973">
        <v>2</v>
      </c>
      <c r="I973" t="s">
        <v>85</v>
      </c>
      <c r="J973" t="s">
        <v>267</v>
      </c>
      <c r="K973" t="s">
        <v>111</v>
      </c>
      <c r="L973" t="s">
        <v>30</v>
      </c>
      <c r="M973" t="s">
        <v>22</v>
      </c>
    </row>
    <row r="974" spans="1:13" x14ac:dyDescent="0.35">
      <c r="A974" t="s">
        <v>1958</v>
      </c>
      <c r="B974" s="9">
        <v>46268</v>
      </c>
      <c r="C974" t="s">
        <v>1555</v>
      </c>
      <c r="D974" t="s">
        <v>61</v>
      </c>
      <c r="E974" t="s">
        <v>16</v>
      </c>
      <c r="F974" t="s">
        <v>47</v>
      </c>
      <c r="G974" t="s">
        <v>48</v>
      </c>
      <c r="H974">
        <v>1</v>
      </c>
      <c r="I974" t="s">
        <v>71</v>
      </c>
      <c r="J974" t="s">
        <v>71</v>
      </c>
      <c r="K974">
        <v>380</v>
      </c>
      <c r="L974" t="s">
        <v>30</v>
      </c>
      <c r="M974" t="s">
        <v>22</v>
      </c>
    </row>
    <row r="975" spans="1:13" x14ac:dyDescent="0.35">
      <c r="A975" t="s">
        <v>1959</v>
      </c>
      <c r="B975" s="9">
        <v>46069</v>
      </c>
      <c r="C975" t="s">
        <v>1960</v>
      </c>
      <c r="D975" t="s">
        <v>40</v>
      </c>
      <c r="E975" t="s">
        <v>25</v>
      </c>
      <c r="F975" t="s">
        <v>74</v>
      </c>
      <c r="G975" t="s">
        <v>75</v>
      </c>
      <c r="H975">
        <v>2</v>
      </c>
      <c r="I975" t="s">
        <v>106</v>
      </c>
      <c r="J975" t="s">
        <v>107</v>
      </c>
      <c r="K975">
        <v>410</v>
      </c>
      <c r="L975" t="s">
        <v>30</v>
      </c>
      <c r="M975" t="s">
        <v>22</v>
      </c>
    </row>
    <row r="976" spans="1:13" x14ac:dyDescent="0.35">
      <c r="A976" t="s">
        <v>1961</v>
      </c>
      <c r="B976" s="9">
        <v>46151</v>
      </c>
      <c r="C976" t="s">
        <v>302</v>
      </c>
      <c r="D976" t="s">
        <v>15</v>
      </c>
      <c r="E976" t="s">
        <v>41</v>
      </c>
      <c r="F976" t="s">
        <v>47</v>
      </c>
      <c r="G976" t="s">
        <v>48</v>
      </c>
      <c r="H976">
        <v>1</v>
      </c>
      <c r="I976" t="s">
        <v>608</v>
      </c>
      <c r="J976" t="s">
        <v>132</v>
      </c>
      <c r="K976" t="s">
        <v>50</v>
      </c>
      <c r="L976" t="s">
        <v>30</v>
      </c>
      <c r="M976" t="s">
        <v>22</v>
      </c>
    </row>
    <row r="977" spans="1:13" x14ac:dyDescent="0.35">
      <c r="A977" t="s">
        <v>1962</v>
      </c>
      <c r="B977" s="9">
        <v>46208</v>
      </c>
      <c r="C977" t="s">
        <v>496</v>
      </c>
      <c r="D977" t="s">
        <v>53</v>
      </c>
      <c r="E977" t="s">
        <v>16</v>
      </c>
      <c r="F977" t="s">
        <v>17</v>
      </c>
      <c r="G977" t="s">
        <v>18</v>
      </c>
      <c r="H977">
        <v>2</v>
      </c>
      <c r="I977" t="s">
        <v>132</v>
      </c>
      <c r="J977" t="s">
        <v>133</v>
      </c>
      <c r="K977" t="s">
        <v>29</v>
      </c>
      <c r="L977" t="s">
        <v>21</v>
      </c>
      <c r="M977" t="s">
        <v>22</v>
      </c>
    </row>
    <row r="978" spans="1:13" x14ac:dyDescent="0.35">
      <c r="A978" t="s">
        <v>1963</v>
      </c>
      <c r="B978" s="9">
        <v>46115</v>
      </c>
      <c r="C978" t="s">
        <v>350</v>
      </c>
      <c r="D978" t="s">
        <v>15</v>
      </c>
      <c r="E978" t="s">
        <v>41</v>
      </c>
      <c r="F978" t="s">
        <v>42</v>
      </c>
      <c r="G978" t="s">
        <v>43</v>
      </c>
      <c r="H978">
        <v>2</v>
      </c>
      <c r="I978" t="s">
        <v>85</v>
      </c>
      <c r="J978" t="s">
        <v>267</v>
      </c>
      <c r="K978">
        <v>190</v>
      </c>
      <c r="L978" t="s">
        <v>30</v>
      </c>
      <c r="M978" t="s">
        <v>22</v>
      </c>
    </row>
    <row r="979" spans="1:13" x14ac:dyDescent="0.35">
      <c r="A979" t="s">
        <v>1964</v>
      </c>
      <c r="B979" t="s">
        <v>590</v>
      </c>
      <c r="C979" t="s">
        <v>604</v>
      </c>
      <c r="D979" t="s">
        <v>99</v>
      </c>
      <c r="E979" t="s">
        <v>67</v>
      </c>
      <c r="F979" t="s">
        <v>17</v>
      </c>
      <c r="G979" t="s">
        <v>18</v>
      </c>
      <c r="H979">
        <v>1</v>
      </c>
      <c r="I979" t="s">
        <v>68</v>
      </c>
      <c r="J979" t="s">
        <v>68</v>
      </c>
      <c r="K979">
        <v>520</v>
      </c>
      <c r="L979" t="s">
        <v>30</v>
      </c>
      <c r="M979" t="s">
        <v>22</v>
      </c>
    </row>
    <row r="980" spans="1:13" x14ac:dyDescent="0.35">
      <c r="A980" t="s">
        <v>1965</v>
      </c>
      <c r="B980" s="9">
        <v>46067</v>
      </c>
      <c r="C980" t="s">
        <v>820</v>
      </c>
      <c r="D980" t="s">
        <v>15</v>
      </c>
      <c r="E980" t="s">
        <v>34</v>
      </c>
      <c r="F980" t="s">
        <v>35</v>
      </c>
      <c r="G980" t="s">
        <v>36</v>
      </c>
      <c r="H980">
        <v>2</v>
      </c>
      <c r="I980" t="s">
        <v>79</v>
      </c>
      <c r="J980" t="s">
        <v>143</v>
      </c>
      <c r="K980">
        <v>85</v>
      </c>
      <c r="L980" t="s">
        <v>21</v>
      </c>
      <c r="M980" t="s">
        <v>22</v>
      </c>
    </row>
    <row r="981" spans="1:13" x14ac:dyDescent="0.35">
      <c r="A981" t="s">
        <v>1966</v>
      </c>
      <c r="B981" s="9">
        <v>46117</v>
      </c>
      <c r="C981" t="s">
        <v>1546</v>
      </c>
      <c r="D981" t="s">
        <v>46</v>
      </c>
      <c r="E981" t="s">
        <v>67</v>
      </c>
      <c r="F981" t="s">
        <v>26</v>
      </c>
      <c r="G981" t="s">
        <v>27</v>
      </c>
      <c r="H981">
        <v>3</v>
      </c>
      <c r="I981" t="s">
        <v>49</v>
      </c>
      <c r="J981" t="s">
        <v>257</v>
      </c>
      <c r="K981" t="s">
        <v>29</v>
      </c>
      <c r="L981" t="s">
        <v>30</v>
      </c>
      <c r="M981" t="s">
        <v>22</v>
      </c>
    </row>
    <row r="982" spans="1:13" x14ac:dyDescent="0.35">
      <c r="A982" t="s">
        <v>1967</v>
      </c>
      <c r="B982" s="9">
        <v>46206</v>
      </c>
      <c r="C982" t="s">
        <v>703</v>
      </c>
      <c r="D982" t="s">
        <v>94</v>
      </c>
      <c r="E982" t="s">
        <v>25</v>
      </c>
      <c r="F982" t="s">
        <v>35</v>
      </c>
      <c r="G982" t="s">
        <v>36</v>
      </c>
      <c r="H982">
        <v>2</v>
      </c>
      <c r="I982" t="s">
        <v>170</v>
      </c>
      <c r="J982" t="s">
        <v>152</v>
      </c>
      <c r="K982" t="s">
        <v>37</v>
      </c>
      <c r="L982" t="s">
        <v>30</v>
      </c>
      <c r="M982" t="s">
        <v>22</v>
      </c>
    </row>
    <row r="983" spans="1:13" x14ac:dyDescent="0.35">
      <c r="A983" t="s">
        <v>1968</v>
      </c>
      <c r="B983" s="9">
        <v>46183</v>
      </c>
      <c r="C983" t="s">
        <v>1969</v>
      </c>
      <c r="D983" t="s">
        <v>94</v>
      </c>
      <c r="E983" t="s">
        <v>25</v>
      </c>
      <c r="F983" t="s">
        <v>83</v>
      </c>
      <c r="G983" t="s">
        <v>84</v>
      </c>
      <c r="H983">
        <v>2</v>
      </c>
      <c r="I983" t="s">
        <v>49</v>
      </c>
      <c r="J983" t="s">
        <v>178</v>
      </c>
      <c r="K983" t="s">
        <v>103</v>
      </c>
      <c r="L983" t="s">
        <v>30</v>
      </c>
      <c r="M983" t="s">
        <v>58</v>
      </c>
    </row>
    <row r="984" spans="1:13" x14ac:dyDescent="0.35">
      <c r="A984" t="s">
        <v>1970</v>
      </c>
      <c r="B984" s="9">
        <v>46061</v>
      </c>
      <c r="C984" t="s">
        <v>1122</v>
      </c>
      <c r="D984" t="s">
        <v>61</v>
      </c>
      <c r="E984" t="s">
        <v>34</v>
      </c>
      <c r="F984" t="s">
        <v>74</v>
      </c>
      <c r="G984" t="s">
        <v>75</v>
      </c>
      <c r="H984">
        <v>2</v>
      </c>
      <c r="I984" t="s">
        <v>68</v>
      </c>
      <c r="J984" t="s">
        <v>248</v>
      </c>
      <c r="K984">
        <v>410</v>
      </c>
      <c r="L984" t="s">
        <v>30</v>
      </c>
      <c r="M984" t="s">
        <v>22</v>
      </c>
    </row>
    <row r="985" spans="1:13" x14ac:dyDescent="0.35">
      <c r="A985" t="s">
        <v>1971</v>
      </c>
      <c r="B985" s="9">
        <v>46030</v>
      </c>
      <c r="C985" t="s">
        <v>1758</v>
      </c>
      <c r="D985" t="s">
        <v>61</v>
      </c>
      <c r="E985" t="s">
        <v>25</v>
      </c>
      <c r="F985" t="s">
        <v>89</v>
      </c>
      <c r="G985" t="s">
        <v>90</v>
      </c>
      <c r="H985">
        <v>2</v>
      </c>
      <c r="I985" t="s">
        <v>28</v>
      </c>
      <c r="J985" t="s">
        <v>316</v>
      </c>
      <c r="K985">
        <v>640</v>
      </c>
      <c r="L985" t="s">
        <v>30</v>
      </c>
      <c r="M985" t="s">
        <v>22</v>
      </c>
    </row>
    <row r="986" spans="1:13" x14ac:dyDescent="0.35">
      <c r="A986" t="s">
        <v>1972</v>
      </c>
      <c r="B986" s="9">
        <v>46100</v>
      </c>
      <c r="C986" t="s">
        <v>1409</v>
      </c>
      <c r="D986" t="s">
        <v>116</v>
      </c>
      <c r="E986" t="s">
        <v>41</v>
      </c>
      <c r="F986" t="s">
        <v>83</v>
      </c>
      <c r="G986" t="s">
        <v>84</v>
      </c>
      <c r="H986">
        <v>1</v>
      </c>
      <c r="I986" t="s">
        <v>71</v>
      </c>
      <c r="J986" t="s">
        <v>71</v>
      </c>
      <c r="K986">
        <v>340</v>
      </c>
      <c r="L986" t="s">
        <v>21</v>
      </c>
      <c r="M986" t="s">
        <v>22</v>
      </c>
    </row>
    <row r="987" spans="1:13" x14ac:dyDescent="0.35">
      <c r="A987" t="s">
        <v>1973</v>
      </c>
      <c r="B987" s="9">
        <v>46194</v>
      </c>
      <c r="C987" t="s">
        <v>1210</v>
      </c>
      <c r="D987" t="s">
        <v>66</v>
      </c>
      <c r="E987" t="s">
        <v>34</v>
      </c>
      <c r="F987" t="s">
        <v>83</v>
      </c>
      <c r="G987" t="s">
        <v>84</v>
      </c>
      <c r="H987">
        <v>1</v>
      </c>
      <c r="I987" t="s">
        <v>79</v>
      </c>
      <c r="J987" t="s">
        <v>79</v>
      </c>
      <c r="K987" t="s">
        <v>103</v>
      </c>
      <c r="L987" t="s">
        <v>21</v>
      </c>
      <c r="M987" t="s">
        <v>22</v>
      </c>
    </row>
    <row r="988" spans="1:13" x14ac:dyDescent="0.35">
      <c r="A988" t="s">
        <v>1974</v>
      </c>
      <c r="B988" s="9">
        <v>46182</v>
      </c>
      <c r="C988" t="s">
        <v>1044</v>
      </c>
      <c r="D988" t="s">
        <v>33</v>
      </c>
      <c r="E988" t="s">
        <v>34</v>
      </c>
      <c r="F988" t="s">
        <v>17</v>
      </c>
      <c r="G988" t="s">
        <v>18</v>
      </c>
      <c r="H988">
        <v>2</v>
      </c>
      <c r="I988" t="s">
        <v>71</v>
      </c>
      <c r="J988" t="s">
        <v>286</v>
      </c>
      <c r="K988" t="s">
        <v>29</v>
      </c>
      <c r="L988" t="s">
        <v>30</v>
      </c>
      <c r="M988" t="s">
        <v>22</v>
      </c>
    </row>
    <row r="989" spans="1:13" x14ac:dyDescent="0.35">
      <c r="A989" t="s">
        <v>1323</v>
      </c>
      <c r="B989" s="9">
        <v>46035</v>
      </c>
      <c r="C989" t="s">
        <v>1324</v>
      </c>
      <c r="D989" t="s">
        <v>66</v>
      </c>
      <c r="E989" t="s">
        <v>16</v>
      </c>
      <c r="F989" t="s">
        <v>35</v>
      </c>
      <c r="G989" t="s">
        <v>36</v>
      </c>
      <c r="H989">
        <v>2</v>
      </c>
      <c r="I989" t="s">
        <v>79</v>
      </c>
      <c r="J989" t="s">
        <v>143</v>
      </c>
      <c r="K989">
        <v>85</v>
      </c>
      <c r="L989" t="s">
        <v>30</v>
      </c>
      <c r="M989" t="s">
        <v>22</v>
      </c>
    </row>
    <row r="990" spans="1:13" x14ac:dyDescent="0.35">
      <c r="A990" t="s">
        <v>1975</v>
      </c>
      <c r="B990" s="9">
        <v>46065</v>
      </c>
      <c r="C990" t="s">
        <v>1976</v>
      </c>
      <c r="D990" t="s">
        <v>40</v>
      </c>
      <c r="E990" t="s">
        <v>25</v>
      </c>
      <c r="F990" t="s">
        <v>83</v>
      </c>
      <c r="G990" t="s">
        <v>84</v>
      </c>
      <c r="H990">
        <v>1</v>
      </c>
      <c r="I990" t="s">
        <v>132</v>
      </c>
      <c r="J990" t="s">
        <v>132</v>
      </c>
      <c r="K990">
        <v>340</v>
      </c>
      <c r="L990" t="s">
        <v>30</v>
      </c>
      <c r="M990" t="s">
        <v>22</v>
      </c>
    </row>
    <row r="991" spans="1:13" x14ac:dyDescent="0.35">
      <c r="A991" t="s">
        <v>1977</v>
      </c>
      <c r="B991" s="9">
        <v>46032</v>
      </c>
      <c r="C991" t="s">
        <v>1978</v>
      </c>
      <c r="D991" t="s">
        <v>40</v>
      </c>
      <c r="E991" t="s">
        <v>67</v>
      </c>
      <c r="F991" t="s">
        <v>47</v>
      </c>
      <c r="G991" t="s">
        <v>48</v>
      </c>
      <c r="H991">
        <v>3</v>
      </c>
      <c r="I991" t="s">
        <v>49</v>
      </c>
      <c r="J991" t="s">
        <v>257</v>
      </c>
      <c r="K991">
        <v>380</v>
      </c>
      <c r="L991" t="s">
        <v>30</v>
      </c>
      <c r="M991" t="s">
        <v>58</v>
      </c>
    </row>
    <row r="992" spans="1:13" x14ac:dyDescent="0.35">
      <c r="A992" t="s">
        <v>1979</v>
      </c>
      <c r="B992" s="9">
        <v>46084</v>
      </c>
      <c r="C992" t="s">
        <v>471</v>
      </c>
      <c r="D992" t="s">
        <v>53</v>
      </c>
      <c r="E992" t="s">
        <v>41</v>
      </c>
      <c r="F992" t="s">
        <v>74</v>
      </c>
      <c r="G992" t="s">
        <v>75</v>
      </c>
      <c r="H992">
        <v>2</v>
      </c>
      <c r="I992" t="s">
        <v>106</v>
      </c>
      <c r="J992" t="s">
        <v>107</v>
      </c>
      <c r="K992">
        <v>410</v>
      </c>
      <c r="L992" t="s">
        <v>30</v>
      </c>
      <c r="M992" t="s">
        <v>22</v>
      </c>
    </row>
    <row r="993" spans="1:13" x14ac:dyDescent="0.35">
      <c r="A993" t="s">
        <v>1980</v>
      </c>
      <c r="B993" t="s">
        <v>937</v>
      </c>
      <c r="C993" t="s">
        <v>1392</v>
      </c>
      <c r="D993" t="s">
        <v>66</v>
      </c>
      <c r="E993" t="s">
        <v>67</v>
      </c>
      <c r="F993" t="s">
        <v>42</v>
      </c>
      <c r="G993" t="s">
        <v>43</v>
      </c>
      <c r="H993">
        <v>2</v>
      </c>
      <c r="I993" t="s">
        <v>68</v>
      </c>
      <c r="J993" t="s">
        <v>248</v>
      </c>
      <c r="K993" t="s">
        <v>111</v>
      </c>
      <c r="L993" t="s">
        <v>21</v>
      </c>
      <c r="M993" t="s">
        <v>22</v>
      </c>
    </row>
    <row r="994" spans="1:13" x14ac:dyDescent="0.35">
      <c r="A994" t="s">
        <v>1981</v>
      </c>
      <c r="B994" s="9">
        <v>46114</v>
      </c>
      <c r="C994" t="s">
        <v>1982</v>
      </c>
      <c r="D994" t="s">
        <v>61</v>
      </c>
      <c r="E994" t="s">
        <v>25</v>
      </c>
      <c r="F994" t="s">
        <v>42</v>
      </c>
      <c r="G994" t="s">
        <v>43</v>
      </c>
      <c r="H994">
        <v>3</v>
      </c>
      <c r="I994" t="s">
        <v>28</v>
      </c>
      <c r="J994" t="s">
        <v>568</v>
      </c>
      <c r="K994">
        <v>190</v>
      </c>
      <c r="L994" t="s">
        <v>30</v>
      </c>
      <c r="M994" t="s">
        <v>22</v>
      </c>
    </row>
    <row r="995" spans="1:13" x14ac:dyDescent="0.35">
      <c r="A995" t="s">
        <v>1983</v>
      </c>
      <c r="B995" s="9">
        <v>46144</v>
      </c>
      <c r="C995" t="s">
        <v>1984</v>
      </c>
      <c r="D995" t="s">
        <v>61</v>
      </c>
      <c r="E995" t="s">
        <v>67</v>
      </c>
      <c r="F995" t="s">
        <v>47</v>
      </c>
      <c r="G995" t="s">
        <v>48</v>
      </c>
      <c r="H995">
        <v>2</v>
      </c>
      <c r="I995" t="s">
        <v>993</v>
      </c>
      <c r="J995" t="s">
        <v>156</v>
      </c>
      <c r="K995" t="s">
        <v>50</v>
      </c>
      <c r="L995" t="s">
        <v>30</v>
      </c>
      <c r="M995" t="s">
        <v>58</v>
      </c>
    </row>
    <row r="996" spans="1:13" x14ac:dyDescent="0.35">
      <c r="A996" t="s">
        <v>1985</v>
      </c>
      <c r="B996" s="9">
        <v>46129</v>
      </c>
      <c r="C996" t="s">
        <v>1986</v>
      </c>
      <c r="D996" t="s">
        <v>40</v>
      </c>
      <c r="E996" t="s">
        <v>34</v>
      </c>
      <c r="F996" t="s">
        <v>17</v>
      </c>
      <c r="G996" t="s">
        <v>18</v>
      </c>
      <c r="H996">
        <v>1</v>
      </c>
      <c r="I996" t="s">
        <v>62</v>
      </c>
      <c r="J996" t="s">
        <v>62</v>
      </c>
      <c r="K996">
        <v>520</v>
      </c>
      <c r="L996" t="s">
        <v>30</v>
      </c>
      <c r="M996" t="s">
        <v>58</v>
      </c>
    </row>
    <row r="997" spans="1:13" x14ac:dyDescent="0.35">
      <c r="A997" t="s">
        <v>1987</v>
      </c>
      <c r="B997" s="9">
        <v>46179</v>
      </c>
      <c r="C997" t="s">
        <v>1988</v>
      </c>
      <c r="D997" t="s">
        <v>116</v>
      </c>
      <c r="E997" t="s">
        <v>67</v>
      </c>
      <c r="F997" t="s">
        <v>47</v>
      </c>
      <c r="G997" t="s">
        <v>48</v>
      </c>
      <c r="H997">
        <v>2</v>
      </c>
      <c r="I997" t="s">
        <v>62</v>
      </c>
      <c r="J997" t="s">
        <v>63</v>
      </c>
      <c r="K997" t="s">
        <v>50</v>
      </c>
      <c r="L997" t="s">
        <v>21</v>
      </c>
      <c r="M997" t="s">
        <v>22</v>
      </c>
    </row>
    <row r="998" spans="1:13" x14ac:dyDescent="0.35">
      <c r="A998" t="s">
        <v>1989</v>
      </c>
      <c r="B998" s="9">
        <v>46078</v>
      </c>
      <c r="C998" t="s">
        <v>1990</v>
      </c>
      <c r="D998" t="s">
        <v>61</v>
      </c>
      <c r="E998" t="s">
        <v>25</v>
      </c>
      <c r="F998" t="s">
        <v>35</v>
      </c>
      <c r="G998" t="s">
        <v>36</v>
      </c>
      <c r="H998">
        <v>1</v>
      </c>
      <c r="I998" t="s">
        <v>71</v>
      </c>
      <c r="J998" t="s">
        <v>71</v>
      </c>
      <c r="K998">
        <v>85</v>
      </c>
      <c r="L998" t="s">
        <v>21</v>
      </c>
      <c r="M998" t="s">
        <v>22</v>
      </c>
    </row>
    <row r="999" spans="1:13" x14ac:dyDescent="0.35">
      <c r="A999" t="s">
        <v>1991</v>
      </c>
      <c r="B999" s="9">
        <v>46121</v>
      </c>
      <c r="C999" t="s">
        <v>639</v>
      </c>
      <c r="D999" t="s">
        <v>15</v>
      </c>
      <c r="E999" t="s">
        <v>41</v>
      </c>
      <c r="F999" t="s">
        <v>17</v>
      </c>
      <c r="G999" t="s">
        <v>18</v>
      </c>
      <c r="H999">
        <v>3</v>
      </c>
      <c r="I999" t="s">
        <v>254</v>
      </c>
      <c r="J999" t="s">
        <v>390</v>
      </c>
      <c r="K999">
        <v>520</v>
      </c>
      <c r="L999" t="s">
        <v>30</v>
      </c>
      <c r="M999" t="s">
        <v>58</v>
      </c>
    </row>
    <row r="1000" spans="1:13" x14ac:dyDescent="0.35">
      <c r="A1000" t="s">
        <v>1992</v>
      </c>
      <c r="B1000" s="9">
        <v>46042</v>
      </c>
      <c r="C1000" t="s">
        <v>1993</v>
      </c>
      <c r="D1000" t="s">
        <v>116</v>
      </c>
      <c r="E1000" t="s">
        <v>16</v>
      </c>
      <c r="F1000" t="s">
        <v>89</v>
      </c>
      <c r="G1000" t="s">
        <v>90</v>
      </c>
      <c r="H1000">
        <v>1</v>
      </c>
      <c r="I1000" t="s">
        <v>254</v>
      </c>
      <c r="J1000" t="s">
        <v>254</v>
      </c>
      <c r="K1000">
        <v>640</v>
      </c>
      <c r="L1000" t="s">
        <v>30</v>
      </c>
      <c r="M1000" t="s">
        <v>22</v>
      </c>
    </row>
    <row r="1001" spans="1:13" x14ac:dyDescent="0.35">
      <c r="A1001" t="s">
        <v>1994</v>
      </c>
      <c r="B1001" s="9">
        <v>46080</v>
      </c>
      <c r="C1001" t="s">
        <v>293</v>
      </c>
      <c r="D1001" t="s">
        <v>66</v>
      </c>
      <c r="E1001" t="s">
        <v>34</v>
      </c>
      <c r="F1001" t="s">
        <v>74</v>
      </c>
      <c r="G1001" t="s">
        <v>75</v>
      </c>
      <c r="H1001">
        <v>2</v>
      </c>
      <c r="I1001" t="s">
        <v>136</v>
      </c>
      <c r="J1001" t="s">
        <v>164</v>
      </c>
      <c r="K1001">
        <v>410</v>
      </c>
      <c r="L1001" t="s">
        <v>30</v>
      </c>
      <c r="M1001" t="s">
        <v>22</v>
      </c>
    </row>
    <row r="1002" spans="1:13" x14ac:dyDescent="0.35">
      <c r="A1002" t="s">
        <v>1995</v>
      </c>
      <c r="B1002" s="9">
        <v>46094</v>
      </c>
      <c r="C1002" t="s">
        <v>1876</v>
      </c>
      <c r="D1002" t="s">
        <v>33</v>
      </c>
      <c r="E1002" t="s">
        <v>16</v>
      </c>
      <c r="F1002" t="s">
        <v>47</v>
      </c>
      <c r="G1002" t="s">
        <v>48</v>
      </c>
      <c r="H1002">
        <v>3</v>
      </c>
      <c r="I1002" t="s">
        <v>85</v>
      </c>
      <c r="J1002" t="s">
        <v>86</v>
      </c>
      <c r="K1002">
        <v>380</v>
      </c>
      <c r="L1002" t="s">
        <v>30</v>
      </c>
      <c r="M1002" t="s">
        <v>22</v>
      </c>
    </row>
    <row r="1003" spans="1:13" x14ac:dyDescent="0.35">
      <c r="A1003" t="s">
        <v>1996</v>
      </c>
      <c r="B1003" s="9">
        <v>46073</v>
      </c>
      <c r="C1003" t="s">
        <v>1997</v>
      </c>
      <c r="D1003" t="s">
        <v>15</v>
      </c>
      <c r="E1003" t="s">
        <v>67</v>
      </c>
      <c r="F1003" t="s">
        <v>17</v>
      </c>
      <c r="G1003" t="s">
        <v>18</v>
      </c>
      <c r="H1003">
        <v>1</v>
      </c>
      <c r="I1003" t="s">
        <v>19</v>
      </c>
      <c r="J1003" t="s">
        <v>19</v>
      </c>
      <c r="K1003">
        <v>520</v>
      </c>
      <c r="L1003" t="s">
        <v>21</v>
      </c>
      <c r="M1003" t="s">
        <v>22</v>
      </c>
    </row>
    <row r="1004" spans="1:13" x14ac:dyDescent="0.35">
      <c r="A1004" t="s">
        <v>1998</v>
      </c>
      <c r="B1004" s="9">
        <v>46131</v>
      </c>
      <c r="C1004" t="s">
        <v>1999</v>
      </c>
      <c r="D1004" t="s">
        <v>33</v>
      </c>
      <c r="E1004" t="s">
        <v>16</v>
      </c>
      <c r="F1004" t="s">
        <v>26</v>
      </c>
      <c r="G1004" t="s">
        <v>27</v>
      </c>
      <c r="H1004">
        <v>1</v>
      </c>
      <c r="I1004" t="s">
        <v>155</v>
      </c>
      <c r="J1004" t="s">
        <v>254</v>
      </c>
      <c r="K1004">
        <v>520</v>
      </c>
      <c r="L1004" t="s">
        <v>30</v>
      </c>
      <c r="M1004" t="s">
        <v>22</v>
      </c>
    </row>
    <row r="1005" spans="1:13" x14ac:dyDescent="0.35">
      <c r="A1005" t="s">
        <v>2000</v>
      </c>
      <c r="B1005" s="9">
        <v>46127</v>
      </c>
      <c r="C1005" t="s">
        <v>1023</v>
      </c>
      <c r="D1005" t="s">
        <v>53</v>
      </c>
      <c r="E1005" t="s">
        <v>34</v>
      </c>
      <c r="F1005" t="s">
        <v>74</v>
      </c>
      <c r="G1005" t="s">
        <v>75</v>
      </c>
      <c r="H1005">
        <v>2</v>
      </c>
      <c r="I1005" t="s">
        <v>68</v>
      </c>
      <c r="J1005" t="s">
        <v>248</v>
      </c>
      <c r="K1005">
        <v>410</v>
      </c>
      <c r="L1005" t="s">
        <v>21</v>
      </c>
      <c r="M1005" t="s">
        <v>22</v>
      </c>
    </row>
    <row r="1006" spans="1:13" x14ac:dyDescent="0.35">
      <c r="A1006" t="s">
        <v>833</v>
      </c>
      <c r="B1006" s="9">
        <v>46042</v>
      </c>
      <c r="C1006" t="s">
        <v>834</v>
      </c>
      <c r="D1006" t="s">
        <v>116</v>
      </c>
      <c r="E1006" t="s">
        <v>16</v>
      </c>
      <c r="F1006" t="s">
        <v>26</v>
      </c>
      <c r="G1006" t="s">
        <v>27</v>
      </c>
      <c r="H1006">
        <v>2</v>
      </c>
      <c r="I1006" t="s">
        <v>71</v>
      </c>
      <c r="J1006" t="s">
        <v>286</v>
      </c>
      <c r="K1006">
        <v>520</v>
      </c>
      <c r="L1006" t="s">
        <v>30</v>
      </c>
      <c r="M1006" t="s">
        <v>22</v>
      </c>
    </row>
    <row r="1007" spans="1:13" x14ac:dyDescent="0.35">
      <c r="A1007" t="s">
        <v>2001</v>
      </c>
      <c r="B1007" s="9">
        <v>46206</v>
      </c>
      <c r="C1007" t="s">
        <v>225</v>
      </c>
      <c r="D1007" t="s">
        <v>61</v>
      </c>
      <c r="E1007" t="s">
        <v>67</v>
      </c>
      <c r="F1007" t="s">
        <v>47</v>
      </c>
      <c r="G1007" t="s">
        <v>48</v>
      </c>
      <c r="H1007">
        <v>1</v>
      </c>
      <c r="I1007" t="s">
        <v>85</v>
      </c>
      <c r="J1007" t="s">
        <v>85</v>
      </c>
      <c r="K1007" t="s">
        <v>50</v>
      </c>
      <c r="L1007" t="s">
        <v>30</v>
      </c>
      <c r="M1007" t="s">
        <v>22</v>
      </c>
    </row>
    <row r="1008" spans="1:13" x14ac:dyDescent="0.35">
      <c r="A1008" t="s">
        <v>2002</v>
      </c>
      <c r="B1008" s="9">
        <v>46037</v>
      </c>
      <c r="C1008" t="s">
        <v>2003</v>
      </c>
      <c r="D1008" t="s">
        <v>116</v>
      </c>
      <c r="E1008" t="s">
        <v>25</v>
      </c>
      <c r="F1008" t="s">
        <v>35</v>
      </c>
      <c r="G1008" t="s">
        <v>36</v>
      </c>
      <c r="H1008">
        <v>1</v>
      </c>
      <c r="I1008" t="s">
        <v>170</v>
      </c>
      <c r="J1008" t="s">
        <v>170</v>
      </c>
      <c r="K1008">
        <v>85</v>
      </c>
      <c r="L1008" t="s">
        <v>30</v>
      </c>
      <c r="M1008" t="s">
        <v>58</v>
      </c>
    </row>
    <row r="1009" spans="1:13" x14ac:dyDescent="0.35">
      <c r="A1009" t="s">
        <v>2004</v>
      </c>
      <c r="B1009" s="9">
        <v>46162</v>
      </c>
      <c r="C1009" t="s">
        <v>2005</v>
      </c>
      <c r="D1009" t="s">
        <v>61</v>
      </c>
      <c r="E1009" t="s">
        <v>67</v>
      </c>
      <c r="F1009" t="s">
        <v>47</v>
      </c>
      <c r="G1009" t="s">
        <v>48</v>
      </c>
      <c r="H1009">
        <v>2</v>
      </c>
      <c r="I1009" t="s">
        <v>170</v>
      </c>
      <c r="J1009" t="s">
        <v>152</v>
      </c>
      <c r="K1009" t="s">
        <v>50</v>
      </c>
      <c r="L1009" t="s">
        <v>30</v>
      </c>
      <c r="M1009" t="s">
        <v>22</v>
      </c>
    </row>
    <row r="1010" spans="1:13" x14ac:dyDescent="0.35">
      <c r="A1010" t="s">
        <v>2006</v>
      </c>
      <c r="B1010" s="9">
        <v>46144</v>
      </c>
      <c r="C1010" t="s">
        <v>2007</v>
      </c>
      <c r="D1010" t="s">
        <v>40</v>
      </c>
      <c r="E1010" t="s">
        <v>67</v>
      </c>
      <c r="F1010" t="s">
        <v>83</v>
      </c>
      <c r="G1010" t="s">
        <v>84</v>
      </c>
      <c r="H1010">
        <v>1</v>
      </c>
      <c r="I1010" t="s">
        <v>68</v>
      </c>
      <c r="J1010" t="s">
        <v>68</v>
      </c>
      <c r="K1010" t="s">
        <v>103</v>
      </c>
      <c r="L1010" t="s">
        <v>30</v>
      </c>
      <c r="M1010" t="s">
        <v>22</v>
      </c>
    </row>
    <row r="1011" spans="1:13" x14ac:dyDescent="0.35">
      <c r="A1011" t="s">
        <v>2008</v>
      </c>
      <c r="B1011" s="9">
        <v>46140</v>
      </c>
      <c r="C1011" t="s">
        <v>1199</v>
      </c>
      <c r="D1011" t="s">
        <v>46</v>
      </c>
      <c r="E1011" t="s">
        <v>67</v>
      </c>
      <c r="F1011" t="s">
        <v>17</v>
      </c>
      <c r="G1011" t="s">
        <v>18</v>
      </c>
      <c r="H1011">
        <v>1</v>
      </c>
      <c r="I1011" t="s">
        <v>136</v>
      </c>
      <c r="J1011" t="s">
        <v>136</v>
      </c>
      <c r="K1011" t="s">
        <v>29</v>
      </c>
      <c r="L1011" t="s">
        <v>30</v>
      </c>
      <c r="M1011" t="s">
        <v>58</v>
      </c>
    </row>
    <row r="1012" spans="1:13" x14ac:dyDescent="0.35">
      <c r="A1012" t="s">
        <v>2009</v>
      </c>
      <c r="B1012" s="9">
        <v>46038</v>
      </c>
      <c r="C1012" t="s">
        <v>1486</v>
      </c>
      <c r="D1012" t="s">
        <v>94</v>
      </c>
      <c r="E1012" t="s">
        <v>67</v>
      </c>
      <c r="F1012" t="s">
        <v>17</v>
      </c>
      <c r="G1012" t="s">
        <v>18</v>
      </c>
      <c r="H1012">
        <v>1</v>
      </c>
      <c r="I1012" t="s">
        <v>68</v>
      </c>
      <c r="J1012" t="s">
        <v>68</v>
      </c>
      <c r="K1012">
        <v>520</v>
      </c>
      <c r="L1012" t="s">
        <v>21</v>
      </c>
      <c r="M1012" t="s">
        <v>22</v>
      </c>
    </row>
    <row r="1013" spans="1:13" x14ac:dyDescent="0.35">
      <c r="A1013" t="s">
        <v>2010</v>
      </c>
      <c r="B1013" s="9">
        <v>46142</v>
      </c>
      <c r="C1013" t="s">
        <v>2011</v>
      </c>
      <c r="D1013" t="s">
        <v>61</v>
      </c>
      <c r="E1013" t="s">
        <v>34</v>
      </c>
      <c r="F1013" t="s">
        <v>89</v>
      </c>
      <c r="G1013" t="s">
        <v>90</v>
      </c>
      <c r="H1013">
        <v>1</v>
      </c>
      <c r="I1013" t="s">
        <v>132</v>
      </c>
      <c r="J1013" t="s">
        <v>132</v>
      </c>
      <c r="K1013" t="s">
        <v>108</v>
      </c>
      <c r="L1013" t="s">
        <v>30</v>
      </c>
      <c r="M1013" t="s">
        <v>22</v>
      </c>
    </row>
    <row r="1014" spans="1:13" x14ac:dyDescent="0.35">
      <c r="A1014" t="s">
        <v>2012</v>
      </c>
      <c r="B1014" s="9">
        <v>46067</v>
      </c>
      <c r="C1014" t="s">
        <v>1999</v>
      </c>
      <c r="D1014" t="s">
        <v>61</v>
      </c>
      <c r="E1014" t="s">
        <v>25</v>
      </c>
      <c r="F1014" t="s">
        <v>83</v>
      </c>
      <c r="G1014" t="s">
        <v>84</v>
      </c>
      <c r="H1014">
        <v>1</v>
      </c>
      <c r="I1014" t="s">
        <v>71</v>
      </c>
      <c r="J1014" t="s">
        <v>1663</v>
      </c>
      <c r="K1014">
        <v>340</v>
      </c>
      <c r="L1014" t="s">
        <v>30</v>
      </c>
      <c r="M1014" t="s">
        <v>58</v>
      </c>
    </row>
    <row r="1015" spans="1:13" x14ac:dyDescent="0.35">
      <c r="A1015" t="s">
        <v>2013</v>
      </c>
      <c r="B1015" s="9">
        <v>46128</v>
      </c>
      <c r="C1015" t="s">
        <v>2014</v>
      </c>
      <c r="D1015" t="s">
        <v>15</v>
      </c>
      <c r="E1015" t="s">
        <v>41</v>
      </c>
      <c r="F1015" t="s">
        <v>35</v>
      </c>
      <c r="G1015" t="s">
        <v>36</v>
      </c>
      <c r="H1015">
        <v>1</v>
      </c>
      <c r="I1015" t="s">
        <v>79</v>
      </c>
      <c r="J1015" t="s">
        <v>79</v>
      </c>
      <c r="K1015">
        <v>85</v>
      </c>
      <c r="L1015" t="s">
        <v>30</v>
      </c>
      <c r="M1015" t="s">
        <v>58</v>
      </c>
    </row>
    <row r="1016" spans="1:13" x14ac:dyDescent="0.35">
      <c r="A1016" t="s">
        <v>2015</v>
      </c>
      <c r="B1016" s="9">
        <v>46150</v>
      </c>
      <c r="C1016" t="s">
        <v>2016</v>
      </c>
      <c r="D1016" t="s">
        <v>46</v>
      </c>
      <c r="E1016" t="s">
        <v>41</v>
      </c>
      <c r="F1016" t="s">
        <v>47</v>
      </c>
      <c r="G1016" t="s">
        <v>48</v>
      </c>
      <c r="H1016">
        <v>1</v>
      </c>
      <c r="I1016" t="s">
        <v>102</v>
      </c>
      <c r="J1016" t="s">
        <v>102</v>
      </c>
      <c r="K1016" t="s">
        <v>50</v>
      </c>
      <c r="L1016" t="s">
        <v>30</v>
      </c>
      <c r="M1016" t="s">
        <v>22</v>
      </c>
    </row>
    <row r="1017" spans="1:13" x14ac:dyDescent="0.35">
      <c r="A1017" t="s">
        <v>2017</v>
      </c>
      <c r="B1017" t="s">
        <v>2018</v>
      </c>
      <c r="C1017" t="s">
        <v>1409</v>
      </c>
      <c r="D1017" t="s">
        <v>15</v>
      </c>
      <c r="E1017" t="s">
        <v>25</v>
      </c>
      <c r="F1017" t="s">
        <v>83</v>
      </c>
      <c r="G1017" t="s">
        <v>84</v>
      </c>
      <c r="H1017">
        <v>1</v>
      </c>
      <c r="I1017" t="s">
        <v>106</v>
      </c>
      <c r="J1017" t="s">
        <v>106</v>
      </c>
      <c r="K1017">
        <v>340</v>
      </c>
      <c r="L1017" t="s">
        <v>21</v>
      </c>
      <c r="M1017" t="s">
        <v>58</v>
      </c>
    </row>
    <row r="1018" spans="1:13" x14ac:dyDescent="0.35">
      <c r="A1018" t="s">
        <v>2019</v>
      </c>
      <c r="B1018" s="9">
        <v>46192</v>
      </c>
      <c r="C1018" t="s">
        <v>2020</v>
      </c>
      <c r="D1018" t="s">
        <v>99</v>
      </c>
      <c r="E1018" t="s">
        <v>41</v>
      </c>
      <c r="F1018" t="s">
        <v>89</v>
      </c>
      <c r="G1018" t="s">
        <v>90</v>
      </c>
      <c r="H1018">
        <v>1</v>
      </c>
      <c r="I1018" t="s">
        <v>170</v>
      </c>
      <c r="J1018" t="s">
        <v>170</v>
      </c>
      <c r="K1018" t="s">
        <v>108</v>
      </c>
      <c r="L1018" t="s">
        <v>30</v>
      </c>
      <c r="M1018" t="s">
        <v>58</v>
      </c>
    </row>
    <row r="1019" spans="1:13" x14ac:dyDescent="0.35">
      <c r="A1019" t="s">
        <v>2021</v>
      </c>
      <c r="B1019" s="9">
        <v>46148</v>
      </c>
      <c r="C1019" t="s">
        <v>2022</v>
      </c>
      <c r="D1019" t="s">
        <v>53</v>
      </c>
      <c r="E1019" t="s">
        <v>34</v>
      </c>
      <c r="F1019" t="s">
        <v>47</v>
      </c>
      <c r="G1019" t="s">
        <v>48</v>
      </c>
      <c r="H1019">
        <v>1</v>
      </c>
      <c r="I1019" t="s">
        <v>106</v>
      </c>
      <c r="J1019" t="s">
        <v>106</v>
      </c>
      <c r="K1019" t="s">
        <v>50</v>
      </c>
      <c r="L1019" t="s">
        <v>30</v>
      </c>
      <c r="M1019" t="s">
        <v>58</v>
      </c>
    </row>
    <row r="1020" spans="1:13" x14ac:dyDescent="0.35">
      <c r="A1020" t="s">
        <v>2023</v>
      </c>
      <c r="B1020" s="9">
        <v>46105</v>
      </c>
      <c r="C1020" t="s">
        <v>2024</v>
      </c>
      <c r="D1020" t="s">
        <v>94</v>
      </c>
      <c r="E1020" t="s">
        <v>16</v>
      </c>
      <c r="F1020" t="s">
        <v>26</v>
      </c>
      <c r="G1020" t="s">
        <v>27</v>
      </c>
      <c r="H1020">
        <v>1</v>
      </c>
      <c r="I1020" t="s">
        <v>254</v>
      </c>
      <c r="J1020" t="s">
        <v>254</v>
      </c>
      <c r="K1020">
        <v>520</v>
      </c>
      <c r="L1020" t="s">
        <v>30</v>
      </c>
      <c r="M1020" t="s">
        <v>22</v>
      </c>
    </row>
    <row r="1021" spans="1:13" x14ac:dyDescent="0.35">
      <c r="A1021" t="s">
        <v>2025</v>
      </c>
      <c r="B1021" s="9">
        <v>46175</v>
      </c>
      <c r="C1021" t="s">
        <v>1890</v>
      </c>
      <c r="D1021" t="s">
        <v>94</v>
      </c>
      <c r="E1021" t="s">
        <v>16</v>
      </c>
      <c r="F1021" t="s">
        <v>17</v>
      </c>
      <c r="G1021" t="s">
        <v>18</v>
      </c>
      <c r="H1021">
        <v>2</v>
      </c>
      <c r="I1021" t="s">
        <v>106</v>
      </c>
      <c r="J1021" t="s">
        <v>2026</v>
      </c>
      <c r="K1021" t="s">
        <v>29</v>
      </c>
      <c r="L1021" t="s">
        <v>30</v>
      </c>
      <c r="M1021" t="s">
        <v>58</v>
      </c>
    </row>
    <row r="1022" spans="1:13" x14ac:dyDescent="0.35">
      <c r="A1022" t="s">
        <v>2027</v>
      </c>
      <c r="B1022" s="9">
        <v>46050</v>
      </c>
      <c r="C1022" t="s">
        <v>2028</v>
      </c>
      <c r="D1022" t="s">
        <v>46</v>
      </c>
      <c r="E1022" t="s">
        <v>16</v>
      </c>
      <c r="F1022" t="s">
        <v>17</v>
      </c>
      <c r="G1022" t="s">
        <v>18</v>
      </c>
      <c r="H1022">
        <v>1</v>
      </c>
      <c r="I1022" t="s">
        <v>85</v>
      </c>
      <c r="J1022" t="s">
        <v>85</v>
      </c>
      <c r="K1022">
        <v>520</v>
      </c>
      <c r="L1022" t="s">
        <v>30</v>
      </c>
      <c r="M1022" t="s">
        <v>22</v>
      </c>
    </row>
    <row r="1023" spans="1:13" x14ac:dyDescent="0.35">
      <c r="A1023" t="s">
        <v>2029</v>
      </c>
      <c r="B1023" s="9">
        <v>46181</v>
      </c>
      <c r="C1023" t="s">
        <v>334</v>
      </c>
      <c r="D1023" t="s">
        <v>99</v>
      </c>
      <c r="E1023" t="s">
        <v>16</v>
      </c>
      <c r="F1023" t="s">
        <v>42</v>
      </c>
      <c r="G1023" t="s">
        <v>43</v>
      </c>
      <c r="H1023">
        <v>2</v>
      </c>
      <c r="I1023" t="s">
        <v>170</v>
      </c>
      <c r="J1023" t="s">
        <v>152</v>
      </c>
      <c r="K1023" t="s">
        <v>111</v>
      </c>
      <c r="L1023" t="s">
        <v>21</v>
      </c>
      <c r="M1023" t="s">
        <v>22</v>
      </c>
    </row>
    <row r="1024" spans="1:13" x14ac:dyDescent="0.35">
      <c r="A1024" t="s">
        <v>2030</v>
      </c>
      <c r="B1024" s="9">
        <v>46067</v>
      </c>
      <c r="C1024" t="s">
        <v>2031</v>
      </c>
      <c r="D1024" t="s">
        <v>40</v>
      </c>
      <c r="E1024" t="s">
        <v>34</v>
      </c>
      <c r="F1024" t="s">
        <v>83</v>
      </c>
      <c r="G1024" t="s">
        <v>84</v>
      </c>
      <c r="H1024">
        <v>1</v>
      </c>
      <c r="I1024" t="s">
        <v>254</v>
      </c>
      <c r="J1024" t="s">
        <v>254</v>
      </c>
      <c r="K1024">
        <v>340</v>
      </c>
      <c r="L1024" t="s">
        <v>30</v>
      </c>
      <c r="M1024" t="s">
        <v>58</v>
      </c>
    </row>
    <row r="1025" spans="1:13" x14ac:dyDescent="0.35">
      <c r="A1025" t="s">
        <v>2032</v>
      </c>
      <c r="B1025" s="9">
        <v>46117</v>
      </c>
      <c r="C1025" t="s">
        <v>1592</v>
      </c>
      <c r="D1025" t="s">
        <v>116</v>
      </c>
      <c r="E1025" t="s">
        <v>41</v>
      </c>
      <c r="F1025" t="s">
        <v>42</v>
      </c>
      <c r="G1025" t="s">
        <v>43</v>
      </c>
      <c r="H1025">
        <v>1</v>
      </c>
      <c r="I1025" t="s">
        <v>102</v>
      </c>
      <c r="J1025" t="s">
        <v>102</v>
      </c>
      <c r="K1025">
        <v>190</v>
      </c>
      <c r="L1025" t="s">
        <v>30</v>
      </c>
      <c r="M1025" t="s">
        <v>58</v>
      </c>
    </row>
    <row r="1026" spans="1:13" x14ac:dyDescent="0.35">
      <c r="A1026" t="s">
        <v>2033</v>
      </c>
      <c r="B1026" s="9">
        <v>46110</v>
      </c>
      <c r="C1026" t="s">
        <v>356</v>
      </c>
      <c r="D1026" t="s">
        <v>94</v>
      </c>
      <c r="E1026" t="s">
        <v>16</v>
      </c>
      <c r="F1026" t="s">
        <v>89</v>
      </c>
      <c r="G1026" t="s">
        <v>90</v>
      </c>
      <c r="H1026">
        <v>1</v>
      </c>
      <c r="I1026" t="s">
        <v>102</v>
      </c>
      <c r="J1026" t="s">
        <v>1445</v>
      </c>
      <c r="K1026">
        <v>640</v>
      </c>
      <c r="L1026" t="s">
        <v>30</v>
      </c>
      <c r="M1026" t="s">
        <v>22</v>
      </c>
    </row>
    <row r="1027" spans="1:13" x14ac:dyDescent="0.35">
      <c r="A1027" t="s">
        <v>2034</v>
      </c>
      <c r="B1027" s="9">
        <v>46127</v>
      </c>
      <c r="C1027" t="s">
        <v>2035</v>
      </c>
      <c r="D1027" t="s">
        <v>116</v>
      </c>
      <c r="E1027" t="s">
        <v>34</v>
      </c>
      <c r="F1027" t="s">
        <v>47</v>
      </c>
      <c r="G1027" t="s">
        <v>48</v>
      </c>
      <c r="H1027">
        <v>2</v>
      </c>
      <c r="I1027" t="s">
        <v>102</v>
      </c>
      <c r="J1027" t="s">
        <v>1565</v>
      </c>
      <c r="K1027">
        <v>380</v>
      </c>
      <c r="L1027" t="s">
        <v>30</v>
      </c>
      <c r="M1027" t="s">
        <v>22</v>
      </c>
    </row>
    <row r="1028" spans="1:13" x14ac:dyDescent="0.35">
      <c r="A1028" t="s">
        <v>2036</v>
      </c>
      <c r="B1028" s="9">
        <v>46128</v>
      </c>
      <c r="C1028" t="s">
        <v>1447</v>
      </c>
      <c r="D1028" t="s">
        <v>46</v>
      </c>
      <c r="E1028" t="s">
        <v>16</v>
      </c>
      <c r="F1028" t="s">
        <v>83</v>
      </c>
      <c r="G1028" t="s">
        <v>84</v>
      </c>
      <c r="H1028">
        <v>2</v>
      </c>
      <c r="I1028" t="s">
        <v>68</v>
      </c>
      <c r="J1028" t="s">
        <v>248</v>
      </c>
      <c r="K1028">
        <v>340</v>
      </c>
      <c r="L1028" t="s">
        <v>21</v>
      </c>
      <c r="M1028" t="s">
        <v>22</v>
      </c>
    </row>
    <row r="1029" spans="1:13" x14ac:dyDescent="0.35">
      <c r="A1029" t="s">
        <v>2037</v>
      </c>
      <c r="B1029" s="9">
        <v>46097</v>
      </c>
      <c r="C1029" t="s">
        <v>1528</v>
      </c>
      <c r="D1029" t="s">
        <v>40</v>
      </c>
      <c r="E1029" t="s">
        <v>67</v>
      </c>
      <c r="F1029" t="s">
        <v>42</v>
      </c>
      <c r="G1029" t="s">
        <v>43</v>
      </c>
      <c r="H1029">
        <v>2</v>
      </c>
      <c r="I1029" t="s">
        <v>28</v>
      </c>
      <c r="J1029" t="s">
        <v>316</v>
      </c>
      <c r="K1029">
        <v>190</v>
      </c>
      <c r="L1029" t="s">
        <v>30</v>
      </c>
      <c r="M1029" t="s">
        <v>22</v>
      </c>
    </row>
    <row r="1030" spans="1:13" x14ac:dyDescent="0.35">
      <c r="A1030" t="s">
        <v>2038</v>
      </c>
      <c r="B1030" s="9">
        <v>46068</v>
      </c>
      <c r="C1030" t="s">
        <v>2039</v>
      </c>
      <c r="D1030" t="s">
        <v>46</v>
      </c>
      <c r="E1030" t="s">
        <v>67</v>
      </c>
      <c r="F1030" t="s">
        <v>35</v>
      </c>
      <c r="G1030" t="s">
        <v>36</v>
      </c>
      <c r="H1030">
        <v>1</v>
      </c>
      <c r="I1030" t="s">
        <v>79</v>
      </c>
      <c r="J1030" t="s">
        <v>79</v>
      </c>
      <c r="K1030">
        <v>85</v>
      </c>
      <c r="L1030" t="s">
        <v>30</v>
      </c>
      <c r="M1030" t="s">
        <v>22</v>
      </c>
    </row>
    <row r="1031" spans="1:13" x14ac:dyDescent="0.35">
      <c r="A1031" t="s">
        <v>2040</v>
      </c>
      <c r="B1031" s="9">
        <v>46165</v>
      </c>
      <c r="C1031" t="s">
        <v>1196</v>
      </c>
      <c r="D1031" t="s">
        <v>15</v>
      </c>
      <c r="E1031" t="s">
        <v>67</v>
      </c>
      <c r="F1031" t="s">
        <v>35</v>
      </c>
      <c r="G1031" t="s">
        <v>36</v>
      </c>
      <c r="H1031">
        <v>3</v>
      </c>
      <c r="I1031" t="s">
        <v>71</v>
      </c>
      <c r="J1031" t="s">
        <v>379</v>
      </c>
      <c r="K1031" t="s">
        <v>37</v>
      </c>
      <c r="L1031" t="s">
        <v>30</v>
      </c>
      <c r="M1031" t="s">
        <v>58</v>
      </c>
    </row>
    <row r="1032" spans="1:13" x14ac:dyDescent="0.35">
      <c r="A1032" t="s">
        <v>2041</v>
      </c>
      <c r="B1032" s="9">
        <v>46114</v>
      </c>
      <c r="C1032" t="s">
        <v>2042</v>
      </c>
      <c r="D1032" t="s">
        <v>61</v>
      </c>
      <c r="E1032" t="s">
        <v>67</v>
      </c>
      <c r="F1032" t="s">
        <v>42</v>
      </c>
      <c r="G1032" t="s">
        <v>43</v>
      </c>
      <c r="H1032">
        <v>2</v>
      </c>
      <c r="I1032" t="s">
        <v>49</v>
      </c>
      <c r="J1032" t="s">
        <v>178</v>
      </c>
      <c r="K1032">
        <v>190</v>
      </c>
      <c r="L1032" t="s">
        <v>30</v>
      </c>
      <c r="M1032" t="s">
        <v>22</v>
      </c>
    </row>
    <row r="1033" spans="1:13" x14ac:dyDescent="0.35">
      <c r="A1033" t="s">
        <v>2043</v>
      </c>
      <c r="B1033" s="9">
        <v>46120</v>
      </c>
      <c r="C1033" t="s">
        <v>2044</v>
      </c>
      <c r="D1033" t="s">
        <v>61</v>
      </c>
      <c r="E1033" t="s">
        <v>41</v>
      </c>
      <c r="F1033" t="s">
        <v>26</v>
      </c>
      <c r="G1033" t="s">
        <v>27</v>
      </c>
      <c r="H1033">
        <v>1</v>
      </c>
      <c r="I1033" t="s">
        <v>68</v>
      </c>
      <c r="J1033" t="s">
        <v>68</v>
      </c>
      <c r="K1033">
        <v>520</v>
      </c>
      <c r="L1033" t="s">
        <v>30</v>
      </c>
      <c r="M1033" t="s">
        <v>58</v>
      </c>
    </row>
    <row r="1034" spans="1:13" x14ac:dyDescent="0.35">
      <c r="A1034" t="s">
        <v>2045</v>
      </c>
      <c r="B1034" s="9">
        <v>46130</v>
      </c>
      <c r="C1034" t="s">
        <v>788</v>
      </c>
      <c r="D1034" t="s">
        <v>40</v>
      </c>
      <c r="E1034" t="s">
        <v>67</v>
      </c>
      <c r="F1034" t="s">
        <v>89</v>
      </c>
      <c r="G1034" t="s">
        <v>90</v>
      </c>
      <c r="H1034">
        <v>1</v>
      </c>
      <c r="I1034" t="s">
        <v>106</v>
      </c>
      <c r="J1034" t="s">
        <v>106</v>
      </c>
      <c r="K1034">
        <v>640</v>
      </c>
      <c r="L1034" t="s">
        <v>30</v>
      </c>
      <c r="M1034" t="s">
        <v>22</v>
      </c>
    </row>
    <row r="1035" spans="1:13" x14ac:dyDescent="0.35">
      <c r="A1035" t="s">
        <v>2046</v>
      </c>
      <c r="B1035" s="9">
        <v>46119</v>
      </c>
      <c r="C1035" t="s">
        <v>1122</v>
      </c>
      <c r="D1035" t="s">
        <v>46</v>
      </c>
      <c r="E1035" t="s">
        <v>34</v>
      </c>
      <c r="F1035" t="s">
        <v>83</v>
      </c>
      <c r="G1035" t="s">
        <v>84</v>
      </c>
      <c r="H1035">
        <v>2</v>
      </c>
      <c r="I1035" t="s">
        <v>19</v>
      </c>
      <c r="J1035" t="s">
        <v>238</v>
      </c>
      <c r="K1035">
        <v>340</v>
      </c>
      <c r="L1035" t="s">
        <v>30</v>
      </c>
      <c r="M1035" t="s">
        <v>22</v>
      </c>
    </row>
    <row r="1036" spans="1:13" x14ac:dyDescent="0.35">
      <c r="A1036" t="s">
        <v>2047</v>
      </c>
      <c r="B1036" s="9">
        <v>46159</v>
      </c>
      <c r="C1036" t="s">
        <v>2048</v>
      </c>
      <c r="D1036" t="s">
        <v>53</v>
      </c>
      <c r="E1036" t="s">
        <v>67</v>
      </c>
      <c r="F1036" t="s">
        <v>83</v>
      </c>
      <c r="G1036" t="s">
        <v>84</v>
      </c>
      <c r="H1036">
        <v>1</v>
      </c>
      <c r="I1036" t="s">
        <v>28</v>
      </c>
      <c r="J1036" t="s">
        <v>28</v>
      </c>
      <c r="K1036" t="s">
        <v>103</v>
      </c>
      <c r="L1036" t="s">
        <v>30</v>
      </c>
      <c r="M1036" t="s">
        <v>22</v>
      </c>
    </row>
    <row r="1037" spans="1:13" x14ac:dyDescent="0.35">
      <c r="A1037" t="s">
        <v>2049</v>
      </c>
      <c r="B1037" s="9">
        <v>46173</v>
      </c>
      <c r="C1037" t="s">
        <v>2050</v>
      </c>
      <c r="D1037" t="s">
        <v>99</v>
      </c>
      <c r="E1037" t="s">
        <v>41</v>
      </c>
      <c r="F1037" t="s">
        <v>83</v>
      </c>
      <c r="G1037" t="s">
        <v>84</v>
      </c>
      <c r="H1037">
        <v>1</v>
      </c>
      <c r="I1037" t="s">
        <v>68</v>
      </c>
      <c r="J1037" t="s">
        <v>68</v>
      </c>
      <c r="K1037" t="s">
        <v>103</v>
      </c>
      <c r="L1037" t="s">
        <v>21</v>
      </c>
      <c r="M1037" t="s">
        <v>22</v>
      </c>
    </row>
    <row r="1038" spans="1:13" x14ac:dyDescent="0.35">
      <c r="A1038" t="s">
        <v>2051</v>
      </c>
      <c r="B1038" s="9">
        <v>46187</v>
      </c>
      <c r="C1038" t="s">
        <v>2052</v>
      </c>
      <c r="D1038" t="s">
        <v>46</v>
      </c>
      <c r="E1038" t="s">
        <v>25</v>
      </c>
      <c r="F1038" t="s">
        <v>47</v>
      </c>
      <c r="G1038" t="s">
        <v>48</v>
      </c>
      <c r="H1038">
        <v>1</v>
      </c>
      <c r="I1038" t="s">
        <v>62</v>
      </c>
      <c r="J1038" t="s">
        <v>62</v>
      </c>
      <c r="K1038" t="s">
        <v>50</v>
      </c>
      <c r="L1038" t="s">
        <v>21</v>
      </c>
      <c r="M1038" t="s">
        <v>22</v>
      </c>
    </row>
    <row r="1039" spans="1:13" x14ac:dyDescent="0.35">
      <c r="A1039" t="s">
        <v>2053</v>
      </c>
      <c r="B1039" s="9">
        <v>46114</v>
      </c>
      <c r="C1039" t="s">
        <v>2054</v>
      </c>
      <c r="D1039" t="s">
        <v>53</v>
      </c>
      <c r="E1039" t="s">
        <v>16</v>
      </c>
      <c r="F1039" t="s">
        <v>83</v>
      </c>
      <c r="G1039" t="s">
        <v>84</v>
      </c>
      <c r="H1039">
        <v>1</v>
      </c>
      <c r="I1039" t="s">
        <v>68</v>
      </c>
      <c r="J1039" t="s">
        <v>68</v>
      </c>
      <c r="K1039">
        <v>340</v>
      </c>
      <c r="L1039" t="s">
        <v>30</v>
      </c>
      <c r="M1039" t="s">
        <v>22</v>
      </c>
    </row>
    <row r="1040" spans="1:13" x14ac:dyDescent="0.35">
      <c r="A1040" t="s">
        <v>2055</v>
      </c>
      <c r="B1040" s="9">
        <v>46100</v>
      </c>
      <c r="C1040" t="s">
        <v>2056</v>
      </c>
      <c r="D1040" t="s">
        <v>46</v>
      </c>
      <c r="E1040" t="s">
        <v>25</v>
      </c>
      <c r="F1040" t="s">
        <v>89</v>
      </c>
      <c r="G1040" t="s">
        <v>90</v>
      </c>
      <c r="H1040">
        <v>3</v>
      </c>
      <c r="I1040" t="s">
        <v>85</v>
      </c>
      <c r="J1040" t="s">
        <v>2057</v>
      </c>
      <c r="K1040">
        <v>640</v>
      </c>
      <c r="L1040" t="s">
        <v>30</v>
      </c>
      <c r="M1040" t="s">
        <v>22</v>
      </c>
    </row>
    <row r="1041" spans="1:13" x14ac:dyDescent="0.35">
      <c r="A1041" t="s">
        <v>2058</v>
      </c>
      <c r="B1041" s="9">
        <v>46121</v>
      </c>
      <c r="C1041" t="s">
        <v>1517</v>
      </c>
      <c r="D1041" t="s">
        <v>66</v>
      </c>
      <c r="E1041" t="s">
        <v>34</v>
      </c>
      <c r="F1041" t="s">
        <v>74</v>
      </c>
      <c r="G1041" t="s">
        <v>75</v>
      </c>
      <c r="H1041">
        <v>1</v>
      </c>
      <c r="I1041" t="s">
        <v>649</v>
      </c>
      <c r="J1041" t="s">
        <v>68</v>
      </c>
      <c r="K1041">
        <v>410</v>
      </c>
      <c r="L1041" t="s">
        <v>30</v>
      </c>
      <c r="M1041" t="s">
        <v>22</v>
      </c>
    </row>
    <row r="1042" spans="1:13" x14ac:dyDescent="0.35">
      <c r="A1042" t="s">
        <v>2059</v>
      </c>
      <c r="B1042" s="9">
        <v>46086</v>
      </c>
      <c r="C1042" t="s">
        <v>2060</v>
      </c>
      <c r="D1042" t="s">
        <v>15</v>
      </c>
      <c r="E1042" t="s">
        <v>41</v>
      </c>
      <c r="F1042" t="s">
        <v>83</v>
      </c>
      <c r="G1042" t="s">
        <v>84</v>
      </c>
      <c r="H1042">
        <v>2</v>
      </c>
      <c r="I1042" t="s">
        <v>71</v>
      </c>
      <c r="J1042" t="s">
        <v>2061</v>
      </c>
      <c r="K1042">
        <v>340</v>
      </c>
      <c r="L1042" t="s">
        <v>30</v>
      </c>
      <c r="M1042" t="s">
        <v>22</v>
      </c>
    </row>
    <row r="1043" spans="1:13" x14ac:dyDescent="0.35">
      <c r="A1043" t="s">
        <v>2062</v>
      </c>
      <c r="B1043" s="9">
        <v>46045</v>
      </c>
      <c r="C1043" t="s">
        <v>2063</v>
      </c>
      <c r="D1043" t="s">
        <v>66</v>
      </c>
      <c r="E1043" t="s">
        <v>34</v>
      </c>
      <c r="F1043" t="s">
        <v>89</v>
      </c>
      <c r="G1043" t="s">
        <v>90</v>
      </c>
      <c r="H1043">
        <v>1</v>
      </c>
      <c r="I1043" t="s">
        <v>79</v>
      </c>
      <c r="J1043" t="s">
        <v>79</v>
      </c>
      <c r="K1043">
        <v>640</v>
      </c>
      <c r="L1043" t="s">
        <v>30</v>
      </c>
      <c r="M1043" t="s">
        <v>22</v>
      </c>
    </row>
    <row r="1044" spans="1:13" x14ac:dyDescent="0.35">
      <c r="A1044" t="s">
        <v>2064</v>
      </c>
      <c r="B1044" s="9">
        <v>46049</v>
      </c>
      <c r="C1044" t="s">
        <v>2065</v>
      </c>
      <c r="D1044" t="s">
        <v>33</v>
      </c>
      <c r="E1044" t="s">
        <v>16</v>
      </c>
      <c r="F1044" t="s">
        <v>83</v>
      </c>
      <c r="G1044" t="s">
        <v>84</v>
      </c>
      <c r="H1044">
        <v>2</v>
      </c>
      <c r="I1044" t="s">
        <v>1002</v>
      </c>
      <c r="J1044" t="s">
        <v>143</v>
      </c>
      <c r="K1044">
        <v>340</v>
      </c>
      <c r="L1044" t="s">
        <v>30</v>
      </c>
      <c r="M1044" t="s">
        <v>22</v>
      </c>
    </row>
    <row r="1045" spans="1:13" x14ac:dyDescent="0.35">
      <c r="A1045" t="s">
        <v>2066</v>
      </c>
      <c r="B1045" t="s">
        <v>2067</v>
      </c>
      <c r="C1045" t="s">
        <v>1706</v>
      </c>
      <c r="D1045" t="s">
        <v>15</v>
      </c>
      <c r="E1045" t="s">
        <v>41</v>
      </c>
      <c r="F1045" t="s">
        <v>83</v>
      </c>
      <c r="G1045" t="s">
        <v>84</v>
      </c>
      <c r="H1045">
        <v>1</v>
      </c>
      <c r="I1045" t="s">
        <v>56</v>
      </c>
      <c r="J1045" t="s">
        <v>56</v>
      </c>
      <c r="K1045" t="s">
        <v>103</v>
      </c>
      <c r="L1045" t="s">
        <v>30</v>
      </c>
      <c r="M1045" t="s">
        <v>22</v>
      </c>
    </row>
    <row r="1046" spans="1:13" x14ac:dyDescent="0.35">
      <c r="A1046" t="s">
        <v>2068</v>
      </c>
      <c r="B1046" s="9">
        <v>46135</v>
      </c>
      <c r="C1046" t="s">
        <v>1264</v>
      </c>
      <c r="D1046" t="s">
        <v>99</v>
      </c>
      <c r="E1046" t="s">
        <v>41</v>
      </c>
      <c r="F1046" t="s">
        <v>35</v>
      </c>
      <c r="G1046" t="s">
        <v>36</v>
      </c>
      <c r="H1046">
        <v>1</v>
      </c>
      <c r="I1046" t="s">
        <v>71</v>
      </c>
      <c r="J1046" t="s">
        <v>71</v>
      </c>
      <c r="K1046" t="s">
        <v>37</v>
      </c>
      <c r="L1046" t="s">
        <v>21</v>
      </c>
      <c r="M1046" t="s">
        <v>22</v>
      </c>
    </row>
    <row r="1047" spans="1:13" x14ac:dyDescent="0.35">
      <c r="A1047" t="s">
        <v>2069</v>
      </c>
      <c r="B1047" t="s">
        <v>1430</v>
      </c>
      <c r="C1047" t="s">
        <v>2070</v>
      </c>
      <c r="D1047" t="s">
        <v>94</v>
      </c>
      <c r="E1047" t="s">
        <v>41</v>
      </c>
      <c r="F1047" t="s">
        <v>83</v>
      </c>
      <c r="G1047" t="s">
        <v>84</v>
      </c>
      <c r="H1047">
        <v>2</v>
      </c>
      <c r="I1047" t="s">
        <v>79</v>
      </c>
      <c r="J1047" t="s">
        <v>143</v>
      </c>
      <c r="K1047" t="s">
        <v>103</v>
      </c>
      <c r="L1047" t="s">
        <v>30</v>
      </c>
      <c r="M1047" t="s">
        <v>58</v>
      </c>
    </row>
    <row r="1048" spans="1:13" x14ac:dyDescent="0.35">
      <c r="A1048" t="s">
        <v>2071</v>
      </c>
      <c r="B1048" s="9">
        <v>46080</v>
      </c>
      <c r="C1048" t="s">
        <v>2072</v>
      </c>
      <c r="D1048" t="s">
        <v>33</v>
      </c>
      <c r="E1048" t="s">
        <v>34</v>
      </c>
      <c r="F1048" t="s">
        <v>89</v>
      </c>
      <c r="G1048" t="s">
        <v>90</v>
      </c>
      <c r="H1048">
        <v>3</v>
      </c>
      <c r="I1048" t="s">
        <v>19</v>
      </c>
      <c r="J1048" t="s">
        <v>326</v>
      </c>
      <c r="K1048">
        <v>640</v>
      </c>
      <c r="L1048" t="s">
        <v>30</v>
      </c>
      <c r="M1048" t="s">
        <v>22</v>
      </c>
    </row>
    <row r="1049" spans="1:13" x14ac:dyDescent="0.35">
      <c r="A1049" t="s">
        <v>2073</v>
      </c>
      <c r="B1049" s="9">
        <v>46152</v>
      </c>
      <c r="C1049" t="s">
        <v>2074</v>
      </c>
      <c r="D1049" t="s">
        <v>66</v>
      </c>
      <c r="E1049" t="s">
        <v>41</v>
      </c>
      <c r="F1049" t="s">
        <v>26</v>
      </c>
      <c r="G1049" t="s">
        <v>27</v>
      </c>
      <c r="H1049">
        <v>2</v>
      </c>
      <c r="I1049" t="s">
        <v>170</v>
      </c>
      <c r="J1049" t="s">
        <v>152</v>
      </c>
      <c r="K1049" t="s">
        <v>29</v>
      </c>
      <c r="L1049" t="s">
        <v>21</v>
      </c>
      <c r="M1049" t="s">
        <v>22</v>
      </c>
    </row>
    <row r="1050" spans="1:13" x14ac:dyDescent="0.35">
      <c r="A1050" t="s">
        <v>2075</v>
      </c>
      <c r="B1050" s="9">
        <v>46202</v>
      </c>
      <c r="C1050" t="s">
        <v>2076</v>
      </c>
      <c r="D1050" t="s">
        <v>61</v>
      </c>
      <c r="E1050" t="s">
        <v>34</v>
      </c>
      <c r="F1050" t="s">
        <v>83</v>
      </c>
      <c r="G1050" t="s">
        <v>84</v>
      </c>
      <c r="H1050">
        <v>1</v>
      </c>
      <c r="I1050" t="s">
        <v>102</v>
      </c>
      <c r="J1050" t="s">
        <v>102</v>
      </c>
      <c r="K1050" t="s">
        <v>103</v>
      </c>
      <c r="L1050" t="s">
        <v>30</v>
      </c>
      <c r="M1050" t="s">
        <v>22</v>
      </c>
    </row>
    <row r="1051" spans="1:13" x14ac:dyDescent="0.35">
      <c r="A1051" t="s">
        <v>2077</v>
      </c>
      <c r="B1051" s="9">
        <v>46135</v>
      </c>
      <c r="C1051" t="s">
        <v>2078</v>
      </c>
      <c r="D1051" t="s">
        <v>53</v>
      </c>
      <c r="E1051" t="s">
        <v>16</v>
      </c>
      <c r="F1051" t="s">
        <v>17</v>
      </c>
      <c r="G1051" t="s">
        <v>18</v>
      </c>
      <c r="H1051">
        <v>1</v>
      </c>
      <c r="I1051" t="s">
        <v>102</v>
      </c>
      <c r="J1051" t="s">
        <v>102</v>
      </c>
      <c r="K1051" t="s">
        <v>29</v>
      </c>
      <c r="L1051" t="s">
        <v>30</v>
      </c>
      <c r="M1051" t="s">
        <v>58</v>
      </c>
    </row>
    <row r="1052" spans="1:13" x14ac:dyDescent="0.35">
      <c r="A1052" t="s">
        <v>2079</v>
      </c>
      <c r="B1052" s="9">
        <v>46208</v>
      </c>
      <c r="C1052" t="s">
        <v>2080</v>
      </c>
      <c r="D1052" t="s">
        <v>40</v>
      </c>
      <c r="E1052" t="s">
        <v>25</v>
      </c>
      <c r="F1052" t="s">
        <v>83</v>
      </c>
      <c r="G1052" t="s">
        <v>84</v>
      </c>
      <c r="H1052">
        <v>2</v>
      </c>
      <c r="I1052" t="s">
        <v>102</v>
      </c>
      <c r="J1052" t="s">
        <v>181</v>
      </c>
      <c r="K1052" t="s">
        <v>103</v>
      </c>
      <c r="L1052" t="s">
        <v>30</v>
      </c>
      <c r="M1052" t="s">
        <v>22</v>
      </c>
    </row>
    <row r="1053" spans="1:13" x14ac:dyDescent="0.35">
      <c r="A1053" t="s">
        <v>2081</v>
      </c>
      <c r="B1053" t="s">
        <v>2082</v>
      </c>
      <c r="C1053" t="s">
        <v>2083</v>
      </c>
      <c r="D1053" t="s">
        <v>94</v>
      </c>
      <c r="E1053" t="s">
        <v>41</v>
      </c>
      <c r="F1053" t="s">
        <v>89</v>
      </c>
      <c r="G1053" t="s">
        <v>90</v>
      </c>
      <c r="H1053">
        <v>1</v>
      </c>
      <c r="I1053" t="s">
        <v>132</v>
      </c>
      <c r="J1053" t="s">
        <v>132</v>
      </c>
      <c r="K1053" t="s">
        <v>108</v>
      </c>
      <c r="L1053" t="s">
        <v>30</v>
      </c>
      <c r="M1053" t="s">
        <v>22</v>
      </c>
    </row>
    <row r="1054" spans="1:13" x14ac:dyDescent="0.35">
      <c r="A1054" t="s">
        <v>2084</v>
      </c>
      <c r="B1054" s="9">
        <v>46171</v>
      </c>
      <c r="C1054" t="s">
        <v>1672</v>
      </c>
      <c r="D1054" t="s">
        <v>40</v>
      </c>
      <c r="E1054" t="s">
        <v>16</v>
      </c>
      <c r="F1054" t="s">
        <v>42</v>
      </c>
      <c r="G1054" t="s">
        <v>43</v>
      </c>
      <c r="H1054">
        <v>3</v>
      </c>
      <c r="I1054" t="s">
        <v>49</v>
      </c>
      <c r="J1054" t="s">
        <v>257</v>
      </c>
      <c r="K1054" t="s">
        <v>111</v>
      </c>
      <c r="L1054" t="s">
        <v>30</v>
      </c>
      <c r="M1054" t="s">
        <v>22</v>
      </c>
    </row>
    <row r="1055" spans="1:13" x14ac:dyDescent="0.35">
      <c r="A1055" t="s">
        <v>2085</v>
      </c>
      <c r="B1055" s="9">
        <v>46161</v>
      </c>
      <c r="C1055" t="s">
        <v>2086</v>
      </c>
      <c r="D1055" t="s">
        <v>15</v>
      </c>
      <c r="E1055" t="s">
        <v>67</v>
      </c>
      <c r="F1055" t="s">
        <v>17</v>
      </c>
      <c r="G1055" t="s">
        <v>18</v>
      </c>
      <c r="H1055">
        <v>-1</v>
      </c>
      <c r="I1055" t="s">
        <v>102</v>
      </c>
      <c r="J1055" t="s">
        <v>1136</v>
      </c>
      <c r="K1055" t="s">
        <v>29</v>
      </c>
      <c r="L1055" t="s">
        <v>30</v>
      </c>
      <c r="M1055" t="s">
        <v>22</v>
      </c>
    </row>
    <row r="1056" spans="1:13" x14ac:dyDescent="0.35">
      <c r="A1056" t="s">
        <v>2087</v>
      </c>
      <c r="B1056" s="9">
        <v>46193</v>
      </c>
      <c r="C1056" t="s">
        <v>1626</v>
      </c>
      <c r="D1056" t="s">
        <v>116</v>
      </c>
      <c r="E1056" t="s">
        <v>25</v>
      </c>
      <c r="F1056" t="s">
        <v>74</v>
      </c>
      <c r="G1056" t="s">
        <v>75</v>
      </c>
      <c r="H1056">
        <v>1</v>
      </c>
      <c r="I1056" t="s">
        <v>102</v>
      </c>
      <c r="J1056" t="s">
        <v>102</v>
      </c>
      <c r="K1056" t="s">
        <v>76</v>
      </c>
      <c r="L1056" t="s">
        <v>30</v>
      </c>
      <c r="M1056" t="s">
        <v>22</v>
      </c>
    </row>
    <row r="1057" spans="1:13" x14ac:dyDescent="0.35">
      <c r="A1057" t="s">
        <v>2088</v>
      </c>
      <c r="B1057" s="9">
        <v>46093</v>
      </c>
      <c r="C1057" t="s">
        <v>597</v>
      </c>
      <c r="D1057" t="s">
        <v>40</v>
      </c>
      <c r="E1057" t="s">
        <v>67</v>
      </c>
      <c r="F1057" t="s">
        <v>35</v>
      </c>
      <c r="G1057" t="s">
        <v>36</v>
      </c>
      <c r="H1057">
        <v>1</v>
      </c>
      <c r="I1057" t="s">
        <v>19</v>
      </c>
      <c r="J1057" t="s">
        <v>19</v>
      </c>
      <c r="K1057">
        <v>85</v>
      </c>
      <c r="L1057" t="s">
        <v>30</v>
      </c>
      <c r="M1057" t="s">
        <v>22</v>
      </c>
    </row>
    <row r="1058" spans="1:13" x14ac:dyDescent="0.35">
      <c r="A1058" t="s">
        <v>2089</v>
      </c>
      <c r="B1058" s="9">
        <v>46060</v>
      </c>
      <c r="C1058" t="s">
        <v>1789</v>
      </c>
      <c r="D1058" t="s">
        <v>33</v>
      </c>
      <c r="E1058" t="s">
        <v>25</v>
      </c>
      <c r="F1058" t="s">
        <v>74</v>
      </c>
      <c r="G1058" t="s">
        <v>75</v>
      </c>
      <c r="H1058">
        <v>1</v>
      </c>
      <c r="I1058" t="s">
        <v>254</v>
      </c>
      <c r="J1058" t="s">
        <v>254</v>
      </c>
      <c r="K1058">
        <v>410</v>
      </c>
      <c r="L1058" t="s">
        <v>30</v>
      </c>
      <c r="M1058" t="s">
        <v>22</v>
      </c>
    </row>
    <row r="1059" spans="1:13" x14ac:dyDescent="0.35">
      <c r="A1059" t="s">
        <v>2090</v>
      </c>
      <c r="B1059" s="9">
        <v>46083</v>
      </c>
      <c r="C1059" t="s">
        <v>1808</v>
      </c>
      <c r="D1059" t="s">
        <v>99</v>
      </c>
      <c r="E1059" t="s">
        <v>34</v>
      </c>
      <c r="F1059" t="s">
        <v>35</v>
      </c>
      <c r="G1059" t="s">
        <v>36</v>
      </c>
      <c r="H1059">
        <v>2</v>
      </c>
      <c r="I1059" t="s">
        <v>71</v>
      </c>
      <c r="J1059" t="s">
        <v>193</v>
      </c>
      <c r="K1059">
        <v>85</v>
      </c>
      <c r="L1059" t="s">
        <v>21</v>
      </c>
      <c r="M1059" t="s">
        <v>22</v>
      </c>
    </row>
    <row r="1060" spans="1:13" x14ac:dyDescent="0.35">
      <c r="A1060" t="s">
        <v>2091</v>
      </c>
      <c r="B1060" s="9">
        <v>46177</v>
      </c>
      <c r="C1060" t="s">
        <v>1442</v>
      </c>
      <c r="D1060" t="s">
        <v>99</v>
      </c>
      <c r="E1060" t="s">
        <v>67</v>
      </c>
      <c r="F1060" t="s">
        <v>17</v>
      </c>
      <c r="G1060" t="s">
        <v>18</v>
      </c>
      <c r="H1060">
        <v>2</v>
      </c>
      <c r="I1060" t="s">
        <v>102</v>
      </c>
      <c r="J1060" t="s">
        <v>181</v>
      </c>
      <c r="K1060" t="s">
        <v>29</v>
      </c>
      <c r="L1060" t="s">
        <v>30</v>
      </c>
      <c r="M1060" t="s">
        <v>58</v>
      </c>
    </row>
    <row r="1061" spans="1:13" x14ac:dyDescent="0.35">
      <c r="A1061" t="s">
        <v>2092</v>
      </c>
      <c r="B1061" s="9">
        <v>46125</v>
      </c>
      <c r="C1061" t="s">
        <v>1364</v>
      </c>
      <c r="D1061" t="s">
        <v>99</v>
      </c>
      <c r="E1061" t="s">
        <v>25</v>
      </c>
      <c r="F1061" t="s">
        <v>89</v>
      </c>
      <c r="G1061" t="s">
        <v>90</v>
      </c>
      <c r="H1061">
        <v>2</v>
      </c>
      <c r="I1061" t="s">
        <v>28</v>
      </c>
      <c r="J1061" t="s">
        <v>316</v>
      </c>
      <c r="K1061">
        <v>640</v>
      </c>
      <c r="L1061" t="s">
        <v>30</v>
      </c>
      <c r="M1061" t="s">
        <v>58</v>
      </c>
    </row>
    <row r="1062" spans="1:13" x14ac:dyDescent="0.35">
      <c r="A1062" t="s">
        <v>2093</v>
      </c>
      <c r="B1062" s="9">
        <v>46095</v>
      </c>
      <c r="C1062" t="s">
        <v>1731</v>
      </c>
      <c r="D1062" t="s">
        <v>66</v>
      </c>
      <c r="E1062" t="s">
        <v>25</v>
      </c>
      <c r="F1062" t="s">
        <v>42</v>
      </c>
      <c r="G1062" t="s">
        <v>43</v>
      </c>
      <c r="H1062">
        <v>2</v>
      </c>
      <c r="I1062" t="s">
        <v>220</v>
      </c>
      <c r="J1062" t="s">
        <v>221</v>
      </c>
      <c r="K1062">
        <v>190</v>
      </c>
      <c r="L1062" t="s">
        <v>30</v>
      </c>
      <c r="M1062" t="s">
        <v>22</v>
      </c>
    </row>
    <row r="1063" spans="1:13" x14ac:dyDescent="0.35">
      <c r="A1063" t="s">
        <v>2094</v>
      </c>
      <c r="B1063" s="9">
        <v>46129</v>
      </c>
      <c r="C1063" t="s">
        <v>2095</v>
      </c>
      <c r="D1063" t="s">
        <v>40</v>
      </c>
      <c r="E1063" t="s">
        <v>67</v>
      </c>
      <c r="F1063" t="s">
        <v>26</v>
      </c>
      <c r="G1063" t="s">
        <v>27</v>
      </c>
      <c r="H1063">
        <v>1</v>
      </c>
      <c r="I1063" t="s">
        <v>19</v>
      </c>
      <c r="J1063" t="s">
        <v>19</v>
      </c>
      <c r="K1063">
        <v>520</v>
      </c>
      <c r="L1063" t="s">
        <v>30</v>
      </c>
      <c r="M1063" t="s">
        <v>22</v>
      </c>
    </row>
    <row r="1064" spans="1:13" x14ac:dyDescent="0.35">
      <c r="A1064" t="s">
        <v>2096</v>
      </c>
      <c r="B1064" s="9">
        <v>46124</v>
      </c>
      <c r="C1064" t="s">
        <v>1409</v>
      </c>
      <c r="D1064" t="s">
        <v>116</v>
      </c>
      <c r="E1064" t="s">
        <v>25</v>
      </c>
      <c r="F1064" t="s">
        <v>83</v>
      </c>
      <c r="G1064" t="s">
        <v>84</v>
      </c>
      <c r="H1064">
        <v>3</v>
      </c>
      <c r="I1064" t="s">
        <v>993</v>
      </c>
      <c r="J1064" t="s">
        <v>390</v>
      </c>
      <c r="K1064">
        <v>340</v>
      </c>
      <c r="L1064" t="s">
        <v>30</v>
      </c>
      <c r="M1064" t="s">
        <v>22</v>
      </c>
    </row>
    <row r="1065" spans="1:13" x14ac:dyDescent="0.35">
      <c r="A1065" t="s">
        <v>2097</v>
      </c>
      <c r="B1065" s="9">
        <v>46106</v>
      </c>
      <c r="C1065" t="s">
        <v>2098</v>
      </c>
      <c r="D1065" t="s">
        <v>53</v>
      </c>
      <c r="E1065" t="s">
        <v>25</v>
      </c>
      <c r="F1065" t="s">
        <v>47</v>
      </c>
      <c r="G1065" t="s">
        <v>48</v>
      </c>
      <c r="H1065">
        <v>1</v>
      </c>
      <c r="I1065" t="s">
        <v>106</v>
      </c>
      <c r="J1065" t="s">
        <v>106</v>
      </c>
      <c r="K1065">
        <v>380</v>
      </c>
      <c r="L1065" t="s">
        <v>30</v>
      </c>
      <c r="M1065" t="s">
        <v>22</v>
      </c>
    </row>
    <row r="1066" spans="1:13" x14ac:dyDescent="0.35">
      <c r="A1066" t="s">
        <v>2099</v>
      </c>
      <c r="B1066" s="9">
        <v>46150</v>
      </c>
      <c r="C1066" t="s">
        <v>2100</v>
      </c>
      <c r="D1066" t="s">
        <v>99</v>
      </c>
      <c r="E1066" t="s">
        <v>25</v>
      </c>
      <c r="F1066" t="s">
        <v>26</v>
      </c>
      <c r="G1066" t="s">
        <v>27</v>
      </c>
      <c r="H1066">
        <v>2</v>
      </c>
      <c r="I1066" t="s">
        <v>254</v>
      </c>
      <c r="J1066" t="s">
        <v>156</v>
      </c>
      <c r="K1066" t="s">
        <v>29</v>
      </c>
      <c r="L1066" t="s">
        <v>30</v>
      </c>
      <c r="M1066" t="s">
        <v>22</v>
      </c>
    </row>
    <row r="1067" spans="1:13" x14ac:dyDescent="0.35">
      <c r="A1067" t="s">
        <v>2101</v>
      </c>
      <c r="B1067" s="9">
        <v>46208</v>
      </c>
      <c r="C1067" t="s">
        <v>2102</v>
      </c>
      <c r="D1067" t="s">
        <v>61</v>
      </c>
      <c r="E1067" t="s">
        <v>25</v>
      </c>
      <c r="F1067" t="s">
        <v>47</v>
      </c>
      <c r="G1067" t="s">
        <v>48</v>
      </c>
      <c r="H1067">
        <v>2</v>
      </c>
      <c r="I1067" t="s">
        <v>19</v>
      </c>
      <c r="J1067" t="s">
        <v>238</v>
      </c>
      <c r="K1067" t="s">
        <v>50</v>
      </c>
      <c r="L1067" t="s">
        <v>30</v>
      </c>
      <c r="M1067" t="s">
        <v>58</v>
      </c>
    </row>
    <row r="1068" spans="1:13" x14ac:dyDescent="0.35">
      <c r="A1068" t="s">
        <v>2103</v>
      </c>
      <c r="B1068" s="9">
        <v>46156</v>
      </c>
      <c r="C1068" t="s">
        <v>2104</v>
      </c>
      <c r="D1068" t="s">
        <v>61</v>
      </c>
      <c r="E1068" t="s">
        <v>25</v>
      </c>
      <c r="F1068" t="s">
        <v>35</v>
      </c>
      <c r="G1068" t="s">
        <v>36</v>
      </c>
      <c r="H1068">
        <v>2</v>
      </c>
      <c r="I1068" t="s">
        <v>49</v>
      </c>
      <c r="J1068" t="s">
        <v>2105</v>
      </c>
      <c r="K1068" t="s">
        <v>37</v>
      </c>
      <c r="L1068" t="s">
        <v>30</v>
      </c>
      <c r="M1068" t="s">
        <v>22</v>
      </c>
    </row>
    <row r="1069" spans="1:13" x14ac:dyDescent="0.35">
      <c r="A1069" t="s">
        <v>2106</v>
      </c>
      <c r="B1069" s="9">
        <v>46043</v>
      </c>
      <c r="C1069" t="s">
        <v>1189</v>
      </c>
      <c r="D1069" t="s">
        <v>61</v>
      </c>
      <c r="E1069" t="s">
        <v>16</v>
      </c>
      <c r="F1069" t="s">
        <v>89</v>
      </c>
      <c r="G1069" t="s">
        <v>90</v>
      </c>
      <c r="H1069">
        <v>3</v>
      </c>
      <c r="I1069" t="s">
        <v>85</v>
      </c>
      <c r="J1069" t="s">
        <v>86</v>
      </c>
      <c r="K1069">
        <v>640</v>
      </c>
      <c r="L1069" t="s">
        <v>30</v>
      </c>
      <c r="M1069" t="s">
        <v>22</v>
      </c>
    </row>
    <row r="1070" spans="1:13" x14ac:dyDescent="0.35">
      <c r="A1070" t="s">
        <v>2107</v>
      </c>
      <c r="B1070" s="9">
        <v>46271</v>
      </c>
      <c r="C1070" t="s">
        <v>2108</v>
      </c>
      <c r="D1070" t="s">
        <v>99</v>
      </c>
      <c r="E1070" t="s">
        <v>16</v>
      </c>
      <c r="F1070" t="s">
        <v>47</v>
      </c>
      <c r="G1070" t="s">
        <v>48</v>
      </c>
      <c r="H1070">
        <v>1</v>
      </c>
      <c r="I1070" t="s">
        <v>106</v>
      </c>
      <c r="J1070" t="s">
        <v>106</v>
      </c>
      <c r="K1070" t="s">
        <v>50</v>
      </c>
      <c r="L1070" t="s">
        <v>30</v>
      </c>
      <c r="M1070" t="s">
        <v>22</v>
      </c>
    </row>
    <row r="1071" spans="1:13" x14ac:dyDescent="0.35">
      <c r="A1071" t="s">
        <v>2109</v>
      </c>
      <c r="B1071" s="9">
        <v>46117</v>
      </c>
      <c r="C1071" t="s">
        <v>2110</v>
      </c>
      <c r="D1071" t="s">
        <v>94</v>
      </c>
      <c r="E1071" t="s">
        <v>67</v>
      </c>
      <c r="F1071" t="s">
        <v>89</v>
      </c>
      <c r="G1071" t="s">
        <v>90</v>
      </c>
      <c r="H1071">
        <v>3</v>
      </c>
      <c r="I1071" t="s">
        <v>106</v>
      </c>
      <c r="J1071" t="s">
        <v>160</v>
      </c>
      <c r="K1071">
        <v>640</v>
      </c>
      <c r="L1071" t="s">
        <v>30</v>
      </c>
      <c r="M1071" t="s">
        <v>58</v>
      </c>
    </row>
    <row r="1072" spans="1:13" x14ac:dyDescent="0.35">
      <c r="A1072" t="s">
        <v>2111</v>
      </c>
      <c r="B1072" t="s">
        <v>1294</v>
      </c>
      <c r="C1072" t="s">
        <v>2112</v>
      </c>
      <c r="D1072" t="s">
        <v>40</v>
      </c>
      <c r="E1072" t="s">
        <v>34</v>
      </c>
      <c r="F1072" t="s">
        <v>42</v>
      </c>
      <c r="G1072" t="s">
        <v>43</v>
      </c>
      <c r="H1072">
        <v>1</v>
      </c>
      <c r="I1072" t="s">
        <v>71</v>
      </c>
      <c r="J1072" t="s">
        <v>71</v>
      </c>
      <c r="K1072" t="s">
        <v>111</v>
      </c>
      <c r="L1072" t="s">
        <v>30</v>
      </c>
      <c r="M1072" t="s">
        <v>22</v>
      </c>
    </row>
    <row r="1073" spans="1:13" x14ac:dyDescent="0.35">
      <c r="A1073" t="s">
        <v>2113</v>
      </c>
      <c r="B1073" s="9">
        <v>46051</v>
      </c>
      <c r="C1073" t="s">
        <v>651</v>
      </c>
      <c r="D1073" t="s">
        <v>61</v>
      </c>
      <c r="E1073" t="s">
        <v>34</v>
      </c>
      <c r="F1073" t="s">
        <v>42</v>
      </c>
      <c r="G1073" t="s">
        <v>43</v>
      </c>
      <c r="H1073">
        <v>3</v>
      </c>
      <c r="I1073" t="s">
        <v>71</v>
      </c>
      <c r="J1073" t="s">
        <v>1187</v>
      </c>
      <c r="K1073">
        <v>190</v>
      </c>
      <c r="L1073" t="s">
        <v>21</v>
      </c>
      <c r="M1073" t="s">
        <v>58</v>
      </c>
    </row>
    <row r="1074" spans="1:13" x14ac:dyDescent="0.35">
      <c r="A1074" t="s">
        <v>2114</v>
      </c>
      <c r="B1074" s="9">
        <v>46052</v>
      </c>
      <c r="C1074" t="s">
        <v>2115</v>
      </c>
      <c r="D1074" t="s">
        <v>61</v>
      </c>
      <c r="E1074" t="s">
        <v>34</v>
      </c>
      <c r="F1074" t="s">
        <v>42</v>
      </c>
      <c r="G1074" t="s">
        <v>43</v>
      </c>
      <c r="H1074">
        <v>2</v>
      </c>
      <c r="I1074" t="s">
        <v>132</v>
      </c>
      <c r="J1074" t="s">
        <v>133</v>
      </c>
      <c r="K1074">
        <v>190</v>
      </c>
      <c r="L1074" t="s">
        <v>30</v>
      </c>
      <c r="M1074" t="s">
        <v>22</v>
      </c>
    </row>
    <row r="1075" spans="1:13" x14ac:dyDescent="0.35">
      <c r="A1075" t="s">
        <v>2116</v>
      </c>
      <c r="B1075" s="9">
        <v>46102</v>
      </c>
      <c r="C1075" t="s">
        <v>2117</v>
      </c>
      <c r="D1075" t="s">
        <v>33</v>
      </c>
      <c r="E1075" t="s">
        <v>34</v>
      </c>
      <c r="F1075" t="s">
        <v>89</v>
      </c>
      <c r="G1075" t="s">
        <v>90</v>
      </c>
      <c r="H1075">
        <v>1</v>
      </c>
      <c r="I1075" t="s">
        <v>71</v>
      </c>
      <c r="J1075" t="s">
        <v>71</v>
      </c>
      <c r="K1075">
        <v>640</v>
      </c>
      <c r="L1075" t="s">
        <v>21</v>
      </c>
      <c r="M1075" t="s">
        <v>58</v>
      </c>
    </row>
    <row r="1076" spans="1:13" x14ac:dyDescent="0.35">
      <c r="A1076" t="s">
        <v>2118</v>
      </c>
      <c r="B1076" t="s">
        <v>552</v>
      </c>
      <c r="C1076" t="s">
        <v>2119</v>
      </c>
      <c r="D1076" t="s">
        <v>66</v>
      </c>
      <c r="E1076" t="s">
        <v>16</v>
      </c>
      <c r="F1076" t="s">
        <v>26</v>
      </c>
      <c r="G1076" t="s">
        <v>27</v>
      </c>
      <c r="H1076">
        <v>2</v>
      </c>
      <c r="I1076" t="s">
        <v>71</v>
      </c>
      <c r="J1076" t="s">
        <v>286</v>
      </c>
      <c r="K1076">
        <v>520</v>
      </c>
      <c r="L1076" t="s">
        <v>30</v>
      </c>
      <c r="M1076" t="s">
        <v>58</v>
      </c>
    </row>
    <row r="1077" spans="1:13" x14ac:dyDescent="0.35">
      <c r="A1077" t="s">
        <v>2120</v>
      </c>
      <c r="B1077" t="s">
        <v>2018</v>
      </c>
      <c r="C1077" t="s">
        <v>870</v>
      </c>
      <c r="D1077" t="s">
        <v>46</v>
      </c>
      <c r="E1077" t="s">
        <v>34</v>
      </c>
      <c r="F1077" t="s">
        <v>74</v>
      </c>
      <c r="G1077" t="s">
        <v>75</v>
      </c>
      <c r="H1077">
        <v>1</v>
      </c>
      <c r="I1077" t="s">
        <v>85</v>
      </c>
      <c r="J1077" t="s">
        <v>85</v>
      </c>
      <c r="K1077">
        <v>410</v>
      </c>
      <c r="L1077" t="s">
        <v>30</v>
      </c>
      <c r="M1077" t="s">
        <v>58</v>
      </c>
    </row>
    <row r="1078" spans="1:13" x14ac:dyDescent="0.35">
      <c r="A1078" t="s">
        <v>2121</v>
      </c>
      <c r="B1078" t="s">
        <v>2122</v>
      </c>
      <c r="C1078" t="s">
        <v>670</v>
      </c>
      <c r="D1078" t="s">
        <v>99</v>
      </c>
      <c r="E1078" t="s">
        <v>41</v>
      </c>
      <c r="F1078" t="s">
        <v>35</v>
      </c>
      <c r="G1078" t="s">
        <v>36</v>
      </c>
      <c r="H1078">
        <v>1</v>
      </c>
      <c r="I1078" t="s">
        <v>56</v>
      </c>
      <c r="J1078" t="s">
        <v>56</v>
      </c>
      <c r="K1078">
        <v>85</v>
      </c>
      <c r="L1078" t="s">
        <v>30</v>
      </c>
      <c r="M1078" t="s">
        <v>22</v>
      </c>
    </row>
    <row r="1079" spans="1:13" x14ac:dyDescent="0.35">
      <c r="A1079" t="s">
        <v>2123</v>
      </c>
      <c r="B1079" s="9">
        <v>46160</v>
      </c>
      <c r="C1079" t="s">
        <v>1369</v>
      </c>
      <c r="D1079" t="s">
        <v>66</v>
      </c>
      <c r="E1079" t="s">
        <v>67</v>
      </c>
      <c r="F1079" t="s">
        <v>17</v>
      </c>
      <c r="G1079" t="s">
        <v>18</v>
      </c>
      <c r="H1079">
        <v>3</v>
      </c>
      <c r="I1079" t="s">
        <v>132</v>
      </c>
      <c r="J1079" t="s">
        <v>232</v>
      </c>
      <c r="K1079" t="s">
        <v>29</v>
      </c>
      <c r="L1079" t="s">
        <v>21</v>
      </c>
      <c r="M1079" t="s">
        <v>58</v>
      </c>
    </row>
    <row r="1080" spans="1:13" x14ac:dyDescent="0.35">
      <c r="A1080" t="s">
        <v>2124</v>
      </c>
      <c r="B1080" s="9">
        <v>46181</v>
      </c>
      <c r="C1080" t="s">
        <v>1960</v>
      </c>
      <c r="D1080" t="s">
        <v>99</v>
      </c>
      <c r="E1080" t="s">
        <v>16</v>
      </c>
      <c r="F1080" t="s">
        <v>17</v>
      </c>
      <c r="G1080" t="s">
        <v>18</v>
      </c>
      <c r="H1080">
        <v>3</v>
      </c>
      <c r="I1080" t="s">
        <v>19</v>
      </c>
      <c r="J1080" t="s">
        <v>326</v>
      </c>
      <c r="K1080" t="s">
        <v>29</v>
      </c>
      <c r="L1080" t="s">
        <v>30</v>
      </c>
      <c r="M1080" t="s">
        <v>22</v>
      </c>
    </row>
    <row r="1081" spans="1:13" x14ac:dyDescent="0.35">
      <c r="A1081" t="s">
        <v>2125</v>
      </c>
      <c r="B1081" s="9">
        <v>46152</v>
      </c>
      <c r="C1081" t="s">
        <v>2126</v>
      </c>
      <c r="D1081" t="s">
        <v>15</v>
      </c>
      <c r="E1081" t="s">
        <v>41</v>
      </c>
      <c r="F1081" t="s">
        <v>47</v>
      </c>
      <c r="G1081" t="s">
        <v>48</v>
      </c>
      <c r="H1081">
        <v>2</v>
      </c>
      <c r="I1081" t="s">
        <v>132</v>
      </c>
      <c r="J1081" t="s">
        <v>133</v>
      </c>
      <c r="K1081" t="s">
        <v>50</v>
      </c>
      <c r="L1081" t="s">
        <v>21</v>
      </c>
      <c r="M1081" t="s">
        <v>22</v>
      </c>
    </row>
    <row r="1082" spans="1:13" x14ac:dyDescent="0.35">
      <c r="A1082" t="s">
        <v>2127</v>
      </c>
      <c r="B1082" s="9">
        <v>46186</v>
      </c>
      <c r="C1082" t="s">
        <v>2128</v>
      </c>
      <c r="D1082" t="s">
        <v>40</v>
      </c>
      <c r="E1082" t="s">
        <v>34</v>
      </c>
      <c r="F1082" t="s">
        <v>83</v>
      </c>
      <c r="G1082" t="s">
        <v>84</v>
      </c>
      <c r="H1082">
        <v>1</v>
      </c>
      <c r="I1082" t="s">
        <v>28</v>
      </c>
      <c r="J1082" t="s">
        <v>28</v>
      </c>
      <c r="K1082" t="s">
        <v>103</v>
      </c>
      <c r="L1082" t="s">
        <v>30</v>
      </c>
      <c r="M1082" t="s">
        <v>22</v>
      </c>
    </row>
    <row r="1083" spans="1:13" x14ac:dyDescent="0.35">
      <c r="A1083" t="s">
        <v>2129</v>
      </c>
      <c r="B1083" s="9">
        <v>46157</v>
      </c>
      <c r="C1083" t="s">
        <v>1762</v>
      </c>
      <c r="D1083" t="s">
        <v>94</v>
      </c>
      <c r="E1083" t="s">
        <v>16</v>
      </c>
      <c r="F1083" t="s">
        <v>42</v>
      </c>
      <c r="G1083" t="s">
        <v>43</v>
      </c>
      <c r="H1083">
        <v>3</v>
      </c>
      <c r="I1083" t="s">
        <v>19</v>
      </c>
      <c r="J1083" t="s">
        <v>326</v>
      </c>
      <c r="K1083" t="s">
        <v>111</v>
      </c>
      <c r="L1083" t="s">
        <v>30</v>
      </c>
      <c r="M1083" t="s">
        <v>22</v>
      </c>
    </row>
    <row r="1084" spans="1:13" x14ac:dyDescent="0.35">
      <c r="A1084" t="s">
        <v>2130</v>
      </c>
      <c r="B1084" s="9">
        <v>46131</v>
      </c>
      <c r="C1084" t="s">
        <v>1177</v>
      </c>
      <c r="D1084" t="s">
        <v>33</v>
      </c>
      <c r="E1084" t="s">
        <v>16</v>
      </c>
      <c r="F1084" t="s">
        <v>26</v>
      </c>
      <c r="G1084" t="s">
        <v>27</v>
      </c>
      <c r="H1084">
        <v>1</v>
      </c>
      <c r="I1084" t="s">
        <v>136</v>
      </c>
      <c r="J1084" t="s">
        <v>136</v>
      </c>
      <c r="K1084">
        <v>520</v>
      </c>
      <c r="L1084" t="s">
        <v>30</v>
      </c>
      <c r="M1084" t="s">
        <v>22</v>
      </c>
    </row>
    <row r="1085" spans="1:13" x14ac:dyDescent="0.35">
      <c r="A1085" t="s">
        <v>2131</v>
      </c>
      <c r="B1085" s="9">
        <v>46073</v>
      </c>
      <c r="C1085" t="s">
        <v>253</v>
      </c>
      <c r="D1085" t="s">
        <v>46</v>
      </c>
      <c r="E1085" t="s">
        <v>41</v>
      </c>
      <c r="F1085" t="s">
        <v>47</v>
      </c>
      <c r="G1085" t="s">
        <v>48</v>
      </c>
      <c r="H1085">
        <v>3</v>
      </c>
      <c r="I1085" t="s">
        <v>62</v>
      </c>
      <c r="J1085" t="s">
        <v>488</v>
      </c>
      <c r="K1085">
        <v>380</v>
      </c>
      <c r="L1085" t="s">
        <v>30</v>
      </c>
      <c r="M1085" t="s">
        <v>58</v>
      </c>
    </row>
    <row r="1086" spans="1:13" x14ac:dyDescent="0.35">
      <c r="A1086" t="s">
        <v>2132</v>
      </c>
      <c r="B1086" s="9">
        <v>46172</v>
      </c>
      <c r="C1086" t="s">
        <v>376</v>
      </c>
      <c r="D1086" t="s">
        <v>61</v>
      </c>
      <c r="E1086" t="s">
        <v>41</v>
      </c>
      <c r="F1086" t="s">
        <v>89</v>
      </c>
      <c r="G1086" t="s">
        <v>90</v>
      </c>
      <c r="H1086">
        <v>1</v>
      </c>
      <c r="I1086" t="s">
        <v>136</v>
      </c>
      <c r="J1086" t="s">
        <v>136</v>
      </c>
      <c r="K1086" t="s">
        <v>108</v>
      </c>
      <c r="L1086" t="s">
        <v>30</v>
      </c>
      <c r="M1086" t="s">
        <v>22</v>
      </c>
    </row>
    <row r="1087" spans="1:13" x14ac:dyDescent="0.35">
      <c r="A1087" t="s">
        <v>2133</v>
      </c>
      <c r="B1087" s="9">
        <v>46055</v>
      </c>
      <c r="C1087" t="s">
        <v>275</v>
      </c>
      <c r="D1087" t="s">
        <v>40</v>
      </c>
      <c r="E1087" t="s">
        <v>34</v>
      </c>
      <c r="F1087" t="s">
        <v>83</v>
      </c>
      <c r="G1087" t="s">
        <v>84</v>
      </c>
      <c r="H1087">
        <v>1</v>
      </c>
      <c r="I1087" t="s">
        <v>68</v>
      </c>
      <c r="J1087" t="s">
        <v>68</v>
      </c>
      <c r="K1087">
        <v>340</v>
      </c>
      <c r="L1087" t="s">
        <v>30</v>
      </c>
      <c r="M1087" t="s">
        <v>22</v>
      </c>
    </row>
    <row r="1088" spans="1:13" x14ac:dyDescent="0.35">
      <c r="A1088" t="s">
        <v>2134</v>
      </c>
      <c r="B1088" s="9">
        <v>46127</v>
      </c>
      <c r="C1088" t="s">
        <v>2135</v>
      </c>
      <c r="D1088" t="s">
        <v>33</v>
      </c>
      <c r="E1088" t="s">
        <v>16</v>
      </c>
      <c r="F1088" t="s">
        <v>26</v>
      </c>
      <c r="G1088" t="s">
        <v>27</v>
      </c>
      <c r="H1088">
        <v>1</v>
      </c>
      <c r="I1088" t="s">
        <v>136</v>
      </c>
      <c r="J1088" t="s">
        <v>136</v>
      </c>
      <c r="K1088">
        <v>520</v>
      </c>
      <c r="L1088" t="s">
        <v>30</v>
      </c>
      <c r="M1088" t="s">
        <v>22</v>
      </c>
    </row>
    <row r="1089" spans="1:13" x14ac:dyDescent="0.35">
      <c r="A1089" t="s">
        <v>2136</v>
      </c>
      <c r="B1089" s="9">
        <v>46041</v>
      </c>
      <c r="C1089" t="s">
        <v>453</v>
      </c>
      <c r="D1089" t="s">
        <v>33</v>
      </c>
      <c r="E1089" t="s">
        <v>16</v>
      </c>
      <c r="F1089" t="s">
        <v>35</v>
      </c>
      <c r="G1089" t="s">
        <v>36</v>
      </c>
      <c r="H1089">
        <v>1</v>
      </c>
      <c r="I1089" t="s">
        <v>71</v>
      </c>
      <c r="J1089" t="s">
        <v>71</v>
      </c>
      <c r="K1089">
        <v>85</v>
      </c>
      <c r="L1089" t="s">
        <v>30</v>
      </c>
      <c r="M1089" t="s">
        <v>58</v>
      </c>
    </row>
    <row r="1090" spans="1:13" x14ac:dyDescent="0.35">
      <c r="A1090" t="s">
        <v>2137</v>
      </c>
      <c r="B1090" s="9">
        <v>46102</v>
      </c>
      <c r="C1090" t="s">
        <v>2138</v>
      </c>
      <c r="D1090" t="s">
        <v>99</v>
      </c>
      <c r="E1090" t="s">
        <v>16</v>
      </c>
      <c r="F1090" t="s">
        <v>83</v>
      </c>
      <c r="G1090" t="s">
        <v>84</v>
      </c>
      <c r="H1090">
        <v>1</v>
      </c>
      <c r="I1090" t="s">
        <v>71</v>
      </c>
      <c r="J1090" t="s">
        <v>460</v>
      </c>
      <c r="K1090">
        <v>340</v>
      </c>
      <c r="L1090" t="s">
        <v>30</v>
      </c>
      <c r="M1090" t="s">
        <v>22</v>
      </c>
    </row>
    <row r="1091" spans="1:13" x14ac:dyDescent="0.35">
      <c r="A1091" t="s">
        <v>2139</v>
      </c>
      <c r="B1091" s="9">
        <v>46208</v>
      </c>
      <c r="C1091" t="s">
        <v>2140</v>
      </c>
      <c r="D1091" t="s">
        <v>99</v>
      </c>
      <c r="E1091" t="s">
        <v>34</v>
      </c>
      <c r="F1091" t="s">
        <v>89</v>
      </c>
      <c r="G1091" t="s">
        <v>90</v>
      </c>
      <c r="H1091">
        <v>2</v>
      </c>
      <c r="I1091" t="s">
        <v>254</v>
      </c>
      <c r="J1091" t="s">
        <v>625</v>
      </c>
      <c r="K1091" t="s">
        <v>108</v>
      </c>
      <c r="L1091" t="s">
        <v>30</v>
      </c>
      <c r="M1091" t="s">
        <v>58</v>
      </c>
    </row>
    <row r="1092" spans="1:13" x14ac:dyDescent="0.35">
      <c r="A1092" t="s">
        <v>2141</v>
      </c>
      <c r="B1092" s="9">
        <v>46076</v>
      </c>
      <c r="C1092" t="s">
        <v>2142</v>
      </c>
      <c r="D1092" t="s">
        <v>33</v>
      </c>
      <c r="E1092" t="s">
        <v>16</v>
      </c>
      <c r="F1092" t="s">
        <v>74</v>
      </c>
      <c r="G1092" t="s">
        <v>75</v>
      </c>
      <c r="H1092">
        <v>1</v>
      </c>
      <c r="I1092" t="s">
        <v>49</v>
      </c>
      <c r="J1092" t="s">
        <v>49</v>
      </c>
      <c r="K1092">
        <v>410</v>
      </c>
      <c r="L1092" t="s">
        <v>30</v>
      </c>
      <c r="M1092" t="s">
        <v>22</v>
      </c>
    </row>
    <row r="1093" spans="1:13" x14ac:dyDescent="0.35">
      <c r="A1093" t="s">
        <v>2143</v>
      </c>
      <c r="B1093" s="9">
        <v>46164</v>
      </c>
      <c r="C1093" t="s">
        <v>1789</v>
      </c>
      <c r="D1093" t="s">
        <v>99</v>
      </c>
      <c r="E1093" t="s">
        <v>16</v>
      </c>
      <c r="F1093" t="s">
        <v>42</v>
      </c>
      <c r="G1093" t="s">
        <v>43</v>
      </c>
      <c r="H1093">
        <v>3</v>
      </c>
      <c r="I1093" t="s">
        <v>132</v>
      </c>
      <c r="J1093" t="s">
        <v>232</v>
      </c>
      <c r="K1093" t="s">
        <v>111</v>
      </c>
      <c r="L1093" t="s">
        <v>30</v>
      </c>
      <c r="M1093" t="s">
        <v>22</v>
      </c>
    </row>
    <row r="1094" spans="1:13" x14ac:dyDescent="0.35">
      <c r="A1094" t="s">
        <v>2144</v>
      </c>
      <c r="B1094" s="9">
        <v>46183</v>
      </c>
      <c r="C1094" t="s">
        <v>263</v>
      </c>
      <c r="D1094" t="s">
        <v>99</v>
      </c>
      <c r="E1094" t="s">
        <v>41</v>
      </c>
      <c r="F1094" t="s">
        <v>47</v>
      </c>
      <c r="G1094" t="s">
        <v>48</v>
      </c>
      <c r="H1094">
        <v>1</v>
      </c>
      <c r="I1094" t="s">
        <v>79</v>
      </c>
      <c r="J1094" t="s">
        <v>1171</v>
      </c>
      <c r="K1094" t="s">
        <v>50</v>
      </c>
      <c r="L1094" t="s">
        <v>30</v>
      </c>
      <c r="M1094" t="s">
        <v>22</v>
      </c>
    </row>
    <row r="1095" spans="1:13" x14ac:dyDescent="0.35">
      <c r="A1095" t="s">
        <v>2145</v>
      </c>
      <c r="B1095" s="9">
        <v>46155</v>
      </c>
      <c r="C1095" t="s">
        <v>1044</v>
      </c>
      <c r="D1095" t="s">
        <v>53</v>
      </c>
      <c r="E1095" t="s">
        <v>25</v>
      </c>
      <c r="F1095" t="s">
        <v>83</v>
      </c>
      <c r="G1095" t="s">
        <v>84</v>
      </c>
      <c r="H1095">
        <v>1</v>
      </c>
      <c r="I1095" t="s">
        <v>1002</v>
      </c>
      <c r="J1095" t="s">
        <v>79</v>
      </c>
      <c r="K1095" t="s">
        <v>103</v>
      </c>
      <c r="L1095" t="s">
        <v>30</v>
      </c>
      <c r="M1095" t="s">
        <v>58</v>
      </c>
    </row>
    <row r="1096" spans="1:13" x14ac:dyDescent="0.35">
      <c r="A1096" t="s">
        <v>2146</v>
      </c>
      <c r="B1096" s="9">
        <v>46124</v>
      </c>
      <c r="C1096" t="s">
        <v>877</v>
      </c>
      <c r="D1096" t="s">
        <v>66</v>
      </c>
      <c r="E1096" t="s">
        <v>67</v>
      </c>
      <c r="F1096" t="s">
        <v>42</v>
      </c>
      <c r="G1096" t="s">
        <v>43</v>
      </c>
      <c r="H1096">
        <v>1</v>
      </c>
      <c r="I1096" t="s">
        <v>71</v>
      </c>
      <c r="J1096" t="s">
        <v>71</v>
      </c>
      <c r="K1096">
        <v>190</v>
      </c>
      <c r="L1096" t="s">
        <v>30</v>
      </c>
      <c r="M1096" t="s">
        <v>58</v>
      </c>
    </row>
    <row r="1097" spans="1:13" x14ac:dyDescent="0.35">
      <c r="A1097" t="s">
        <v>2147</v>
      </c>
      <c r="B1097" s="9">
        <v>46328</v>
      </c>
      <c r="C1097" t="s">
        <v>2148</v>
      </c>
      <c r="D1097" t="s">
        <v>33</v>
      </c>
      <c r="E1097" t="s">
        <v>34</v>
      </c>
      <c r="F1097" t="s">
        <v>17</v>
      </c>
      <c r="G1097" t="s">
        <v>18</v>
      </c>
      <c r="H1097">
        <v>1</v>
      </c>
      <c r="I1097" t="s">
        <v>71</v>
      </c>
      <c r="J1097" t="s">
        <v>71</v>
      </c>
      <c r="K1097">
        <v>520</v>
      </c>
      <c r="L1097" t="s">
        <v>30</v>
      </c>
      <c r="M1097" t="s">
        <v>22</v>
      </c>
    </row>
    <row r="1098" spans="1:13" x14ac:dyDescent="0.35">
      <c r="A1098" t="s">
        <v>2149</v>
      </c>
      <c r="B1098" s="9">
        <v>46077</v>
      </c>
      <c r="C1098" t="s">
        <v>2150</v>
      </c>
      <c r="D1098" t="s">
        <v>40</v>
      </c>
      <c r="E1098" t="s">
        <v>25</v>
      </c>
      <c r="F1098" t="s">
        <v>47</v>
      </c>
      <c r="G1098" t="s">
        <v>48</v>
      </c>
      <c r="H1098">
        <v>2</v>
      </c>
      <c r="I1098" t="s">
        <v>106</v>
      </c>
      <c r="J1098" t="s">
        <v>107</v>
      </c>
      <c r="K1098">
        <v>380</v>
      </c>
      <c r="L1098" t="s">
        <v>30</v>
      </c>
      <c r="M1098" t="s">
        <v>22</v>
      </c>
    </row>
    <row r="1099" spans="1:13" x14ac:dyDescent="0.35">
      <c r="A1099" t="s">
        <v>2151</v>
      </c>
      <c r="B1099" s="9">
        <v>46127</v>
      </c>
      <c r="C1099" t="s">
        <v>1258</v>
      </c>
      <c r="D1099" t="s">
        <v>15</v>
      </c>
      <c r="E1099" t="s">
        <v>41</v>
      </c>
      <c r="F1099" t="s">
        <v>83</v>
      </c>
      <c r="G1099" t="s">
        <v>84</v>
      </c>
      <c r="H1099">
        <v>3</v>
      </c>
      <c r="I1099" t="s">
        <v>79</v>
      </c>
      <c r="J1099" t="s">
        <v>91</v>
      </c>
      <c r="K1099">
        <v>340</v>
      </c>
      <c r="L1099" t="s">
        <v>30</v>
      </c>
      <c r="M1099" t="s">
        <v>22</v>
      </c>
    </row>
    <row r="1100" spans="1:13" x14ac:dyDescent="0.35">
      <c r="A1100" t="s">
        <v>2152</v>
      </c>
      <c r="B1100" s="9">
        <v>46028</v>
      </c>
      <c r="C1100" t="s">
        <v>2153</v>
      </c>
      <c r="D1100" t="s">
        <v>46</v>
      </c>
      <c r="E1100" t="s">
        <v>25</v>
      </c>
      <c r="F1100" t="s">
        <v>42</v>
      </c>
      <c r="G1100" t="s">
        <v>43</v>
      </c>
      <c r="H1100">
        <v>3</v>
      </c>
      <c r="I1100" t="s">
        <v>254</v>
      </c>
      <c r="J1100" t="s">
        <v>390</v>
      </c>
      <c r="K1100">
        <v>190</v>
      </c>
      <c r="L1100" t="s">
        <v>30</v>
      </c>
      <c r="M1100" t="s">
        <v>22</v>
      </c>
    </row>
    <row r="1101" spans="1:13" x14ac:dyDescent="0.35">
      <c r="A1101" t="s">
        <v>2154</v>
      </c>
      <c r="B1101" s="9">
        <v>46051</v>
      </c>
      <c r="C1101" t="s">
        <v>2155</v>
      </c>
      <c r="D1101" t="s">
        <v>116</v>
      </c>
      <c r="E1101" t="s">
        <v>25</v>
      </c>
      <c r="F1101" t="s">
        <v>17</v>
      </c>
      <c r="G1101" t="s">
        <v>18</v>
      </c>
      <c r="H1101">
        <v>2</v>
      </c>
      <c r="I1101" t="s">
        <v>68</v>
      </c>
      <c r="J1101" t="s">
        <v>248</v>
      </c>
      <c r="K1101">
        <v>520</v>
      </c>
      <c r="L1101" t="s">
        <v>30</v>
      </c>
      <c r="M1101" t="s">
        <v>22</v>
      </c>
    </row>
    <row r="1102" spans="1:13" x14ac:dyDescent="0.35">
      <c r="A1102" t="s">
        <v>2156</v>
      </c>
      <c r="B1102" t="s">
        <v>1948</v>
      </c>
      <c r="C1102" t="s">
        <v>515</v>
      </c>
      <c r="D1102" t="s">
        <v>66</v>
      </c>
      <c r="E1102" t="s">
        <v>34</v>
      </c>
      <c r="F1102" t="s">
        <v>74</v>
      </c>
      <c r="G1102" t="s">
        <v>75</v>
      </c>
      <c r="H1102">
        <v>2</v>
      </c>
      <c r="I1102" t="s">
        <v>85</v>
      </c>
      <c r="J1102" t="s">
        <v>267</v>
      </c>
      <c r="K1102">
        <v>410</v>
      </c>
      <c r="L1102" t="s">
        <v>30</v>
      </c>
      <c r="M1102" t="s">
        <v>58</v>
      </c>
    </row>
    <row r="1103" spans="1:13" x14ac:dyDescent="0.35">
      <c r="A1103" t="s">
        <v>2157</v>
      </c>
      <c r="B1103" t="s">
        <v>470</v>
      </c>
      <c r="C1103" t="s">
        <v>2158</v>
      </c>
      <c r="D1103" t="s">
        <v>116</v>
      </c>
      <c r="E1103" t="s">
        <v>16</v>
      </c>
      <c r="F1103" t="s">
        <v>89</v>
      </c>
      <c r="G1103" t="s">
        <v>90</v>
      </c>
      <c r="H1103">
        <v>2</v>
      </c>
      <c r="I1103" t="s">
        <v>132</v>
      </c>
      <c r="J1103" t="s">
        <v>133</v>
      </c>
      <c r="K1103">
        <v>640</v>
      </c>
      <c r="L1103" t="s">
        <v>30</v>
      </c>
      <c r="M1103" t="s">
        <v>22</v>
      </c>
    </row>
    <row r="1104" spans="1:13" x14ac:dyDescent="0.35">
      <c r="A1104" t="s">
        <v>2159</v>
      </c>
      <c r="B1104" s="9">
        <v>46176</v>
      </c>
      <c r="C1104" t="s">
        <v>2160</v>
      </c>
      <c r="D1104" t="s">
        <v>15</v>
      </c>
      <c r="E1104" t="s">
        <v>25</v>
      </c>
      <c r="F1104" t="s">
        <v>42</v>
      </c>
      <c r="G1104" t="s">
        <v>43</v>
      </c>
      <c r="H1104">
        <v>2</v>
      </c>
      <c r="I1104" t="s">
        <v>71</v>
      </c>
      <c r="J1104" t="s">
        <v>286</v>
      </c>
      <c r="K1104" t="s">
        <v>111</v>
      </c>
      <c r="L1104" t="s">
        <v>30</v>
      </c>
      <c r="M1104" t="s">
        <v>22</v>
      </c>
    </row>
    <row r="1105" spans="1:13" x14ac:dyDescent="0.35">
      <c r="A1105" t="s">
        <v>2161</v>
      </c>
      <c r="B1105" t="s">
        <v>1398</v>
      </c>
      <c r="C1105" t="s">
        <v>1435</v>
      </c>
      <c r="D1105" t="s">
        <v>15</v>
      </c>
      <c r="E1105" t="s">
        <v>34</v>
      </c>
      <c r="F1105" t="s">
        <v>74</v>
      </c>
      <c r="G1105" t="s">
        <v>75</v>
      </c>
      <c r="H1105">
        <v>1</v>
      </c>
      <c r="I1105" t="s">
        <v>71</v>
      </c>
      <c r="J1105" t="s">
        <v>71</v>
      </c>
      <c r="K1105">
        <v>410</v>
      </c>
      <c r="L1105" t="s">
        <v>30</v>
      </c>
      <c r="M1105" t="s">
        <v>58</v>
      </c>
    </row>
    <row r="1106" spans="1:13" x14ac:dyDescent="0.35">
      <c r="A1106" t="s">
        <v>2162</v>
      </c>
      <c r="B1106" s="9">
        <v>46185</v>
      </c>
      <c r="C1106" t="s">
        <v>2163</v>
      </c>
      <c r="D1106" t="s">
        <v>94</v>
      </c>
      <c r="E1106" t="s">
        <v>16</v>
      </c>
      <c r="F1106" t="s">
        <v>47</v>
      </c>
      <c r="G1106" t="s">
        <v>48</v>
      </c>
      <c r="H1106">
        <v>2</v>
      </c>
      <c r="I1106" t="s">
        <v>155</v>
      </c>
      <c r="J1106" t="s">
        <v>156</v>
      </c>
      <c r="K1106" t="s">
        <v>50</v>
      </c>
      <c r="L1106" t="s">
        <v>21</v>
      </c>
      <c r="M1106" t="s">
        <v>22</v>
      </c>
    </row>
    <row r="1107" spans="1:13" x14ac:dyDescent="0.35">
      <c r="A1107" t="s">
        <v>2164</v>
      </c>
      <c r="B1107" s="9">
        <v>46100</v>
      </c>
      <c r="C1107" t="s">
        <v>291</v>
      </c>
      <c r="D1107" t="s">
        <v>116</v>
      </c>
      <c r="E1107" t="s">
        <v>41</v>
      </c>
      <c r="F1107" t="s">
        <v>17</v>
      </c>
      <c r="G1107" t="s">
        <v>18</v>
      </c>
      <c r="H1107">
        <v>1</v>
      </c>
      <c r="I1107" t="s">
        <v>19</v>
      </c>
      <c r="J1107" t="s">
        <v>19</v>
      </c>
      <c r="K1107">
        <v>520</v>
      </c>
      <c r="L1107" t="s">
        <v>30</v>
      </c>
      <c r="M1107" t="s">
        <v>22</v>
      </c>
    </row>
    <row r="1108" spans="1:13" x14ac:dyDescent="0.35">
      <c r="A1108" t="s">
        <v>2165</v>
      </c>
      <c r="B1108" s="9">
        <v>46196</v>
      </c>
      <c r="C1108" t="s">
        <v>1431</v>
      </c>
      <c r="D1108" t="s">
        <v>46</v>
      </c>
      <c r="E1108" t="s">
        <v>25</v>
      </c>
      <c r="F1108" t="s">
        <v>83</v>
      </c>
      <c r="G1108" t="s">
        <v>84</v>
      </c>
      <c r="H1108">
        <v>2</v>
      </c>
      <c r="I1108" t="s">
        <v>68</v>
      </c>
      <c r="J1108" t="s">
        <v>248</v>
      </c>
      <c r="K1108" t="s">
        <v>103</v>
      </c>
      <c r="L1108" t="s">
        <v>30</v>
      </c>
      <c r="M1108" t="s">
        <v>22</v>
      </c>
    </row>
    <row r="1109" spans="1:13" x14ac:dyDescent="0.35">
      <c r="A1109" t="s">
        <v>2166</v>
      </c>
      <c r="B1109" s="9">
        <v>46159</v>
      </c>
      <c r="C1109" t="s">
        <v>1960</v>
      </c>
      <c r="D1109" t="s">
        <v>40</v>
      </c>
      <c r="E1109" t="s">
        <v>25</v>
      </c>
      <c r="F1109" t="s">
        <v>26</v>
      </c>
      <c r="G1109" t="s">
        <v>27</v>
      </c>
      <c r="H1109">
        <v>-2</v>
      </c>
      <c r="I1109" t="s">
        <v>85</v>
      </c>
      <c r="J1109" t="s">
        <v>1617</v>
      </c>
      <c r="K1109" t="s">
        <v>29</v>
      </c>
      <c r="L1109" t="s">
        <v>30</v>
      </c>
      <c r="M1109" t="s">
        <v>22</v>
      </c>
    </row>
    <row r="1110" spans="1:13" x14ac:dyDescent="0.35">
      <c r="A1110" t="s">
        <v>2167</v>
      </c>
      <c r="B1110" s="9">
        <v>46107</v>
      </c>
      <c r="C1110" t="s">
        <v>2168</v>
      </c>
      <c r="D1110" t="s">
        <v>33</v>
      </c>
      <c r="E1110" t="s">
        <v>25</v>
      </c>
      <c r="F1110" t="s">
        <v>35</v>
      </c>
      <c r="G1110" t="s">
        <v>36</v>
      </c>
      <c r="H1110">
        <v>1</v>
      </c>
      <c r="I1110" t="s">
        <v>56</v>
      </c>
      <c r="J1110" t="s">
        <v>56</v>
      </c>
      <c r="K1110">
        <v>85</v>
      </c>
      <c r="L1110" t="s">
        <v>30</v>
      </c>
      <c r="M1110" t="s">
        <v>58</v>
      </c>
    </row>
    <row r="1111" spans="1:13" x14ac:dyDescent="0.35">
      <c r="A1111" t="s">
        <v>2169</v>
      </c>
      <c r="B1111" s="9">
        <v>46200</v>
      </c>
      <c r="C1111" t="s">
        <v>1140</v>
      </c>
      <c r="D1111" t="s">
        <v>94</v>
      </c>
      <c r="E1111" t="s">
        <v>41</v>
      </c>
      <c r="F1111" t="s">
        <v>74</v>
      </c>
      <c r="G1111" t="s">
        <v>75</v>
      </c>
      <c r="H1111">
        <v>2</v>
      </c>
      <c r="I1111" t="s">
        <v>170</v>
      </c>
      <c r="J1111" t="s">
        <v>152</v>
      </c>
      <c r="K1111" t="s">
        <v>76</v>
      </c>
      <c r="L1111" t="s">
        <v>30</v>
      </c>
      <c r="M1111" t="s">
        <v>22</v>
      </c>
    </row>
    <row r="1112" spans="1:13" x14ac:dyDescent="0.35">
      <c r="A1112" t="s">
        <v>2170</v>
      </c>
      <c r="B1112" s="9">
        <v>46045</v>
      </c>
      <c r="C1112" t="s">
        <v>2171</v>
      </c>
      <c r="D1112" t="s">
        <v>116</v>
      </c>
      <c r="E1112" t="s">
        <v>25</v>
      </c>
      <c r="F1112" t="s">
        <v>74</v>
      </c>
      <c r="G1112" t="s">
        <v>75</v>
      </c>
      <c r="H1112">
        <v>1</v>
      </c>
      <c r="I1112" t="s">
        <v>62</v>
      </c>
      <c r="J1112" t="s">
        <v>62</v>
      </c>
      <c r="K1112">
        <v>410</v>
      </c>
      <c r="L1112" t="s">
        <v>30</v>
      </c>
      <c r="M1112" t="s">
        <v>58</v>
      </c>
    </row>
    <row r="1113" spans="1:13" x14ac:dyDescent="0.35">
      <c r="A1113" t="s">
        <v>2172</v>
      </c>
      <c r="B1113" s="9">
        <v>46042</v>
      </c>
      <c r="C1113" t="s">
        <v>773</v>
      </c>
      <c r="D1113" t="s">
        <v>53</v>
      </c>
      <c r="E1113" t="s">
        <v>16</v>
      </c>
      <c r="F1113" t="s">
        <v>47</v>
      </c>
      <c r="G1113" t="s">
        <v>48</v>
      </c>
      <c r="H1113">
        <v>-2</v>
      </c>
      <c r="I1113" t="s">
        <v>79</v>
      </c>
      <c r="J1113" t="s">
        <v>281</v>
      </c>
      <c r="K1113">
        <v>380</v>
      </c>
      <c r="L1113" t="s">
        <v>30</v>
      </c>
      <c r="M1113" t="s">
        <v>22</v>
      </c>
    </row>
    <row r="1114" spans="1:13" x14ac:dyDescent="0.35">
      <c r="A1114" t="s">
        <v>2173</v>
      </c>
      <c r="B1114" s="9">
        <v>46104</v>
      </c>
      <c r="C1114" t="s">
        <v>2174</v>
      </c>
      <c r="D1114" t="s">
        <v>61</v>
      </c>
      <c r="E1114" t="s">
        <v>34</v>
      </c>
      <c r="F1114" t="s">
        <v>17</v>
      </c>
      <c r="G1114" t="s">
        <v>18</v>
      </c>
      <c r="H1114">
        <v>1</v>
      </c>
      <c r="I1114" t="s">
        <v>19</v>
      </c>
      <c r="J1114" t="s">
        <v>19</v>
      </c>
      <c r="K1114">
        <v>520</v>
      </c>
      <c r="L1114" t="s">
        <v>21</v>
      </c>
      <c r="M1114" t="s">
        <v>58</v>
      </c>
    </row>
    <row r="1115" spans="1:13" x14ac:dyDescent="0.35">
      <c r="A1115" t="s">
        <v>2175</v>
      </c>
      <c r="B1115" s="9">
        <v>46086</v>
      </c>
      <c r="C1115" t="s">
        <v>682</v>
      </c>
      <c r="D1115" t="s">
        <v>33</v>
      </c>
      <c r="E1115" t="s">
        <v>67</v>
      </c>
      <c r="F1115" t="s">
        <v>42</v>
      </c>
      <c r="G1115" t="s">
        <v>43</v>
      </c>
      <c r="H1115">
        <v>2</v>
      </c>
      <c r="I1115" t="s">
        <v>19</v>
      </c>
      <c r="J1115" t="s">
        <v>238</v>
      </c>
      <c r="K1115">
        <v>190</v>
      </c>
      <c r="L1115" t="s">
        <v>30</v>
      </c>
      <c r="M1115" t="s">
        <v>22</v>
      </c>
    </row>
    <row r="1116" spans="1:13" x14ac:dyDescent="0.35">
      <c r="A1116" t="s">
        <v>2176</v>
      </c>
      <c r="B1116" s="9">
        <v>46198</v>
      </c>
      <c r="C1116" t="s">
        <v>1802</v>
      </c>
      <c r="D1116" t="s">
        <v>15</v>
      </c>
      <c r="E1116" t="s">
        <v>16</v>
      </c>
      <c r="F1116" t="s">
        <v>89</v>
      </c>
      <c r="G1116" t="s">
        <v>90</v>
      </c>
      <c r="H1116">
        <v>1</v>
      </c>
      <c r="I1116" t="s">
        <v>19</v>
      </c>
      <c r="J1116" t="s">
        <v>19</v>
      </c>
      <c r="K1116" t="s">
        <v>108</v>
      </c>
      <c r="L1116" t="s">
        <v>30</v>
      </c>
      <c r="M1116" t="s">
        <v>22</v>
      </c>
    </row>
    <row r="1117" spans="1:13" x14ac:dyDescent="0.35">
      <c r="A1117" t="s">
        <v>2177</v>
      </c>
      <c r="B1117" s="9">
        <v>46357</v>
      </c>
      <c r="C1117" t="s">
        <v>78</v>
      </c>
      <c r="D1117" t="s">
        <v>53</v>
      </c>
      <c r="E1117" t="s">
        <v>41</v>
      </c>
      <c r="F1117" t="s">
        <v>74</v>
      </c>
      <c r="G1117" t="s">
        <v>75</v>
      </c>
      <c r="H1117">
        <v>1</v>
      </c>
      <c r="I1117" t="s">
        <v>28</v>
      </c>
      <c r="J1117" t="s">
        <v>28</v>
      </c>
      <c r="K1117">
        <v>410</v>
      </c>
      <c r="L1117" t="s">
        <v>21</v>
      </c>
      <c r="M1117" t="s">
        <v>58</v>
      </c>
    </row>
    <row r="1118" spans="1:13" x14ac:dyDescent="0.35">
      <c r="A1118" t="s">
        <v>2178</v>
      </c>
      <c r="B1118" s="9">
        <v>46034</v>
      </c>
      <c r="C1118" t="s">
        <v>1364</v>
      </c>
      <c r="D1118" t="s">
        <v>116</v>
      </c>
      <c r="E1118" t="s">
        <v>41</v>
      </c>
      <c r="F1118" t="s">
        <v>35</v>
      </c>
      <c r="G1118" t="s">
        <v>36</v>
      </c>
      <c r="H1118">
        <v>-2</v>
      </c>
      <c r="I1118" t="s">
        <v>106</v>
      </c>
      <c r="J1118" t="s">
        <v>2179</v>
      </c>
      <c r="K1118">
        <v>85</v>
      </c>
      <c r="L1118" t="s">
        <v>30</v>
      </c>
      <c r="M1118" t="s">
        <v>22</v>
      </c>
    </row>
    <row r="1119" spans="1:13" x14ac:dyDescent="0.35">
      <c r="A1119" t="s">
        <v>2180</v>
      </c>
      <c r="B1119" s="9">
        <v>46360</v>
      </c>
      <c r="C1119" t="s">
        <v>385</v>
      </c>
      <c r="D1119" t="s">
        <v>53</v>
      </c>
      <c r="E1119" t="s">
        <v>67</v>
      </c>
      <c r="F1119" t="s">
        <v>47</v>
      </c>
      <c r="G1119" t="s">
        <v>48</v>
      </c>
      <c r="H1119">
        <v>1</v>
      </c>
      <c r="I1119" t="s">
        <v>436</v>
      </c>
      <c r="J1119" t="s">
        <v>79</v>
      </c>
      <c r="K1119">
        <v>380</v>
      </c>
      <c r="L1119" t="s">
        <v>21</v>
      </c>
      <c r="M1119" t="s">
        <v>22</v>
      </c>
    </row>
    <row r="1120" spans="1:13" x14ac:dyDescent="0.35">
      <c r="A1120" t="s">
        <v>2181</v>
      </c>
      <c r="B1120" s="9">
        <v>46119</v>
      </c>
      <c r="C1120" t="s">
        <v>2182</v>
      </c>
      <c r="D1120" t="s">
        <v>33</v>
      </c>
      <c r="E1120" t="s">
        <v>25</v>
      </c>
      <c r="F1120" t="s">
        <v>17</v>
      </c>
      <c r="G1120" t="s">
        <v>18</v>
      </c>
      <c r="H1120">
        <v>2</v>
      </c>
      <c r="I1120" t="s">
        <v>132</v>
      </c>
      <c r="J1120" t="s">
        <v>133</v>
      </c>
      <c r="K1120">
        <v>520</v>
      </c>
      <c r="L1120" t="s">
        <v>30</v>
      </c>
      <c r="M1120" t="s">
        <v>22</v>
      </c>
    </row>
    <row r="1121" spans="1:13" x14ac:dyDescent="0.35">
      <c r="A1121" t="s">
        <v>2183</v>
      </c>
      <c r="B1121" s="9">
        <v>46050</v>
      </c>
      <c r="C1121" t="s">
        <v>2184</v>
      </c>
      <c r="D1121" t="s">
        <v>33</v>
      </c>
      <c r="E1121" t="s">
        <v>25</v>
      </c>
      <c r="F1121" t="s">
        <v>47</v>
      </c>
      <c r="G1121" t="s">
        <v>48</v>
      </c>
      <c r="H1121">
        <v>2</v>
      </c>
      <c r="I1121" t="s">
        <v>136</v>
      </c>
      <c r="J1121" t="s">
        <v>164</v>
      </c>
      <c r="K1121">
        <v>380</v>
      </c>
      <c r="L1121" t="s">
        <v>30</v>
      </c>
      <c r="M1121" t="s">
        <v>22</v>
      </c>
    </row>
    <row r="1122" spans="1:13" x14ac:dyDescent="0.35">
      <c r="A1122" t="s">
        <v>2185</v>
      </c>
      <c r="B1122" s="9">
        <v>46101</v>
      </c>
      <c r="C1122" t="s">
        <v>1636</v>
      </c>
      <c r="D1122" t="s">
        <v>61</v>
      </c>
      <c r="E1122" t="s">
        <v>25</v>
      </c>
      <c r="F1122" t="s">
        <v>26</v>
      </c>
      <c r="G1122" t="s">
        <v>27</v>
      </c>
      <c r="H1122">
        <v>1</v>
      </c>
      <c r="I1122" t="s">
        <v>132</v>
      </c>
      <c r="J1122" t="s">
        <v>132</v>
      </c>
      <c r="K1122">
        <v>520</v>
      </c>
      <c r="L1122" t="s">
        <v>30</v>
      </c>
      <c r="M1122" t="s">
        <v>22</v>
      </c>
    </row>
    <row r="1123" spans="1:13" x14ac:dyDescent="0.35">
      <c r="A1123" t="s">
        <v>2186</v>
      </c>
      <c r="B1123" s="9">
        <v>46125</v>
      </c>
      <c r="C1123" t="s">
        <v>2187</v>
      </c>
      <c r="D1123" t="s">
        <v>40</v>
      </c>
      <c r="E1123" t="s">
        <v>41</v>
      </c>
      <c r="F1123" t="s">
        <v>42</v>
      </c>
      <c r="G1123" t="s">
        <v>43</v>
      </c>
      <c r="H1123">
        <v>1</v>
      </c>
      <c r="I1123" t="s">
        <v>102</v>
      </c>
      <c r="J1123" t="s">
        <v>102</v>
      </c>
      <c r="K1123">
        <v>190</v>
      </c>
      <c r="L1123" t="s">
        <v>21</v>
      </c>
      <c r="M1123" t="s">
        <v>22</v>
      </c>
    </row>
    <row r="1124" spans="1:13" x14ac:dyDescent="0.35">
      <c r="A1124" t="s">
        <v>2188</v>
      </c>
      <c r="B1124" s="9">
        <v>46084</v>
      </c>
      <c r="C1124" t="s">
        <v>2189</v>
      </c>
      <c r="D1124" t="s">
        <v>53</v>
      </c>
      <c r="E1124" t="s">
        <v>25</v>
      </c>
      <c r="F1124" t="s">
        <v>42</v>
      </c>
      <c r="G1124" t="s">
        <v>43</v>
      </c>
      <c r="H1124">
        <v>1</v>
      </c>
      <c r="I1124" t="s">
        <v>170</v>
      </c>
      <c r="J1124" t="s">
        <v>1729</v>
      </c>
      <c r="K1124">
        <v>190</v>
      </c>
      <c r="L1124" t="s">
        <v>30</v>
      </c>
      <c r="M1124" t="s">
        <v>58</v>
      </c>
    </row>
    <row r="1125" spans="1:13" x14ac:dyDescent="0.35">
      <c r="A1125" t="s">
        <v>2190</v>
      </c>
      <c r="B1125" s="9">
        <v>46100</v>
      </c>
      <c r="C1125" t="s">
        <v>2191</v>
      </c>
      <c r="D1125" t="s">
        <v>15</v>
      </c>
      <c r="E1125" t="s">
        <v>41</v>
      </c>
      <c r="F1125" t="s">
        <v>89</v>
      </c>
      <c r="G1125" t="s">
        <v>90</v>
      </c>
      <c r="H1125">
        <v>1</v>
      </c>
      <c r="I1125" t="s">
        <v>68</v>
      </c>
      <c r="J1125" t="s">
        <v>68</v>
      </c>
      <c r="K1125">
        <v>640</v>
      </c>
      <c r="L1125" t="s">
        <v>21</v>
      </c>
      <c r="M1125" t="s">
        <v>22</v>
      </c>
    </row>
    <row r="1126" spans="1:13" x14ac:dyDescent="0.35">
      <c r="A1126" t="s">
        <v>2192</v>
      </c>
      <c r="B1126" s="9">
        <v>46201</v>
      </c>
      <c r="C1126" t="s">
        <v>2193</v>
      </c>
      <c r="D1126" t="s">
        <v>116</v>
      </c>
      <c r="E1126" t="s">
        <v>16</v>
      </c>
      <c r="F1126" t="s">
        <v>35</v>
      </c>
      <c r="G1126" t="s">
        <v>36</v>
      </c>
      <c r="H1126">
        <v>-2</v>
      </c>
      <c r="I1126" t="s">
        <v>254</v>
      </c>
      <c r="J1126" t="s">
        <v>767</v>
      </c>
      <c r="K1126" t="s">
        <v>37</v>
      </c>
      <c r="L1126" t="s">
        <v>30</v>
      </c>
      <c r="M1126" t="s">
        <v>22</v>
      </c>
    </row>
    <row r="1127" spans="1:13" x14ac:dyDescent="0.35">
      <c r="A1127" t="s">
        <v>2194</v>
      </c>
      <c r="B1127" s="9">
        <v>46052</v>
      </c>
      <c r="C1127" t="s">
        <v>2100</v>
      </c>
      <c r="D1127" t="s">
        <v>99</v>
      </c>
      <c r="E1127" t="s">
        <v>25</v>
      </c>
      <c r="F1127" t="s">
        <v>74</v>
      </c>
      <c r="G1127" t="s">
        <v>75</v>
      </c>
      <c r="H1127">
        <v>2</v>
      </c>
      <c r="I1127" t="s">
        <v>106</v>
      </c>
      <c r="J1127" t="s">
        <v>107</v>
      </c>
      <c r="K1127">
        <v>410</v>
      </c>
      <c r="L1127" t="s">
        <v>30</v>
      </c>
      <c r="M1127" t="s">
        <v>22</v>
      </c>
    </row>
    <row r="1128" spans="1:13" x14ac:dyDescent="0.35">
      <c r="A1128" t="s">
        <v>2195</v>
      </c>
      <c r="B1128" s="9">
        <v>46060</v>
      </c>
      <c r="C1128" t="s">
        <v>885</v>
      </c>
      <c r="D1128" t="s">
        <v>53</v>
      </c>
      <c r="E1128" t="s">
        <v>67</v>
      </c>
      <c r="F1128" t="s">
        <v>89</v>
      </c>
      <c r="G1128" t="s">
        <v>90</v>
      </c>
      <c r="H1128">
        <v>1</v>
      </c>
      <c r="I1128" t="s">
        <v>132</v>
      </c>
      <c r="J1128" t="s">
        <v>132</v>
      </c>
      <c r="K1128">
        <v>640</v>
      </c>
      <c r="L1128" t="s">
        <v>30</v>
      </c>
      <c r="M1128" t="s">
        <v>22</v>
      </c>
    </row>
    <row r="1129" spans="1:13" x14ac:dyDescent="0.35">
      <c r="A1129" t="s">
        <v>2196</v>
      </c>
      <c r="B1129" s="9">
        <v>46046</v>
      </c>
      <c r="C1129" t="s">
        <v>1854</v>
      </c>
      <c r="D1129" t="s">
        <v>33</v>
      </c>
      <c r="E1129" t="s">
        <v>25</v>
      </c>
      <c r="F1129" t="s">
        <v>26</v>
      </c>
      <c r="G1129" t="s">
        <v>27</v>
      </c>
      <c r="H1129">
        <v>2</v>
      </c>
      <c r="I1129" t="s">
        <v>79</v>
      </c>
      <c r="J1129" t="s">
        <v>143</v>
      </c>
      <c r="K1129">
        <v>520</v>
      </c>
      <c r="L1129" t="s">
        <v>30</v>
      </c>
      <c r="M1129" t="s">
        <v>22</v>
      </c>
    </row>
    <row r="1130" spans="1:13" x14ac:dyDescent="0.35">
      <c r="A1130" t="s">
        <v>2197</v>
      </c>
      <c r="B1130" s="9">
        <v>46085</v>
      </c>
      <c r="C1130" t="s">
        <v>2070</v>
      </c>
      <c r="D1130" t="s">
        <v>94</v>
      </c>
      <c r="E1130" t="s">
        <v>34</v>
      </c>
      <c r="F1130" t="s">
        <v>17</v>
      </c>
      <c r="G1130" t="s">
        <v>18</v>
      </c>
      <c r="H1130">
        <v>2</v>
      </c>
      <c r="I1130" t="s">
        <v>49</v>
      </c>
      <c r="J1130" t="s">
        <v>178</v>
      </c>
      <c r="K1130">
        <v>520</v>
      </c>
      <c r="L1130" t="s">
        <v>30</v>
      </c>
      <c r="M1130" t="s">
        <v>58</v>
      </c>
    </row>
    <row r="1131" spans="1:13" x14ac:dyDescent="0.35">
      <c r="A1131" t="s">
        <v>2198</v>
      </c>
      <c r="B1131" s="9">
        <v>46208</v>
      </c>
      <c r="C1131" t="s">
        <v>2199</v>
      </c>
      <c r="D1131" t="s">
        <v>66</v>
      </c>
      <c r="E1131" t="s">
        <v>25</v>
      </c>
      <c r="F1131" t="s">
        <v>47</v>
      </c>
      <c r="G1131" t="s">
        <v>48</v>
      </c>
      <c r="H1131">
        <v>3</v>
      </c>
      <c r="I1131" t="s">
        <v>79</v>
      </c>
      <c r="J1131" t="s">
        <v>91</v>
      </c>
      <c r="K1131" t="s">
        <v>50</v>
      </c>
      <c r="L1131" t="s">
        <v>30</v>
      </c>
      <c r="M1131" t="s">
        <v>22</v>
      </c>
    </row>
    <row r="1132" spans="1:13" x14ac:dyDescent="0.35">
      <c r="A1132" t="s">
        <v>2200</v>
      </c>
      <c r="B1132" s="9">
        <v>46268</v>
      </c>
      <c r="C1132" t="s">
        <v>121</v>
      </c>
      <c r="D1132" t="s">
        <v>116</v>
      </c>
      <c r="E1132" t="s">
        <v>41</v>
      </c>
      <c r="F1132" t="s">
        <v>74</v>
      </c>
      <c r="G1132" t="s">
        <v>75</v>
      </c>
      <c r="H1132">
        <v>2</v>
      </c>
      <c r="I1132" t="s">
        <v>993</v>
      </c>
      <c r="J1132" t="s">
        <v>156</v>
      </c>
      <c r="K1132">
        <v>410</v>
      </c>
      <c r="L1132" t="s">
        <v>21</v>
      </c>
      <c r="M1132" t="s">
        <v>58</v>
      </c>
    </row>
    <row r="1133" spans="1:13" x14ac:dyDescent="0.35">
      <c r="A1133" t="s">
        <v>2201</v>
      </c>
      <c r="B1133" t="s">
        <v>336</v>
      </c>
      <c r="C1133" t="s">
        <v>557</v>
      </c>
      <c r="D1133" t="s">
        <v>94</v>
      </c>
      <c r="E1133" t="s">
        <v>16</v>
      </c>
      <c r="F1133" t="s">
        <v>89</v>
      </c>
      <c r="G1133" t="s">
        <v>90</v>
      </c>
      <c r="H1133">
        <v>2</v>
      </c>
      <c r="I1133" t="s">
        <v>79</v>
      </c>
      <c r="J1133" t="s">
        <v>143</v>
      </c>
      <c r="K1133">
        <v>640</v>
      </c>
      <c r="L1133" t="s">
        <v>21</v>
      </c>
      <c r="M1133" t="s">
        <v>22</v>
      </c>
    </row>
    <row r="1134" spans="1:13" x14ac:dyDescent="0.35">
      <c r="A1134" t="s">
        <v>2202</v>
      </c>
      <c r="B1134" s="9">
        <v>46196</v>
      </c>
      <c r="C1134" t="s">
        <v>2203</v>
      </c>
      <c r="D1134" t="s">
        <v>15</v>
      </c>
      <c r="E1134" t="s">
        <v>16</v>
      </c>
      <c r="F1134" t="s">
        <v>26</v>
      </c>
      <c r="G1134" t="s">
        <v>27</v>
      </c>
      <c r="H1134">
        <v>3</v>
      </c>
      <c r="I1134" t="s">
        <v>28</v>
      </c>
      <c r="J1134" t="s">
        <v>568</v>
      </c>
      <c r="K1134" t="s">
        <v>29</v>
      </c>
      <c r="L1134" t="s">
        <v>30</v>
      </c>
      <c r="M1134" t="s">
        <v>22</v>
      </c>
    </row>
    <row r="1135" spans="1:13" x14ac:dyDescent="0.35">
      <c r="A1135" t="s">
        <v>2204</v>
      </c>
      <c r="B1135" s="9">
        <v>46198</v>
      </c>
      <c r="C1135" t="s">
        <v>2205</v>
      </c>
      <c r="D1135" t="s">
        <v>53</v>
      </c>
      <c r="E1135" t="s">
        <v>16</v>
      </c>
      <c r="F1135" t="s">
        <v>47</v>
      </c>
      <c r="G1135" t="s">
        <v>48</v>
      </c>
      <c r="H1135">
        <v>1</v>
      </c>
      <c r="I1135" t="s">
        <v>220</v>
      </c>
      <c r="J1135" t="s">
        <v>2206</v>
      </c>
      <c r="K1135" t="s">
        <v>50</v>
      </c>
      <c r="L1135" t="s">
        <v>30</v>
      </c>
      <c r="M1135" t="s">
        <v>58</v>
      </c>
    </row>
    <row r="1136" spans="1:13" x14ac:dyDescent="0.35">
      <c r="A1136" t="s">
        <v>2207</v>
      </c>
      <c r="B1136" s="9">
        <v>46057</v>
      </c>
      <c r="C1136" t="s">
        <v>919</v>
      </c>
      <c r="D1136" t="s">
        <v>15</v>
      </c>
      <c r="E1136" t="s">
        <v>67</v>
      </c>
      <c r="F1136" t="s">
        <v>83</v>
      </c>
      <c r="G1136" t="s">
        <v>84</v>
      </c>
      <c r="H1136">
        <v>1</v>
      </c>
      <c r="I1136" t="s">
        <v>79</v>
      </c>
      <c r="J1136" t="s">
        <v>79</v>
      </c>
      <c r="K1136">
        <v>340</v>
      </c>
      <c r="L1136" t="s">
        <v>30</v>
      </c>
      <c r="M1136" t="s">
        <v>22</v>
      </c>
    </row>
    <row r="1137" spans="1:13" x14ac:dyDescent="0.35">
      <c r="A1137" t="s">
        <v>2208</v>
      </c>
      <c r="B1137" s="9">
        <v>46057</v>
      </c>
      <c r="C1137" t="s">
        <v>1076</v>
      </c>
      <c r="D1137" t="s">
        <v>61</v>
      </c>
      <c r="E1137" t="s">
        <v>34</v>
      </c>
      <c r="F1137" t="s">
        <v>89</v>
      </c>
      <c r="G1137" t="s">
        <v>90</v>
      </c>
      <c r="H1137">
        <v>1</v>
      </c>
      <c r="I1137" t="s">
        <v>28</v>
      </c>
      <c r="J1137" t="s">
        <v>28</v>
      </c>
      <c r="K1137">
        <v>640</v>
      </c>
      <c r="L1137" t="s">
        <v>30</v>
      </c>
      <c r="M1137" t="s">
        <v>22</v>
      </c>
    </row>
    <row r="1138" spans="1:13" x14ac:dyDescent="0.35">
      <c r="A1138" t="s">
        <v>2209</v>
      </c>
      <c r="B1138" s="9">
        <v>46129</v>
      </c>
      <c r="C1138" t="s">
        <v>679</v>
      </c>
      <c r="D1138" t="s">
        <v>116</v>
      </c>
      <c r="E1138" t="s">
        <v>67</v>
      </c>
      <c r="F1138" t="s">
        <v>89</v>
      </c>
      <c r="G1138" t="s">
        <v>90</v>
      </c>
      <c r="H1138">
        <v>1</v>
      </c>
      <c r="I1138" t="s">
        <v>136</v>
      </c>
      <c r="J1138" t="s">
        <v>136</v>
      </c>
      <c r="K1138">
        <v>640</v>
      </c>
      <c r="L1138" t="s">
        <v>21</v>
      </c>
      <c r="M1138" t="s">
        <v>22</v>
      </c>
    </row>
    <row r="1139" spans="1:13" x14ac:dyDescent="0.35">
      <c r="A1139" t="s">
        <v>2210</v>
      </c>
      <c r="B1139" s="9">
        <v>46101</v>
      </c>
      <c r="C1139" t="s">
        <v>2211</v>
      </c>
      <c r="D1139" t="s">
        <v>116</v>
      </c>
      <c r="E1139" t="s">
        <v>34</v>
      </c>
      <c r="F1139" t="s">
        <v>83</v>
      </c>
      <c r="G1139" t="s">
        <v>84</v>
      </c>
      <c r="H1139">
        <v>1</v>
      </c>
      <c r="I1139" t="s">
        <v>79</v>
      </c>
      <c r="J1139" t="s">
        <v>79</v>
      </c>
      <c r="K1139">
        <v>340</v>
      </c>
      <c r="L1139" t="s">
        <v>30</v>
      </c>
      <c r="M1139" t="s">
        <v>22</v>
      </c>
    </row>
    <row r="1140" spans="1:13" x14ac:dyDescent="0.35">
      <c r="A1140" t="s">
        <v>2212</v>
      </c>
      <c r="B1140" s="9">
        <v>46078</v>
      </c>
      <c r="C1140" t="s">
        <v>457</v>
      </c>
      <c r="D1140" t="s">
        <v>33</v>
      </c>
      <c r="E1140" t="s">
        <v>41</v>
      </c>
      <c r="F1140" t="s">
        <v>83</v>
      </c>
      <c r="G1140" t="s">
        <v>84</v>
      </c>
      <c r="H1140">
        <v>1</v>
      </c>
      <c r="I1140" t="s">
        <v>1508</v>
      </c>
      <c r="J1140" t="s">
        <v>220</v>
      </c>
      <c r="K1140">
        <v>340</v>
      </c>
      <c r="L1140" t="s">
        <v>30</v>
      </c>
      <c r="M1140" t="s">
        <v>58</v>
      </c>
    </row>
    <row r="1141" spans="1:13" x14ac:dyDescent="0.35">
      <c r="A1141" t="s">
        <v>2213</v>
      </c>
      <c r="B1141" s="9">
        <v>46060</v>
      </c>
      <c r="C1141" t="s">
        <v>2214</v>
      </c>
      <c r="D1141" t="s">
        <v>61</v>
      </c>
      <c r="E1141" t="s">
        <v>16</v>
      </c>
      <c r="F1141" t="s">
        <v>89</v>
      </c>
      <c r="G1141" t="s">
        <v>90</v>
      </c>
      <c r="H1141">
        <v>1</v>
      </c>
      <c r="I1141" t="s">
        <v>132</v>
      </c>
      <c r="J1141" t="s">
        <v>132</v>
      </c>
      <c r="K1141" t="s">
        <v>108</v>
      </c>
      <c r="L1141" t="s">
        <v>30</v>
      </c>
      <c r="M1141" t="s">
        <v>22</v>
      </c>
    </row>
    <row r="1142" spans="1:13" x14ac:dyDescent="0.35">
      <c r="A1142" t="s">
        <v>2215</v>
      </c>
      <c r="B1142" s="9">
        <v>46123</v>
      </c>
      <c r="C1142" t="s">
        <v>1644</v>
      </c>
      <c r="D1142" t="s">
        <v>53</v>
      </c>
      <c r="E1142" t="s">
        <v>25</v>
      </c>
      <c r="F1142" t="s">
        <v>35</v>
      </c>
      <c r="G1142" t="s">
        <v>36</v>
      </c>
      <c r="H1142">
        <v>1</v>
      </c>
      <c r="I1142" t="s">
        <v>49</v>
      </c>
      <c r="J1142" t="s">
        <v>49</v>
      </c>
      <c r="K1142">
        <v>85</v>
      </c>
      <c r="L1142" t="s">
        <v>30</v>
      </c>
      <c r="M1142" t="s">
        <v>22</v>
      </c>
    </row>
    <row r="1143" spans="1:13" x14ac:dyDescent="0.35">
      <c r="A1143" t="s">
        <v>2216</v>
      </c>
      <c r="B1143" s="9">
        <v>46167</v>
      </c>
      <c r="C1143" t="s">
        <v>1872</v>
      </c>
      <c r="D1143" t="s">
        <v>116</v>
      </c>
      <c r="E1143" t="s">
        <v>16</v>
      </c>
      <c r="F1143" t="s">
        <v>17</v>
      </c>
      <c r="G1143" t="s">
        <v>18</v>
      </c>
      <c r="H1143">
        <v>2</v>
      </c>
      <c r="I1143" t="s">
        <v>744</v>
      </c>
      <c r="J1143" t="s">
        <v>107</v>
      </c>
      <c r="K1143" t="s">
        <v>29</v>
      </c>
      <c r="L1143" t="s">
        <v>30</v>
      </c>
      <c r="M1143" t="s">
        <v>22</v>
      </c>
    </row>
    <row r="1144" spans="1:13" x14ac:dyDescent="0.35">
      <c r="A1144" t="s">
        <v>2217</v>
      </c>
      <c r="B1144" s="9">
        <v>46155</v>
      </c>
      <c r="C1144" t="s">
        <v>2218</v>
      </c>
      <c r="D1144" t="s">
        <v>33</v>
      </c>
      <c r="E1144" t="s">
        <v>67</v>
      </c>
      <c r="F1144" t="s">
        <v>89</v>
      </c>
      <c r="G1144" t="s">
        <v>90</v>
      </c>
      <c r="H1144">
        <v>2</v>
      </c>
      <c r="I1144" t="s">
        <v>170</v>
      </c>
      <c r="J1144" t="s">
        <v>152</v>
      </c>
      <c r="K1144" t="s">
        <v>108</v>
      </c>
      <c r="L1144" t="s">
        <v>30</v>
      </c>
      <c r="M1144" t="s">
        <v>22</v>
      </c>
    </row>
    <row r="1145" spans="1:13" x14ac:dyDescent="0.35">
      <c r="A1145" t="s">
        <v>2219</v>
      </c>
      <c r="B1145" s="9">
        <v>46266</v>
      </c>
      <c r="C1145" t="s">
        <v>2220</v>
      </c>
      <c r="D1145" t="s">
        <v>53</v>
      </c>
      <c r="E1145" t="s">
        <v>67</v>
      </c>
      <c r="F1145" t="s">
        <v>89</v>
      </c>
      <c r="G1145" t="s">
        <v>90</v>
      </c>
      <c r="H1145">
        <v>1</v>
      </c>
      <c r="I1145" t="s">
        <v>192</v>
      </c>
      <c r="J1145" t="s">
        <v>56</v>
      </c>
      <c r="K1145">
        <v>640</v>
      </c>
      <c r="L1145" t="s">
        <v>30</v>
      </c>
      <c r="M1145" t="s">
        <v>22</v>
      </c>
    </row>
    <row r="1146" spans="1:13" x14ac:dyDescent="0.35">
      <c r="A1146" t="s">
        <v>2221</v>
      </c>
      <c r="B1146" s="9">
        <v>46031</v>
      </c>
      <c r="C1146" t="s">
        <v>2222</v>
      </c>
      <c r="D1146" t="s">
        <v>15</v>
      </c>
      <c r="E1146" t="s">
        <v>67</v>
      </c>
      <c r="F1146" t="s">
        <v>35</v>
      </c>
      <c r="G1146" t="s">
        <v>36</v>
      </c>
      <c r="H1146">
        <v>1</v>
      </c>
      <c r="I1146" t="s">
        <v>68</v>
      </c>
      <c r="J1146" t="s">
        <v>68</v>
      </c>
      <c r="K1146">
        <v>85</v>
      </c>
      <c r="L1146" t="s">
        <v>30</v>
      </c>
      <c r="M1146" t="s">
        <v>58</v>
      </c>
    </row>
    <row r="1147" spans="1:13" x14ac:dyDescent="0.35">
      <c r="A1147" t="s">
        <v>2223</v>
      </c>
      <c r="B1147" s="9">
        <v>46202</v>
      </c>
      <c r="C1147" t="s">
        <v>1091</v>
      </c>
      <c r="D1147" t="s">
        <v>94</v>
      </c>
      <c r="E1147" t="s">
        <v>41</v>
      </c>
      <c r="F1147" t="s">
        <v>83</v>
      </c>
      <c r="G1147" t="s">
        <v>84</v>
      </c>
      <c r="H1147">
        <v>3</v>
      </c>
      <c r="I1147" t="s">
        <v>19</v>
      </c>
      <c r="J1147" t="s">
        <v>326</v>
      </c>
      <c r="K1147" t="s">
        <v>103</v>
      </c>
      <c r="L1147" t="s">
        <v>21</v>
      </c>
      <c r="M1147" t="s">
        <v>22</v>
      </c>
    </row>
    <row r="1148" spans="1:13" x14ac:dyDescent="0.35">
      <c r="A1148" t="s">
        <v>2224</v>
      </c>
      <c r="B1148" s="9">
        <v>46094</v>
      </c>
      <c r="C1148" t="s">
        <v>2225</v>
      </c>
      <c r="D1148" t="s">
        <v>53</v>
      </c>
      <c r="E1148" t="s">
        <v>25</v>
      </c>
      <c r="F1148" t="s">
        <v>26</v>
      </c>
      <c r="G1148" t="s">
        <v>27</v>
      </c>
      <c r="H1148">
        <v>1</v>
      </c>
      <c r="I1148" t="s">
        <v>592</v>
      </c>
      <c r="J1148" t="s">
        <v>2226</v>
      </c>
      <c r="K1148">
        <v>520</v>
      </c>
      <c r="L1148" t="s">
        <v>30</v>
      </c>
      <c r="M1148" t="s">
        <v>22</v>
      </c>
    </row>
    <row r="1149" spans="1:13" x14ac:dyDescent="0.35">
      <c r="A1149" t="s">
        <v>2227</v>
      </c>
      <c r="B1149" s="9">
        <v>46066</v>
      </c>
      <c r="C1149" t="s">
        <v>2228</v>
      </c>
      <c r="D1149" t="s">
        <v>94</v>
      </c>
      <c r="E1149" t="s">
        <v>16</v>
      </c>
      <c r="F1149" t="s">
        <v>17</v>
      </c>
      <c r="G1149" t="s">
        <v>18</v>
      </c>
      <c r="H1149">
        <v>1</v>
      </c>
      <c r="I1149" t="s">
        <v>479</v>
      </c>
      <c r="J1149" t="s">
        <v>71</v>
      </c>
      <c r="K1149">
        <v>520</v>
      </c>
      <c r="L1149" t="s">
        <v>30</v>
      </c>
      <c r="M1149" t="s">
        <v>22</v>
      </c>
    </row>
    <row r="1150" spans="1:13" x14ac:dyDescent="0.35">
      <c r="A1150" t="s">
        <v>2229</v>
      </c>
      <c r="B1150" s="9">
        <v>46051</v>
      </c>
      <c r="C1150" t="s">
        <v>2230</v>
      </c>
      <c r="D1150" t="s">
        <v>99</v>
      </c>
      <c r="E1150" t="s">
        <v>41</v>
      </c>
      <c r="F1150" t="s">
        <v>26</v>
      </c>
      <c r="G1150" t="s">
        <v>27</v>
      </c>
      <c r="H1150">
        <v>2</v>
      </c>
      <c r="I1150" t="s">
        <v>132</v>
      </c>
      <c r="J1150" t="s">
        <v>133</v>
      </c>
      <c r="K1150">
        <v>520</v>
      </c>
      <c r="L1150" t="s">
        <v>21</v>
      </c>
      <c r="M1150" t="s">
        <v>22</v>
      </c>
    </row>
    <row r="1151" spans="1:13" x14ac:dyDescent="0.35">
      <c r="A1151" t="s">
        <v>2231</v>
      </c>
      <c r="B1151" s="9">
        <v>46182</v>
      </c>
      <c r="C1151" t="s">
        <v>1223</v>
      </c>
      <c r="D1151" t="s">
        <v>94</v>
      </c>
      <c r="E1151" t="s">
        <v>16</v>
      </c>
      <c r="F1151" t="s">
        <v>26</v>
      </c>
      <c r="G1151" t="s">
        <v>27</v>
      </c>
      <c r="H1151">
        <v>1</v>
      </c>
      <c r="I1151" t="s">
        <v>19</v>
      </c>
      <c r="J1151" t="s">
        <v>19</v>
      </c>
      <c r="K1151" t="s">
        <v>29</v>
      </c>
      <c r="L1151" t="s">
        <v>30</v>
      </c>
      <c r="M1151" t="s">
        <v>22</v>
      </c>
    </row>
    <row r="1152" spans="1:13" x14ac:dyDescent="0.35">
      <c r="A1152" t="s">
        <v>2232</v>
      </c>
      <c r="B1152" t="s">
        <v>775</v>
      </c>
      <c r="C1152" t="s">
        <v>977</v>
      </c>
      <c r="D1152" t="s">
        <v>46</v>
      </c>
      <c r="E1152" t="s">
        <v>25</v>
      </c>
      <c r="F1152" t="s">
        <v>35</v>
      </c>
      <c r="G1152" t="s">
        <v>36</v>
      </c>
      <c r="H1152">
        <v>1</v>
      </c>
      <c r="I1152" t="s">
        <v>106</v>
      </c>
      <c r="J1152" t="s">
        <v>106</v>
      </c>
      <c r="K1152">
        <v>85</v>
      </c>
      <c r="L1152" t="s">
        <v>30</v>
      </c>
      <c r="M1152" t="s">
        <v>58</v>
      </c>
    </row>
    <row r="1153" spans="1:13" x14ac:dyDescent="0.35">
      <c r="A1153" t="s">
        <v>2233</v>
      </c>
      <c r="B1153" s="9">
        <v>46063</v>
      </c>
      <c r="C1153" t="s">
        <v>409</v>
      </c>
      <c r="D1153" t="s">
        <v>53</v>
      </c>
      <c r="E1153" t="s">
        <v>34</v>
      </c>
      <c r="F1153" t="s">
        <v>74</v>
      </c>
      <c r="G1153" t="s">
        <v>75</v>
      </c>
      <c r="H1153">
        <v>2</v>
      </c>
      <c r="I1153" t="s">
        <v>192</v>
      </c>
      <c r="J1153" t="s">
        <v>193</v>
      </c>
      <c r="K1153">
        <v>410</v>
      </c>
      <c r="L1153" t="s">
        <v>30</v>
      </c>
      <c r="M1153" t="s">
        <v>22</v>
      </c>
    </row>
    <row r="1154" spans="1:13" x14ac:dyDescent="0.35">
      <c r="A1154" t="s">
        <v>2234</v>
      </c>
      <c r="B1154" s="9">
        <v>46183</v>
      </c>
      <c r="C1154" t="s">
        <v>356</v>
      </c>
      <c r="D1154" t="s">
        <v>40</v>
      </c>
      <c r="E1154" t="s">
        <v>34</v>
      </c>
      <c r="F1154" t="s">
        <v>35</v>
      </c>
      <c r="G1154" t="s">
        <v>36</v>
      </c>
      <c r="H1154">
        <v>2</v>
      </c>
      <c r="I1154" t="s">
        <v>136</v>
      </c>
      <c r="J1154" t="s">
        <v>164</v>
      </c>
      <c r="K1154" t="s">
        <v>37</v>
      </c>
      <c r="L1154" t="s">
        <v>30</v>
      </c>
      <c r="M1154" t="s">
        <v>22</v>
      </c>
    </row>
    <row r="1155" spans="1:13" x14ac:dyDescent="0.35">
      <c r="A1155" t="s">
        <v>2235</v>
      </c>
      <c r="B1155" s="9">
        <v>46129</v>
      </c>
      <c r="C1155" t="s">
        <v>2236</v>
      </c>
      <c r="D1155" t="s">
        <v>94</v>
      </c>
      <c r="E1155" t="s">
        <v>67</v>
      </c>
      <c r="F1155" t="s">
        <v>83</v>
      </c>
      <c r="G1155" t="s">
        <v>84</v>
      </c>
      <c r="H1155">
        <v>2</v>
      </c>
      <c r="I1155" t="s">
        <v>132</v>
      </c>
      <c r="J1155" t="s">
        <v>316</v>
      </c>
      <c r="K1155">
        <v>340</v>
      </c>
      <c r="L1155" t="s">
        <v>30</v>
      </c>
      <c r="M1155" t="s">
        <v>22</v>
      </c>
    </row>
    <row r="1156" spans="1:13" x14ac:dyDescent="0.35">
      <c r="A1156" t="s">
        <v>2237</v>
      </c>
      <c r="B1156" s="9">
        <v>46030</v>
      </c>
      <c r="C1156" t="s">
        <v>2238</v>
      </c>
      <c r="D1156" t="s">
        <v>15</v>
      </c>
      <c r="E1156" t="s">
        <v>67</v>
      </c>
      <c r="F1156" t="s">
        <v>47</v>
      </c>
      <c r="G1156" t="s">
        <v>48</v>
      </c>
      <c r="H1156">
        <v>1</v>
      </c>
      <c r="I1156" t="s">
        <v>28</v>
      </c>
      <c r="J1156" t="s">
        <v>2239</v>
      </c>
      <c r="K1156">
        <v>380</v>
      </c>
      <c r="L1156" t="s">
        <v>30</v>
      </c>
      <c r="M1156" t="s">
        <v>58</v>
      </c>
    </row>
    <row r="1157" spans="1:13" x14ac:dyDescent="0.35">
      <c r="A1157" t="s">
        <v>2240</v>
      </c>
      <c r="B1157" s="9">
        <v>46082</v>
      </c>
      <c r="C1157" t="s">
        <v>2241</v>
      </c>
      <c r="D1157" t="s">
        <v>66</v>
      </c>
      <c r="E1157" t="s">
        <v>16</v>
      </c>
      <c r="F1157" t="s">
        <v>17</v>
      </c>
      <c r="G1157" t="s">
        <v>18</v>
      </c>
      <c r="H1157">
        <v>3</v>
      </c>
      <c r="I1157" t="s">
        <v>102</v>
      </c>
      <c r="J1157" t="s">
        <v>127</v>
      </c>
      <c r="K1157">
        <v>520</v>
      </c>
      <c r="L1157" t="s">
        <v>30</v>
      </c>
      <c r="M1157" t="s">
        <v>22</v>
      </c>
    </row>
    <row r="1158" spans="1:13" x14ac:dyDescent="0.35">
      <c r="A1158" t="s">
        <v>2242</v>
      </c>
      <c r="B1158" s="9">
        <v>46127</v>
      </c>
      <c r="C1158" t="s">
        <v>123</v>
      </c>
      <c r="D1158" t="s">
        <v>40</v>
      </c>
      <c r="E1158" t="s">
        <v>67</v>
      </c>
      <c r="F1158" t="s">
        <v>35</v>
      </c>
      <c r="G1158" t="s">
        <v>36</v>
      </c>
      <c r="H1158">
        <v>3</v>
      </c>
      <c r="I1158" t="s">
        <v>106</v>
      </c>
      <c r="J1158" t="s">
        <v>160</v>
      </c>
      <c r="K1158">
        <v>85</v>
      </c>
      <c r="L1158" t="s">
        <v>21</v>
      </c>
      <c r="M1158" t="s">
        <v>22</v>
      </c>
    </row>
    <row r="1159" spans="1:13" x14ac:dyDescent="0.35">
      <c r="A1159" t="s">
        <v>2243</v>
      </c>
      <c r="B1159" s="9">
        <v>46192</v>
      </c>
      <c r="C1159" t="s">
        <v>956</v>
      </c>
      <c r="D1159" t="s">
        <v>94</v>
      </c>
      <c r="E1159" t="s">
        <v>16</v>
      </c>
      <c r="F1159" t="s">
        <v>17</v>
      </c>
      <c r="G1159" t="s">
        <v>18</v>
      </c>
      <c r="H1159">
        <v>2</v>
      </c>
      <c r="I1159" t="s">
        <v>254</v>
      </c>
      <c r="J1159" t="s">
        <v>156</v>
      </c>
      <c r="K1159" t="s">
        <v>29</v>
      </c>
      <c r="L1159" t="s">
        <v>30</v>
      </c>
      <c r="M1159" t="s">
        <v>22</v>
      </c>
    </row>
    <row r="1160" spans="1:13" x14ac:dyDescent="0.35">
      <c r="A1160" t="s">
        <v>2244</v>
      </c>
      <c r="B1160" s="9">
        <v>46058</v>
      </c>
      <c r="C1160" t="s">
        <v>2245</v>
      </c>
      <c r="D1160" t="s">
        <v>94</v>
      </c>
      <c r="E1160" t="s">
        <v>67</v>
      </c>
      <c r="F1160" t="s">
        <v>26</v>
      </c>
      <c r="G1160" t="s">
        <v>27</v>
      </c>
      <c r="H1160">
        <v>1</v>
      </c>
      <c r="I1160" t="s">
        <v>62</v>
      </c>
      <c r="J1160" t="s">
        <v>62</v>
      </c>
      <c r="K1160">
        <v>520</v>
      </c>
      <c r="L1160" t="s">
        <v>30</v>
      </c>
      <c r="M1160" t="s">
        <v>58</v>
      </c>
    </row>
    <row r="1161" spans="1:13" x14ac:dyDescent="0.35">
      <c r="A1161" t="s">
        <v>2246</v>
      </c>
      <c r="B1161" s="9">
        <v>46146</v>
      </c>
      <c r="C1161" t="s">
        <v>1275</v>
      </c>
      <c r="D1161" t="s">
        <v>33</v>
      </c>
      <c r="E1161" t="s">
        <v>41</v>
      </c>
      <c r="F1161" t="s">
        <v>47</v>
      </c>
      <c r="G1161" t="s">
        <v>48</v>
      </c>
      <c r="H1161">
        <v>2</v>
      </c>
      <c r="I1161" t="s">
        <v>68</v>
      </c>
      <c r="J1161" t="s">
        <v>2247</v>
      </c>
      <c r="K1161" t="s">
        <v>50</v>
      </c>
      <c r="L1161" t="s">
        <v>30</v>
      </c>
      <c r="M1161" t="s">
        <v>22</v>
      </c>
    </row>
    <row r="1162" spans="1:13" x14ac:dyDescent="0.35">
      <c r="A1162" t="s">
        <v>2248</v>
      </c>
      <c r="B1162" s="9">
        <v>46187</v>
      </c>
      <c r="C1162" t="s">
        <v>992</v>
      </c>
      <c r="D1162" t="s">
        <v>15</v>
      </c>
      <c r="E1162" t="s">
        <v>67</v>
      </c>
      <c r="F1162" t="s">
        <v>83</v>
      </c>
      <c r="G1162" t="s">
        <v>84</v>
      </c>
      <c r="H1162">
        <v>3</v>
      </c>
      <c r="I1162" t="s">
        <v>102</v>
      </c>
      <c r="J1162" t="s">
        <v>127</v>
      </c>
      <c r="K1162" t="s">
        <v>103</v>
      </c>
      <c r="L1162" t="s">
        <v>30</v>
      </c>
      <c r="M1162" t="s">
        <v>22</v>
      </c>
    </row>
    <row r="1163" spans="1:13" x14ac:dyDescent="0.35">
      <c r="A1163" t="s">
        <v>2249</v>
      </c>
      <c r="B1163" s="9">
        <v>46104</v>
      </c>
      <c r="C1163" t="s">
        <v>2086</v>
      </c>
      <c r="D1163" t="s">
        <v>61</v>
      </c>
      <c r="E1163" t="s">
        <v>25</v>
      </c>
      <c r="F1163" t="s">
        <v>17</v>
      </c>
      <c r="G1163" t="s">
        <v>18</v>
      </c>
      <c r="H1163">
        <v>3</v>
      </c>
      <c r="I1163" t="s">
        <v>19</v>
      </c>
      <c r="J1163" t="s">
        <v>494</v>
      </c>
      <c r="K1163">
        <v>520</v>
      </c>
      <c r="L1163" t="s">
        <v>30</v>
      </c>
      <c r="M1163" t="s">
        <v>58</v>
      </c>
    </row>
    <row r="1164" spans="1:13" x14ac:dyDescent="0.35">
      <c r="A1164" t="s">
        <v>2250</v>
      </c>
      <c r="B1164" s="9">
        <v>46060</v>
      </c>
      <c r="C1164" t="s">
        <v>2251</v>
      </c>
      <c r="D1164" t="s">
        <v>33</v>
      </c>
      <c r="E1164" t="s">
        <v>25</v>
      </c>
      <c r="F1164" t="s">
        <v>74</v>
      </c>
      <c r="G1164" t="s">
        <v>75</v>
      </c>
      <c r="H1164">
        <v>2</v>
      </c>
      <c r="I1164" t="s">
        <v>85</v>
      </c>
      <c r="J1164" t="s">
        <v>267</v>
      </c>
      <c r="K1164">
        <v>410</v>
      </c>
      <c r="L1164" t="s">
        <v>30</v>
      </c>
      <c r="M1164" t="s">
        <v>22</v>
      </c>
    </row>
    <row r="1165" spans="1:13" x14ac:dyDescent="0.35">
      <c r="A1165" t="s">
        <v>2252</v>
      </c>
      <c r="B1165" s="9">
        <v>46129</v>
      </c>
      <c r="C1165" t="s">
        <v>968</v>
      </c>
      <c r="D1165" t="s">
        <v>15</v>
      </c>
      <c r="E1165" t="s">
        <v>25</v>
      </c>
      <c r="F1165" t="s">
        <v>47</v>
      </c>
      <c r="G1165" t="s">
        <v>48</v>
      </c>
      <c r="H1165">
        <v>2</v>
      </c>
      <c r="I1165" t="s">
        <v>254</v>
      </c>
      <c r="J1165" t="s">
        <v>156</v>
      </c>
      <c r="K1165">
        <v>380</v>
      </c>
      <c r="L1165" t="s">
        <v>21</v>
      </c>
      <c r="M1165" t="s">
        <v>22</v>
      </c>
    </row>
    <row r="1166" spans="1:13" x14ac:dyDescent="0.35">
      <c r="A1166" t="s">
        <v>2253</v>
      </c>
      <c r="B1166" s="9">
        <v>46140</v>
      </c>
      <c r="C1166" t="s">
        <v>214</v>
      </c>
      <c r="D1166" t="s">
        <v>94</v>
      </c>
      <c r="E1166" t="s">
        <v>25</v>
      </c>
      <c r="F1166" t="s">
        <v>26</v>
      </c>
      <c r="G1166" t="s">
        <v>27</v>
      </c>
      <c r="H1166">
        <v>1</v>
      </c>
      <c r="I1166" t="s">
        <v>28</v>
      </c>
      <c r="J1166" t="s">
        <v>28</v>
      </c>
      <c r="K1166" t="s">
        <v>29</v>
      </c>
      <c r="L1166" t="s">
        <v>30</v>
      </c>
      <c r="M1166" t="s">
        <v>22</v>
      </c>
    </row>
    <row r="1167" spans="1:13" x14ac:dyDescent="0.35">
      <c r="A1167" t="s">
        <v>2254</v>
      </c>
      <c r="B1167" s="9">
        <v>46071</v>
      </c>
      <c r="C1167" t="s">
        <v>1640</v>
      </c>
      <c r="D1167" t="s">
        <v>99</v>
      </c>
      <c r="E1167" t="s">
        <v>67</v>
      </c>
      <c r="F1167" t="s">
        <v>74</v>
      </c>
      <c r="G1167" t="s">
        <v>75</v>
      </c>
      <c r="H1167">
        <v>2</v>
      </c>
      <c r="I1167" t="s">
        <v>85</v>
      </c>
      <c r="J1167" t="s">
        <v>267</v>
      </c>
      <c r="K1167">
        <v>410</v>
      </c>
      <c r="L1167" t="s">
        <v>30</v>
      </c>
      <c r="M1167" t="s">
        <v>22</v>
      </c>
    </row>
    <row r="1168" spans="1:13" x14ac:dyDescent="0.35">
      <c r="A1168" t="s">
        <v>2255</v>
      </c>
      <c r="B1168" s="9">
        <v>46166</v>
      </c>
      <c r="C1168" t="s">
        <v>1305</v>
      </c>
      <c r="D1168" t="s">
        <v>33</v>
      </c>
      <c r="E1168" t="s">
        <v>34</v>
      </c>
      <c r="F1168" t="s">
        <v>42</v>
      </c>
      <c r="G1168" t="s">
        <v>43</v>
      </c>
      <c r="H1168">
        <v>1</v>
      </c>
      <c r="I1168" t="s">
        <v>102</v>
      </c>
      <c r="J1168" t="s">
        <v>102</v>
      </c>
      <c r="K1168" t="s">
        <v>111</v>
      </c>
      <c r="L1168" t="s">
        <v>30</v>
      </c>
      <c r="M1168" t="s">
        <v>58</v>
      </c>
    </row>
    <row r="1169" spans="1:13" x14ac:dyDescent="0.35">
      <c r="A1169" t="s">
        <v>2256</v>
      </c>
      <c r="B1169" s="9">
        <v>46127</v>
      </c>
      <c r="C1169" t="s">
        <v>1688</v>
      </c>
      <c r="D1169" t="s">
        <v>61</v>
      </c>
      <c r="E1169" t="s">
        <v>34</v>
      </c>
      <c r="F1169" t="s">
        <v>89</v>
      </c>
      <c r="G1169" t="s">
        <v>90</v>
      </c>
      <c r="H1169">
        <v>1</v>
      </c>
      <c r="I1169" t="s">
        <v>102</v>
      </c>
      <c r="J1169" t="s">
        <v>102</v>
      </c>
      <c r="K1169">
        <v>640</v>
      </c>
      <c r="L1169" t="s">
        <v>30</v>
      </c>
      <c r="M1169" t="s">
        <v>22</v>
      </c>
    </row>
    <row r="1170" spans="1:13" x14ac:dyDescent="0.35">
      <c r="A1170" t="s">
        <v>2257</v>
      </c>
      <c r="B1170" s="9">
        <v>46330</v>
      </c>
      <c r="C1170" t="s">
        <v>1953</v>
      </c>
      <c r="D1170" t="s">
        <v>99</v>
      </c>
      <c r="E1170" t="s">
        <v>25</v>
      </c>
      <c r="F1170" t="s">
        <v>47</v>
      </c>
      <c r="G1170" t="s">
        <v>48</v>
      </c>
      <c r="H1170">
        <v>2</v>
      </c>
      <c r="I1170" t="s">
        <v>28</v>
      </c>
      <c r="J1170" t="s">
        <v>316</v>
      </c>
      <c r="K1170">
        <v>380</v>
      </c>
      <c r="L1170" t="s">
        <v>30</v>
      </c>
      <c r="M1170" t="s">
        <v>22</v>
      </c>
    </row>
    <row r="1171" spans="1:13" x14ac:dyDescent="0.35">
      <c r="A1171" t="s">
        <v>2258</v>
      </c>
      <c r="B1171" s="9">
        <v>46076</v>
      </c>
      <c r="C1171" t="s">
        <v>2259</v>
      </c>
      <c r="D1171" t="s">
        <v>61</v>
      </c>
      <c r="E1171" t="s">
        <v>67</v>
      </c>
      <c r="F1171" t="s">
        <v>47</v>
      </c>
      <c r="G1171" t="s">
        <v>48</v>
      </c>
      <c r="H1171">
        <v>1</v>
      </c>
      <c r="I1171" t="s">
        <v>49</v>
      </c>
      <c r="J1171" t="s">
        <v>49</v>
      </c>
      <c r="K1171">
        <v>380</v>
      </c>
      <c r="L1171" t="s">
        <v>21</v>
      </c>
      <c r="M1171" t="s">
        <v>22</v>
      </c>
    </row>
    <row r="1172" spans="1:13" x14ac:dyDescent="0.35">
      <c r="A1172" t="s">
        <v>2260</v>
      </c>
      <c r="B1172" t="s">
        <v>2261</v>
      </c>
      <c r="C1172" t="s">
        <v>2262</v>
      </c>
      <c r="D1172" t="s">
        <v>99</v>
      </c>
      <c r="E1172" t="s">
        <v>41</v>
      </c>
      <c r="F1172" t="s">
        <v>26</v>
      </c>
      <c r="G1172" t="s">
        <v>27</v>
      </c>
      <c r="H1172">
        <v>3</v>
      </c>
      <c r="I1172" t="s">
        <v>19</v>
      </c>
      <c r="J1172" t="s">
        <v>326</v>
      </c>
      <c r="K1172">
        <v>520</v>
      </c>
      <c r="L1172" t="s">
        <v>30</v>
      </c>
      <c r="M1172" t="s">
        <v>22</v>
      </c>
    </row>
    <row r="1173" spans="1:13" x14ac:dyDescent="0.35">
      <c r="A1173" t="s">
        <v>2263</v>
      </c>
      <c r="B1173" s="9">
        <v>46057</v>
      </c>
      <c r="C1173" t="s">
        <v>2264</v>
      </c>
      <c r="D1173" t="s">
        <v>94</v>
      </c>
      <c r="E1173" t="s">
        <v>67</v>
      </c>
      <c r="F1173" t="s">
        <v>17</v>
      </c>
      <c r="G1173" t="s">
        <v>18</v>
      </c>
      <c r="H1173">
        <v>2</v>
      </c>
      <c r="I1173" t="s">
        <v>254</v>
      </c>
      <c r="J1173" t="s">
        <v>156</v>
      </c>
      <c r="K1173">
        <v>520</v>
      </c>
      <c r="L1173" t="s">
        <v>30</v>
      </c>
      <c r="M1173" t="s">
        <v>22</v>
      </c>
    </row>
    <row r="1174" spans="1:13" x14ac:dyDescent="0.35">
      <c r="A1174" t="s">
        <v>2265</v>
      </c>
      <c r="B1174" t="s">
        <v>2266</v>
      </c>
      <c r="C1174" t="s">
        <v>2267</v>
      </c>
      <c r="D1174" t="s">
        <v>94</v>
      </c>
      <c r="E1174" t="s">
        <v>16</v>
      </c>
      <c r="F1174" t="s">
        <v>83</v>
      </c>
      <c r="G1174" t="s">
        <v>84</v>
      </c>
      <c r="H1174">
        <v>3</v>
      </c>
      <c r="I1174" t="s">
        <v>102</v>
      </c>
      <c r="J1174" t="s">
        <v>127</v>
      </c>
      <c r="K1174" t="s">
        <v>103</v>
      </c>
      <c r="L1174" t="s">
        <v>21</v>
      </c>
      <c r="M1174" t="s">
        <v>58</v>
      </c>
    </row>
    <row r="1175" spans="1:13" x14ac:dyDescent="0.35">
      <c r="A1175" t="s">
        <v>2268</v>
      </c>
      <c r="B1175" s="9">
        <v>46150</v>
      </c>
      <c r="C1175" t="s">
        <v>2269</v>
      </c>
      <c r="D1175" t="s">
        <v>66</v>
      </c>
      <c r="E1175" t="s">
        <v>34</v>
      </c>
      <c r="F1175" t="s">
        <v>74</v>
      </c>
      <c r="G1175" t="s">
        <v>75</v>
      </c>
      <c r="H1175">
        <v>2</v>
      </c>
      <c r="I1175" t="s">
        <v>19</v>
      </c>
      <c r="J1175" t="s">
        <v>238</v>
      </c>
      <c r="K1175" t="s">
        <v>76</v>
      </c>
      <c r="L1175" t="s">
        <v>30</v>
      </c>
      <c r="M1175" t="s">
        <v>58</v>
      </c>
    </row>
    <row r="1176" spans="1:13" x14ac:dyDescent="0.35">
      <c r="A1176" t="s">
        <v>2270</v>
      </c>
      <c r="B1176" s="9">
        <v>46044</v>
      </c>
      <c r="C1176" t="s">
        <v>1951</v>
      </c>
      <c r="D1176" t="s">
        <v>33</v>
      </c>
      <c r="E1176" t="s">
        <v>67</v>
      </c>
      <c r="F1176" t="s">
        <v>26</v>
      </c>
      <c r="G1176" t="s">
        <v>27</v>
      </c>
      <c r="H1176">
        <v>1</v>
      </c>
      <c r="I1176" t="s">
        <v>993</v>
      </c>
      <c r="J1176" t="s">
        <v>254</v>
      </c>
      <c r="K1176">
        <v>520</v>
      </c>
      <c r="L1176" t="s">
        <v>30</v>
      </c>
      <c r="M1176" t="s">
        <v>58</v>
      </c>
    </row>
    <row r="1177" spans="1:13" x14ac:dyDescent="0.35">
      <c r="A1177" t="s">
        <v>2271</v>
      </c>
      <c r="B1177" t="s">
        <v>2272</v>
      </c>
      <c r="C1177" t="s">
        <v>2273</v>
      </c>
      <c r="D1177" t="s">
        <v>99</v>
      </c>
      <c r="E1177" t="s">
        <v>41</v>
      </c>
      <c r="F1177" t="s">
        <v>74</v>
      </c>
      <c r="G1177" t="s">
        <v>75</v>
      </c>
      <c r="H1177">
        <v>1</v>
      </c>
      <c r="I1177" t="s">
        <v>71</v>
      </c>
      <c r="J1177" t="s">
        <v>71</v>
      </c>
      <c r="K1177" t="s">
        <v>76</v>
      </c>
      <c r="L1177" t="s">
        <v>30</v>
      </c>
      <c r="M1177" t="s">
        <v>22</v>
      </c>
    </row>
    <row r="1178" spans="1:13" x14ac:dyDescent="0.35">
      <c r="A1178" t="s">
        <v>2274</v>
      </c>
      <c r="B1178" s="9">
        <v>46140</v>
      </c>
      <c r="C1178" t="s">
        <v>2076</v>
      </c>
      <c r="D1178" t="s">
        <v>94</v>
      </c>
      <c r="E1178" t="s">
        <v>16</v>
      </c>
      <c r="F1178" t="s">
        <v>26</v>
      </c>
      <c r="G1178" t="s">
        <v>27</v>
      </c>
      <c r="H1178">
        <v>2</v>
      </c>
      <c r="I1178" t="s">
        <v>649</v>
      </c>
      <c r="J1178" t="s">
        <v>248</v>
      </c>
      <c r="K1178" t="s">
        <v>29</v>
      </c>
      <c r="L1178" t="s">
        <v>30</v>
      </c>
      <c r="M1178" t="s">
        <v>22</v>
      </c>
    </row>
    <row r="1179" spans="1:13" x14ac:dyDescent="0.35">
      <c r="A1179" t="s">
        <v>2275</v>
      </c>
      <c r="B1179" s="9">
        <v>46162</v>
      </c>
      <c r="C1179" t="s">
        <v>1312</v>
      </c>
      <c r="D1179" t="s">
        <v>66</v>
      </c>
      <c r="E1179" t="s">
        <v>34</v>
      </c>
      <c r="F1179" t="s">
        <v>83</v>
      </c>
      <c r="G1179" t="s">
        <v>84</v>
      </c>
      <c r="H1179">
        <v>-2</v>
      </c>
      <c r="I1179" t="s">
        <v>1002</v>
      </c>
      <c r="J1179" t="s">
        <v>281</v>
      </c>
      <c r="K1179" t="s">
        <v>103</v>
      </c>
      <c r="L1179" t="s">
        <v>21</v>
      </c>
      <c r="M1179" t="s">
        <v>58</v>
      </c>
    </row>
    <row r="1180" spans="1:13" x14ac:dyDescent="0.35">
      <c r="A1180" t="s">
        <v>2276</v>
      </c>
      <c r="B1180" s="9">
        <v>46171</v>
      </c>
      <c r="C1180" t="s">
        <v>2277</v>
      </c>
      <c r="D1180" t="s">
        <v>116</v>
      </c>
      <c r="E1180" t="s">
        <v>67</v>
      </c>
      <c r="F1180" t="s">
        <v>74</v>
      </c>
      <c r="G1180" t="s">
        <v>75</v>
      </c>
      <c r="H1180">
        <v>2</v>
      </c>
      <c r="I1180" t="s">
        <v>56</v>
      </c>
      <c r="J1180" t="s">
        <v>193</v>
      </c>
      <c r="K1180" t="s">
        <v>76</v>
      </c>
      <c r="L1180" t="s">
        <v>30</v>
      </c>
      <c r="M1180" t="s">
        <v>22</v>
      </c>
    </row>
    <row r="1181" spans="1:13" x14ac:dyDescent="0.35">
      <c r="A1181" t="s">
        <v>2278</v>
      </c>
      <c r="B1181" s="9">
        <v>46199</v>
      </c>
      <c r="C1181" t="s">
        <v>2056</v>
      </c>
      <c r="D1181" t="s">
        <v>40</v>
      </c>
      <c r="E1181" t="s">
        <v>41</v>
      </c>
      <c r="F1181" t="s">
        <v>83</v>
      </c>
      <c r="G1181" t="s">
        <v>84</v>
      </c>
      <c r="H1181">
        <v>1</v>
      </c>
      <c r="I1181" t="s">
        <v>19</v>
      </c>
      <c r="J1181" t="s">
        <v>19</v>
      </c>
      <c r="K1181" t="s">
        <v>103</v>
      </c>
      <c r="L1181" t="s">
        <v>30</v>
      </c>
      <c r="M1181" t="s">
        <v>22</v>
      </c>
    </row>
    <row r="1182" spans="1:13" x14ac:dyDescent="0.35">
      <c r="A1182" t="s">
        <v>1176</v>
      </c>
      <c r="B1182" s="9">
        <v>46190</v>
      </c>
      <c r="C1182" t="s">
        <v>1177</v>
      </c>
      <c r="D1182" t="s">
        <v>116</v>
      </c>
      <c r="E1182" t="s">
        <v>67</v>
      </c>
      <c r="F1182" t="s">
        <v>26</v>
      </c>
      <c r="G1182" t="s">
        <v>27</v>
      </c>
      <c r="H1182">
        <v>3</v>
      </c>
      <c r="I1182" t="s">
        <v>68</v>
      </c>
      <c r="J1182" t="s">
        <v>205</v>
      </c>
      <c r="K1182" t="s">
        <v>29</v>
      </c>
      <c r="L1182" t="s">
        <v>30</v>
      </c>
      <c r="M1182" t="s">
        <v>22</v>
      </c>
    </row>
    <row r="1183" spans="1:13" x14ac:dyDescent="0.35">
      <c r="A1183" t="s">
        <v>2279</v>
      </c>
      <c r="B1183" s="9">
        <v>46329</v>
      </c>
      <c r="C1183" t="s">
        <v>498</v>
      </c>
      <c r="D1183" t="s">
        <v>33</v>
      </c>
      <c r="E1183" t="s">
        <v>16</v>
      </c>
      <c r="F1183" t="s">
        <v>89</v>
      </c>
      <c r="G1183" t="s">
        <v>90</v>
      </c>
      <c r="H1183">
        <v>1</v>
      </c>
      <c r="I1183" t="s">
        <v>220</v>
      </c>
      <c r="J1183" t="s">
        <v>220</v>
      </c>
      <c r="K1183">
        <v>640</v>
      </c>
      <c r="L1183" t="s">
        <v>30</v>
      </c>
      <c r="M1183" t="s">
        <v>22</v>
      </c>
    </row>
    <row r="1184" spans="1:13" x14ac:dyDescent="0.35">
      <c r="A1184" t="s">
        <v>2280</v>
      </c>
      <c r="B1184" t="s">
        <v>1439</v>
      </c>
      <c r="C1184" t="s">
        <v>2281</v>
      </c>
      <c r="D1184" t="s">
        <v>40</v>
      </c>
      <c r="E1184" t="s">
        <v>16</v>
      </c>
      <c r="F1184" t="s">
        <v>26</v>
      </c>
      <c r="G1184" t="s">
        <v>27</v>
      </c>
      <c r="H1184">
        <v>2</v>
      </c>
      <c r="I1184" t="s">
        <v>71</v>
      </c>
      <c r="J1184" t="s">
        <v>286</v>
      </c>
      <c r="K1184">
        <v>520</v>
      </c>
      <c r="L1184" t="s">
        <v>30</v>
      </c>
      <c r="M1184" t="s">
        <v>22</v>
      </c>
    </row>
    <row r="1185" spans="1:13" x14ac:dyDescent="0.35">
      <c r="A1185" t="s">
        <v>2282</v>
      </c>
      <c r="B1185" s="9">
        <v>46166</v>
      </c>
      <c r="C1185" t="s">
        <v>648</v>
      </c>
      <c r="D1185" t="s">
        <v>99</v>
      </c>
      <c r="E1185" t="s">
        <v>67</v>
      </c>
      <c r="F1185" t="s">
        <v>42</v>
      </c>
      <c r="G1185" t="s">
        <v>43</v>
      </c>
      <c r="H1185">
        <v>2</v>
      </c>
      <c r="I1185" t="s">
        <v>170</v>
      </c>
      <c r="J1185" t="s">
        <v>152</v>
      </c>
      <c r="K1185" t="s">
        <v>111</v>
      </c>
      <c r="L1185" t="s">
        <v>30</v>
      </c>
      <c r="M1185" t="s">
        <v>58</v>
      </c>
    </row>
    <row r="1186" spans="1:13" x14ac:dyDescent="0.35">
      <c r="A1186" t="s">
        <v>2283</v>
      </c>
      <c r="B1186" s="9">
        <v>46075</v>
      </c>
      <c r="C1186" t="s">
        <v>1000</v>
      </c>
      <c r="D1186" t="s">
        <v>40</v>
      </c>
      <c r="E1186" t="s">
        <v>16</v>
      </c>
      <c r="F1186" t="s">
        <v>42</v>
      </c>
      <c r="G1186" t="s">
        <v>43</v>
      </c>
      <c r="H1186">
        <v>2</v>
      </c>
      <c r="I1186" t="s">
        <v>71</v>
      </c>
      <c r="J1186" t="s">
        <v>286</v>
      </c>
      <c r="K1186">
        <v>190</v>
      </c>
      <c r="L1186" t="s">
        <v>30</v>
      </c>
      <c r="M1186" t="s">
        <v>22</v>
      </c>
    </row>
    <row r="1187" spans="1:13" x14ac:dyDescent="0.35">
      <c r="A1187" t="s">
        <v>2284</v>
      </c>
      <c r="B1187" s="9">
        <v>46097</v>
      </c>
      <c r="C1187" t="s">
        <v>509</v>
      </c>
      <c r="D1187" t="s">
        <v>15</v>
      </c>
      <c r="E1187" t="s">
        <v>67</v>
      </c>
      <c r="F1187" t="s">
        <v>47</v>
      </c>
      <c r="G1187" t="s">
        <v>48</v>
      </c>
      <c r="H1187">
        <v>1</v>
      </c>
      <c r="I1187" t="s">
        <v>68</v>
      </c>
      <c r="J1187" t="s">
        <v>68</v>
      </c>
      <c r="K1187">
        <v>380</v>
      </c>
      <c r="L1187" t="s">
        <v>30</v>
      </c>
      <c r="M1187" t="s">
        <v>22</v>
      </c>
    </row>
    <row r="1188" spans="1:13" x14ac:dyDescent="0.35">
      <c r="A1188" t="s">
        <v>2285</v>
      </c>
      <c r="B1188" s="9">
        <v>46189</v>
      </c>
      <c r="C1188" t="s">
        <v>1951</v>
      </c>
      <c r="D1188" t="s">
        <v>116</v>
      </c>
      <c r="E1188" t="s">
        <v>25</v>
      </c>
      <c r="F1188" t="s">
        <v>47</v>
      </c>
      <c r="G1188" t="s">
        <v>48</v>
      </c>
      <c r="H1188">
        <v>2</v>
      </c>
      <c r="I1188" t="s">
        <v>28</v>
      </c>
      <c r="J1188" t="s">
        <v>316</v>
      </c>
      <c r="K1188" t="s">
        <v>50</v>
      </c>
      <c r="L1188" t="s">
        <v>21</v>
      </c>
      <c r="M1188" t="s">
        <v>22</v>
      </c>
    </row>
    <row r="1189" spans="1:13" x14ac:dyDescent="0.35">
      <c r="A1189" t="s">
        <v>2286</v>
      </c>
      <c r="B1189" s="9">
        <v>46187</v>
      </c>
      <c r="C1189" t="s">
        <v>1042</v>
      </c>
      <c r="D1189" t="s">
        <v>46</v>
      </c>
      <c r="E1189" t="s">
        <v>41</v>
      </c>
      <c r="F1189" t="s">
        <v>74</v>
      </c>
      <c r="G1189" t="s">
        <v>75</v>
      </c>
      <c r="H1189">
        <v>3</v>
      </c>
      <c r="I1189" t="s">
        <v>744</v>
      </c>
      <c r="J1189" t="s">
        <v>160</v>
      </c>
      <c r="K1189" t="s">
        <v>76</v>
      </c>
      <c r="L1189" t="s">
        <v>30</v>
      </c>
      <c r="M1189" t="s">
        <v>58</v>
      </c>
    </row>
    <row r="1190" spans="1:13" x14ac:dyDescent="0.35">
      <c r="A1190" t="s">
        <v>2287</v>
      </c>
      <c r="B1190" s="9">
        <v>46192</v>
      </c>
      <c r="C1190" t="s">
        <v>1296</v>
      </c>
      <c r="D1190" t="s">
        <v>46</v>
      </c>
      <c r="E1190" t="s">
        <v>67</v>
      </c>
      <c r="F1190" t="s">
        <v>74</v>
      </c>
      <c r="G1190" t="s">
        <v>75</v>
      </c>
      <c r="H1190">
        <v>2</v>
      </c>
      <c r="I1190" t="s">
        <v>106</v>
      </c>
      <c r="J1190" t="s">
        <v>107</v>
      </c>
      <c r="K1190" t="s">
        <v>76</v>
      </c>
      <c r="L1190" t="s">
        <v>30</v>
      </c>
      <c r="M1190" t="s">
        <v>22</v>
      </c>
    </row>
    <row r="1191" spans="1:13" x14ac:dyDescent="0.35">
      <c r="A1191" t="s">
        <v>2288</v>
      </c>
      <c r="B1191" s="9">
        <v>46066</v>
      </c>
      <c r="C1191" t="s">
        <v>2289</v>
      </c>
      <c r="D1191" t="s">
        <v>99</v>
      </c>
      <c r="E1191" t="s">
        <v>41</v>
      </c>
      <c r="F1191" t="s">
        <v>42</v>
      </c>
      <c r="G1191" t="s">
        <v>43</v>
      </c>
      <c r="H1191">
        <v>1</v>
      </c>
      <c r="I1191" t="s">
        <v>19</v>
      </c>
      <c r="J1191" t="s">
        <v>19</v>
      </c>
      <c r="K1191">
        <v>190</v>
      </c>
      <c r="L1191" t="s">
        <v>30</v>
      </c>
      <c r="M1191" t="s">
        <v>22</v>
      </c>
    </row>
    <row r="1192" spans="1:13" x14ac:dyDescent="0.35">
      <c r="A1192" t="s">
        <v>2290</v>
      </c>
      <c r="B1192" s="9">
        <v>46127</v>
      </c>
      <c r="C1192" t="s">
        <v>346</v>
      </c>
      <c r="D1192" t="s">
        <v>33</v>
      </c>
      <c r="E1192" t="s">
        <v>16</v>
      </c>
      <c r="F1192" t="s">
        <v>35</v>
      </c>
      <c r="G1192" t="s">
        <v>36</v>
      </c>
      <c r="H1192">
        <v>1</v>
      </c>
      <c r="I1192" t="s">
        <v>254</v>
      </c>
      <c r="J1192" t="s">
        <v>254</v>
      </c>
      <c r="K1192">
        <v>85</v>
      </c>
      <c r="L1192" t="s">
        <v>30</v>
      </c>
      <c r="M1192" t="s">
        <v>22</v>
      </c>
    </row>
    <row r="1193" spans="1:13" x14ac:dyDescent="0.35">
      <c r="A1193" t="s">
        <v>2291</v>
      </c>
      <c r="B1193" s="9">
        <v>46203</v>
      </c>
      <c r="C1193" t="s">
        <v>2292</v>
      </c>
      <c r="D1193" t="s">
        <v>61</v>
      </c>
      <c r="E1193" t="s">
        <v>16</v>
      </c>
      <c r="F1193" t="s">
        <v>42</v>
      </c>
      <c r="G1193" t="s">
        <v>43</v>
      </c>
      <c r="H1193">
        <v>1</v>
      </c>
      <c r="I1193" t="s">
        <v>170</v>
      </c>
      <c r="J1193" t="s">
        <v>170</v>
      </c>
      <c r="K1193" t="s">
        <v>111</v>
      </c>
      <c r="L1193" t="s">
        <v>30</v>
      </c>
      <c r="M1193" t="s">
        <v>22</v>
      </c>
    </row>
    <row r="1194" spans="1:13" x14ac:dyDescent="0.35">
      <c r="A1194" t="s">
        <v>2293</v>
      </c>
      <c r="B1194" s="9">
        <v>46103</v>
      </c>
      <c r="C1194" t="s">
        <v>883</v>
      </c>
      <c r="D1194" t="s">
        <v>46</v>
      </c>
      <c r="E1194" t="s">
        <v>34</v>
      </c>
      <c r="F1194" t="s">
        <v>26</v>
      </c>
      <c r="G1194" t="s">
        <v>27</v>
      </c>
      <c r="H1194">
        <v>2</v>
      </c>
      <c r="I1194" t="s">
        <v>19</v>
      </c>
      <c r="J1194" t="s">
        <v>238</v>
      </c>
      <c r="K1194">
        <v>520</v>
      </c>
      <c r="L1194" t="s">
        <v>30</v>
      </c>
      <c r="M1194" t="s">
        <v>22</v>
      </c>
    </row>
    <row r="1195" spans="1:13" x14ac:dyDescent="0.35">
      <c r="A1195" t="s">
        <v>2294</v>
      </c>
      <c r="B1195" s="9">
        <v>46086</v>
      </c>
      <c r="C1195" t="s">
        <v>1854</v>
      </c>
      <c r="D1195" t="s">
        <v>46</v>
      </c>
      <c r="E1195" t="s">
        <v>16</v>
      </c>
      <c r="F1195" t="s">
        <v>42</v>
      </c>
      <c r="G1195" t="s">
        <v>43</v>
      </c>
      <c r="H1195">
        <v>3</v>
      </c>
      <c r="I1195" t="s">
        <v>132</v>
      </c>
      <c r="J1195" t="s">
        <v>568</v>
      </c>
      <c r="K1195">
        <v>190</v>
      </c>
      <c r="L1195" t="s">
        <v>30</v>
      </c>
      <c r="M1195" t="s">
        <v>58</v>
      </c>
    </row>
    <row r="1196" spans="1:13" x14ac:dyDescent="0.35">
      <c r="A1196" t="s">
        <v>2295</v>
      </c>
      <c r="B1196" s="9">
        <v>46170</v>
      </c>
      <c r="C1196" t="s">
        <v>903</v>
      </c>
      <c r="D1196" t="s">
        <v>15</v>
      </c>
      <c r="E1196" t="s">
        <v>41</v>
      </c>
      <c r="F1196" t="s">
        <v>89</v>
      </c>
      <c r="G1196" t="s">
        <v>90</v>
      </c>
      <c r="H1196">
        <v>1</v>
      </c>
      <c r="I1196" t="s">
        <v>102</v>
      </c>
      <c r="J1196" t="s">
        <v>701</v>
      </c>
      <c r="K1196" t="s">
        <v>108</v>
      </c>
      <c r="L1196" t="s">
        <v>30</v>
      </c>
      <c r="M1196" t="s">
        <v>22</v>
      </c>
    </row>
    <row r="1197" spans="1:13" x14ac:dyDescent="0.35">
      <c r="A1197" t="s">
        <v>2296</v>
      </c>
      <c r="B1197" s="9">
        <v>46040</v>
      </c>
      <c r="C1197" t="s">
        <v>2297</v>
      </c>
      <c r="D1197" t="s">
        <v>94</v>
      </c>
      <c r="E1197" t="s">
        <v>16</v>
      </c>
      <c r="F1197" t="s">
        <v>47</v>
      </c>
      <c r="G1197" t="s">
        <v>48</v>
      </c>
      <c r="H1197">
        <v>2</v>
      </c>
      <c r="I1197" t="s">
        <v>136</v>
      </c>
      <c r="J1197" t="s">
        <v>164</v>
      </c>
      <c r="K1197">
        <v>380</v>
      </c>
      <c r="L1197" t="s">
        <v>21</v>
      </c>
      <c r="M1197" t="s">
        <v>22</v>
      </c>
    </row>
    <row r="1198" spans="1:13" x14ac:dyDescent="0.35">
      <c r="A1198" t="s">
        <v>2298</v>
      </c>
      <c r="B1198" s="9">
        <v>46129</v>
      </c>
      <c r="C1198" t="s">
        <v>2299</v>
      </c>
      <c r="D1198" t="s">
        <v>53</v>
      </c>
      <c r="E1198" t="s">
        <v>67</v>
      </c>
      <c r="F1198" t="s">
        <v>47</v>
      </c>
      <c r="G1198" t="s">
        <v>48</v>
      </c>
      <c r="H1198">
        <v>2</v>
      </c>
      <c r="I1198" t="s">
        <v>68</v>
      </c>
      <c r="J1198" t="s">
        <v>248</v>
      </c>
      <c r="K1198">
        <v>380</v>
      </c>
      <c r="L1198" t="s">
        <v>30</v>
      </c>
      <c r="M1198" t="s">
        <v>22</v>
      </c>
    </row>
    <row r="1199" spans="1:13" x14ac:dyDescent="0.35">
      <c r="A1199" t="s">
        <v>2300</v>
      </c>
      <c r="B1199" t="s">
        <v>2301</v>
      </c>
      <c r="C1199" t="s">
        <v>572</v>
      </c>
      <c r="D1199" t="s">
        <v>116</v>
      </c>
      <c r="E1199" t="s">
        <v>25</v>
      </c>
      <c r="F1199" t="s">
        <v>89</v>
      </c>
      <c r="G1199" t="s">
        <v>90</v>
      </c>
      <c r="H1199">
        <v>1</v>
      </c>
      <c r="I1199" t="s">
        <v>79</v>
      </c>
      <c r="J1199" t="s">
        <v>79</v>
      </c>
      <c r="K1199" t="s">
        <v>108</v>
      </c>
      <c r="L1199" t="s">
        <v>30</v>
      </c>
      <c r="M1199" t="s">
        <v>58</v>
      </c>
    </row>
    <row r="1200" spans="1:13" x14ac:dyDescent="0.35">
      <c r="A1200" t="s">
        <v>2302</v>
      </c>
      <c r="B1200" s="9">
        <v>46154</v>
      </c>
      <c r="C1200" t="s">
        <v>1133</v>
      </c>
      <c r="D1200" t="s">
        <v>116</v>
      </c>
      <c r="E1200" t="s">
        <v>16</v>
      </c>
      <c r="F1200" t="s">
        <v>35</v>
      </c>
      <c r="G1200" t="s">
        <v>36</v>
      </c>
      <c r="H1200">
        <v>3</v>
      </c>
      <c r="I1200" t="s">
        <v>79</v>
      </c>
      <c r="J1200" t="s">
        <v>91</v>
      </c>
      <c r="K1200" t="s">
        <v>37</v>
      </c>
      <c r="L1200" t="s">
        <v>21</v>
      </c>
      <c r="M1200" t="s">
        <v>58</v>
      </c>
    </row>
    <row r="1201" spans="1:13" x14ac:dyDescent="0.35">
      <c r="A1201" t="s">
        <v>2303</v>
      </c>
      <c r="B1201" s="9">
        <v>46157</v>
      </c>
      <c r="C1201" t="s">
        <v>2304</v>
      </c>
      <c r="D1201" t="s">
        <v>33</v>
      </c>
      <c r="E1201" t="s">
        <v>25</v>
      </c>
      <c r="F1201" t="s">
        <v>17</v>
      </c>
      <c r="G1201" t="s">
        <v>18</v>
      </c>
      <c r="H1201">
        <v>1</v>
      </c>
      <c r="I1201" t="s">
        <v>132</v>
      </c>
      <c r="J1201" t="s">
        <v>132</v>
      </c>
      <c r="K1201" t="s">
        <v>29</v>
      </c>
      <c r="L1201" t="s">
        <v>30</v>
      </c>
      <c r="M1201" t="s">
        <v>58</v>
      </c>
    </row>
    <row r="1202" spans="1:13" x14ac:dyDescent="0.35">
      <c r="A1202" t="s">
        <v>2305</v>
      </c>
      <c r="B1202" s="9">
        <v>46052</v>
      </c>
      <c r="C1202" t="s">
        <v>2306</v>
      </c>
      <c r="D1202" t="s">
        <v>46</v>
      </c>
      <c r="E1202" t="s">
        <v>34</v>
      </c>
      <c r="F1202" t="s">
        <v>35</v>
      </c>
      <c r="G1202" t="s">
        <v>36</v>
      </c>
      <c r="H1202">
        <v>2</v>
      </c>
      <c r="I1202" t="s">
        <v>136</v>
      </c>
      <c r="J1202" t="s">
        <v>164</v>
      </c>
      <c r="K1202">
        <v>85</v>
      </c>
      <c r="L1202" t="s">
        <v>30</v>
      </c>
      <c r="M1202" t="s">
        <v>22</v>
      </c>
    </row>
    <row r="1203" spans="1:13" x14ac:dyDescent="0.35">
      <c r="A1203" t="s">
        <v>2307</v>
      </c>
      <c r="B1203" s="9">
        <v>46122</v>
      </c>
      <c r="C1203" t="s">
        <v>1626</v>
      </c>
      <c r="D1203" t="s">
        <v>99</v>
      </c>
      <c r="E1203" t="s">
        <v>25</v>
      </c>
      <c r="F1203" t="s">
        <v>74</v>
      </c>
      <c r="G1203" t="s">
        <v>75</v>
      </c>
      <c r="H1203">
        <v>1</v>
      </c>
      <c r="I1203" t="s">
        <v>132</v>
      </c>
      <c r="J1203" t="s">
        <v>132</v>
      </c>
      <c r="K1203">
        <v>410</v>
      </c>
      <c r="L1203" t="s">
        <v>21</v>
      </c>
      <c r="M1203" t="s">
        <v>22</v>
      </c>
    </row>
    <row r="1204" spans="1:13" x14ac:dyDescent="0.35">
      <c r="A1204" t="s">
        <v>2308</v>
      </c>
      <c r="B1204" s="9">
        <v>46070</v>
      </c>
      <c r="C1204" t="s">
        <v>2309</v>
      </c>
      <c r="D1204" t="s">
        <v>40</v>
      </c>
      <c r="E1204" t="s">
        <v>67</v>
      </c>
      <c r="F1204" t="s">
        <v>17</v>
      </c>
      <c r="G1204" t="s">
        <v>18</v>
      </c>
      <c r="H1204">
        <v>1</v>
      </c>
      <c r="I1204" t="s">
        <v>645</v>
      </c>
      <c r="J1204" t="s">
        <v>102</v>
      </c>
      <c r="K1204">
        <v>520</v>
      </c>
      <c r="L1204" t="s">
        <v>30</v>
      </c>
      <c r="M1204" t="s">
        <v>58</v>
      </c>
    </row>
    <row r="1205" spans="1:13" x14ac:dyDescent="0.35">
      <c r="A1205" t="s">
        <v>2310</v>
      </c>
      <c r="B1205" s="9">
        <v>46144</v>
      </c>
      <c r="C1205" t="s">
        <v>2211</v>
      </c>
      <c r="D1205" t="s">
        <v>99</v>
      </c>
      <c r="E1205" t="s">
        <v>25</v>
      </c>
      <c r="F1205" t="s">
        <v>35</v>
      </c>
      <c r="G1205" t="s">
        <v>36</v>
      </c>
      <c r="H1205">
        <v>1</v>
      </c>
      <c r="I1205" t="s">
        <v>28</v>
      </c>
      <c r="J1205" t="s">
        <v>28</v>
      </c>
      <c r="K1205">
        <v>85</v>
      </c>
      <c r="L1205" t="s">
        <v>30</v>
      </c>
      <c r="M1205" t="s">
        <v>22</v>
      </c>
    </row>
    <row r="1206" spans="1:13" x14ac:dyDescent="0.35">
      <c r="A1206" t="s">
        <v>2311</v>
      </c>
      <c r="B1206" t="s">
        <v>2312</v>
      </c>
      <c r="C1206" t="s">
        <v>1674</v>
      </c>
      <c r="D1206" t="s">
        <v>33</v>
      </c>
      <c r="E1206" t="s">
        <v>25</v>
      </c>
      <c r="F1206" t="s">
        <v>26</v>
      </c>
      <c r="G1206" t="s">
        <v>27</v>
      </c>
      <c r="H1206">
        <v>1</v>
      </c>
      <c r="I1206" t="s">
        <v>220</v>
      </c>
      <c r="J1206" t="s">
        <v>220</v>
      </c>
      <c r="K1206">
        <v>520</v>
      </c>
      <c r="L1206" t="s">
        <v>21</v>
      </c>
      <c r="M1206" t="s">
        <v>22</v>
      </c>
    </row>
    <row r="1207" spans="1:13" x14ac:dyDescent="0.35">
      <c r="A1207" t="s">
        <v>2313</v>
      </c>
      <c r="B1207" s="9">
        <v>46078</v>
      </c>
      <c r="C1207" t="s">
        <v>515</v>
      </c>
      <c r="D1207" t="s">
        <v>116</v>
      </c>
      <c r="E1207" t="s">
        <v>41</v>
      </c>
      <c r="F1207" t="s">
        <v>74</v>
      </c>
      <c r="G1207" t="s">
        <v>75</v>
      </c>
      <c r="H1207">
        <v>1</v>
      </c>
      <c r="I1207" t="s">
        <v>136</v>
      </c>
      <c r="J1207" t="s">
        <v>136</v>
      </c>
      <c r="K1207">
        <v>410</v>
      </c>
      <c r="L1207" t="s">
        <v>21</v>
      </c>
      <c r="M1207" t="s">
        <v>58</v>
      </c>
    </row>
    <row r="1208" spans="1:13" x14ac:dyDescent="0.35">
      <c r="A1208" t="s">
        <v>2314</v>
      </c>
      <c r="B1208" s="9">
        <v>46181</v>
      </c>
      <c r="C1208" t="s">
        <v>2315</v>
      </c>
      <c r="D1208" t="s">
        <v>99</v>
      </c>
      <c r="E1208" t="s">
        <v>25</v>
      </c>
      <c r="F1208" t="s">
        <v>74</v>
      </c>
      <c r="G1208" t="s">
        <v>75</v>
      </c>
      <c r="H1208">
        <v>2</v>
      </c>
      <c r="I1208" t="s">
        <v>102</v>
      </c>
      <c r="J1208" t="s">
        <v>181</v>
      </c>
      <c r="K1208" t="s">
        <v>76</v>
      </c>
      <c r="L1208" t="s">
        <v>30</v>
      </c>
      <c r="M1208" t="s">
        <v>22</v>
      </c>
    </row>
    <row r="1209" spans="1:13" x14ac:dyDescent="0.35">
      <c r="A1209" t="s">
        <v>2316</v>
      </c>
      <c r="B1209" s="9">
        <v>46098</v>
      </c>
      <c r="C1209" t="s">
        <v>1449</v>
      </c>
      <c r="D1209" t="s">
        <v>33</v>
      </c>
      <c r="E1209" t="s">
        <v>16</v>
      </c>
      <c r="F1209" t="s">
        <v>26</v>
      </c>
      <c r="G1209" t="s">
        <v>27</v>
      </c>
      <c r="H1209">
        <v>3</v>
      </c>
      <c r="I1209" t="s">
        <v>19</v>
      </c>
      <c r="J1209" t="s">
        <v>326</v>
      </c>
      <c r="K1209">
        <v>520</v>
      </c>
      <c r="L1209" t="s">
        <v>30</v>
      </c>
      <c r="M1209" t="s">
        <v>22</v>
      </c>
    </row>
    <row r="1210" spans="1:13" x14ac:dyDescent="0.35">
      <c r="A1210" t="s">
        <v>2317</v>
      </c>
      <c r="B1210" s="9">
        <v>46105</v>
      </c>
      <c r="C1210" t="s">
        <v>2318</v>
      </c>
      <c r="D1210" t="s">
        <v>94</v>
      </c>
      <c r="E1210" t="s">
        <v>41</v>
      </c>
      <c r="F1210" t="s">
        <v>42</v>
      </c>
      <c r="G1210" t="s">
        <v>43</v>
      </c>
      <c r="H1210">
        <v>1</v>
      </c>
      <c r="I1210" t="s">
        <v>608</v>
      </c>
      <c r="J1210" t="s">
        <v>132</v>
      </c>
      <c r="K1210">
        <v>190</v>
      </c>
      <c r="L1210" t="s">
        <v>30</v>
      </c>
      <c r="M1210" t="s">
        <v>22</v>
      </c>
    </row>
    <row r="1211" spans="1:13" x14ac:dyDescent="0.35">
      <c r="A1211" t="s">
        <v>2319</v>
      </c>
      <c r="B1211" s="9">
        <v>46076</v>
      </c>
      <c r="C1211" t="s">
        <v>2320</v>
      </c>
      <c r="D1211" t="s">
        <v>15</v>
      </c>
      <c r="E1211" t="s">
        <v>34</v>
      </c>
      <c r="F1211" t="s">
        <v>26</v>
      </c>
      <c r="G1211" t="s">
        <v>27</v>
      </c>
      <c r="H1211">
        <v>1</v>
      </c>
      <c r="I1211" t="s">
        <v>68</v>
      </c>
      <c r="J1211" t="s">
        <v>68</v>
      </c>
      <c r="K1211">
        <v>520</v>
      </c>
      <c r="L1211" t="s">
        <v>30</v>
      </c>
      <c r="M1211" t="s">
        <v>58</v>
      </c>
    </row>
    <row r="1212" spans="1:13" x14ac:dyDescent="0.35">
      <c r="A1212" t="s">
        <v>2321</v>
      </c>
      <c r="B1212" s="9">
        <v>46129</v>
      </c>
      <c r="C1212" t="s">
        <v>2322</v>
      </c>
      <c r="D1212" t="s">
        <v>99</v>
      </c>
      <c r="E1212" t="s">
        <v>34</v>
      </c>
      <c r="F1212" t="s">
        <v>17</v>
      </c>
      <c r="G1212" t="s">
        <v>18</v>
      </c>
      <c r="H1212">
        <v>2</v>
      </c>
      <c r="I1212" t="s">
        <v>106</v>
      </c>
      <c r="J1212" t="s">
        <v>107</v>
      </c>
      <c r="K1212">
        <v>520</v>
      </c>
      <c r="L1212" t="s">
        <v>30</v>
      </c>
      <c r="M1212" t="s">
        <v>22</v>
      </c>
    </row>
    <row r="1213" spans="1:13" x14ac:dyDescent="0.35">
      <c r="A1213" t="s">
        <v>2323</v>
      </c>
      <c r="B1213" s="9">
        <v>46202</v>
      </c>
      <c r="C1213" t="s">
        <v>1028</v>
      </c>
      <c r="D1213" t="s">
        <v>40</v>
      </c>
      <c r="E1213" t="s">
        <v>25</v>
      </c>
      <c r="F1213" t="s">
        <v>26</v>
      </c>
      <c r="G1213" t="s">
        <v>27</v>
      </c>
      <c r="H1213">
        <v>3</v>
      </c>
      <c r="I1213" t="s">
        <v>85</v>
      </c>
      <c r="J1213" t="s">
        <v>86</v>
      </c>
      <c r="K1213" t="s">
        <v>29</v>
      </c>
      <c r="L1213" t="s">
        <v>30</v>
      </c>
      <c r="M1213" t="s">
        <v>22</v>
      </c>
    </row>
    <row r="1214" spans="1:13" x14ac:dyDescent="0.35">
      <c r="A1214" t="s">
        <v>2045</v>
      </c>
      <c r="B1214" s="9">
        <v>46130</v>
      </c>
      <c r="C1214" t="s">
        <v>788</v>
      </c>
      <c r="D1214" t="s">
        <v>40</v>
      </c>
      <c r="E1214" t="s">
        <v>67</v>
      </c>
      <c r="F1214" t="s">
        <v>89</v>
      </c>
      <c r="G1214" t="s">
        <v>90</v>
      </c>
      <c r="H1214">
        <v>1</v>
      </c>
      <c r="I1214" t="s">
        <v>106</v>
      </c>
      <c r="J1214" t="s">
        <v>106</v>
      </c>
      <c r="K1214">
        <v>640</v>
      </c>
      <c r="L1214" t="s">
        <v>30</v>
      </c>
      <c r="M1214" t="s">
        <v>22</v>
      </c>
    </row>
    <row r="1215" spans="1:13" x14ac:dyDescent="0.35">
      <c r="A1215" t="s">
        <v>2324</v>
      </c>
      <c r="B1215" s="9">
        <v>46088</v>
      </c>
      <c r="C1215" t="s">
        <v>2325</v>
      </c>
      <c r="D1215" t="s">
        <v>116</v>
      </c>
      <c r="E1215" t="s">
        <v>34</v>
      </c>
      <c r="F1215" t="s">
        <v>26</v>
      </c>
      <c r="G1215" t="s">
        <v>27</v>
      </c>
      <c r="H1215">
        <v>2</v>
      </c>
      <c r="I1215" t="s">
        <v>106</v>
      </c>
      <c r="J1215" t="s">
        <v>107</v>
      </c>
      <c r="K1215">
        <v>520</v>
      </c>
      <c r="L1215" t="s">
        <v>30</v>
      </c>
      <c r="M1215" t="s">
        <v>22</v>
      </c>
    </row>
    <row r="1216" spans="1:13" x14ac:dyDescent="0.35">
      <c r="A1216" t="s">
        <v>2326</v>
      </c>
      <c r="B1216" s="9">
        <v>46180</v>
      </c>
      <c r="C1216" t="s">
        <v>1608</v>
      </c>
      <c r="D1216" t="s">
        <v>61</v>
      </c>
      <c r="E1216" t="s">
        <v>41</v>
      </c>
      <c r="F1216" t="s">
        <v>42</v>
      </c>
      <c r="G1216" t="s">
        <v>43</v>
      </c>
      <c r="H1216">
        <v>2</v>
      </c>
      <c r="I1216" t="s">
        <v>106</v>
      </c>
      <c r="J1216" t="s">
        <v>1380</v>
      </c>
      <c r="K1216" t="s">
        <v>111</v>
      </c>
      <c r="L1216" t="s">
        <v>30</v>
      </c>
      <c r="M1216" t="s">
        <v>22</v>
      </c>
    </row>
    <row r="1217" spans="1:13" x14ac:dyDescent="0.35">
      <c r="A1217" t="s">
        <v>2327</v>
      </c>
      <c r="B1217" s="9">
        <v>46207</v>
      </c>
      <c r="C1217" t="s">
        <v>2328</v>
      </c>
      <c r="D1217" t="s">
        <v>33</v>
      </c>
      <c r="E1217" t="s">
        <v>25</v>
      </c>
      <c r="F1217" t="s">
        <v>47</v>
      </c>
      <c r="G1217" t="s">
        <v>48</v>
      </c>
      <c r="H1217">
        <v>1</v>
      </c>
      <c r="I1217" t="s">
        <v>19</v>
      </c>
      <c r="J1217" t="s">
        <v>19</v>
      </c>
      <c r="K1217" t="s">
        <v>50</v>
      </c>
      <c r="L1217" t="s">
        <v>30</v>
      </c>
      <c r="M1217" t="s">
        <v>22</v>
      </c>
    </row>
    <row r="1218" spans="1:13" x14ac:dyDescent="0.35">
      <c r="A1218" t="s">
        <v>2329</v>
      </c>
      <c r="B1218" s="9">
        <v>46102</v>
      </c>
      <c r="C1218" t="s">
        <v>2330</v>
      </c>
      <c r="D1218" t="s">
        <v>94</v>
      </c>
      <c r="E1218" t="s">
        <v>34</v>
      </c>
      <c r="F1218" t="s">
        <v>74</v>
      </c>
      <c r="G1218" t="s">
        <v>75</v>
      </c>
      <c r="H1218">
        <v>2</v>
      </c>
      <c r="I1218" t="s">
        <v>68</v>
      </c>
      <c r="J1218" t="s">
        <v>248</v>
      </c>
      <c r="K1218">
        <v>410</v>
      </c>
      <c r="L1218" t="s">
        <v>30</v>
      </c>
      <c r="M1218" t="s">
        <v>22</v>
      </c>
    </row>
    <row r="1219" spans="1:13" x14ac:dyDescent="0.35">
      <c r="A1219" t="s">
        <v>2331</v>
      </c>
      <c r="B1219" s="9">
        <v>46104</v>
      </c>
      <c r="C1219" t="s">
        <v>332</v>
      </c>
      <c r="D1219" t="s">
        <v>99</v>
      </c>
      <c r="E1219" t="s">
        <v>34</v>
      </c>
      <c r="F1219" t="s">
        <v>35</v>
      </c>
      <c r="G1219" t="s">
        <v>36</v>
      </c>
      <c r="H1219">
        <v>2</v>
      </c>
      <c r="I1219" t="s">
        <v>220</v>
      </c>
      <c r="J1219" t="s">
        <v>221</v>
      </c>
      <c r="K1219">
        <v>85</v>
      </c>
      <c r="L1219" t="s">
        <v>30</v>
      </c>
      <c r="M1219" t="s">
        <v>58</v>
      </c>
    </row>
    <row r="1220" spans="1:13" x14ac:dyDescent="0.35">
      <c r="A1220" t="s">
        <v>2332</v>
      </c>
      <c r="B1220" s="9">
        <v>46052</v>
      </c>
      <c r="C1220" t="s">
        <v>2333</v>
      </c>
      <c r="D1220" t="s">
        <v>33</v>
      </c>
      <c r="E1220" t="s">
        <v>25</v>
      </c>
      <c r="F1220" t="s">
        <v>26</v>
      </c>
      <c r="G1220" t="s">
        <v>27</v>
      </c>
      <c r="H1220">
        <v>2</v>
      </c>
      <c r="I1220" t="s">
        <v>71</v>
      </c>
      <c r="J1220" t="s">
        <v>286</v>
      </c>
      <c r="K1220">
        <v>520</v>
      </c>
      <c r="L1220" t="s">
        <v>30</v>
      </c>
      <c r="M1220" t="s">
        <v>22</v>
      </c>
    </row>
    <row r="1221" spans="1:13" x14ac:dyDescent="0.35">
      <c r="A1221" t="s">
        <v>2334</v>
      </c>
      <c r="B1221" s="9">
        <v>46185</v>
      </c>
      <c r="C1221" t="s">
        <v>231</v>
      </c>
      <c r="D1221" t="s">
        <v>46</v>
      </c>
      <c r="E1221" t="s">
        <v>67</v>
      </c>
      <c r="F1221" t="s">
        <v>74</v>
      </c>
      <c r="G1221" t="s">
        <v>75</v>
      </c>
      <c r="H1221">
        <v>1</v>
      </c>
      <c r="I1221" t="s">
        <v>71</v>
      </c>
      <c r="J1221" t="s">
        <v>71</v>
      </c>
      <c r="K1221" t="s">
        <v>76</v>
      </c>
      <c r="L1221" t="s">
        <v>21</v>
      </c>
      <c r="M1221" t="s">
        <v>58</v>
      </c>
    </row>
    <row r="1222" spans="1:13" x14ac:dyDescent="0.35">
      <c r="A1222" t="s">
        <v>2335</v>
      </c>
      <c r="B1222" s="9">
        <v>46174</v>
      </c>
      <c r="C1222" t="s">
        <v>672</v>
      </c>
      <c r="D1222" t="s">
        <v>66</v>
      </c>
      <c r="E1222" t="s">
        <v>16</v>
      </c>
      <c r="F1222" t="s">
        <v>42</v>
      </c>
      <c r="G1222" t="s">
        <v>43</v>
      </c>
      <c r="H1222">
        <v>1</v>
      </c>
      <c r="I1222" t="s">
        <v>19</v>
      </c>
      <c r="J1222" t="s">
        <v>19</v>
      </c>
      <c r="K1222">
        <v>190</v>
      </c>
      <c r="L1222" t="s">
        <v>30</v>
      </c>
      <c r="M1222" t="s">
        <v>22</v>
      </c>
    </row>
    <row r="1223" spans="1:13" x14ac:dyDescent="0.35">
      <c r="A1223" t="s">
        <v>2336</v>
      </c>
      <c r="B1223" s="9">
        <v>46112</v>
      </c>
      <c r="C1223" t="s">
        <v>147</v>
      </c>
      <c r="D1223" t="s">
        <v>116</v>
      </c>
      <c r="E1223" t="s">
        <v>16</v>
      </c>
      <c r="F1223" t="s">
        <v>35</v>
      </c>
      <c r="G1223" t="s">
        <v>36</v>
      </c>
      <c r="H1223">
        <v>3</v>
      </c>
      <c r="I1223" t="s">
        <v>49</v>
      </c>
      <c r="J1223" t="s">
        <v>257</v>
      </c>
      <c r="K1223">
        <v>85</v>
      </c>
      <c r="L1223" t="s">
        <v>30</v>
      </c>
      <c r="M1223" t="s">
        <v>58</v>
      </c>
    </row>
    <row r="1224" spans="1:13" x14ac:dyDescent="0.35">
      <c r="A1224" t="s">
        <v>2337</v>
      </c>
      <c r="B1224" s="9">
        <v>46149</v>
      </c>
      <c r="C1224" t="s">
        <v>661</v>
      </c>
      <c r="D1224" t="s">
        <v>33</v>
      </c>
      <c r="E1224" t="s">
        <v>41</v>
      </c>
      <c r="F1224" t="s">
        <v>35</v>
      </c>
      <c r="G1224" t="s">
        <v>36</v>
      </c>
      <c r="H1224">
        <v>2</v>
      </c>
      <c r="I1224" t="s">
        <v>79</v>
      </c>
      <c r="J1224" t="s">
        <v>143</v>
      </c>
      <c r="K1224" t="s">
        <v>37</v>
      </c>
      <c r="L1224" t="s">
        <v>30</v>
      </c>
      <c r="M1224" t="s">
        <v>22</v>
      </c>
    </row>
    <row r="1225" spans="1:13" x14ac:dyDescent="0.35">
      <c r="A1225" t="s">
        <v>2338</v>
      </c>
      <c r="B1225" s="9">
        <v>46052</v>
      </c>
      <c r="C1225" t="s">
        <v>2339</v>
      </c>
      <c r="D1225" t="s">
        <v>33</v>
      </c>
      <c r="E1225" t="s">
        <v>25</v>
      </c>
      <c r="F1225" t="s">
        <v>89</v>
      </c>
      <c r="G1225" t="s">
        <v>90</v>
      </c>
      <c r="H1225">
        <v>2</v>
      </c>
      <c r="I1225" t="s">
        <v>19</v>
      </c>
      <c r="J1225" t="s">
        <v>238</v>
      </c>
      <c r="K1225">
        <v>640</v>
      </c>
      <c r="L1225" t="s">
        <v>21</v>
      </c>
      <c r="M1225" t="s">
        <v>22</v>
      </c>
    </row>
    <row r="1226" spans="1:13" x14ac:dyDescent="0.35">
      <c r="A1226" t="s">
        <v>2340</v>
      </c>
      <c r="B1226" s="9">
        <v>46134</v>
      </c>
      <c r="C1226" t="s">
        <v>2341</v>
      </c>
      <c r="D1226" t="s">
        <v>66</v>
      </c>
      <c r="E1226" t="s">
        <v>41</v>
      </c>
      <c r="F1226" t="s">
        <v>47</v>
      </c>
      <c r="G1226" t="s">
        <v>48</v>
      </c>
      <c r="H1226">
        <v>2</v>
      </c>
      <c r="I1226" t="s">
        <v>254</v>
      </c>
      <c r="J1226" t="s">
        <v>164</v>
      </c>
      <c r="K1226" t="s">
        <v>50</v>
      </c>
      <c r="L1226" t="s">
        <v>30</v>
      </c>
      <c r="M1226" t="s">
        <v>22</v>
      </c>
    </row>
    <row r="1227" spans="1:13" x14ac:dyDescent="0.35">
      <c r="A1227" t="s">
        <v>2342</v>
      </c>
      <c r="B1227" t="s">
        <v>582</v>
      </c>
      <c r="C1227" t="s">
        <v>665</v>
      </c>
      <c r="D1227" t="s">
        <v>46</v>
      </c>
      <c r="E1227" t="s">
        <v>16</v>
      </c>
      <c r="F1227" t="s">
        <v>26</v>
      </c>
      <c r="G1227" t="s">
        <v>27</v>
      </c>
      <c r="H1227">
        <v>1</v>
      </c>
      <c r="I1227" t="s">
        <v>19</v>
      </c>
      <c r="J1227" t="s">
        <v>19</v>
      </c>
      <c r="K1227" t="s">
        <v>29</v>
      </c>
      <c r="L1227" t="s">
        <v>30</v>
      </c>
      <c r="M1227" t="s">
        <v>58</v>
      </c>
    </row>
    <row r="1228" spans="1:13" x14ac:dyDescent="0.35">
      <c r="A1228" t="s">
        <v>2343</v>
      </c>
      <c r="B1228" s="9">
        <v>46049</v>
      </c>
      <c r="C1228" t="s">
        <v>1048</v>
      </c>
      <c r="D1228" t="s">
        <v>116</v>
      </c>
      <c r="E1228" t="s">
        <v>34</v>
      </c>
      <c r="F1228" t="s">
        <v>47</v>
      </c>
      <c r="G1228" t="s">
        <v>48</v>
      </c>
      <c r="H1228">
        <v>1</v>
      </c>
      <c r="I1228" t="s">
        <v>102</v>
      </c>
      <c r="J1228" t="s">
        <v>102</v>
      </c>
      <c r="K1228">
        <v>380</v>
      </c>
      <c r="L1228" t="s">
        <v>30</v>
      </c>
      <c r="M1228" t="s">
        <v>58</v>
      </c>
    </row>
    <row r="1229" spans="1:13" x14ac:dyDescent="0.35">
      <c r="A1229" t="s">
        <v>2344</v>
      </c>
      <c r="B1229" s="9">
        <v>46207</v>
      </c>
      <c r="C1229" t="s">
        <v>1519</v>
      </c>
      <c r="D1229" t="s">
        <v>116</v>
      </c>
      <c r="E1229" t="s">
        <v>41</v>
      </c>
      <c r="F1229" t="s">
        <v>26</v>
      </c>
      <c r="G1229" t="s">
        <v>27</v>
      </c>
      <c r="H1229">
        <v>2</v>
      </c>
      <c r="I1229" t="s">
        <v>68</v>
      </c>
      <c r="J1229" t="s">
        <v>248</v>
      </c>
      <c r="K1229" t="s">
        <v>29</v>
      </c>
      <c r="L1229" t="s">
        <v>30</v>
      </c>
      <c r="M1229" t="s">
        <v>22</v>
      </c>
    </row>
    <row r="1230" spans="1:13" x14ac:dyDescent="0.35">
      <c r="A1230" t="s">
        <v>2345</v>
      </c>
      <c r="B1230" s="9">
        <v>46152</v>
      </c>
      <c r="C1230" t="s">
        <v>2346</v>
      </c>
      <c r="D1230" t="s">
        <v>15</v>
      </c>
      <c r="E1230" t="s">
        <v>25</v>
      </c>
      <c r="F1230" t="s">
        <v>17</v>
      </c>
      <c r="G1230" t="s">
        <v>18</v>
      </c>
      <c r="H1230">
        <v>1</v>
      </c>
      <c r="I1230" t="s">
        <v>79</v>
      </c>
      <c r="J1230" t="s">
        <v>1171</v>
      </c>
      <c r="K1230" t="s">
        <v>29</v>
      </c>
      <c r="L1230" t="s">
        <v>30</v>
      </c>
      <c r="M1230" t="s">
        <v>22</v>
      </c>
    </row>
    <row r="1231" spans="1:13" x14ac:dyDescent="0.35">
      <c r="A1231" t="s">
        <v>2347</v>
      </c>
      <c r="B1231" s="9">
        <v>46077</v>
      </c>
      <c r="C1231" t="s">
        <v>2348</v>
      </c>
      <c r="D1231" t="s">
        <v>94</v>
      </c>
      <c r="E1231" t="s">
        <v>25</v>
      </c>
      <c r="F1231" t="s">
        <v>47</v>
      </c>
      <c r="G1231" t="s">
        <v>48</v>
      </c>
      <c r="H1231">
        <v>-1</v>
      </c>
      <c r="I1231" t="s">
        <v>132</v>
      </c>
      <c r="J1231" t="s">
        <v>1873</v>
      </c>
      <c r="K1231">
        <v>380</v>
      </c>
      <c r="L1231" t="s">
        <v>30</v>
      </c>
      <c r="M1231" t="s">
        <v>58</v>
      </c>
    </row>
    <row r="1232" spans="1:13" x14ac:dyDescent="0.35">
      <c r="A1232" t="s">
        <v>2349</v>
      </c>
      <c r="B1232" s="9">
        <v>46204</v>
      </c>
      <c r="C1232" t="s">
        <v>441</v>
      </c>
      <c r="D1232" t="s">
        <v>53</v>
      </c>
      <c r="E1232" t="s">
        <v>25</v>
      </c>
      <c r="F1232" t="s">
        <v>47</v>
      </c>
      <c r="G1232" t="s">
        <v>48</v>
      </c>
      <c r="H1232">
        <v>3</v>
      </c>
      <c r="I1232" t="s">
        <v>28</v>
      </c>
      <c r="J1232" t="s">
        <v>568</v>
      </c>
      <c r="K1232" t="s">
        <v>50</v>
      </c>
      <c r="L1232" t="s">
        <v>21</v>
      </c>
      <c r="M1232" t="s">
        <v>58</v>
      </c>
    </row>
    <row r="1233" spans="1:13" x14ac:dyDescent="0.35">
      <c r="A1233" t="s">
        <v>2350</v>
      </c>
      <c r="B1233" s="9">
        <v>46101</v>
      </c>
      <c r="C1233" t="s">
        <v>1599</v>
      </c>
      <c r="D1233" t="s">
        <v>99</v>
      </c>
      <c r="E1233" t="s">
        <v>67</v>
      </c>
      <c r="F1233" t="s">
        <v>35</v>
      </c>
      <c r="G1233" t="s">
        <v>36</v>
      </c>
      <c r="H1233">
        <v>1</v>
      </c>
      <c r="I1233" t="s">
        <v>56</v>
      </c>
      <c r="J1233" t="s">
        <v>56</v>
      </c>
      <c r="K1233">
        <v>85</v>
      </c>
      <c r="L1233" t="s">
        <v>30</v>
      </c>
      <c r="M1233" t="s">
        <v>58</v>
      </c>
    </row>
    <row r="1234" spans="1:13" x14ac:dyDescent="0.35">
      <c r="A1234" t="s">
        <v>2351</v>
      </c>
      <c r="B1234" s="9">
        <v>46145</v>
      </c>
      <c r="C1234" t="s">
        <v>2352</v>
      </c>
      <c r="D1234" t="s">
        <v>33</v>
      </c>
      <c r="E1234" t="s">
        <v>25</v>
      </c>
      <c r="F1234" t="s">
        <v>89</v>
      </c>
      <c r="G1234" t="s">
        <v>90</v>
      </c>
      <c r="H1234">
        <v>1</v>
      </c>
      <c r="I1234" t="s">
        <v>136</v>
      </c>
      <c r="J1234" t="s">
        <v>2353</v>
      </c>
      <c r="K1234">
        <v>640</v>
      </c>
      <c r="L1234" t="s">
        <v>21</v>
      </c>
      <c r="M1234" t="s">
        <v>22</v>
      </c>
    </row>
    <row r="1235" spans="1:13" x14ac:dyDescent="0.35">
      <c r="A1235" t="s">
        <v>2354</v>
      </c>
      <c r="B1235" s="9">
        <v>46028</v>
      </c>
      <c r="C1235" t="s">
        <v>2171</v>
      </c>
      <c r="D1235" t="s">
        <v>46</v>
      </c>
      <c r="E1235" t="s">
        <v>34</v>
      </c>
      <c r="F1235" t="s">
        <v>26</v>
      </c>
      <c r="G1235" t="s">
        <v>27</v>
      </c>
      <c r="H1235">
        <v>1</v>
      </c>
      <c r="I1235" t="s">
        <v>132</v>
      </c>
      <c r="J1235" t="s">
        <v>132</v>
      </c>
      <c r="K1235">
        <v>520</v>
      </c>
      <c r="L1235" t="s">
        <v>30</v>
      </c>
      <c r="M1235" t="s">
        <v>22</v>
      </c>
    </row>
    <row r="1236" spans="1:13" x14ac:dyDescent="0.35">
      <c r="A1236" t="s">
        <v>2355</v>
      </c>
      <c r="B1236" s="9">
        <v>46045</v>
      </c>
      <c r="C1236" t="s">
        <v>2356</v>
      </c>
      <c r="D1236" t="s">
        <v>94</v>
      </c>
      <c r="E1236" t="s">
        <v>34</v>
      </c>
      <c r="F1236" t="s">
        <v>83</v>
      </c>
      <c r="G1236" t="s">
        <v>84</v>
      </c>
      <c r="H1236">
        <v>1</v>
      </c>
      <c r="I1236" t="s">
        <v>19</v>
      </c>
      <c r="J1236" t="s">
        <v>19</v>
      </c>
      <c r="K1236">
        <v>340</v>
      </c>
      <c r="L1236" t="s">
        <v>30</v>
      </c>
      <c r="M1236" t="s">
        <v>22</v>
      </c>
    </row>
    <row r="1237" spans="1:13" x14ac:dyDescent="0.35">
      <c r="A1237" t="s">
        <v>2357</v>
      </c>
      <c r="B1237" s="9">
        <v>46104</v>
      </c>
      <c r="C1237" t="s">
        <v>1861</v>
      </c>
      <c r="D1237" t="s">
        <v>94</v>
      </c>
      <c r="E1237" t="s">
        <v>16</v>
      </c>
      <c r="F1237" t="s">
        <v>17</v>
      </c>
      <c r="G1237" t="s">
        <v>18</v>
      </c>
      <c r="H1237">
        <v>1</v>
      </c>
      <c r="I1237" t="s">
        <v>19</v>
      </c>
      <c r="J1237" t="s">
        <v>19</v>
      </c>
      <c r="K1237">
        <v>520</v>
      </c>
      <c r="L1237" t="s">
        <v>30</v>
      </c>
      <c r="M1237" t="s">
        <v>22</v>
      </c>
    </row>
    <row r="1238" spans="1:13" x14ac:dyDescent="0.35">
      <c r="A1238" t="s">
        <v>2358</v>
      </c>
      <c r="B1238" s="9">
        <v>46158</v>
      </c>
      <c r="C1238" t="s">
        <v>1811</v>
      </c>
      <c r="D1238" t="s">
        <v>61</v>
      </c>
      <c r="E1238" t="s">
        <v>41</v>
      </c>
      <c r="F1238" t="s">
        <v>83</v>
      </c>
      <c r="G1238" t="s">
        <v>84</v>
      </c>
      <c r="H1238">
        <v>1</v>
      </c>
      <c r="I1238" t="s">
        <v>85</v>
      </c>
      <c r="J1238" t="s">
        <v>85</v>
      </c>
      <c r="K1238" t="s">
        <v>103</v>
      </c>
      <c r="L1238" t="s">
        <v>30</v>
      </c>
      <c r="M1238" t="s">
        <v>22</v>
      </c>
    </row>
    <row r="1239" spans="1:13" x14ac:dyDescent="0.35">
      <c r="A1239" t="s">
        <v>2359</v>
      </c>
      <c r="B1239" s="9">
        <v>46162</v>
      </c>
      <c r="C1239" t="s">
        <v>2360</v>
      </c>
      <c r="D1239" t="s">
        <v>15</v>
      </c>
      <c r="E1239" t="s">
        <v>16</v>
      </c>
      <c r="F1239" t="s">
        <v>42</v>
      </c>
      <c r="G1239" t="s">
        <v>43</v>
      </c>
      <c r="H1239">
        <v>2</v>
      </c>
      <c r="I1239" t="s">
        <v>68</v>
      </c>
      <c r="J1239" t="s">
        <v>248</v>
      </c>
      <c r="K1239" t="s">
        <v>111</v>
      </c>
      <c r="L1239" t="s">
        <v>30</v>
      </c>
      <c r="M1239" t="s">
        <v>22</v>
      </c>
    </row>
    <row r="1240" spans="1:13" x14ac:dyDescent="0.35">
      <c r="A1240" t="s">
        <v>2361</v>
      </c>
      <c r="B1240" s="9">
        <v>46103</v>
      </c>
      <c r="C1240" t="s">
        <v>769</v>
      </c>
      <c r="D1240" t="s">
        <v>15</v>
      </c>
      <c r="E1240" t="s">
        <v>41</v>
      </c>
      <c r="F1240" t="s">
        <v>47</v>
      </c>
      <c r="G1240" t="s">
        <v>48</v>
      </c>
      <c r="H1240">
        <v>1</v>
      </c>
      <c r="I1240" t="s">
        <v>71</v>
      </c>
      <c r="J1240" t="s">
        <v>71</v>
      </c>
      <c r="K1240">
        <v>380</v>
      </c>
      <c r="L1240" t="s">
        <v>21</v>
      </c>
      <c r="M1240" t="s">
        <v>22</v>
      </c>
    </row>
    <row r="1241" spans="1:13" x14ac:dyDescent="0.35">
      <c r="A1241" t="s">
        <v>2362</v>
      </c>
      <c r="B1241" s="9">
        <v>46030</v>
      </c>
      <c r="C1241" t="s">
        <v>340</v>
      </c>
      <c r="D1241" t="s">
        <v>15</v>
      </c>
      <c r="E1241" t="s">
        <v>41</v>
      </c>
      <c r="F1241" t="s">
        <v>17</v>
      </c>
      <c r="G1241" t="s">
        <v>18</v>
      </c>
      <c r="H1241">
        <v>2</v>
      </c>
      <c r="I1241" t="s">
        <v>49</v>
      </c>
      <c r="J1241" t="s">
        <v>178</v>
      </c>
      <c r="K1241">
        <v>520</v>
      </c>
      <c r="L1241" t="s">
        <v>30</v>
      </c>
      <c r="M1241" t="s">
        <v>22</v>
      </c>
    </row>
    <row r="1242" spans="1:13" x14ac:dyDescent="0.35">
      <c r="A1242" t="s">
        <v>2363</v>
      </c>
      <c r="B1242" s="9">
        <v>46028</v>
      </c>
      <c r="C1242" t="s">
        <v>2364</v>
      </c>
      <c r="D1242" t="s">
        <v>99</v>
      </c>
      <c r="E1242" t="s">
        <v>67</v>
      </c>
      <c r="F1242" t="s">
        <v>35</v>
      </c>
      <c r="G1242" t="s">
        <v>36</v>
      </c>
      <c r="H1242">
        <v>2</v>
      </c>
      <c r="I1242" t="s">
        <v>79</v>
      </c>
      <c r="J1242" t="s">
        <v>143</v>
      </c>
      <c r="K1242">
        <v>85</v>
      </c>
      <c r="L1242" t="s">
        <v>30</v>
      </c>
      <c r="M1242" t="s">
        <v>22</v>
      </c>
    </row>
    <row r="1243" spans="1:13" x14ac:dyDescent="0.35">
      <c r="A1243" t="s">
        <v>2365</v>
      </c>
      <c r="B1243" s="9">
        <v>46090</v>
      </c>
      <c r="C1243" t="s">
        <v>2366</v>
      </c>
      <c r="D1243" t="s">
        <v>66</v>
      </c>
      <c r="E1243" t="s">
        <v>16</v>
      </c>
      <c r="F1243" t="s">
        <v>89</v>
      </c>
      <c r="G1243" t="s">
        <v>90</v>
      </c>
      <c r="H1243">
        <v>2</v>
      </c>
      <c r="I1243" t="s">
        <v>106</v>
      </c>
      <c r="J1243" t="s">
        <v>107</v>
      </c>
      <c r="K1243">
        <v>640</v>
      </c>
      <c r="L1243" t="s">
        <v>30</v>
      </c>
      <c r="M1243" t="s">
        <v>58</v>
      </c>
    </row>
    <row r="1244" spans="1:13" x14ac:dyDescent="0.35">
      <c r="A1244" t="s">
        <v>2367</v>
      </c>
      <c r="B1244" s="9">
        <v>46128</v>
      </c>
      <c r="C1244" t="s">
        <v>1364</v>
      </c>
      <c r="D1244" t="s">
        <v>61</v>
      </c>
      <c r="E1244" t="s">
        <v>34</v>
      </c>
      <c r="F1244" t="s">
        <v>74</v>
      </c>
      <c r="G1244" t="s">
        <v>75</v>
      </c>
      <c r="H1244">
        <v>2</v>
      </c>
      <c r="I1244" t="s">
        <v>106</v>
      </c>
      <c r="J1244" t="s">
        <v>107</v>
      </c>
      <c r="K1244">
        <v>410</v>
      </c>
      <c r="L1244" t="s">
        <v>30</v>
      </c>
      <c r="M1244" t="s">
        <v>58</v>
      </c>
    </row>
    <row r="1245" spans="1:13" x14ac:dyDescent="0.35">
      <c r="A1245" t="s">
        <v>2368</v>
      </c>
      <c r="B1245" s="9">
        <v>46168</v>
      </c>
      <c r="C1245" t="s">
        <v>2369</v>
      </c>
      <c r="D1245" t="s">
        <v>94</v>
      </c>
      <c r="E1245" t="s">
        <v>25</v>
      </c>
      <c r="F1245" t="s">
        <v>42</v>
      </c>
      <c r="G1245" t="s">
        <v>43</v>
      </c>
      <c r="H1245">
        <v>1</v>
      </c>
      <c r="I1245" t="s">
        <v>71</v>
      </c>
      <c r="J1245" t="s">
        <v>71</v>
      </c>
      <c r="K1245" t="s">
        <v>111</v>
      </c>
      <c r="L1245" t="s">
        <v>30</v>
      </c>
      <c r="M1245" t="s">
        <v>58</v>
      </c>
    </row>
    <row r="1246" spans="1:13" x14ac:dyDescent="0.35">
      <c r="A1246" t="s">
        <v>2370</v>
      </c>
      <c r="B1246" s="9">
        <v>46152</v>
      </c>
      <c r="C1246" t="s">
        <v>2371</v>
      </c>
      <c r="D1246" t="s">
        <v>46</v>
      </c>
      <c r="E1246" t="s">
        <v>34</v>
      </c>
      <c r="F1246" t="s">
        <v>26</v>
      </c>
      <c r="G1246" t="s">
        <v>27</v>
      </c>
      <c r="H1246">
        <v>1</v>
      </c>
      <c r="I1246" t="s">
        <v>71</v>
      </c>
      <c r="J1246" t="s">
        <v>71</v>
      </c>
      <c r="K1246" t="s">
        <v>29</v>
      </c>
      <c r="L1246" t="s">
        <v>30</v>
      </c>
      <c r="M1246" t="s">
        <v>58</v>
      </c>
    </row>
    <row r="1247" spans="1:13" x14ac:dyDescent="0.35">
      <c r="A1247" t="s">
        <v>2372</v>
      </c>
      <c r="B1247" t="s">
        <v>1274</v>
      </c>
      <c r="C1247" t="s">
        <v>1372</v>
      </c>
      <c r="D1247" t="s">
        <v>116</v>
      </c>
      <c r="E1247" t="s">
        <v>67</v>
      </c>
      <c r="F1247" t="s">
        <v>17</v>
      </c>
      <c r="G1247" t="s">
        <v>18</v>
      </c>
      <c r="H1247">
        <v>2</v>
      </c>
      <c r="I1247" t="s">
        <v>106</v>
      </c>
      <c r="J1247" t="s">
        <v>107</v>
      </c>
      <c r="K1247" t="s">
        <v>29</v>
      </c>
      <c r="L1247" t="s">
        <v>21</v>
      </c>
      <c r="M1247" t="s">
        <v>22</v>
      </c>
    </row>
    <row r="1248" spans="1:13" x14ac:dyDescent="0.35">
      <c r="A1248" t="s">
        <v>2373</v>
      </c>
      <c r="B1248" s="9">
        <v>46168</v>
      </c>
      <c r="C1248" t="s">
        <v>2374</v>
      </c>
      <c r="D1248" t="s">
        <v>61</v>
      </c>
      <c r="E1248" t="s">
        <v>34</v>
      </c>
      <c r="F1248" t="s">
        <v>26</v>
      </c>
      <c r="G1248" t="s">
        <v>27</v>
      </c>
      <c r="H1248">
        <v>1</v>
      </c>
      <c r="I1248" t="s">
        <v>79</v>
      </c>
      <c r="J1248" t="s">
        <v>79</v>
      </c>
      <c r="K1248" t="s">
        <v>29</v>
      </c>
      <c r="L1248" t="s">
        <v>30</v>
      </c>
      <c r="M1248" t="s">
        <v>58</v>
      </c>
    </row>
    <row r="1249" spans="1:13" x14ac:dyDescent="0.35">
      <c r="A1249" t="s">
        <v>2375</v>
      </c>
      <c r="B1249" s="9">
        <v>46183</v>
      </c>
      <c r="C1249" t="s">
        <v>2376</v>
      </c>
      <c r="D1249" t="s">
        <v>94</v>
      </c>
      <c r="E1249" t="s">
        <v>67</v>
      </c>
      <c r="F1249" t="s">
        <v>26</v>
      </c>
      <c r="G1249" t="s">
        <v>27</v>
      </c>
      <c r="H1249">
        <v>2</v>
      </c>
      <c r="I1249" t="s">
        <v>254</v>
      </c>
      <c r="J1249" t="s">
        <v>156</v>
      </c>
      <c r="K1249" t="s">
        <v>29</v>
      </c>
      <c r="L1249" t="s">
        <v>30</v>
      </c>
      <c r="M1249" t="s">
        <v>22</v>
      </c>
    </row>
    <row r="1250" spans="1:13" x14ac:dyDescent="0.35">
      <c r="A1250" t="s">
        <v>2377</v>
      </c>
      <c r="B1250" s="9">
        <v>46091</v>
      </c>
      <c r="C1250" t="s">
        <v>1999</v>
      </c>
      <c r="D1250" t="s">
        <v>33</v>
      </c>
      <c r="E1250" t="s">
        <v>67</v>
      </c>
      <c r="F1250" t="s">
        <v>17</v>
      </c>
      <c r="G1250" t="s">
        <v>18</v>
      </c>
      <c r="H1250">
        <v>2</v>
      </c>
      <c r="I1250" t="s">
        <v>62</v>
      </c>
      <c r="J1250" t="s">
        <v>63</v>
      </c>
      <c r="K1250">
        <v>520</v>
      </c>
      <c r="L1250" t="s">
        <v>30</v>
      </c>
      <c r="M1250" t="s">
        <v>22</v>
      </c>
    </row>
    <row r="1251" spans="1:13" x14ac:dyDescent="0.35">
      <c r="A1251" t="s">
        <v>2378</v>
      </c>
      <c r="B1251" s="9">
        <v>46155</v>
      </c>
      <c r="C1251" t="s">
        <v>1808</v>
      </c>
      <c r="D1251" t="s">
        <v>66</v>
      </c>
      <c r="E1251" t="s">
        <v>25</v>
      </c>
      <c r="F1251" t="s">
        <v>26</v>
      </c>
      <c r="G1251" t="s">
        <v>27</v>
      </c>
      <c r="H1251">
        <v>2</v>
      </c>
      <c r="I1251" t="s">
        <v>68</v>
      </c>
      <c r="J1251" t="s">
        <v>248</v>
      </c>
      <c r="K1251" t="s">
        <v>29</v>
      </c>
      <c r="L1251" t="s">
        <v>30</v>
      </c>
      <c r="M1251" t="s">
        <v>22</v>
      </c>
    </row>
    <row r="1252" spans="1:13" x14ac:dyDescent="0.35">
      <c r="A1252" t="s">
        <v>2379</v>
      </c>
      <c r="B1252" s="9">
        <v>46055</v>
      </c>
      <c r="C1252" t="s">
        <v>2380</v>
      </c>
      <c r="D1252" t="s">
        <v>15</v>
      </c>
      <c r="E1252" t="s">
        <v>41</v>
      </c>
      <c r="F1252" t="s">
        <v>42</v>
      </c>
      <c r="G1252" t="s">
        <v>43</v>
      </c>
      <c r="H1252">
        <v>1</v>
      </c>
      <c r="I1252" t="s">
        <v>71</v>
      </c>
      <c r="J1252" t="s">
        <v>71</v>
      </c>
      <c r="K1252">
        <v>190</v>
      </c>
      <c r="L1252" t="s">
        <v>30</v>
      </c>
      <c r="M1252" t="s">
        <v>22</v>
      </c>
    </row>
    <row r="1253" spans="1:13" x14ac:dyDescent="0.35">
      <c r="A1253" t="s">
        <v>1203</v>
      </c>
      <c r="B1253" s="9">
        <v>46093</v>
      </c>
      <c r="C1253" t="s">
        <v>1204</v>
      </c>
      <c r="D1253" t="s">
        <v>66</v>
      </c>
      <c r="E1253" t="s">
        <v>41</v>
      </c>
      <c r="F1253" t="s">
        <v>47</v>
      </c>
      <c r="G1253" t="s">
        <v>48</v>
      </c>
      <c r="H1253">
        <v>2</v>
      </c>
      <c r="I1253" t="s">
        <v>136</v>
      </c>
      <c r="J1253" t="s">
        <v>164</v>
      </c>
      <c r="K1253">
        <v>380</v>
      </c>
      <c r="L1253" t="s">
        <v>30</v>
      </c>
      <c r="M1253" t="s">
        <v>58</v>
      </c>
    </row>
    <row r="1254" spans="1:13" x14ac:dyDescent="0.35">
      <c r="A1254" t="s">
        <v>2381</v>
      </c>
      <c r="B1254" s="9">
        <v>46170</v>
      </c>
      <c r="C1254" t="s">
        <v>229</v>
      </c>
      <c r="D1254" t="s">
        <v>66</v>
      </c>
      <c r="E1254" t="s">
        <v>67</v>
      </c>
      <c r="F1254" t="s">
        <v>42</v>
      </c>
      <c r="G1254" t="s">
        <v>43</v>
      </c>
      <c r="H1254">
        <v>2</v>
      </c>
      <c r="I1254" t="s">
        <v>79</v>
      </c>
      <c r="J1254" t="s">
        <v>267</v>
      </c>
      <c r="K1254" t="s">
        <v>111</v>
      </c>
      <c r="L1254" t="s">
        <v>30</v>
      </c>
      <c r="M1254" t="s">
        <v>22</v>
      </c>
    </row>
    <row r="1255" spans="1:13" x14ac:dyDescent="0.35">
      <c r="A1255" t="s">
        <v>417</v>
      </c>
      <c r="B1255" s="9">
        <v>46089</v>
      </c>
      <c r="C1255" t="s">
        <v>418</v>
      </c>
      <c r="D1255" t="s">
        <v>33</v>
      </c>
      <c r="E1255" t="s">
        <v>67</v>
      </c>
      <c r="F1255" t="s">
        <v>17</v>
      </c>
      <c r="G1255" t="s">
        <v>18</v>
      </c>
      <c r="H1255">
        <v>1</v>
      </c>
      <c r="I1255" t="s">
        <v>106</v>
      </c>
      <c r="J1255" t="s">
        <v>106</v>
      </c>
      <c r="K1255">
        <v>520</v>
      </c>
      <c r="L1255" t="s">
        <v>30</v>
      </c>
      <c r="M1255" t="s">
        <v>22</v>
      </c>
    </row>
    <row r="1256" spans="1:13" x14ac:dyDescent="0.35">
      <c r="A1256" t="s">
        <v>2382</v>
      </c>
      <c r="B1256" t="s">
        <v>120</v>
      </c>
      <c r="C1256" t="s">
        <v>55</v>
      </c>
      <c r="D1256" t="s">
        <v>53</v>
      </c>
      <c r="E1256" t="s">
        <v>34</v>
      </c>
      <c r="F1256" t="s">
        <v>74</v>
      </c>
      <c r="G1256" t="s">
        <v>75</v>
      </c>
      <c r="H1256">
        <v>2</v>
      </c>
      <c r="I1256" t="s">
        <v>645</v>
      </c>
      <c r="J1256" t="s">
        <v>181</v>
      </c>
      <c r="K1256">
        <v>410</v>
      </c>
      <c r="L1256" t="s">
        <v>21</v>
      </c>
      <c r="M1256" t="s">
        <v>22</v>
      </c>
    </row>
    <row r="1257" spans="1:13" x14ac:dyDescent="0.35">
      <c r="A1257" t="s">
        <v>2383</v>
      </c>
      <c r="B1257" s="9">
        <v>46058</v>
      </c>
      <c r="C1257" t="s">
        <v>2384</v>
      </c>
      <c r="D1257" t="s">
        <v>15</v>
      </c>
      <c r="E1257" t="s">
        <v>34</v>
      </c>
      <c r="F1257" t="s">
        <v>17</v>
      </c>
      <c r="G1257" t="s">
        <v>18</v>
      </c>
      <c r="H1257">
        <v>2</v>
      </c>
      <c r="I1257" t="s">
        <v>19</v>
      </c>
      <c r="J1257" t="s">
        <v>205</v>
      </c>
      <c r="K1257">
        <v>520</v>
      </c>
      <c r="L1257" t="s">
        <v>30</v>
      </c>
      <c r="M1257" t="s">
        <v>22</v>
      </c>
    </row>
    <row r="1258" spans="1:13" x14ac:dyDescent="0.35">
      <c r="A1258" t="s">
        <v>2385</v>
      </c>
      <c r="B1258" s="9">
        <v>46099</v>
      </c>
      <c r="C1258" t="s">
        <v>234</v>
      </c>
      <c r="D1258" t="s">
        <v>46</v>
      </c>
      <c r="E1258" t="s">
        <v>25</v>
      </c>
      <c r="F1258" t="s">
        <v>83</v>
      </c>
      <c r="G1258" t="s">
        <v>84</v>
      </c>
      <c r="H1258">
        <v>1</v>
      </c>
      <c r="I1258" t="s">
        <v>56</v>
      </c>
      <c r="J1258" t="s">
        <v>56</v>
      </c>
      <c r="K1258">
        <v>340</v>
      </c>
      <c r="L1258" t="s">
        <v>30</v>
      </c>
      <c r="M1258" t="s">
        <v>22</v>
      </c>
    </row>
    <row r="1259" spans="1:13" x14ac:dyDescent="0.35">
      <c r="A1259" t="s">
        <v>2386</v>
      </c>
      <c r="B1259" s="9">
        <v>46140</v>
      </c>
      <c r="C1259" t="s">
        <v>2387</v>
      </c>
      <c r="D1259" t="s">
        <v>53</v>
      </c>
      <c r="E1259" t="s">
        <v>25</v>
      </c>
      <c r="F1259" t="s">
        <v>89</v>
      </c>
      <c r="G1259" t="s">
        <v>90</v>
      </c>
      <c r="H1259">
        <v>1</v>
      </c>
      <c r="I1259" t="s">
        <v>106</v>
      </c>
      <c r="J1259" t="s">
        <v>106</v>
      </c>
      <c r="K1259" t="s">
        <v>108</v>
      </c>
      <c r="L1259" t="s">
        <v>30</v>
      </c>
      <c r="M1259" t="s">
        <v>22</v>
      </c>
    </row>
    <row r="1260" spans="1:13" x14ac:dyDescent="0.35">
      <c r="A1260" t="s">
        <v>2388</v>
      </c>
      <c r="B1260" s="9">
        <v>46098</v>
      </c>
      <c r="C1260" t="s">
        <v>2389</v>
      </c>
      <c r="D1260" t="s">
        <v>116</v>
      </c>
      <c r="E1260" t="s">
        <v>41</v>
      </c>
      <c r="F1260" t="s">
        <v>17</v>
      </c>
      <c r="G1260" t="s">
        <v>18</v>
      </c>
      <c r="H1260">
        <v>1</v>
      </c>
      <c r="I1260" t="s">
        <v>132</v>
      </c>
      <c r="J1260" t="s">
        <v>132</v>
      </c>
      <c r="K1260">
        <v>520</v>
      </c>
      <c r="L1260" t="s">
        <v>30</v>
      </c>
      <c r="M1260" t="s">
        <v>22</v>
      </c>
    </row>
    <row r="1261" spans="1:13" x14ac:dyDescent="0.35">
      <c r="A1261" t="s">
        <v>2390</v>
      </c>
      <c r="B1261" t="s">
        <v>880</v>
      </c>
      <c r="C1261" t="s">
        <v>2391</v>
      </c>
      <c r="D1261" t="s">
        <v>61</v>
      </c>
      <c r="E1261" t="s">
        <v>16</v>
      </c>
      <c r="F1261" t="s">
        <v>83</v>
      </c>
      <c r="G1261" t="s">
        <v>84</v>
      </c>
      <c r="H1261">
        <v>1</v>
      </c>
      <c r="I1261" t="s">
        <v>170</v>
      </c>
      <c r="J1261" t="s">
        <v>170</v>
      </c>
      <c r="K1261">
        <v>340</v>
      </c>
      <c r="L1261" t="s">
        <v>21</v>
      </c>
      <c r="M1261" t="s">
        <v>22</v>
      </c>
    </row>
    <row r="1262" spans="1:13" x14ac:dyDescent="0.35">
      <c r="A1262" t="s">
        <v>2392</v>
      </c>
      <c r="B1262" s="9">
        <v>46090</v>
      </c>
      <c r="C1262" t="s">
        <v>2393</v>
      </c>
      <c r="D1262" t="s">
        <v>116</v>
      </c>
      <c r="E1262" t="s">
        <v>25</v>
      </c>
      <c r="F1262" t="s">
        <v>35</v>
      </c>
      <c r="G1262" t="s">
        <v>36</v>
      </c>
      <c r="H1262">
        <v>-1</v>
      </c>
      <c r="I1262" t="s">
        <v>254</v>
      </c>
      <c r="J1262" t="s">
        <v>300</v>
      </c>
      <c r="K1262">
        <v>85</v>
      </c>
      <c r="L1262" t="s">
        <v>21</v>
      </c>
      <c r="M1262" t="s">
        <v>22</v>
      </c>
    </row>
    <row r="1263" spans="1:13" x14ac:dyDescent="0.35">
      <c r="A1263" t="s">
        <v>2394</v>
      </c>
      <c r="B1263" s="9">
        <v>46084</v>
      </c>
      <c r="C1263" t="s">
        <v>2193</v>
      </c>
      <c r="D1263" t="s">
        <v>53</v>
      </c>
      <c r="E1263" t="s">
        <v>16</v>
      </c>
      <c r="F1263" t="s">
        <v>17</v>
      </c>
      <c r="G1263" t="s">
        <v>18</v>
      </c>
      <c r="H1263">
        <v>2</v>
      </c>
      <c r="I1263" t="s">
        <v>49</v>
      </c>
      <c r="J1263" t="s">
        <v>178</v>
      </c>
      <c r="K1263">
        <v>520</v>
      </c>
      <c r="L1263" t="s">
        <v>30</v>
      </c>
      <c r="M1263" t="s">
        <v>22</v>
      </c>
    </row>
    <row r="1264" spans="1:13" x14ac:dyDescent="0.35">
      <c r="A1264" t="s">
        <v>2395</v>
      </c>
      <c r="B1264" t="s">
        <v>1926</v>
      </c>
      <c r="C1264" t="s">
        <v>1093</v>
      </c>
      <c r="D1264" t="s">
        <v>53</v>
      </c>
      <c r="E1264" t="s">
        <v>41</v>
      </c>
      <c r="F1264" t="s">
        <v>42</v>
      </c>
      <c r="G1264" t="s">
        <v>43</v>
      </c>
      <c r="H1264">
        <v>1</v>
      </c>
      <c r="I1264" t="s">
        <v>79</v>
      </c>
      <c r="J1264" t="s">
        <v>79</v>
      </c>
      <c r="K1264" t="s">
        <v>111</v>
      </c>
      <c r="L1264" t="s">
        <v>30</v>
      </c>
      <c r="M1264" t="s">
        <v>58</v>
      </c>
    </row>
    <row r="1265" spans="1:13" x14ac:dyDescent="0.35">
      <c r="A1265" t="s">
        <v>2396</v>
      </c>
      <c r="B1265" s="9">
        <v>46153</v>
      </c>
      <c r="C1265" t="s">
        <v>1349</v>
      </c>
      <c r="D1265" t="s">
        <v>46</v>
      </c>
      <c r="E1265" t="s">
        <v>34</v>
      </c>
      <c r="F1265" t="s">
        <v>17</v>
      </c>
      <c r="G1265" t="s">
        <v>18</v>
      </c>
      <c r="H1265">
        <v>2</v>
      </c>
      <c r="I1265" t="s">
        <v>56</v>
      </c>
      <c r="J1265" t="s">
        <v>193</v>
      </c>
      <c r="K1265" t="s">
        <v>29</v>
      </c>
      <c r="L1265" t="s">
        <v>30</v>
      </c>
      <c r="M1265" t="s">
        <v>58</v>
      </c>
    </row>
    <row r="1266" spans="1:13" x14ac:dyDescent="0.35">
      <c r="A1266" t="s">
        <v>2397</v>
      </c>
      <c r="B1266" s="9">
        <v>46098</v>
      </c>
      <c r="C1266" t="s">
        <v>435</v>
      </c>
      <c r="D1266" t="s">
        <v>61</v>
      </c>
      <c r="E1266" t="s">
        <v>34</v>
      </c>
      <c r="F1266" t="s">
        <v>74</v>
      </c>
      <c r="G1266" t="s">
        <v>75</v>
      </c>
      <c r="H1266">
        <v>3</v>
      </c>
      <c r="I1266" t="s">
        <v>102</v>
      </c>
      <c r="J1266" t="s">
        <v>127</v>
      </c>
      <c r="K1266">
        <v>410</v>
      </c>
      <c r="L1266" t="s">
        <v>30</v>
      </c>
      <c r="M1266" t="s">
        <v>22</v>
      </c>
    </row>
    <row r="1267" spans="1:13" x14ac:dyDescent="0.35">
      <c r="A1267" t="s">
        <v>2398</v>
      </c>
      <c r="B1267" s="9">
        <v>46079</v>
      </c>
      <c r="C1267" t="s">
        <v>2399</v>
      </c>
      <c r="D1267" t="s">
        <v>99</v>
      </c>
      <c r="E1267" t="s">
        <v>25</v>
      </c>
      <c r="F1267" t="s">
        <v>74</v>
      </c>
      <c r="G1267" t="s">
        <v>75</v>
      </c>
      <c r="H1267">
        <v>2</v>
      </c>
      <c r="I1267" t="s">
        <v>19</v>
      </c>
      <c r="J1267" t="s">
        <v>238</v>
      </c>
      <c r="K1267">
        <v>410</v>
      </c>
      <c r="L1267" t="s">
        <v>30</v>
      </c>
      <c r="M1267" t="s">
        <v>22</v>
      </c>
    </row>
    <row r="1268" spans="1:13" x14ac:dyDescent="0.35">
      <c r="A1268" t="s">
        <v>2400</v>
      </c>
      <c r="B1268" s="9">
        <v>46170</v>
      </c>
      <c r="C1268" t="s">
        <v>2401</v>
      </c>
      <c r="D1268" t="s">
        <v>116</v>
      </c>
      <c r="E1268" t="s">
        <v>41</v>
      </c>
      <c r="F1268" t="s">
        <v>35</v>
      </c>
      <c r="G1268" t="s">
        <v>36</v>
      </c>
      <c r="H1268">
        <v>2</v>
      </c>
      <c r="I1268" t="s">
        <v>254</v>
      </c>
      <c r="J1268" t="s">
        <v>156</v>
      </c>
      <c r="K1268" t="s">
        <v>37</v>
      </c>
      <c r="L1268" t="s">
        <v>30</v>
      </c>
      <c r="M1268" t="s">
        <v>58</v>
      </c>
    </row>
    <row r="1269" spans="1:13" x14ac:dyDescent="0.35">
      <c r="A1269" t="s">
        <v>2402</v>
      </c>
      <c r="B1269" s="9">
        <v>46031</v>
      </c>
      <c r="C1269" t="s">
        <v>773</v>
      </c>
      <c r="D1269" t="s">
        <v>40</v>
      </c>
      <c r="E1269" t="s">
        <v>16</v>
      </c>
      <c r="F1269" t="s">
        <v>42</v>
      </c>
      <c r="G1269" t="s">
        <v>43</v>
      </c>
      <c r="H1269">
        <v>2</v>
      </c>
      <c r="I1269" t="s">
        <v>102</v>
      </c>
      <c r="J1269" t="s">
        <v>181</v>
      </c>
      <c r="K1269">
        <v>190</v>
      </c>
      <c r="L1269" t="s">
        <v>30</v>
      </c>
      <c r="M1269" t="s">
        <v>22</v>
      </c>
    </row>
    <row r="1270" spans="1:13" x14ac:dyDescent="0.35">
      <c r="A1270" t="s">
        <v>2403</v>
      </c>
      <c r="B1270" s="9">
        <v>46094</v>
      </c>
      <c r="C1270" t="s">
        <v>2262</v>
      </c>
      <c r="D1270" t="s">
        <v>99</v>
      </c>
      <c r="E1270" t="s">
        <v>41</v>
      </c>
      <c r="F1270" t="s">
        <v>17</v>
      </c>
      <c r="G1270" t="s">
        <v>18</v>
      </c>
      <c r="H1270">
        <v>1</v>
      </c>
      <c r="I1270" t="s">
        <v>170</v>
      </c>
      <c r="J1270" t="s">
        <v>1704</v>
      </c>
      <c r="K1270">
        <v>520</v>
      </c>
      <c r="L1270" t="s">
        <v>30</v>
      </c>
      <c r="M1270" t="s">
        <v>22</v>
      </c>
    </row>
    <row r="1271" spans="1:13" x14ac:dyDescent="0.35">
      <c r="A1271" t="s">
        <v>2404</v>
      </c>
      <c r="B1271" s="9">
        <v>46139</v>
      </c>
      <c r="C1271" t="s">
        <v>1191</v>
      </c>
      <c r="D1271" t="s">
        <v>33</v>
      </c>
      <c r="E1271" t="s">
        <v>67</v>
      </c>
      <c r="F1271" t="s">
        <v>42</v>
      </c>
      <c r="G1271" t="s">
        <v>43</v>
      </c>
      <c r="H1271">
        <v>1</v>
      </c>
      <c r="I1271" t="s">
        <v>68</v>
      </c>
      <c r="J1271" t="s">
        <v>68</v>
      </c>
      <c r="K1271" t="s">
        <v>111</v>
      </c>
      <c r="L1271" t="s">
        <v>21</v>
      </c>
      <c r="M1271" t="s">
        <v>22</v>
      </c>
    </row>
    <row r="1272" spans="1:13" x14ac:dyDescent="0.35">
      <c r="A1272" t="s">
        <v>2405</v>
      </c>
      <c r="B1272" s="9">
        <v>46150</v>
      </c>
      <c r="C1272" t="s">
        <v>1500</v>
      </c>
      <c r="D1272" t="s">
        <v>66</v>
      </c>
      <c r="E1272" t="s">
        <v>41</v>
      </c>
      <c r="F1272" t="s">
        <v>17</v>
      </c>
      <c r="G1272" t="s">
        <v>18</v>
      </c>
      <c r="H1272">
        <v>2</v>
      </c>
      <c r="I1272" t="s">
        <v>170</v>
      </c>
      <c r="J1272" t="s">
        <v>152</v>
      </c>
      <c r="K1272" t="s">
        <v>29</v>
      </c>
      <c r="L1272" t="s">
        <v>21</v>
      </c>
      <c r="M1272" t="s">
        <v>22</v>
      </c>
    </row>
    <row r="1273" spans="1:13" x14ac:dyDescent="0.35">
      <c r="A1273" t="s">
        <v>2406</v>
      </c>
      <c r="B1273" s="9">
        <v>46040</v>
      </c>
      <c r="C1273" t="s">
        <v>977</v>
      </c>
      <c r="D1273" t="s">
        <v>61</v>
      </c>
      <c r="E1273" t="s">
        <v>34</v>
      </c>
      <c r="F1273" t="s">
        <v>42</v>
      </c>
      <c r="G1273" t="s">
        <v>43</v>
      </c>
      <c r="H1273">
        <v>1</v>
      </c>
      <c r="I1273" t="s">
        <v>132</v>
      </c>
      <c r="J1273" t="s">
        <v>132</v>
      </c>
      <c r="K1273">
        <v>190</v>
      </c>
      <c r="L1273" t="s">
        <v>21</v>
      </c>
      <c r="M1273" t="s">
        <v>58</v>
      </c>
    </row>
    <row r="1274" spans="1:13" x14ac:dyDescent="0.35">
      <c r="A1274" t="s">
        <v>2407</v>
      </c>
      <c r="B1274" s="9">
        <v>46028</v>
      </c>
      <c r="C1274" t="s">
        <v>2408</v>
      </c>
      <c r="D1274" t="s">
        <v>116</v>
      </c>
      <c r="E1274" t="s">
        <v>25</v>
      </c>
      <c r="F1274" t="s">
        <v>47</v>
      </c>
      <c r="G1274" t="s">
        <v>48</v>
      </c>
      <c r="H1274">
        <v>2</v>
      </c>
      <c r="I1274" t="s">
        <v>102</v>
      </c>
      <c r="J1274" t="s">
        <v>181</v>
      </c>
      <c r="K1274">
        <v>380</v>
      </c>
      <c r="L1274" t="s">
        <v>30</v>
      </c>
      <c r="M1274" t="s">
        <v>22</v>
      </c>
    </row>
    <row r="1275" spans="1:13" x14ac:dyDescent="0.35">
      <c r="A1275" t="s">
        <v>2409</v>
      </c>
      <c r="B1275" s="9">
        <v>46127</v>
      </c>
      <c r="C1275" t="s">
        <v>2410</v>
      </c>
      <c r="D1275" t="s">
        <v>40</v>
      </c>
      <c r="E1275" t="s">
        <v>41</v>
      </c>
      <c r="F1275" t="s">
        <v>89</v>
      </c>
      <c r="G1275" t="s">
        <v>90</v>
      </c>
      <c r="H1275">
        <v>3</v>
      </c>
      <c r="I1275" t="s">
        <v>79</v>
      </c>
      <c r="J1275" t="s">
        <v>91</v>
      </c>
      <c r="K1275">
        <v>640</v>
      </c>
      <c r="L1275" t="s">
        <v>21</v>
      </c>
      <c r="M1275" t="s">
        <v>22</v>
      </c>
    </row>
    <row r="1276" spans="1:13" x14ac:dyDescent="0.35">
      <c r="A1276" t="s">
        <v>2411</v>
      </c>
      <c r="B1276" s="9">
        <v>46101</v>
      </c>
      <c r="C1276" t="s">
        <v>1431</v>
      </c>
      <c r="D1276" t="s">
        <v>94</v>
      </c>
      <c r="E1276" t="s">
        <v>25</v>
      </c>
      <c r="F1276" t="s">
        <v>74</v>
      </c>
      <c r="G1276" t="s">
        <v>75</v>
      </c>
      <c r="H1276">
        <v>2</v>
      </c>
      <c r="I1276" t="s">
        <v>132</v>
      </c>
      <c r="J1276" t="s">
        <v>133</v>
      </c>
      <c r="K1276">
        <v>410</v>
      </c>
      <c r="L1276" t="s">
        <v>30</v>
      </c>
      <c r="M1276" t="s">
        <v>22</v>
      </c>
    </row>
    <row r="1277" spans="1:13" x14ac:dyDescent="0.35">
      <c r="A1277" t="s">
        <v>2412</v>
      </c>
      <c r="B1277" s="9">
        <v>46056</v>
      </c>
      <c r="C1277" t="s">
        <v>1128</v>
      </c>
      <c r="D1277" t="s">
        <v>46</v>
      </c>
      <c r="E1277" t="s">
        <v>41</v>
      </c>
      <c r="F1277" t="s">
        <v>17</v>
      </c>
      <c r="G1277" t="s">
        <v>18</v>
      </c>
      <c r="H1277">
        <v>2</v>
      </c>
      <c r="I1277" t="s">
        <v>132</v>
      </c>
      <c r="J1277" t="s">
        <v>133</v>
      </c>
      <c r="K1277">
        <v>520</v>
      </c>
      <c r="L1277" t="s">
        <v>30</v>
      </c>
      <c r="M1277" t="s">
        <v>22</v>
      </c>
    </row>
    <row r="1278" spans="1:13" x14ac:dyDescent="0.35">
      <c r="A1278" t="s">
        <v>2413</v>
      </c>
      <c r="B1278" s="9">
        <v>46109</v>
      </c>
      <c r="C1278" t="s">
        <v>2414</v>
      </c>
      <c r="D1278" t="s">
        <v>94</v>
      </c>
      <c r="E1278" t="s">
        <v>34</v>
      </c>
      <c r="F1278" t="s">
        <v>17</v>
      </c>
      <c r="G1278" t="s">
        <v>18</v>
      </c>
      <c r="H1278">
        <v>1</v>
      </c>
      <c r="I1278" t="s">
        <v>102</v>
      </c>
      <c r="J1278" t="s">
        <v>102</v>
      </c>
      <c r="K1278">
        <v>520</v>
      </c>
      <c r="L1278" t="s">
        <v>30</v>
      </c>
      <c r="M1278" t="s">
        <v>22</v>
      </c>
    </row>
    <row r="1279" spans="1:13" x14ac:dyDescent="0.35">
      <c r="A1279" t="s">
        <v>2415</v>
      </c>
      <c r="B1279" s="9">
        <v>46146</v>
      </c>
      <c r="C1279" t="s">
        <v>150</v>
      </c>
      <c r="D1279" t="s">
        <v>33</v>
      </c>
      <c r="E1279" t="s">
        <v>25</v>
      </c>
      <c r="F1279" t="s">
        <v>47</v>
      </c>
      <c r="G1279" t="s">
        <v>48</v>
      </c>
      <c r="H1279">
        <v>1</v>
      </c>
      <c r="I1279" t="s">
        <v>220</v>
      </c>
      <c r="J1279" t="s">
        <v>220</v>
      </c>
      <c r="K1279" t="s">
        <v>50</v>
      </c>
      <c r="L1279" t="s">
        <v>30</v>
      </c>
      <c r="M1279" t="s">
        <v>58</v>
      </c>
    </row>
    <row r="1280" spans="1:13" x14ac:dyDescent="0.35">
      <c r="A1280" t="s">
        <v>2416</v>
      </c>
      <c r="B1280" s="9">
        <v>46028</v>
      </c>
      <c r="C1280" t="s">
        <v>2108</v>
      </c>
      <c r="D1280" t="s">
        <v>66</v>
      </c>
      <c r="E1280" t="s">
        <v>34</v>
      </c>
      <c r="F1280" t="s">
        <v>17</v>
      </c>
      <c r="G1280" t="s">
        <v>18</v>
      </c>
      <c r="H1280">
        <v>2</v>
      </c>
      <c r="I1280" t="s">
        <v>56</v>
      </c>
      <c r="J1280" t="s">
        <v>193</v>
      </c>
      <c r="K1280">
        <v>520</v>
      </c>
      <c r="L1280" t="s">
        <v>21</v>
      </c>
      <c r="M1280" t="s">
        <v>58</v>
      </c>
    </row>
    <row r="1281" spans="1:13" x14ac:dyDescent="0.35">
      <c r="A1281" t="s">
        <v>2417</v>
      </c>
      <c r="B1281" t="s">
        <v>162</v>
      </c>
      <c r="C1281" t="s">
        <v>562</v>
      </c>
      <c r="D1281" t="s">
        <v>15</v>
      </c>
      <c r="E1281" t="s">
        <v>41</v>
      </c>
      <c r="F1281" t="s">
        <v>47</v>
      </c>
      <c r="G1281" t="s">
        <v>48</v>
      </c>
      <c r="H1281">
        <v>-2</v>
      </c>
      <c r="I1281" t="s">
        <v>220</v>
      </c>
      <c r="J1281" t="s">
        <v>2418</v>
      </c>
      <c r="K1281" t="s">
        <v>50</v>
      </c>
      <c r="L1281" t="s">
        <v>21</v>
      </c>
      <c r="M1281" t="s">
        <v>22</v>
      </c>
    </row>
    <row r="1282" spans="1:13" x14ac:dyDescent="0.35">
      <c r="A1282" t="s">
        <v>2337</v>
      </c>
      <c r="B1282" s="9">
        <v>46149</v>
      </c>
      <c r="C1282" t="s">
        <v>661</v>
      </c>
      <c r="D1282" t="s">
        <v>33</v>
      </c>
      <c r="E1282" t="s">
        <v>41</v>
      </c>
      <c r="F1282" t="s">
        <v>35</v>
      </c>
      <c r="G1282" t="s">
        <v>36</v>
      </c>
      <c r="H1282">
        <v>2</v>
      </c>
      <c r="I1282" t="s">
        <v>79</v>
      </c>
      <c r="J1282" t="s">
        <v>143</v>
      </c>
      <c r="K1282" t="s">
        <v>37</v>
      </c>
      <c r="L1282" t="s">
        <v>30</v>
      </c>
      <c r="M1282" t="s">
        <v>22</v>
      </c>
    </row>
    <row r="1283" spans="1:13" x14ac:dyDescent="0.35">
      <c r="A1283" t="s">
        <v>2419</v>
      </c>
      <c r="B1283" s="9">
        <v>46107</v>
      </c>
      <c r="C1283" t="s">
        <v>2262</v>
      </c>
      <c r="D1283" t="s">
        <v>99</v>
      </c>
      <c r="E1283" t="s">
        <v>34</v>
      </c>
      <c r="F1283" t="s">
        <v>26</v>
      </c>
      <c r="G1283" t="s">
        <v>27</v>
      </c>
      <c r="H1283">
        <v>1</v>
      </c>
      <c r="I1283" t="s">
        <v>56</v>
      </c>
      <c r="J1283" t="s">
        <v>56</v>
      </c>
      <c r="K1283">
        <v>520</v>
      </c>
      <c r="L1283" t="s">
        <v>21</v>
      </c>
      <c r="M1283" t="s">
        <v>22</v>
      </c>
    </row>
    <row r="1284" spans="1:13" x14ac:dyDescent="0.35">
      <c r="A1284" t="s">
        <v>2420</v>
      </c>
      <c r="B1284" s="9">
        <v>46065</v>
      </c>
      <c r="C1284" t="s">
        <v>2421</v>
      </c>
      <c r="D1284" t="s">
        <v>40</v>
      </c>
      <c r="E1284" t="s">
        <v>16</v>
      </c>
      <c r="F1284" t="s">
        <v>74</v>
      </c>
      <c r="G1284" t="s">
        <v>75</v>
      </c>
      <c r="H1284">
        <v>3</v>
      </c>
      <c r="I1284" t="s">
        <v>106</v>
      </c>
      <c r="J1284" t="s">
        <v>160</v>
      </c>
      <c r="K1284">
        <v>410</v>
      </c>
      <c r="L1284" t="s">
        <v>21</v>
      </c>
      <c r="M1284" t="s">
        <v>22</v>
      </c>
    </row>
    <row r="1285" spans="1:13" x14ac:dyDescent="0.35">
      <c r="A1285" t="s">
        <v>2422</v>
      </c>
      <c r="B1285" s="9">
        <v>46073</v>
      </c>
      <c r="C1285" t="s">
        <v>265</v>
      </c>
      <c r="D1285" t="s">
        <v>33</v>
      </c>
      <c r="E1285" t="s">
        <v>34</v>
      </c>
      <c r="F1285" t="s">
        <v>47</v>
      </c>
      <c r="G1285" t="s">
        <v>48</v>
      </c>
      <c r="H1285">
        <v>2</v>
      </c>
      <c r="I1285" t="s">
        <v>102</v>
      </c>
      <c r="J1285" t="s">
        <v>181</v>
      </c>
      <c r="K1285">
        <v>380</v>
      </c>
      <c r="L1285" t="s">
        <v>30</v>
      </c>
      <c r="M1285" t="s">
        <v>58</v>
      </c>
    </row>
    <row r="1286" spans="1:13" x14ac:dyDescent="0.35">
      <c r="A1286" t="s">
        <v>2423</v>
      </c>
      <c r="B1286" s="9">
        <v>46038</v>
      </c>
      <c r="C1286" t="s">
        <v>313</v>
      </c>
      <c r="D1286" t="s">
        <v>46</v>
      </c>
      <c r="E1286" t="s">
        <v>34</v>
      </c>
      <c r="F1286" t="s">
        <v>42</v>
      </c>
      <c r="G1286" t="s">
        <v>43</v>
      </c>
      <c r="H1286">
        <v>2</v>
      </c>
      <c r="I1286" t="s">
        <v>68</v>
      </c>
      <c r="J1286" t="s">
        <v>248</v>
      </c>
      <c r="K1286">
        <v>190</v>
      </c>
      <c r="L1286" t="s">
        <v>30</v>
      </c>
      <c r="M1286" t="s">
        <v>22</v>
      </c>
    </row>
    <row r="1287" spans="1:13" x14ac:dyDescent="0.35">
      <c r="A1287" t="s">
        <v>2424</v>
      </c>
      <c r="B1287" s="9">
        <v>46191</v>
      </c>
      <c r="C1287" t="s">
        <v>2184</v>
      </c>
      <c r="D1287" t="s">
        <v>99</v>
      </c>
      <c r="E1287" t="s">
        <v>16</v>
      </c>
      <c r="F1287" t="s">
        <v>35</v>
      </c>
      <c r="G1287" t="s">
        <v>36</v>
      </c>
      <c r="H1287">
        <v>1</v>
      </c>
      <c r="I1287" t="s">
        <v>136</v>
      </c>
      <c r="J1287" t="s">
        <v>136</v>
      </c>
      <c r="K1287" t="s">
        <v>37</v>
      </c>
      <c r="L1287" t="s">
        <v>30</v>
      </c>
      <c r="M1287" t="s">
        <v>22</v>
      </c>
    </row>
    <row r="1288" spans="1:13" x14ac:dyDescent="0.35">
      <c r="A1288" t="s">
        <v>2425</v>
      </c>
      <c r="B1288" t="s">
        <v>1820</v>
      </c>
      <c r="C1288" t="s">
        <v>2426</v>
      </c>
      <c r="D1288" t="s">
        <v>116</v>
      </c>
      <c r="E1288" t="s">
        <v>34</v>
      </c>
      <c r="F1288" t="s">
        <v>17</v>
      </c>
      <c r="G1288" t="s">
        <v>18</v>
      </c>
      <c r="H1288">
        <v>2</v>
      </c>
      <c r="I1288" t="s">
        <v>71</v>
      </c>
      <c r="J1288" t="s">
        <v>286</v>
      </c>
      <c r="K1288">
        <v>520</v>
      </c>
      <c r="L1288" t="s">
        <v>30</v>
      </c>
      <c r="M1288" t="s">
        <v>22</v>
      </c>
    </row>
    <row r="1289" spans="1:13" x14ac:dyDescent="0.35">
      <c r="A1289" t="s">
        <v>2427</v>
      </c>
      <c r="B1289" s="9">
        <v>46059</v>
      </c>
      <c r="C1289" t="s">
        <v>2428</v>
      </c>
      <c r="D1289" t="s">
        <v>33</v>
      </c>
      <c r="E1289" t="s">
        <v>41</v>
      </c>
      <c r="F1289" t="s">
        <v>26</v>
      </c>
      <c r="G1289" t="s">
        <v>27</v>
      </c>
      <c r="H1289">
        <v>2</v>
      </c>
      <c r="I1289" t="s">
        <v>737</v>
      </c>
      <c r="J1289" t="s">
        <v>181</v>
      </c>
      <c r="K1289">
        <v>520</v>
      </c>
      <c r="L1289" t="s">
        <v>30</v>
      </c>
      <c r="M1289" t="s">
        <v>22</v>
      </c>
    </row>
    <row r="1290" spans="1:13" x14ac:dyDescent="0.35">
      <c r="A1290" t="s">
        <v>2429</v>
      </c>
      <c r="B1290" s="9">
        <v>46164</v>
      </c>
      <c r="C1290" t="s">
        <v>1866</v>
      </c>
      <c r="D1290" t="s">
        <v>33</v>
      </c>
      <c r="E1290" t="s">
        <v>16</v>
      </c>
      <c r="F1290" t="s">
        <v>42</v>
      </c>
      <c r="G1290" t="s">
        <v>43</v>
      </c>
      <c r="H1290">
        <v>1</v>
      </c>
      <c r="I1290" t="s">
        <v>102</v>
      </c>
      <c r="J1290" t="s">
        <v>102</v>
      </c>
      <c r="K1290" t="s">
        <v>111</v>
      </c>
      <c r="L1290" t="s">
        <v>30</v>
      </c>
      <c r="M1290" t="s">
        <v>22</v>
      </c>
    </row>
    <row r="1291" spans="1:13" x14ac:dyDescent="0.35">
      <c r="A1291" t="s">
        <v>2430</v>
      </c>
      <c r="B1291" s="9">
        <v>46199</v>
      </c>
      <c r="C1291" t="s">
        <v>1852</v>
      </c>
      <c r="D1291" t="s">
        <v>40</v>
      </c>
      <c r="E1291" t="s">
        <v>34</v>
      </c>
      <c r="F1291" t="s">
        <v>83</v>
      </c>
      <c r="G1291" t="s">
        <v>84</v>
      </c>
      <c r="H1291">
        <v>1</v>
      </c>
      <c r="I1291" t="s">
        <v>68</v>
      </c>
      <c r="J1291" t="s">
        <v>68</v>
      </c>
      <c r="K1291" t="s">
        <v>103</v>
      </c>
      <c r="L1291" t="s">
        <v>30</v>
      </c>
      <c r="M1291" t="s">
        <v>22</v>
      </c>
    </row>
    <row r="1292" spans="1:13" x14ac:dyDescent="0.35">
      <c r="A1292" t="s">
        <v>2431</v>
      </c>
      <c r="B1292" t="s">
        <v>1926</v>
      </c>
      <c r="C1292" t="s">
        <v>996</v>
      </c>
      <c r="D1292" t="s">
        <v>53</v>
      </c>
      <c r="E1292" t="s">
        <v>16</v>
      </c>
      <c r="F1292" t="s">
        <v>26</v>
      </c>
      <c r="G1292" t="s">
        <v>27</v>
      </c>
      <c r="H1292">
        <v>1</v>
      </c>
      <c r="I1292" t="s">
        <v>19</v>
      </c>
      <c r="J1292" t="s">
        <v>19</v>
      </c>
      <c r="K1292" t="s">
        <v>29</v>
      </c>
      <c r="L1292" t="s">
        <v>30</v>
      </c>
      <c r="M1292" t="s">
        <v>22</v>
      </c>
    </row>
    <row r="1293" spans="1:13" x14ac:dyDescent="0.35">
      <c r="A1293" t="s">
        <v>2432</v>
      </c>
      <c r="B1293" t="s">
        <v>2018</v>
      </c>
      <c r="C1293" t="s">
        <v>1048</v>
      </c>
      <c r="D1293" t="s">
        <v>15</v>
      </c>
      <c r="E1293" t="s">
        <v>67</v>
      </c>
      <c r="F1293" t="s">
        <v>74</v>
      </c>
      <c r="G1293" t="s">
        <v>75</v>
      </c>
      <c r="H1293">
        <v>3</v>
      </c>
      <c r="I1293" t="s">
        <v>102</v>
      </c>
      <c r="J1293" t="s">
        <v>127</v>
      </c>
      <c r="K1293">
        <v>410</v>
      </c>
      <c r="L1293" t="s">
        <v>30</v>
      </c>
      <c r="M1293" t="s">
        <v>22</v>
      </c>
    </row>
    <row r="1294" spans="1:13" x14ac:dyDescent="0.35">
      <c r="A1294" t="s">
        <v>2433</v>
      </c>
      <c r="B1294" s="9">
        <v>46102</v>
      </c>
      <c r="C1294" t="s">
        <v>567</v>
      </c>
      <c r="D1294" t="s">
        <v>53</v>
      </c>
      <c r="E1294" t="s">
        <v>34</v>
      </c>
      <c r="F1294" t="s">
        <v>17</v>
      </c>
      <c r="G1294" t="s">
        <v>18</v>
      </c>
      <c r="H1294">
        <v>1</v>
      </c>
      <c r="I1294" t="s">
        <v>19</v>
      </c>
      <c r="J1294" t="s">
        <v>19</v>
      </c>
      <c r="K1294">
        <v>520</v>
      </c>
      <c r="L1294" t="s">
        <v>21</v>
      </c>
      <c r="M1294" t="s">
        <v>58</v>
      </c>
    </row>
    <row r="1295" spans="1:13" x14ac:dyDescent="0.35">
      <c r="A1295" t="s">
        <v>2434</v>
      </c>
      <c r="B1295" s="9">
        <v>46186</v>
      </c>
      <c r="C1295" t="s">
        <v>2112</v>
      </c>
      <c r="D1295" t="s">
        <v>46</v>
      </c>
      <c r="E1295" t="s">
        <v>41</v>
      </c>
      <c r="F1295" t="s">
        <v>89</v>
      </c>
      <c r="G1295" t="s">
        <v>90</v>
      </c>
      <c r="H1295">
        <v>1</v>
      </c>
      <c r="I1295" t="s">
        <v>71</v>
      </c>
      <c r="J1295" t="s">
        <v>71</v>
      </c>
      <c r="K1295" t="s">
        <v>108</v>
      </c>
      <c r="L1295" t="s">
        <v>30</v>
      </c>
      <c r="M1295" t="s">
        <v>22</v>
      </c>
    </row>
    <row r="1296" spans="1:13" x14ac:dyDescent="0.35">
      <c r="A1296" t="s">
        <v>2435</v>
      </c>
      <c r="B1296" s="9">
        <v>46151</v>
      </c>
      <c r="C1296" t="s">
        <v>1332</v>
      </c>
      <c r="D1296" t="s">
        <v>61</v>
      </c>
      <c r="E1296" t="s">
        <v>41</v>
      </c>
      <c r="F1296" t="s">
        <v>17</v>
      </c>
      <c r="G1296" t="s">
        <v>18</v>
      </c>
      <c r="H1296">
        <v>1</v>
      </c>
      <c r="I1296" t="s">
        <v>56</v>
      </c>
      <c r="J1296" t="s">
        <v>56</v>
      </c>
      <c r="K1296" t="s">
        <v>29</v>
      </c>
      <c r="L1296" t="s">
        <v>30</v>
      </c>
      <c r="M1296" t="s">
        <v>22</v>
      </c>
    </row>
    <row r="1297" spans="1:13" x14ac:dyDescent="0.35">
      <c r="A1297" t="s">
        <v>2436</v>
      </c>
      <c r="B1297" s="9">
        <v>46082</v>
      </c>
      <c r="C1297" t="s">
        <v>1252</v>
      </c>
      <c r="D1297" t="s">
        <v>116</v>
      </c>
      <c r="E1297" t="s">
        <v>25</v>
      </c>
      <c r="F1297" t="s">
        <v>42</v>
      </c>
      <c r="G1297" t="s">
        <v>43</v>
      </c>
      <c r="H1297">
        <v>1</v>
      </c>
      <c r="I1297" t="s">
        <v>71</v>
      </c>
      <c r="J1297" t="s">
        <v>71</v>
      </c>
      <c r="K1297">
        <v>190</v>
      </c>
      <c r="L1297" t="s">
        <v>21</v>
      </c>
      <c r="M1297" t="s">
        <v>58</v>
      </c>
    </row>
    <row r="1298" spans="1:13" x14ac:dyDescent="0.35">
      <c r="A1298" t="s">
        <v>2437</v>
      </c>
      <c r="B1298" s="9">
        <v>46141</v>
      </c>
      <c r="C1298" t="s">
        <v>1207</v>
      </c>
      <c r="D1298" t="s">
        <v>116</v>
      </c>
      <c r="E1298" t="s">
        <v>25</v>
      </c>
      <c r="F1298" t="s">
        <v>17</v>
      </c>
      <c r="G1298" t="s">
        <v>18</v>
      </c>
      <c r="H1298">
        <v>2</v>
      </c>
      <c r="I1298" t="s">
        <v>56</v>
      </c>
      <c r="J1298" t="s">
        <v>2438</v>
      </c>
      <c r="K1298" t="s">
        <v>29</v>
      </c>
      <c r="L1298" t="s">
        <v>30</v>
      </c>
      <c r="M1298" t="s">
        <v>58</v>
      </c>
    </row>
    <row r="1299" spans="1:13" x14ac:dyDescent="0.35">
      <c r="A1299" t="s">
        <v>2439</v>
      </c>
      <c r="B1299" s="9">
        <v>46032</v>
      </c>
      <c r="C1299" t="s">
        <v>527</v>
      </c>
      <c r="D1299" t="s">
        <v>40</v>
      </c>
      <c r="E1299" t="s">
        <v>67</v>
      </c>
      <c r="F1299" t="s">
        <v>17</v>
      </c>
      <c r="G1299" t="s">
        <v>18</v>
      </c>
      <c r="H1299">
        <v>1</v>
      </c>
      <c r="I1299" t="s">
        <v>106</v>
      </c>
      <c r="J1299" t="s">
        <v>106</v>
      </c>
      <c r="K1299">
        <v>520</v>
      </c>
      <c r="L1299" t="s">
        <v>30</v>
      </c>
      <c r="M1299" t="s">
        <v>22</v>
      </c>
    </row>
    <row r="1300" spans="1:13" x14ac:dyDescent="0.35">
      <c r="A1300" t="s">
        <v>2440</v>
      </c>
      <c r="B1300" s="9">
        <v>46063</v>
      </c>
      <c r="C1300" t="s">
        <v>523</v>
      </c>
      <c r="D1300" t="s">
        <v>53</v>
      </c>
      <c r="E1300" t="s">
        <v>67</v>
      </c>
      <c r="F1300" t="s">
        <v>47</v>
      </c>
      <c r="G1300" t="s">
        <v>48</v>
      </c>
      <c r="H1300">
        <v>1</v>
      </c>
      <c r="I1300" t="s">
        <v>136</v>
      </c>
      <c r="J1300" t="s">
        <v>136</v>
      </c>
      <c r="K1300">
        <v>380</v>
      </c>
      <c r="L1300" t="s">
        <v>30</v>
      </c>
      <c r="M1300" t="s">
        <v>22</v>
      </c>
    </row>
    <row r="1301" spans="1:13" x14ac:dyDescent="0.35">
      <c r="A1301" t="s">
        <v>2441</v>
      </c>
      <c r="B1301" s="9">
        <v>46116</v>
      </c>
      <c r="C1301" t="s">
        <v>1252</v>
      </c>
      <c r="D1301" t="s">
        <v>66</v>
      </c>
      <c r="E1301" t="s">
        <v>25</v>
      </c>
      <c r="F1301" t="s">
        <v>17</v>
      </c>
      <c r="G1301" t="s">
        <v>18</v>
      </c>
      <c r="H1301">
        <v>-3</v>
      </c>
      <c r="I1301" t="s">
        <v>102</v>
      </c>
      <c r="J1301" t="s">
        <v>1902</v>
      </c>
      <c r="K1301">
        <v>520</v>
      </c>
      <c r="L1301" t="s">
        <v>30</v>
      </c>
      <c r="M1301" t="s">
        <v>58</v>
      </c>
    </row>
    <row r="1302" spans="1:13" x14ac:dyDescent="0.35">
      <c r="A1302" t="s">
        <v>2442</v>
      </c>
      <c r="B1302" s="9">
        <v>46130</v>
      </c>
      <c r="C1302" t="s">
        <v>820</v>
      </c>
      <c r="D1302" t="s">
        <v>33</v>
      </c>
      <c r="E1302" t="s">
        <v>67</v>
      </c>
      <c r="F1302" t="s">
        <v>47</v>
      </c>
      <c r="G1302" t="s">
        <v>48</v>
      </c>
      <c r="H1302">
        <v>1</v>
      </c>
      <c r="I1302" t="s">
        <v>140</v>
      </c>
      <c r="J1302" t="s">
        <v>19</v>
      </c>
      <c r="K1302">
        <v>380</v>
      </c>
      <c r="L1302" t="s">
        <v>30</v>
      </c>
      <c r="M1302" t="s">
        <v>22</v>
      </c>
    </row>
    <row r="1303" spans="1:13" x14ac:dyDescent="0.35">
      <c r="A1303" t="s">
        <v>2443</v>
      </c>
      <c r="B1303" s="9">
        <v>46132</v>
      </c>
      <c r="C1303" t="s">
        <v>2393</v>
      </c>
      <c r="D1303" t="s">
        <v>46</v>
      </c>
      <c r="E1303" t="s">
        <v>41</v>
      </c>
      <c r="F1303" t="s">
        <v>74</v>
      </c>
      <c r="G1303" t="s">
        <v>75</v>
      </c>
      <c r="H1303">
        <v>1</v>
      </c>
      <c r="I1303" t="s">
        <v>106</v>
      </c>
      <c r="J1303" t="s">
        <v>106</v>
      </c>
      <c r="K1303" t="s">
        <v>76</v>
      </c>
      <c r="L1303" t="s">
        <v>30</v>
      </c>
      <c r="M1303" t="s">
        <v>22</v>
      </c>
    </row>
    <row r="1304" spans="1:13" x14ac:dyDescent="0.35">
      <c r="A1304" t="s">
        <v>2444</v>
      </c>
      <c r="B1304" s="9">
        <v>46198</v>
      </c>
      <c r="C1304" t="s">
        <v>1619</v>
      </c>
      <c r="D1304" t="s">
        <v>61</v>
      </c>
      <c r="E1304" t="s">
        <v>34</v>
      </c>
      <c r="F1304" t="s">
        <v>47</v>
      </c>
      <c r="G1304" t="s">
        <v>48</v>
      </c>
      <c r="H1304">
        <v>1</v>
      </c>
      <c r="I1304" t="s">
        <v>132</v>
      </c>
      <c r="J1304" t="s">
        <v>132</v>
      </c>
      <c r="K1304" t="s">
        <v>50</v>
      </c>
      <c r="L1304" t="s">
        <v>30</v>
      </c>
      <c r="M1304" t="s">
        <v>22</v>
      </c>
    </row>
    <row r="1305" spans="1:13" x14ac:dyDescent="0.35">
      <c r="A1305" t="s">
        <v>2445</v>
      </c>
      <c r="B1305" s="9">
        <v>46185</v>
      </c>
      <c r="C1305" t="s">
        <v>1111</v>
      </c>
      <c r="D1305" t="s">
        <v>66</v>
      </c>
      <c r="E1305" t="s">
        <v>25</v>
      </c>
      <c r="F1305" t="s">
        <v>83</v>
      </c>
      <c r="G1305" t="s">
        <v>84</v>
      </c>
      <c r="H1305">
        <v>1</v>
      </c>
      <c r="I1305" t="s">
        <v>102</v>
      </c>
      <c r="J1305" t="s">
        <v>102</v>
      </c>
      <c r="K1305" t="s">
        <v>103</v>
      </c>
      <c r="L1305" t="s">
        <v>30</v>
      </c>
      <c r="M1305" t="s">
        <v>22</v>
      </c>
    </row>
    <row r="1306" spans="1:13" x14ac:dyDescent="0.35">
      <c r="A1306" t="s">
        <v>2446</v>
      </c>
      <c r="B1306" s="9">
        <v>46169</v>
      </c>
      <c r="C1306" t="s">
        <v>2447</v>
      </c>
      <c r="D1306" t="s">
        <v>94</v>
      </c>
      <c r="E1306" t="s">
        <v>41</v>
      </c>
      <c r="F1306" t="s">
        <v>17</v>
      </c>
      <c r="G1306" t="s">
        <v>18</v>
      </c>
      <c r="H1306">
        <v>1</v>
      </c>
      <c r="I1306" t="s">
        <v>220</v>
      </c>
      <c r="J1306" t="s">
        <v>220</v>
      </c>
      <c r="K1306" t="s">
        <v>29</v>
      </c>
      <c r="L1306" t="s">
        <v>21</v>
      </c>
      <c r="M1306" t="s">
        <v>58</v>
      </c>
    </row>
    <row r="1307" spans="1:13" x14ac:dyDescent="0.35">
      <c r="A1307" t="s">
        <v>2448</v>
      </c>
      <c r="B1307" s="9">
        <v>46033</v>
      </c>
      <c r="C1307" t="s">
        <v>147</v>
      </c>
      <c r="D1307" t="s">
        <v>66</v>
      </c>
      <c r="E1307" t="s">
        <v>41</v>
      </c>
      <c r="F1307" t="s">
        <v>26</v>
      </c>
      <c r="G1307" t="s">
        <v>27</v>
      </c>
      <c r="H1307">
        <v>2</v>
      </c>
      <c r="I1307" t="s">
        <v>254</v>
      </c>
      <c r="J1307" t="s">
        <v>156</v>
      </c>
      <c r="K1307">
        <v>520</v>
      </c>
      <c r="L1307" t="s">
        <v>30</v>
      </c>
      <c r="M1307" t="s">
        <v>22</v>
      </c>
    </row>
    <row r="1308" spans="1:13" x14ac:dyDescent="0.35">
      <c r="A1308" t="s">
        <v>2449</v>
      </c>
      <c r="B1308" s="9">
        <v>46085</v>
      </c>
      <c r="C1308" t="s">
        <v>475</v>
      </c>
      <c r="D1308" t="s">
        <v>53</v>
      </c>
      <c r="E1308" t="s">
        <v>67</v>
      </c>
      <c r="F1308" t="s">
        <v>35</v>
      </c>
      <c r="G1308" t="s">
        <v>36</v>
      </c>
      <c r="H1308">
        <v>3</v>
      </c>
      <c r="I1308" t="s">
        <v>79</v>
      </c>
      <c r="J1308" t="s">
        <v>91</v>
      </c>
      <c r="K1308">
        <v>85</v>
      </c>
      <c r="L1308" t="s">
        <v>21</v>
      </c>
      <c r="M1308" t="s">
        <v>22</v>
      </c>
    </row>
    <row r="1309" spans="1:13" x14ac:dyDescent="0.35">
      <c r="A1309" t="s">
        <v>2450</v>
      </c>
      <c r="B1309" s="9">
        <v>46052</v>
      </c>
      <c r="C1309" t="s">
        <v>1387</v>
      </c>
      <c r="D1309" t="s">
        <v>99</v>
      </c>
      <c r="E1309" t="s">
        <v>34</v>
      </c>
      <c r="F1309" t="s">
        <v>17</v>
      </c>
      <c r="G1309" t="s">
        <v>18</v>
      </c>
      <c r="H1309">
        <v>1</v>
      </c>
      <c r="I1309" t="s">
        <v>68</v>
      </c>
      <c r="J1309" t="s">
        <v>68</v>
      </c>
      <c r="K1309">
        <v>520</v>
      </c>
      <c r="L1309" t="s">
        <v>30</v>
      </c>
      <c r="M1309" t="s">
        <v>22</v>
      </c>
    </row>
    <row r="1310" spans="1:13" x14ac:dyDescent="0.35">
      <c r="A1310" t="s">
        <v>2451</v>
      </c>
      <c r="B1310" s="9">
        <v>46150</v>
      </c>
      <c r="C1310" t="s">
        <v>2452</v>
      </c>
      <c r="D1310" t="s">
        <v>40</v>
      </c>
      <c r="E1310" t="s">
        <v>34</v>
      </c>
      <c r="F1310" t="s">
        <v>89</v>
      </c>
      <c r="G1310" t="s">
        <v>90</v>
      </c>
      <c r="H1310">
        <v>2</v>
      </c>
      <c r="I1310" t="s">
        <v>132</v>
      </c>
      <c r="J1310" t="s">
        <v>133</v>
      </c>
      <c r="K1310" t="s">
        <v>108</v>
      </c>
      <c r="L1310" t="s">
        <v>21</v>
      </c>
      <c r="M1310" t="s">
        <v>22</v>
      </c>
    </row>
    <row r="1311" spans="1:13" x14ac:dyDescent="0.35">
      <c r="A1311" t="s">
        <v>2453</v>
      </c>
      <c r="B1311" s="9">
        <v>46186</v>
      </c>
      <c r="C1311" t="s">
        <v>2454</v>
      </c>
      <c r="D1311" t="s">
        <v>116</v>
      </c>
      <c r="E1311" t="s">
        <v>41</v>
      </c>
      <c r="F1311" t="s">
        <v>42</v>
      </c>
      <c r="G1311" t="s">
        <v>43</v>
      </c>
      <c r="H1311">
        <v>1</v>
      </c>
      <c r="I1311" t="s">
        <v>68</v>
      </c>
      <c r="J1311" t="s">
        <v>68</v>
      </c>
      <c r="K1311" t="s">
        <v>111</v>
      </c>
      <c r="L1311" t="s">
        <v>30</v>
      </c>
      <c r="M1311" t="s">
        <v>22</v>
      </c>
    </row>
    <row r="1312" spans="1:13" x14ac:dyDescent="0.35">
      <c r="A1312" t="s">
        <v>2455</v>
      </c>
      <c r="B1312" s="9">
        <v>46164</v>
      </c>
      <c r="C1312" t="s">
        <v>2456</v>
      </c>
      <c r="D1312" t="s">
        <v>99</v>
      </c>
      <c r="E1312" t="s">
        <v>41</v>
      </c>
      <c r="F1312" t="s">
        <v>47</v>
      </c>
      <c r="G1312" t="s">
        <v>48</v>
      </c>
      <c r="H1312">
        <v>-1</v>
      </c>
      <c r="I1312" t="s">
        <v>645</v>
      </c>
      <c r="J1312" t="s">
        <v>1136</v>
      </c>
      <c r="K1312" t="s">
        <v>50</v>
      </c>
      <c r="L1312" t="s">
        <v>21</v>
      </c>
      <c r="M1312" t="s">
        <v>22</v>
      </c>
    </row>
    <row r="1313" spans="1:13" x14ac:dyDescent="0.35">
      <c r="A1313" t="s">
        <v>2457</v>
      </c>
      <c r="B1313" s="9">
        <v>46031</v>
      </c>
      <c r="C1313" t="s">
        <v>2262</v>
      </c>
      <c r="D1313" t="s">
        <v>40</v>
      </c>
      <c r="E1313" t="s">
        <v>34</v>
      </c>
      <c r="F1313" t="s">
        <v>17</v>
      </c>
      <c r="G1313" t="s">
        <v>18</v>
      </c>
      <c r="H1313">
        <v>2</v>
      </c>
      <c r="I1313" t="s">
        <v>102</v>
      </c>
      <c r="J1313" t="s">
        <v>181</v>
      </c>
      <c r="K1313">
        <v>520</v>
      </c>
      <c r="L1313" t="s">
        <v>21</v>
      </c>
      <c r="M1313" t="s">
        <v>22</v>
      </c>
    </row>
    <row r="1314" spans="1:13" x14ac:dyDescent="0.35">
      <c r="A1314" t="s">
        <v>2458</v>
      </c>
      <c r="B1314" s="9">
        <v>46047</v>
      </c>
      <c r="C1314" t="s">
        <v>2459</v>
      </c>
      <c r="D1314" t="s">
        <v>66</v>
      </c>
      <c r="E1314" t="s">
        <v>25</v>
      </c>
      <c r="F1314" t="s">
        <v>26</v>
      </c>
      <c r="G1314" t="s">
        <v>27</v>
      </c>
      <c r="H1314">
        <v>1</v>
      </c>
      <c r="I1314" t="s">
        <v>136</v>
      </c>
      <c r="J1314" t="s">
        <v>136</v>
      </c>
      <c r="K1314">
        <v>520</v>
      </c>
      <c r="L1314" t="s">
        <v>21</v>
      </c>
      <c r="M1314" t="s">
        <v>22</v>
      </c>
    </row>
    <row r="1315" spans="1:13" x14ac:dyDescent="0.35">
      <c r="A1315" t="s">
        <v>2460</v>
      </c>
      <c r="B1315" s="9">
        <v>46164</v>
      </c>
      <c r="C1315" t="s">
        <v>2461</v>
      </c>
      <c r="D1315" t="s">
        <v>53</v>
      </c>
      <c r="E1315" t="s">
        <v>25</v>
      </c>
      <c r="F1315" t="s">
        <v>47</v>
      </c>
      <c r="G1315" t="s">
        <v>48</v>
      </c>
      <c r="H1315">
        <v>1</v>
      </c>
      <c r="I1315" t="s">
        <v>79</v>
      </c>
      <c r="J1315" t="s">
        <v>79</v>
      </c>
      <c r="K1315" t="s">
        <v>50</v>
      </c>
      <c r="L1315" t="s">
        <v>30</v>
      </c>
      <c r="M1315" t="s">
        <v>22</v>
      </c>
    </row>
    <row r="1316" spans="1:13" x14ac:dyDescent="0.35">
      <c r="A1316" t="s">
        <v>2462</v>
      </c>
      <c r="B1316" s="9">
        <v>46180</v>
      </c>
      <c r="C1316" t="s">
        <v>870</v>
      </c>
      <c r="D1316" t="s">
        <v>61</v>
      </c>
      <c r="E1316" t="s">
        <v>34</v>
      </c>
      <c r="F1316" t="s">
        <v>47</v>
      </c>
      <c r="G1316" t="s">
        <v>48</v>
      </c>
      <c r="H1316">
        <v>1</v>
      </c>
      <c r="I1316" t="s">
        <v>19</v>
      </c>
      <c r="J1316" t="s">
        <v>19</v>
      </c>
      <c r="K1316" t="s">
        <v>50</v>
      </c>
      <c r="L1316" t="s">
        <v>30</v>
      </c>
      <c r="M1316" t="s">
        <v>22</v>
      </c>
    </row>
    <row r="1317" spans="1:13" x14ac:dyDescent="0.35">
      <c r="A1317" t="s">
        <v>2463</v>
      </c>
      <c r="B1317" s="9">
        <v>46077</v>
      </c>
      <c r="C1317" t="s">
        <v>2464</v>
      </c>
      <c r="D1317" t="s">
        <v>40</v>
      </c>
      <c r="E1317" t="s">
        <v>67</v>
      </c>
      <c r="F1317" t="s">
        <v>17</v>
      </c>
      <c r="G1317" t="s">
        <v>18</v>
      </c>
      <c r="H1317">
        <v>3</v>
      </c>
      <c r="I1317" t="s">
        <v>479</v>
      </c>
      <c r="J1317" t="s">
        <v>379</v>
      </c>
      <c r="K1317">
        <v>520</v>
      </c>
      <c r="L1317" t="s">
        <v>30</v>
      </c>
      <c r="M1317" t="s">
        <v>22</v>
      </c>
    </row>
    <row r="1318" spans="1:13" x14ac:dyDescent="0.35">
      <c r="A1318" t="s">
        <v>2465</v>
      </c>
      <c r="B1318" t="s">
        <v>937</v>
      </c>
      <c r="C1318" t="s">
        <v>2466</v>
      </c>
      <c r="D1318" t="s">
        <v>94</v>
      </c>
      <c r="E1318" t="s">
        <v>34</v>
      </c>
      <c r="F1318" t="s">
        <v>83</v>
      </c>
      <c r="G1318" t="s">
        <v>84</v>
      </c>
      <c r="H1318">
        <v>2</v>
      </c>
      <c r="I1318" t="s">
        <v>102</v>
      </c>
      <c r="J1318" t="s">
        <v>181</v>
      </c>
      <c r="K1318" t="s">
        <v>103</v>
      </c>
      <c r="L1318" t="s">
        <v>30</v>
      </c>
      <c r="M1318" t="s">
        <v>58</v>
      </c>
    </row>
    <row r="1319" spans="1:13" x14ac:dyDescent="0.35">
      <c r="A1319" t="s">
        <v>2467</v>
      </c>
      <c r="B1319" s="9">
        <v>46124</v>
      </c>
      <c r="C1319" t="s">
        <v>2468</v>
      </c>
      <c r="D1319" t="s">
        <v>46</v>
      </c>
      <c r="E1319" t="s">
        <v>16</v>
      </c>
      <c r="F1319" t="s">
        <v>83</v>
      </c>
      <c r="G1319" t="s">
        <v>84</v>
      </c>
      <c r="H1319">
        <v>2</v>
      </c>
      <c r="I1319" t="s">
        <v>608</v>
      </c>
      <c r="J1319" t="s">
        <v>133</v>
      </c>
      <c r="K1319">
        <v>340</v>
      </c>
      <c r="L1319" t="s">
        <v>21</v>
      </c>
      <c r="M1319" t="s">
        <v>22</v>
      </c>
    </row>
    <row r="1320" spans="1:13" x14ac:dyDescent="0.35">
      <c r="A1320" t="s">
        <v>2469</v>
      </c>
      <c r="B1320" s="9">
        <v>46201</v>
      </c>
      <c r="C1320" t="s">
        <v>748</v>
      </c>
      <c r="D1320" t="s">
        <v>116</v>
      </c>
      <c r="E1320" t="s">
        <v>25</v>
      </c>
      <c r="F1320" t="s">
        <v>42</v>
      </c>
      <c r="G1320" t="s">
        <v>43</v>
      </c>
      <c r="H1320">
        <v>2</v>
      </c>
      <c r="I1320" t="s">
        <v>102</v>
      </c>
      <c r="J1320" t="s">
        <v>181</v>
      </c>
      <c r="K1320" t="s">
        <v>111</v>
      </c>
      <c r="L1320" t="s">
        <v>30</v>
      </c>
      <c r="M1320" t="s">
        <v>22</v>
      </c>
    </row>
    <row r="1321" spans="1:13" x14ac:dyDescent="0.35">
      <c r="A1321" t="s">
        <v>2470</v>
      </c>
      <c r="B1321" s="9">
        <v>46044</v>
      </c>
      <c r="C1321" t="s">
        <v>1883</v>
      </c>
      <c r="D1321" t="s">
        <v>99</v>
      </c>
      <c r="E1321" t="s">
        <v>41</v>
      </c>
      <c r="F1321" t="s">
        <v>35</v>
      </c>
      <c r="G1321" t="s">
        <v>36</v>
      </c>
      <c r="H1321">
        <v>1</v>
      </c>
      <c r="I1321" t="s">
        <v>220</v>
      </c>
      <c r="J1321" t="s">
        <v>220</v>
      </c>
      <c r="K1321">
        <v>85</v>
      </c>
      <c r="L1321" t="s">
        <v>30</v>
      </c>
      <c r="M1321" t="s">
        <v>22</v>
      </c>
    </row>
    <row r="1322" spans="1:13" x14ac:dyDescent="0.35">
      <c r="A1322" t="s">
        <v>2471</v>
      </c>
      <c r="B1322" s="9">
        <v>46184</v>
      </c>
      <c r="C1322" t="s">
        <v>260</v>
      </c>
      <c r="D1322" t="s">
        <v>46</v>
      </c>
      <c r="E1322" t="s">
        <v>41</v>
      </c>
      <c r="F1322" t="s">
        <v>17</v>
      </c>
      <c r="G1322" t="s">
        <v>18</v>
      </c>
      <c r="H1322">
        <v>1</v>
      </c>
      <c r="I1322" t="s">
        <v>56</v>
      </c>
      <c r="J1322" t="s">
        <v>56</v>
      </c>
      <c r="K1322" t="s">
        <v>29</v>
      </c>
      <c r="L1322" t="s">
        <v>21</v>
      </c>
      <c r="M1322" t="s">
        <v>22</v>
      </c>
    </row>
    <row r="1323" spans="1:13" x14ac:dyDescent="0.35">
      <c r="A1323" t="s">
        <v>2472</v>
      </c>
      <c r="B1323" s="9">
        <v>46131</v>
      </c>
      <c r="C1323" t="s">
        <v>2473</v>
      </c>
      <c r="D1323" t="s">
        <v>61</v>
      </c>
      <c r="E1323" t="s">
        <v>16</v>
      </c>
      <c r="F1323" t="s">
        <v>74</v>
      </c>
      <c r="G1323" t="s">
        <v>75</v>
      </c>
      <c r="H1323">
        <v>3</v>
      </c>
      <c r="I1323" t="s">
        <v>79</v>
      </c>
      <c r="J1323" t="s">
        <v>91</v>
      </c>
      <c r="K1323">
        <v>410</v>
      </c>
      <c r="L1323" t="s">
        <v>30</v>
      </c>
      <c r="M1323" t="s">
        <v>22</v>
      </c>
    </row>
    <row r="1324" spans="1:13" x14ac:dyDescent="0.35">
      <c r="A1324" t="s">
        <v>2474</v>
      </c>
      <c r="B1324" s="9">
        <v>46207</v>
      </c>
      <c r="C1324" t="s">
        <v>337</v>
      </c>
      <c r="D1324" t="s">
        <v>46</v>
      </c>
      <c r="E1324" t="s">
        <v>67</v>
      </c>
      <c r="F1324" t="s">
        <v>42</v>
      </c>
      <c r="G1324" t="s">
        <v>43</v>
      </c>
      <c r="H1324">
        <v>1</v>
      </c>
      <c r="I1324" t="s">
        <v>132</v>
      </c>
      <c r="J1324" t="s">
        <v>132</v>
      </c>
      <c r="K1324" t="s">
        <v>111</v>
      </c>
      <c r="L1324" t="s">
        <v>30</v>
      </c>
      <c r="M1324" t="s">
        <v>22</v>
      </c>
    </row>
    <row r="1325" spans="1:13" x14ac:dyDescent="0.35">
      <c r="A1325" t="s">
        <v>2475</v>
      </c>
      <c r="B1325" s="9">
        <v>46203</v>
      </c>
      <c r="C1325" t="s">
        <v>2148</v>
      </c>
      <c r="D1325" t="s">
        <v>46</v>
      </c>
      <c r="E1325" t="s">
        <v>34</v>
      </c>
      <c r="F1325" t="s">
        <v>74</v>
      </c>
      <c r="G1325" t="s">
        <v>75</v>
      </c>
      <c r="H1325">
        <v>3</v>
      </c>
      <c r="I1325" t="s">
        <v>136</v>
      </c>
      <c r="J1325" t="s">
        <v>137</v>
      </c>
      <c r="K1325" t="s">
        <v>76</v>
      </c>
      <c r="L1325" t="s">
        <v>30</v>
      </c>
      <c r="M1325" t="s">
        <v>22</v>
      </c>
    </row>
    <row r="1326" spans="1:13" x14ac:dyDescent="0.35">
      <c r="A1326" t="s">
        <v>2476</v>
      </c>
      <c r="B1326" s="9">
        <v>46205</v>
      </c>
      <c r="C1326" t="s">
        <v>2477</v>
      </c>
      <c r="D1326" t="s">
        <v>94</v>
      </c>
      <c r="E1326" t="s">
        <v>67</v>
      </c>
      <c r="F1326" t="s">
        <v>42</v>
      </c>
      <c r="G1326" t="s">
        <v>43</v>
      </c>
      <c r="H1326">
        <v>1</v>
      </c>
      <c r="I1326" t="s">
        <v>68</v>
      </c>
      <c r="J1326" t="s">
        <v>68</v>
      </c>
      <c r="K1326" t="s">
        <v>111</v>
      </c>
      <c r="L1326" t="s">
        <v>30</v>
      </c>
      <c r="M1326" t="s">
        <v>58</v>
      </c>
    </row>
    <row r="1327" spans="1:13" x14ac:dyDescent="0.35">
      <c r="A1327" t="s">
        <v>2478</v>
      </c>
      <c r="B1327" s="9">
        <v>46169</v>
      </c>
      <c r="C1327" t="s">
        <v>1796</v>
      </c>
      <c r="D1327" t="s">
        <v>33</v>
      </c>
      <c r="E1327" t="s">
        <v>41</v>
      </c>
      <c r="F1327" t="s">
        <v>17</v>
      </c>
      <c r="G1327" t="s">
        <v>18</v>
      </c>
      <c r="H1327">
        <v>3</v>
      </c>
      <c r="I1327" t="s">
        <v>151</v>
      </c>
      <c r="J1327" t="s">
        <v>856</v>
      </c>
      <c r="K1327" t="s">
        <v>29</v>
      </c>
      <c r="L1327" t="s">
        <v>30</v>
      </c>
      <c r="M1327" t="s">
        <v>22</v>
      </c>
    </row>
    <row r="1328" spans="1:13" x14ac:dyDescent="0.35">
      <c r="A1328" t="s">
        <v>2479</v>
      </c>
      <c r="B1328" s="9">
        <v>46035</v>
      </c>
      <c r="C1328" t="s">
        <v>1852</v>
      </c>
      <c r="D1328" t="s">
        <v>116</v>
      </c>
      <c r="E1328" t="s">
        <v>16</v>
      </c>
      <c r="F1328" t="s">
        <v>47</v>
      </c>
      <c r="G1328" t="s">
        <v>48</v>
      </c>
      <c r="H1328">
        <v>2</v>
      </c>
      <c r="I1328" t="s">
        <v>132</v>
      </c>
      <c r="J1328" t="s">
        <v>133</v>
      </c>
      <c r="K1328">
        <v>380</v>
      </c>
      <c r="L1328" t="s">
        <v>30</v>
      </c>
      <c r="M1328" t="s">
        <v>22</v>
      </c>
    </row>
    <row r="1329" spans="1:13" x14ac:dyDescent="0.35">
      <c r="A1329" t="s">
        <v>2480</v>
      </c>
      <c r="B1329" t="s">
        <v>1080</v>
      </c>
      <c r="C1329" t="s">
        <v>1044</v>
      </c>
      <c r="D1329" t="s">
        <v>53</v>
      </c>
      <c r="E1329" t="s">
        <v>41</v>
      </c>
      <c r="F1329" t="s">
        <v>74</v>
      </c>
      <c r="G1329" t="s">
        <v>75</v>
      </c>
      <c r="H1329">
        <v>1</v>
      </c>
      <c r="I1329" t="s">
        <v>737</v>
      </c>
      <c r="J1329" t="s">
        <v>102</v>
      </c>
      <c r="K1329" t="s">
        <v>76</v>
      </c>
      <c r="L1329" t="s">
        <v>21</v>
      </c>
      <c r="M1329" t="s">
        <v>22</v>
      </c>
    </row>
    <row r="1330" spans="1:13" x14ac:dyDescent="0.35">
      <c r="A1330" t="s">
        <v>2481</v>
      </c>
      <c r="B1330" s="9">
        <v>46068</v>
      </c>
      <c r="C1330" t="s">
        <v>2482</v>
      </c>
      <c r="D1330" t="s">
        <v>33</v>
      </c>
      <c r="E1330" t="s">
        <v>41</v>
      </c>
      <c r="F1330" t="s">
        <v>47</v>
      </c>
      <c r="G1330" t="s">
        <v>48</v>
      </c>
      <c r="H1330">
        <v>1</v>
      </c>
      <c r="I1330" t="s">
        <v>68</v>
      </c>
      <c r="J1330" t="s">
        <v>68</v>
      </c>
      <c r="K1330">
        <v>380</v>
      </c>
      <c r="L1330" t="s">
        <v>30</v>
      </c>
      <c r="M1330" t="s">
        <v>22</v>
      </c>
    </row>
    <row r="1331" spans="1:13" x14ac:dyDescent="0.35">
      <c r="A1331" t="s">
        <v>2483</v>
      </c>
      <c r="B1331" s="9">
        <v>46128</v>
      </c>
      <c r="C1331" t="s">
        <v>2484</v>
      </c>
      <c r="D1331" t="s">
        <v>94</v>
      </c>
      <c r="E1331" t="s">
        <v>16</v>
      </c>
      <c r="F1331" t="s">
        <v>26</v>
      </c>
      <c r="G1331" t="s">
        <v>27</v>
      </c>
      <c r="H1331">
        <v>1</v>
      </c>
      <c r="I1331" t="s">
        <v>220</v>
      </c>
      <c r="J1331" t="s">
        <v>220</v>
      </c>
      <c r="K1331">
        <v>520</v>
      </c>
      <c r="L1331" t="s">
        <v>30</v>
      </c>
      <c r="M1331" t="s">
        <v>22</v>
      </c>
    </row>
    <row r="1332" spans="1:13" x14ac:dyDescent="0.35">
      <c r="A1332" t="s">
        <v>2485</v>
      </c>
      <c r="B1332" s="9">
        <v>46048</v>
      </c>
      <c r="C1332" t="s">
        <v>2486</v>
      </c>
      <c r="D1332" t="s">
        <v>15</v>
      </c>
      <c r="E1332" t="s">
        <v>34</v>
      </c>
      <c r="F1332" t="s">
        <v>89</v>
      </c>
      <c r="G1332" t="s">
        <v>90</v>
      </c>
      <c r="H1332">
        <v>1</v>
      </c>
      <c r="I1332" t="s">
        <v>85</v>
      </c>
      <c r="J1332" t="s">
        <v>85</v>
      </c>
      <c r="K1332">
        <v>640</v>
      </c>
      <c r="L1332" t="s">
        <v>21</v>
      </c>
      <c r="M1332" t="s">
        <v>22</v>
      </c>
    </row>
    <row r="1333" spans="1:13" x14ac:dyDescent="0.35">
      <c r="A1333" t="s">
        <v>2487</v>
      </c>
      <c r="B1333" s="9">
        <v>46120</v>
      </c>
      <c r="C1333" t="s">
        <v>1042</v>
      </c>
      <c r="D1333" t="s">
        <v>66</v>
      </c>
      <c r="E1333" t="s">
        <v>41</v>
      </c>
      <c r="F1333" t="s">
        <v>47</v>
      </c>
      <c r="G1333" t="s">
        <v>48</v>
      </c>
      <c r="H1333">
        <v>1</v>
      </c>
      <c r="I1333" t="s">
        <v>220</v>
      </c>
      <c r="J1333" t="s">
        <v>220</v>
      </c>
      <c r="K1333">
        <v>380</v>
      </c>
      <c r="L1333" t="s">
        <v>30</v>
      </c>
      <c r="M1333" t="s">
        <v>58</v>
      </c>
    </row>
    <row r="1334" spans="1:13" x14ac:dyDescent="0.35">
      <c r="A1334" t="s">
        <v>2488</v>
      </c>
      <c r="B1334" s="9">
        <v>46079</v>
      </c>
      <c r="C1334" t="s">
        <v>2489</v>
      </c>
      <c r="D1334" t="s">
        <v>15</v>
      </c>
      <c r="E1334" t="s">
        <v>25</v>
      </c>
      <c r="F1334" t="s">
        <v>26</v>
      </c>
      <c r="G1334" t="s">
        <v>27</v>
      </c>
      <c r="H1334">
        <v>2</v>
      </c>
      <c r="I1334" t="s">
        <v>170</v>
      </c>
      <c r="J1334" t="s">
        <v>152</v>
      </c>
      <c r="K1334">
        <v>520</v>
      </c>
      <c r="L1334" t="s">
        <v>30</v>
      </c>
      <c r="M1334" t="s">
        <v>58</v>
      </c>
    </row>
    <row r="1335" spans="1:13" x14ac:dyDescent="0.35">
      <c r="A1335" t="s">
        <v>2490</v>
      </c>
      <c r="B1335" t="s">
        <v>888</v>
      </c>
      <c r="C1335" t="s">
        <v>2491</v>
      </c>
      <c r="D1335" t="s">
        <v>33</v>
      </c>
      <c r="E1335" t="s">
        <v>41</v>
      </c>
      <c r="F1335" t="s">
        <v>17</v>
      </c>
      <c r="G1335" t="s">
        <v>18</v>
      </c>
      <c r="H1335">
        <v>2</v>
      </c>
      <c r="I1335" t="s">
        <v>106</v>
      </c>
      <c r="J1335" t="s">
        <v>107</v>
      </c>
      <c r="K1335">
        <v>520</v>
      </c>
      <c r="L1335" t="s">
        <v>21</v>
      </c>
      <c r="M1335" t="s">
        <v>22</v>
      </c>
    </row>
    <row r="1336" spans="1:13" x14ac:dyDescent="0.35">
      <c r="A1336" t="s">
        <v>2492</v>
      </c>
      <c r="B1336" s="9">
        <v>46128</v>
      </c>
      <c r="C1336" t="s">
        <v>2493</v>
      </c>
      <c r="D1336" t="s">
        <v>40</v>
      </c>
      <c r="E1336" t="s">
        <v>67</v>
      </c>
      <c r="F1336" t="s">
        <v>42</v>
      </c>
      <c r="G1336" t="s">
        <v>43</v>
      </c>
      <c r="H1336">
        <v>1</v>
      </c>
      <c r="I1336" t="s">
        <v>56</v>
      </c>
      <c r="J1336" t="s">
        <v>2494</v>
      </c>
      <c r="K1336">
        <v>190</v>
      </c>
      <c r="L1336" t="s">
        <v>30</v>
      </c>
      <c r="M1336" t="s">
        <v>22</v>
      </c>
    </row>
    <row r="1337" spans="1:13" x14ac:dyDescent="0.35">
      <c r="A1337" t="s">
        <v>2495</v>
      </c>
      <c r="B1337" s="9">
        <v>46092</v>
      </c>
      <c r="C1337" t="s">
        <v>1969</v>
      </c>
      <c r="D1337" t="s">
        <v>94</v>
      </c>
      <c r="E1337" t="s">
        <v>41</v>
      </c>
      <c r="F1337" t="s">
        <v>83</v>
      </c>
      <c r="G1337" t="s">
        <v>84</v>
      </c>
      <c r="H1337">
        <v>1</v>
      </c>
      <c r="I1337" t="s">
        <v>220</v>
      </c>
      <c r="J1337" t="s">
        <v>220</v>
      </c>
      <c r="K1337">
        <v>340</v>
      </c>
      <c r="L1337" t="s">
        <v>30</v>
      </c>
      <c r="M1337" t="s">
        <v>22</v>
      </c>
    </row>
    <row r="1338" spans="1:13" x14ac:dyDescent="0.35">
      <c r="A1338" t="s">
        <v>2496</v>
      </c>
      <c r="B1338" t="s">
        <v>424</v>
      </c>
      <c r="C1338" t="s">
        <v>950</v>
      </c>
      <c r="D1338" t="s">
        <v>66</v>
      </c>
      <c r="E1338" t="s">
        <v>67</v>
      </c>
      <c r="F1338" t="s">
        <v>35</v>
      </c>
      <c r="G1338" t="s">
        <v>36</v>
      </c>
      <c r="H1338">
        <v>3</v>
      </c>
      <c r="I1338" t="s">
        <v>132</v>
      </c>
      <c r="J1338" t="s">
        <v>232</v>
      </c>
      <c r="K1338">
        <v>85</v>
      </c>
      <c r="L1338" t="s">
        <v>30</v>
      </c>
      <c r="M1338" t="s">
        <v>22</v>
      </c>
    </row>
    <row r="1339" spans="1:13" x14ac:dyDescent="0.35">
      <c r="A1339" t="s">
        <v>2497</v>
      </c>
      <c r="B1339" s="9">
        <v>46053</v>
      </c>
      <c r="C1339" t="s">
        <v>1428</v>
      </c>
      <c r="D1339" t="s">
        <v>46</v>
      </c>
      <c r="E1339" t="s">
        <v>67</v>
      </c>
      <c r="F1339" t="s">
        <v>83</v>
      </c>
      <c r="G1339" t="s">
        <v>84</v>
      </c>
      <c r="H1339">
        <v>2</v>
      </c>
      <c r="I1339" t="s">
        <v>254</v>
      </c>
      <c r="J1339" t="s">
        <v>156</v>
      </c>
      <c r="K1339">
        <v>340</v>
      </c>
      <c r="L1339" t="s">
        <v>21</v>
      </c>
      <c r="M1339" t="s">
        <v>22</v>
      </c>
    </row>
    <row r="1340" spans="1:13" x14ac:dyDescent="0.35">
      <c r="A1340" t="s">
        <v>2498</v>
      </c>
      <c r="B1340" s="9">
        <v>46146</v>
      </c>
      <c r="C1340" t="s">
        <v>2499</v>
      </c>
      <c r="D1340" t="s">
        <v>116</v>
      </c>
      <c r="E1340" t="s">
        <v>34</v>
      </c>
      <c r="F1340" t="s">
        <v>42</v>
      </c>
      <c r="G1340" t="s">
        <v>43</v>
      </c>
      <c r="H1340">
        <v>3</v>
      </c>
      <c r="I1340" t="s">
        <v>49</v>
      </c>
      <c r="J1340" t="s">
        <v>257</v>
      </c>
      <c r="K1340" t="s">
        <v>111</v>
      </c>
      <c r="L1340" t="s">
        <v>30</v>
      </c>
      <c r="M1340" t="s">
        <v>22</v>
      </c>
    </row>
    <row r="1341" spans="1:13" x14ac:dyDescent="0.35">
      <c r="A1341" t="s">
        <v>2500</v>
      </c>
      <c r="B1341" s="9">
        <v>46198</v>
      </c>
      <c r="C1341" t="s">
        <v>2501</v>
      </c>
      <c r="D1341" t="s">
        <v>40</v>
      </c>
      <c r="E1341" t="s">
        <v>34</v>
      </c>
      <c r="F1341" t="s">
        <v>74</v>
      </c>
      <c r="G1341" t="s">
        <v>75</v>
      </c>
      <c r="H1341">
        <v>1</v>
      </c>
      <c r="I1341" t="s">
        <v>254</v>
      </c>
      <c r="J1341" t="s">
        <v>254</v>
      </c>
      <c r="K1341" t="s">
        <v>76</v>
      </c>
      <c r="L1341" t="s">
        <v>30</v>
      </c>
      <c r="M1341" t="s">
        <v>58</v>
      </c>
    </row>
    <row r="1342" spans="1:13" x14ac:dyDescent="0.35">
      <c r="A1342" t="s">
        <v>2502</v>
      </c>
      <c r="B1342" s="9">
        <v>46166</v>
      </c>
      <c r="C1342" t="s">
        <v>529</v>
      </c>
      <c r="D1342" t="s">
        <v>33</v>
      </c>
      <c r="E1342" t="s">
        <v>67</v>
      </c>
      <c r="F1342" t="s">
        <v>74</v>
      </c>
      <c r="G1342" t="s">
        <v>75</v>
      </c>
      <c r="H1342">
        <v>2</v>
      </c>
      <c r="I1342" t="s">
        <v>19</v>
      </c>
      <c r="J1342" t="s">
        <v>2503</v>
      </c>
      <c r="K1342" t="s">
        <v>76</v>
      </c>
      <c r="L1342" t="s">
        <v>30</v>
      </c>
      <c r="M1342" t="s">
        <v>22</v>
      </c>
    </row>
    <row r="1343" spans="1:13" x14ac:dyDescent="0.35">
      <c r="A1343" t="s">
        <v>2504</v>
      </c>
      <c r="B1343" s="9">
        <v>46159</v>
      </c>
      <c r="C1343" t="s">
        <v>1013</v>
      </c>
      <c r="D1343" t="s">
        <v>40</v>
      </c>
      <c r="E1343" t="s">
        <v>16</v>
      </c>
      <c r="F1343" t="s">
        <v>89</v>
      </c>
      <c r="G1343" t="s">
        <v>90</v>
      </c>
      <c r="H1343">
        <v>2</v>
      </c>
      <c r="I1343" t="s">
        <v>19</v>
      </c>
      <c r="J1343" t="s">
        <v>238</v>
      </c>
      <c r="K1343" t="s">
        <v>108</v>
      </c>
      <c r="L1343" t="s">
        <v>30</v>
      </c>
      <c r="M1343" t="s">
        <v>22</v>
      </c>
    </row>
    <row r="1344" spans="1:13" x14ac:dyDescent="0.35">
      <c r="A1344" t="s">
        <v>2505</v>
      </c>
      <c r="B1344" s="9">
        <v>46110</v>
      </c>
      <c r="C1344" t="s">
        <v>199</v>
      </c>
      <c r="D1344" t="s">
        <v>66</v>
      </c>
      <c r="E1344" t="s">
        <v>41</v>
      </c>
      <c r="F1344" t="s">
        <v>26</v>
      </c>
      <c r="G1344" t="s">
        <v>27</v>
      </c>
      <c r="H1344">
        <v>2</v>
      </c>
      <c r="I1344" t="s">
        <v>49</v>
      </c>
      <c r="J1344" t="s">
        <v>2105</v>
      </c>
      <c r="K1344">
        <v>520</v>
      </c>
      <c r="L1344" t="s">
        <v>30</v>
      </c>
      <c r="M1344" t="s">
        <v>22</v>
      </c>
    </row>
    <row r="1345" spans="1:13" x14ac:dyDescent="0.35">
      <c r="A1345" t="s">
        <v>2506</v>
      </c>
      <c r="B1345" s="9">
        <v>46208</v>
      </c>
      <c r="C1345" t="s">
        <v>2507</v>
      </c>
      <c r="D1345" t="s">
        <v>61</v>
      </c>
      <c r="E1345" t="s">
        <v>16</v>
      </c>
      <c r="F1345" t="s">
        <v>26</v>
      </c>
      <c r="G1345" t="s">
        <v>27</v>
      </c>
      <c r="H1345">
        <v>3</v>
      </c>
      <c r="I1345" t="s">
        <v>68</v>
      </c>
      <c r="J1345" t="s">
        <v>205</v>
      </c>
      <c r="K1345" t="s">
        <v>29</v>
      </c>
      <c r="L1345" t="s">
        <v>30</v>
      </c>
      <c r="M1345" t="s">
        <v>22</v>
      </c>
    </row>
    <row r="1346" spans="1:13" x14ac:dyDescent="0.35">
      <c r="A1346" t="s">
        <v>2508</v>
      </c>
      <c r="B1346" s="9">
        <v>46206</v>
      </c>
      <c r="C1346" t="s">
        <v>2509</v>
      </c>
      <c r="D1346" t="s">
        <v>53</v>
      </c>
      <c r="E1346" t="s">
        <v>25</v>
      </c>
      <c r="F1346" t="s">
        <v>89</v>
      </c>
      <c r="G1346" t="s">
        <v>90</v>
      </c>
      <c r="H1346">
        <v>3</v>
      </c>
      <c r="I1346" t="s">
        <v>79</v>
      </c>
      <c r="J1346" t="s">
        <v>2510</v>
      </c>
      <c r="K1346" t="s">
        <v>108</v>
      </c>
      <c r="L1346" t="s">
        <v>21</v>
      </c>
      <c r="M1346" t="s">
        <v>22</v>
      </c>
    </row>
    <row r="1347" spans="1:13" x14ac:dyDescent="0.35">
      <c r="A1347" t="s">
        <v>2511</v>
      </c>
      <c r="B1347" s="9">
        <v>46120</v>
      </c>
      <c r="C1347" t="s">
        <v>1715</v>
      </c>
      <c r="D1347" t="s">
        <v>94</v>
      </c>
      <c r="E1347" t="s">
        <v>16</v>
      </c>
      <c r="F1347" t="s">
        <v>26</v>
      </c>
      <c r="G1347" t="s">
        <v>27</v>
      </c>
      <c r="H1347">
        <v>1</v>
      </c>
      <c r="I1347" t="s">
        <v>28</v>
      </c>
      <c r="J1347" t="s">
        <v>28</v>
      </c>
      <c r="K1347">
        <v>520</v>
      </c>
      <c r="L1347" t="s">
        <v>30</v>
      </c>
      <c r="M1347" t="s">
        <v>22</v>
      </c>
    </row>
    <row r="1348" spans="1:13" x14ac:dyDescent="0.35">
      <c r="A1348" t="s">
        <v>2512</v>
      </c>
      <c r="B1348" s="9">
        <v>46105</v>
      </c>
      <c r="C1348" t="s">
        <v>1990</v>
      </c>
      <c r="D1348" t="s">
        <v>94</v>
      </c>
      <c r="E1348" t="s">
        <v>34</v>
      </c>
      <c r="F1348" t="s">
        <v>83</v>
      </c>
      <c r="G1348" t="s">
        <v>84</v>
      </c>
      <c r="H1348">
        <v>2</v>
      </c>
      <c r="I1348" t="s">
        <v>132</v>
      </c>
      <c r="J1348" t="s">
        <v>133</v>
      </c>
      <c r="K1348">
        <v>340</v>
      </c>
      <c r="L1348" t="s">
        <v>30</v>
      </c>
      <c r="M1348" t="s">
        <v>22</v>
      </c>
    </row>
    <row r="1349" spans="1:13" x14ac:dyDescent="0.35">
      <c r="A1349" t="s">
        <v>2513</v>
      </c>
      <c r="B1349" s="9">
        <v>46166</v>
      </c>
      <c r="C1349" t="s">
        <v>923</v>
      </c>
      <c r="D1349" t="s">
        <v>116</v>
      </c>
      <c r="E1349" t="s">
        <v>25</v>
      </c>
      <c r="F1349" t="s">
        <v>74</v>
      </c>
      <c r="G1349" t="s">
        <v>75</v>
      </c>
      <c r="H1349">
        <v>1</v>
      </c>
      <c r="I1349" t="s">
        <v>220</v>
      </c>
      <c r="J1349" t="s">
        <v>220</v>
      </c>
      <c r="K1349" t="s">
        <v>76</v>
      </c>
      <c r="L1349" t="s">
        <v>21</v>
      </c>
      <c r="M1349" t="s">
        <v>22</v>
      </c>
    </row>
    <row r="1350" spans="1:13" x14ac:dyDescent="0.35">
      <c r="A1350" t="s">
        <v>2514</v>
      </c>
      <c r="B1350" s="9">
        <v>46175</v>
      </c>
      <c r="C1350" t="s">
        <v>1048</v>
      </c>
      <c r="D1350" t="s">
        <v>116</v>
      </c>
      <c r="E1350" t="s">
        <v>67</v>
      </c>
      <c r="F1350" t="s">
        <v>89</v>
      </c>
      <c r="G1350" t="s">
        <v>90</v>
      </c>
      <c r="H1350">
        <v>3</v>
      </c>
      <c r="I1350" t="s">
        <v>132</v>
      </c>
      <c r="J1350" t="s">
        <v>232</v>
      </c>
      <c r="K1350" t="s">
        <v>108</v>
      </c>
      <c r="L1350" t="s">
        <v>30</v>
      </c>
      <c r="M1350" t="s">
        <v>22</v>
      </c>
    </row>
    <row r="1351" spans="1:13" x14ac:dyDescent="0.35">
      <c r="A1351" t="s">
        <v>2515</v>
      </c>
      <c r="B1351" s="9">
        <v>46166</v>
      </c>
      <c r="C1351" t="s">
        <v>466</v>
      </c>
      <c r="D1351" t="s">
        <v>66</v>
      </c>
      <c r="E1351" t="s">
        <v>16</v>
      </c>
      <c r="F1351" t="s">
        <v>26</v>
      </c>
      <c r="G1351" t="s">
        <v>27</v>
      </c>
      <c r="H1351">
        <v>1</v>
      </c>
      <c r="I1351" t="s">
        <v>62</v>
      </c>
      <c r="J1351" t="s">
        <v>62</v>
      </c>
      <c r="K1351" t="s">
        <v>29</v>
      </c>
      <c r="L1351" t="s">
        <v>30</v>
      </c>
      <c r="M1351" t="s">
        <v>22</v>
      </c>
    </row>
    <row r="1352" spans="1:13" x14ac:dyDescent="0.35">
      <c r="A1352" t="s">
        <v>2516</v>
      </c>
      <c r="B1352" t="s">
        <v>1666</v>
      </c>
      <c r="C1352" t="s">
        <v>2517</v>
      </c>
      <c r="D1352" t="s">
        <v>94</v>
      </c>
      <c r="E1352" t="s">
        <v>25</v>
      </c>
      <c r="F1352" t="s">
        <v>17</v>
      </c>
      <c r="G1352" t="s">
        <v>18</v>
      </c>
      <c r="H1352">
        <v>1</v>
      </c>
      <c r="I1352" t="s">
        <v>132</v>
      </c>
      <c r="J1352" t="s">
        <v>132</v>
      </c>
      <c r="K1352" t="s">
        <v>29</v>
      </c>
      <c r="L1352" t="s">
        <v>30</v>
      </c>
      <c r="M1352" t="s">
        <v>22</v>
      </c>
    </row>
    <row r="1353" spans="1:13" x14ac:dyDescent="0.35">
      <c r="A1353" t="s">
        <v>2518</v>
      </c>
      <c r="B1353" s="9">
        <v>46204</v>
      </c>
      <c r="C1353" t="s">
        <v>2238</v>
      </c>
      <c r="D1353" t="s">
        <v>40</v>
      </c>
      <c r="E1353" t="s">
        <v>34</v>
      </c>
      <c r="F1353" t="s">
        <v>17</v>
      </c>
      <c r="G1353" t="s">
        <v>18</v>
      </c>
      <c r="H1353">
        <v>2</v>
      </c>
      <c r="I1353" t="s">
        <v>136</v>
      </c>
      <c r="J1353" t="s">
        <v>164</v>
      </c>
      <c r="K1353" t="s">
        <v>29</v>
      </c>
      <c r="L1353" t="s">
        <v>30</v>
      </c>
      <c r="M1353" t="s">
        <v>22</v>
      </c>
    </row>
    <row r="1354" spans="1:13" x14ac:dyDescent="0.35">
      <c r="A1354" t="s">
        <v>2519</v>
      </c>
      <c r="B1354" s="9">
        <v>46051</v>
      </c>
      <c r="C1354" t="s">
        <v>1157</v>
      </c>
      <c r="D1354" t="s">
        <v>94</v>
      </c>
      <c r="E1354" t="s">
        <v>16</v>
      </c>
      <c r="F1354" t="s">
        <v>83</v>
      </c>
      <c r="G1354" t="s">
        <v>84</v>
      </c>
      <c r="H1354">
        <v>1</v>
      </c>
      <c r="I1354" t="s">
        <v>170</v>
      </c>
      <c r="J1354" t="s">
        <v>170</v>
      </c>
      <c r="K1354">
        <v>340</v>
      </c>
      <c r="L1354" t="s">
        <v>30</v>
      </c>
      <c r="M1354" t="s">
        <v>58</v>
      </c>
    </row>
    <row r="1355" spans="1:13" x14ac:dyDescent="0.35">
      <c r="A1355" t="s">
        <v>2520</v>
      </c>
      <c r="B1355" s="9">
        <v>46137</v>
      </c>
      <c r="C1355" t="s">
        <v>2521</v>
      </c>
      <c r="D1355" t="s">
        <v>15</v>
      </c>
      <c r="E1355" t="s">
        <v>25</v>
      </c>
      <c r="F1355" t="s">
        <v>74</v>
      </c>
      <c r="G1355" t="s">
        <v>75</v>
      </c>
      <c r="H1355">
        <v>2</v>
      </c>
      <c r="I1355" t="s">
        <v>362</v>
      </c>
      <c r="J1355" t="s">
        <v>248</v>
      </c>
      <c r="K1355" t="s">
        <v>76</v>
      </c>
      <c r="L1355" t="s">
        <v>30</v>
      </c>
      <c r="M1355" t="s">
        <v>58</v>
      </c>
    </row>
    <row r="1356" spans="1:13" x14ac:dyDescent="0.35">
      <c r="A1356" t="s">
        <v>2522</v>
      </c>
      <c r="B1356" s="9">
        <v>46108</v>
      </c>
      <c r="C1356" t="s">
        <v>2523</v>
      </c>
      <c r="D1356" t="s">
        <v>15</v>
      </c>
      <c r="E1356" t="s">
        <v>16</v>
      </c>
      <c r="F1356" t="s">
        <v>35</v>
      </c>
      <c r="G1356" t="s">
        <v>36</v>
      </c>
      <c r="H1356">
        <v>1</v>
      </c>
      <c r="I1356" t="s">
        <v>592</v>
      </c>
      <c r="J1356" t="s">
        <v>136</v>
      </c>
      <c r="K1356">
        <v>85</v>
      </c>
      <c r="L1356" t="s">
        <v>21</v>
      </c>
      <c r="M1356" t="s">
        <v>22</v>
      </c>
    </row>
    <row r="1357" spans="1:13" x14ac:dyDescent="0.35">
      <c r="A1357" t="s">
        <v>2524</v>
      </c>
      <c r="B1357" s="9">
        <v>46041</v>
      </c>
      <c r="C1357" t="s">
        <v>2525</v>
      </c>
      <c r="D1357" t="s">
        <v>15</v>
      </c>
      <c r="E1357" t="s">
        <v>25</v>
      </c>
      <c r="F1357" t="s">
        <v>42</v>
      </c>
      <c r="G1357" t="s">
        <v>43</v>
      </c>
      <c r="H1357">
        <v>1</v>
      </c>
      <c r="I1357" t="s">
        <v>71</v>
      </c>
      <c r="J1357" t="s">
        <v>71</v>
      </c>
      <c r="K1357">
        <v>190</v>
      </c>
      <c r="L1357" t="s">
        <v>30</v>
      </c>
      <c r="M1357" t="s">
        <v>58</v>
      </c>
    </row>
    <row r="1358" spans="1:13" x14ac:dyDescent="0.35">
      <c r="A1358" t="s">
        <v>2526</v>
      </c>
      <c r="B1358" s="9">
        <v>46070</v>
      </c>
      <c r="C1358" t="s">
        <v>1068</v>
      </c>
      <c r="D1358" t="s">
        <v>53</v>
      </c>
      <c r="E1358" t="s">
        <v>67</v>
      </c>
      <c r="F1358" t="s">
        <v>26</v>
      </c>
      <c r="G1358" t="s">
        <v>27</v>
      </c>
      <c r="H1358">
        <v>2</v>
      </c>
      <c r="I1358" t="s">
        <v>436</v>
      </c>
      <c r="J1358" t="s">
        <v>143</v>
      </c>
      <c r="K1358">
        <v>520</v>
      </c>
      <c r="L1358" t="s">
        <v>30</v>
      </c>
      <c r="M1358" t="s">
        <v>22</v>
      </c>
    </row>
    <row r="1359" spans="1:13" x14ac:dyDescent="0.35">
      <c r="A1359" t="s">
        <v>2527</v>
      </c>
      <c r="B1359" s="9">
        <v>46050</v>
      </c>
      <c r="C1359" t="s">
        <v>2142</v>
      </c>
      <c r="D1359" t="s">
        <v>15</v>
      </c>
      <c r="E1359" t="s">
        <v>16</v>
      </c>
      <c r="F1359" t="s">
        <v>35</v>
      </c>
      <c r="G1359" t="s">
        <v>36</v>
      </c>
      <c r="H1359">
        <v>2</v>
      </c>
      <c r="I1359" t="s">
        <v>737</v>
      </c>
      <c r="J1359" t="s">
        <v>181</v>
      </c>
      <c r="K1359">
        <v>85</v>
      </c>
      <c r="L1359" t="s">
        <v>30</v>
      </c>
      <c r="M1359" t="s">
        <v>22</v>
      </c>
    </row>
    <row r="1360" spans="1:13" x14ac:dyDescent="0.35">
      <c r="A1360" t="s">
        <v>207</v>
      </c>
      <c r="B1360" s="9">
        <v>46168</v>
      </c>
      <c r="C1360" t="s">
        <v>208</v>
      </c>
      <c r="D1360" t="s">
        <v>33</v>
      </c>
      <c r="E1360" t="s">
        <v>41</v>
      </c>
      <c r="F1360" t="s">
        <v>74</v>
      </c>
      <c r="G1360" t="s">
        <v>75</v>
      </c>
      <c r="H1360">
        <v>3</v>
      </c>
      <c r="I1360" t="s">
        <v>68</v>
      </c>
      <c r="J1360" t="s">
        <v>205</v>
      </c>
      <c r="K1360" t="s">
        <v>76</v>
      </c>
      <c r="L1360" t="s">
        <v>30</v>
      </c>
      <c r="M1360" t="s">
        <v>58</v>
      </c>
    </row>
    <row r="1361" spans="1:13" x14ac:dyDescent="0.35">
      <c r="A1361" t="s">
        <v>2528</v>
      </c>
      <c r="B1361" s="9">
        <v>46116</v>
      </c>
      <c r="C1361" t="s">
        <v>1115</v>
      </c>
      <c r="D1361" t="s">
        <v>99</v>
      </c>
      <c r="E1361" t="s">
        <v>16</v>
      </c>
      <c r="F1361" t="s">
        <v>26</v>
      </c>
      <c r="G1361" t="s">
        <v>27</v>
      </c>
      <c r="H1361">
        <v>2</v>
      </c>
      <c r="I1361" t="s">
        <v>85</v>
      </c>
      <c r="J1361" t="s">
        <v>267</v>
      </c>
      <c r="K1361">
        <v>520</v>
      </c>
      <c r="L1361" t="s">
        <v>21</v>
      </c>
      <c r="M1361" t="s">
        <v>22</v>
      </c>
    </row>
    <row r="1362" spans="1:13" x14ac:dyDescent="0.35">
      <c r="A1362" t="s">
        <v>2529</v>
      </c>
      <c r="B1362" s="9">
        <v>46093</v>
      </c>
      <c r="C1362" t="s">
        <v>2530</v>
      </c>
      <c r="D1362" t="s">
        <v>46</v>
      </c>
      <c r="E1362" t="s">
        <v>34</v>
      </c>
      <c r="F1362" t="s">
        <v>89</v>
      </c>
      <c r="G1362" t="s">
        <v>90</v>
      </c>
      <c r="H1362">
        <v>1</v>
      </c>
      <c r="I1362" t="s">
        <v>184</v>
      </c>
      <c r="J1362" t="s">
        <v>170</v>
      </c>
      <c r="K1362">
        <v>640</v>
      </c>
      <c r="L1362" t="s">
        <v>30</v>
      </c>
      <c r="M1362" t="s">
        <v>22</v>
      </c>
    </row>
    <row r="1363" spans="1:13" x14ac:dyDescent="0.35">
      <c r="A1363" t="s">
        <v>2531</v>
      </c>
      <c r="B1363" s="9">
        <v>46024</v>
      </c>
      <c r="C1363" t="s">
        <v>1146</v>
      </c>
      <c r="D1363" t="s">
        <v>61</v>
      </c>
      <c r="E1363" t="s">
        <v>16</v>
      </c>
      <c r="F1363" t="s">
        <v>35</v>
      </c>
      <c r="G1363" t="s">
        <v>36</v>
      </c>
      <c r="H1363">
        <v>1</v>
      </c>
      <c r="I1363" t="s">
        <v>102</v>
      </c>
      <c r="J1363" t="s">
        <v>102</v>
      </c>
      <c r="K1363">
        <v>85</v>
      </c>
      <c r="L1363" t="s">
        <v>30</v>
      </c>
      <c r="M1363" t="s">
        <v>22</v>
      </c>
    </row>
    <row r="1364" spans="1:13" x14ac:dyDescent="0.35">
      <c r="A1364" t="s">
        <v>2532</v>
      </c>
      <c r="B1364" s="9">
        <v>46120</v>
      </c>
      <c r="C1364" t="s">
        <v>597</v>
      </c>
      <c r="D1364" t="s">
        <v>66</v>
      </c>
      <c r="E1364" t="s">
        <v>25</v>
      </c>
      <c r="F1364" t="s">
        <v>26</v>
      </c>
      <c r="G1364" t="s">
        <v>27</v>
      </c>
      <c r="H1364">
        <v>1</v>
      </c>
      <c r="I1364" t="s">
        <v>170</v>
      </c>
      <c r="J1364" t="s">
        <v>170</v>
      </c>
      <c r="K1364">
        <v>520</v>
      </c>
      <c r="L1364" t="s">
        <v>30</v>
      </c>
      <c r="M1364" t="s">
        <v>22</v>
      </c>
    </row>
    <row r="1365" spans="1:13" x14ac:dyDescent="0.35">
      <c r="A1365" t="s">
        <v>2533</v>
      </c>
      <c r="B1365" s="9">
        <v>46189</v>
      </c>
      <c r="C1365" t="s">
        <v>2534</v>
      </c>
      <c r="D1365" t="s">
        <v>61</v>
      </c>
      <c r="E1365" t="s">
        <v>34</v>
      </c>
      <c r="F1365" t="s">
        <v>35</v>
      </c>
      <c r="G1365" t="s">
        <v>36</v>
      </c>
      <c r="H1365">
        <v>3</v>
      </c>
      <c r="I1365" t="s">
        <v>170</v>
      </c>
      <c r="J1365" t="s">
        <v>856</v>
      </c>
      <c r="K1365" t="s">
        <v>37</v>
      </c>
      <c r="L1365" t="s">
        <v>30</v>
      </c>
      <c r="M1365" t="s">
        <v>58</v>
      </c>
    </row>
    <row r="1366" spans="1:13" x14ac:dyDescent="0.35">
      <c r="A1366" t="s">
        <v>2535</v>
      </c>
      <c r="B1366" s="9">
        <v>46061</v>
      </c>
      <c r="C1366" t="s">
        <v>1766</v>
      </c>
      <c r="D1366" t="s">
        <v>61</v>
      </c>
      <c r="E1366" t="s">
        <v>41</v>
      </c>
      <c r="F1366" t="s">
        <v>83</v>
      </c>
      <c r="G1366" t="s">
        <v>84</v>
      </c>
      <c r="H1366">
        <v>1</v>
      </c>
      <c r="I1366" t="s">
        <v>106</v>
      </c>
      <c r="J1366" t="s">
        <v>106</v>
      </c>
      <c r="K1366">
        <v>340</v>
      </c>
      <c r="L1366" t="s">
        <v>30</v>
      </c>
      <c r="M1366" t="s">
        <v>22</v>
      </c>
    </row>
    <row r="1367" spans="1:13" x14ac:dyDescent="0.35">
      <c r="A1367" t="s">
        <v>2536</v>
      </c>
      <c r="B1367" s="9">
        <v>46208</v>
      </c>
      <c r="C1367" t="s">
        <v>1013</v>
      </c>
      <c r="D1367" t="s">
        <v>46</v>
      </c>
      <c r="E1367" t="s">
        <v>16</v>
      </c>
      <c r="F1367" t="s">
        <v>35</v>
      </c>
      <c r="G1367" t="s">
        <v>36</v>
      </c>
      <c r="H1367">
        <v>2</v>
      </c>
      <c r="I1367" t="s">
        <v>19</v>
      </c>
      <c r="J1367" t="s">
        <v>238</v>
      </c>
      <c r="K1367" t="s">
        <v>37</v>
      </c>
      <c r="L1367" t="s">
        <v>21</v>
      </c>
      <c r="M1367" t="s">
        <v>22</v>
      </c>
    </row>
    <row r="1368" spans="1:13" x14ac:dyDescent="0.35">
      <c r="A1368" t="s">
        <v>2537</v>
      </c>
      <c r="B1368" s="9">
        <v>46063</v>
      </c>
      <c r="C1368" t="s">
        <v>1633</v>
      </c>
      <c r="D1368" t="s">
        <v>15</v>
      </c>
      <c r="E1368" t="s">
        <v>16</v>
      </c>
      <c r="F1368" t="s">
        <v>89</v>
      </c>
      <c r="G1368" t="s">
        <v>90</v>
      </c>
      <c r="H1368">
        <v>-2</v>
      </c>
      <c r="I1368" t="s">
        <v>56</v>
      </c>
      <c r="J1368" t="s">
        <v>2538</v>
      </c>
      <c r="K1368">
        <v>640</v>
      </c>
      <c r="L1368" t="s">
        <v>30</v>
      </c>
      <c r="M1368" t="s">
        <v>22</v>
      </c>
    </row>
    <row r="1369" spans="1:13" x14ac:dyDescent="0.35">
      <c r="A1369" t="s">
        <v>2539</v>
      </c>
      <c r="B1369" s="9">
        <v>46168</v>
      </c>
      <c r="C1369" t="s">
        <v>163</v>
      </c>
      <c r="D1369" t="s">
        <v>40</v>
      </c>
      <c r="E1369" t="s">
        <v>34</v>
      </c>
      <c r="F1369" t="s">
        <v>89</v>
      </c>
      <c r="G1369" t="s">
        <v>90</v>
      </c>
      <c r="H1369">
        <v>1</v>
      </c>
      <c r="I1369" t="s">
        <v>993</v>
      </c>
      <c r="J1369" t="s">
        <v>254</v>
      </c>
      <c r="K1369" t="s">
        <v>108</v>
      </c>
      <c r="L1369" t="s">
        <v>30</v>
      </c>
      <c r="M1369" t="s">
        <v>22</v>
      </c>
    </row>
    <row r="1370" spans="1:13" x14ac:dyDescent="0.35">
      <c r="A1370" t="s">
        <v>2540</v>
      </c>
      <c r="B1370" s="9">
        <v>46072</v>
      </c>
      <c r="C1370" t="s">
        <v>668</v>
      </c>
      <c r="D1370" t="s">
        <v>33</v>
      </c>
      <c r="E1370" t="s">
        <v>25</v>
      </c>
      <c r="F1370" t="s">
        <v>74</v>
      </c>
      <c r="G1370" t="s">
        <v>75</v>
      </c>
      <c r="H1370">
        <v>2</v>
      </c>
      <c r="I1370" t="s">
        <v>254</v>
      </c>
      <c r="J1370" t="s">
        <v>164</v>
      </c>
      <c r="K1370">
        <v>410</v>
      </c>
      <c r="L1370" t="s">
        <v>30</v>
      </c>
      <c r="M1370" t="s">
        <v>22</v>
      </c>
    </row>
    <row r="1371" spans="1:13" x14ac:dyDescent="0.35">
      <c r="A1371" t="s">
        <v>2541</v>
      </c>
      <c r="B1371" s="9">
        <v>46117</v>
      </c>
      <c r="C1371" t="s">
        <v>2542</v>
      </c>
      <c r="D1371" t="s">
        <v>46</v>
      </c>
      <c r="E1371" t="s">
        <v>16</v>
      </c>
      <c r="F1371" t="s">
        <v>83</v>
      </c>
      <c r="G1371" t="s">
        <v>84</v>
      </c>
      <c r="H1371">
        <v>3</v>
      </c>
      <c r="I1371" t="s">
        <v>170</v>
      </c>
      <c r="J1371" t="s">
        <v>856</v>
      </c>
      <c r="K1371">
        <v>340</v>
      </c>
      <c r="L1371" t="s">
        <v>30</v>
      </c>
      <c r="M1371" t="s">
        <v>22</v>
      </c>
    </row>
    <row r="1372" spans="1:13" x14ac:dyDescent="0.35">
      <c r="A1372" t="s">
        <v>2543</v>
      </c>
      <c r="B1372" s="9">
        <v>46053</v>
      </c>
      <c r="C1372" t="s">
        <v>2544</v>
      </c>
      <c r="D1372" t="s">
        <v>116</v>
      </c>
      <c r="E1372" t="s">
        <v>34</v>
      </c>
      <c r="F1372" t="s">
        <v>83</v>
      </c>
      <c r="G1372" t="s">
        <v>84</v>
      </c>
      <c r="H1372">
        <v>1</v>
      </c>
      <c r="I1372" t="s">
        <v>56</v>
      </c>
      <c r="J1372" t="s">
        <v>56</v>
      </c>
      <c r="K1372">
        <v>340</v>
      </c>
      <c r="L1372" t="s">
        <v>21</v>
      </c>
      <c r="M1372" t="s">
        <v>58</v>
      </c>
    </row>
    <row r="1373" spans="1:13" x14ac:dyDescent="0.35">
      <c r="A1373" t="s">
        <v>2545</v>
      </c>
      <c r="B1373" s="9">
        <v>46033</v>
      </c>
      <c r="C1373" t="s">
        <v>39</v>
      </c>
      <c r="D1373" t="s">
        <v>99</v>
      </c>
      <c r="E1373" t="s">
        <v>25</v>
      </c>
      <c r="F1373" t="s">
        <v>42</v>
      </c>
      <c r="G1373" t="s">
        <v>43</v>
      </c>
      <c r="H1373">
        <v>1</v>
      </c>
      <c r="I1373" t="s">
        <v>254</v>
      </c>
      <c r="J1373" t="s">
        <v>254</v>
      </c>
      <c r="K1373">
        <v>190</v>
      </c>
      <c r="L1373" t="s">
        <v>30</v>
      </c>
      <c r="M1373" t="s">
        <v>58</v>
      </c>
    </row>
    <row r="1374" spans="1:13" x14ac:dyDescent="0.35">
      <c r="A1374" t="s">
        <v>2546</v>
      </c>
      <c r="B1374" s="9">
        <v>46193</v>
      </c>
      <c r="C1374" t="s">
        <v>1526</v>
      </c>
      <c r="D1374" t="s">
        <v>94</v>
      </c>
      <c r="E1374" t="s">
        <v>25</v>
      </c>
      <c r="F1374" t="s">
        <v>17</v>
      </c>
      <c r="G1374" t="s">
        <v>18</v>
      </c>
      <c r="H1374">
        <v>1</v>
      </c>
      <c r="I1374" t="s">
        <v>136</v>
      </c>
      <c r="J1374" t="s">
        <v>136</v>
      </c>
      <c r="K1374" t="s">
        <v>29</v>
      </c>
      <c r="L1374" t="s">
        <v>30</v>
      </c>
      <c r="M1374" t="s">
        <v>58</v>
      </c>
    </row>
    <row r="1375" spans="1:13" x14ac:dyDescent="0.35">
      <c r="A1375" t="s">
        <v>2547</v>
      </c>
      <c r="B1375" t="s">
        <v>1610</v>
      </c>
      <c r="C1375" t="s">
        <v>525</v>
      </c>
      <c r="D1375" t="s">
        <v>61</v>
      </c>
      <c r="E1375" t="s">
        <v>16</v>
      </c>
      <c r="F1375" t="s">
        <v>83</v>
      </c>
      <c r="G1375" t="s">
        <v>84</v>
      </c>
      <c r="H1375">
        <v>1</v>
      </c>
      <c r="I1375" t="s">
        <v>71</v>
      </c>
      <c r="J1375" t="s">
        <v>71</v>
      </c>
      <c r="K1375" t="s">
        <v>103</v>
      </c>
      <c r="L1375" t="s">
        <v>30</v>
      </c>
      <c r="M1375" t="s">
        <v>22</v>
      </c>
    </row>
    <row r="1376" spans="1:13" x14ac:dyDescent="0.35">
      <c r="A1376" t="s">
        <v>2548</v>
      </c>
      <c r="B1376" s="9">
        <v>46057</v>
      </c>
      <c r="C1376" t="s">
        <v>1008</v>
      </c>
      <c r="D1376" t="s">
        <v>94</v>
      </c>
      <c r="E1376" t="s">
        <v>67</v>
      </c>
      <c r="F1376" t="s">
        <v>47</v>
      </c>
      <c r="G1376" t="s">
        <v>48</v>
      </c>
      <c r="H1376">
        <v>2</v>
      </c>
      <c r="I1376" t="s">
        <v>170</v>
      </c>
      <c r="J1376" t="s">
        <v>152</v>
      </c>
      <c r="K1376">
        <v>380</v>
      </c>
      <c r="L1376" t="s">
        <v>21</v>
      </c>
      <c r="M1376" t="s">
        <v>22</v>
      </c>
    </row>
    <row r="1377" spans="1:13" x14ac:dyDescent="0.35">
      <c r="A1377" t="s">
        <v>2186</v>
      </c>
      <c r="B1377" s="9">
        <v>46125</v>
      </c>
      <c r="C1377" t="s">
        <v>2187</v>
      </c>
      <c r="D1377" t="s">
        <v>40</v>
      </c>
      <c r="E1377" t="s">
        <v>41</v>
      </c>
      <c r="F1377" t="s">
        <v>42</v>
      </c>
      <c r="G1377" t="s">
        <v>43</v>
      </c>
      <c r="H1377">
        <v>1</v>
      </c>
      <c r="I1377" t="s">
        <v>102</v>
      </c>
      <c r="J1377" t="s">
        <v>102</v>
      </c>
      <c r="K1377">
        <v>190</v>
      </c>
      <c r="L1377" t="s">
        <v>21</v>
      </c>
      <c r="M1377" t="s">
        <v>22</v>
      </c>
    </row>
    <row r="1378" spans="1:13" x14ac:dyDescent="0.35">
      <c r="A1378" t="s">
        <v>2549</v>
      </c>
      <c r="B1378" s="9">
        <v>46075</v>
      </c>
      <c r="C1378" t="s">
        <v>2550</v>
      </c>
      <c r="D1378" t="s">
        <v>40</v>
      </c>
      <c r="E1378" t="s">
        <v>34</v>
      </c>
      <c r="F1378" t="s">
        <v>89</v>
      </c>
      <c r="G1378" t="s">
        <v>90</v>
      </c>
      <c r="H1378">
        <v>2</v>
      </c>
      <c r="I1378" t="s">
        <v>136</v>
      </c>
      <c r="J1378" t="s">
        <v>448</v>
      </c>
      <c r="K1378">
        <v>640</v>
      </c>
      <c r="L1378" t="s">
        <v>21</v>
      </c>
      <c r="M1378" t="s">
        <v>22</v>
      </c>
    </row>
    <row r="1379" spans="1:13" x14ac:dyDescent="0.35">
      <c r="A1379" t="s">
        <v>2551</v>
      </c>
      <c r="B1379" s="9">
        <v>46108</v>
      </c>
      <c r="C1379" t="s">
        <v>457</v>
      </c>
      <c r="D1379" t="s">
        <v>46</v>
      </c>
      <c r="E1379" t="s">
        <v>41</v>
      </c>
      <c r="F1379" t="s">
        <v>26</v>
      </c>
      <c r="G1379" t="s">
        <v>27</v>
      </c>
      <c r="H1379">
        <v>1</v>
      </c>
      <c r="I1379" t="s">
        <v>649</v>
      </c>
      <c r="J1379" t="s">
        <v>68</v>
      </c>
      <c r="K1379">
        <v>520</v>
      </c>
      <c r="L1379" t="s">
        <v>30</v>
      </c>
      <c r="M1379" t="s">
        <v>58</v>
      </c>
    </row>
    <row r="1380" spans="1:13" x14ac:dyDescent="0.35">
      <c r="A1380" t="s">
        <v>2552</v>
      </c>
      <c r="B1380" s="9">
        <v>46121</v>
      </c>
      <c r="C1380" t="s">
        <v>840</v>
      </c>
      <c r="D1380" t="s">
        <v>40</v>
      </c>
      <c r="E1380" t="s">
        <v>41</v>
      </c>
      <c r="F1380" t="s">
        <v>47</v>
      </c>
      <c r="G1380" t="s">
        <v>48</v>
      </c>
      <c r="H1380">
        <v>1</v>
      </c>
      <c r="I1380" t="s">
        <v>19</v>
      </c>
      <c r="J1380" t="s">
        <v>19</v>
      </c>
      <c r="K1380">
        <v>380</v>
      </c>
      <c r="L1380" t="s">
        <v>30</v>
      </c>
      <c r="M1380" t="s">
        <v>22</v>
      </c>
    </row>
    <row r="1381" spans="1:13" x14ac:dyDescent="0.35">
      <c r="A1381" t="s">
        <v>2553</v>
      </c>
      <c r="B1381" s="9">
        <v>46193</v>
      </c>
      <c r="C1381" t="s">
        <v>2228</v>
      </c>
      <c r="D1381" t="s">
        <v>46</v>
      </c>
      <c r="E1381" t="s">
        <v>67</v>
      </c>
      <c r="F1381" t="s">
        <v>74</v>
      </c>
      <c r="G1381" t="s">
        <v>75</v>
      </c>
      <c r="H1381">
        <v>-1</v>
      </c>
      <c r="I1381" t="s">
        <v>79</v>
      </c>
      <c r="J1381" t="s">
        <v>124</v>
      </c>
      <c r="K1381" t="s">
        <v>76</v>
      </c>
      <c r="L1381" t="s">
        <v>30</v>
      </c>
      <c r="M1381" t="s">
        <v>22</v>
      </c>
    </row>
    <row r="1382" spans="1:13" x14ac:dyDescent="0.35">
      <c r="A1382" t="s">
        <v>2554</v>
      </c>
      <c r="B1382" s="9">
        <v>46073</v>
      </c>
      <c r="C1382" t="s">
        <v>1672</v>
      </c>
      <c r="D1382" t="s">
        <v>94</v>
      </c>
      <c r="E1382" t="s">
        <v>25</v>
      </c>
      <c r="F1382" t="s">
        <v>26</v>
      </c>
      <c r="G1382" t="s">
        <v>27</v>
      </c>
      <c r="H1382">
        <v>1</v>
      </c>
      <c r="I1382" t="s">
        <v>71</v>
      </c>
      <c r="J1382" t="s">
        <v>71</v>
      </c>
      <c r="K1382">
        <v>520</v>
      </c>
      <c r="L1382" t="s">
        <v>21</v>
      </c>
      <c r="M1382" t="s">
        <v>22</v>
      </c>
    </row>
    <row r="1383" spans="1:13" x14ac:dyDescent="0.35">
      <c r="A1383" t="s">
        <v>2555</v>
      </c>
      <c r="B1383" s="9">
        <v>46093</v>
      </c>
      <c r="C1383" t="s">
        <v>2556</v>
      </c>
      <c r="D1383" t="s">
        <v>33</v>
      </c>
      <c r="E1383" t="s">
        <v>41</v>
      </c>
      <c r="F1383" t="s">
        <v>47</v>
      </c>
      <c r="G1383" t="s">
        <v>48</v>
      </c>
      <c r="H1383">
        <v>1</v>
      </c>
      <c r="I1383" t="s">
        <v>56</v>
      </c>
      <c r="J1383" t="s">
        <v>56</v>
      </c>
      <c r="K1383">
        <v>380</v>
      </c>
      <c r="L1383" t="s">
        <v>30</v>
      </c>
      <c r="M1383" t="s">
        <v>22</v>
      </c>
    </row>
    <row r="1384" spans="1:13" x14ac:dyDescent="0.35">
      <c r="A1384" t="s">
        <v>2557</v>
      </c>
      <c r="B1384" s="9">
        <v>46205</v>
      </c>
      <c r="C1384" t="s">
        <v>2558</v>
      </c>
      <c r="D1384" t="s">
        <v>66</v>
      </c>
      <c r="E1384" t="s">
        <v>34</v>
      </c>
      <c r="F1384" t="s">
        <v>83</v>
      </c>
      <c r="G1384" t="s">
        <v>84</v>
      </c>
      <c r="H1384">
        <v>2</v>
      </c>
      <c r="I1384" t="s">
        <v>79</v>
      </c>
      <c r="J1384" t="s">
        <v>143</v>
      </c>
      <c r="K1384">
        <v>340</v>
      </c>
      <c r="L1384" t="s">
        <v>21</v>
      </c>
      <c r="M1384" t="s">
        <v>22</v>
      </c>
    </row>
    <row r="1385" spans="1:13" x14ac:dyDescent="0.35">
      <c r="A1385" t="s">
        <v>2559</v>
      </c>
      <c r="B1385" s="9">
        <v>46122</v>
      </c>
      <c r="C1385" t="s">
        <v>348</v>
      </c>
      <c r="D1385" t="s">
        <v>61</v>
      </c>
      <c r="E1385" t="s">
        <v>67</v>
      </c>
      <c r="F1385" t="s">
        <v>89</v>
      </c>
      <c r="G1385" t="s">
        <v>90</v>
      </c>
      <c r="H1385">
        <v>1</v>
      </c>
      <c r="I1385" t="s">
        <v>71</v>
      </c>
      <c r="J1385" t="s">
        <v>71</v>
      </c>
      <c r="K1385">
        <v>640</v>
      </c>
      <c r="L1385" t="s">
        <v>30</v>
      </c>
      <c r="M1385" t="s">
        <v>58</v>
      </c>
    </row>
    <row r="1386" spans="1:13" x14ac:dyDescent="0.35">
      <c r="A1386" t="s">
        <v>2560</v>
      </c>
      <c r="B1386" t="s">
        <v>1398</v>
      </c>
      <c r="C1386" t="s">
        <v>2171</v>
      </c>
      <c r="D1386" t="s">
        <v>46</v>
      </c>
      <c r="E1386" t="s">
        <v>41</v>
      </c>
      <c r="F1386" t="s">
        <v>35</v>
      </c>
      <c r="G1386" t="s">
        <v>36</v>
      </c>
      <c r="H1386">
        <v>1</v>
      </c>
      <c r="I1386" t="s">
        <v>106</v>
      </c>
      <c r="J1386" t="s">
        <v>1049</v>
      </c>
      <c r="K1386">
        <v>85</v>
      </c>
      <c r="L1386" t="s">
        <v>30</v>
      </c>
      <c r="M1386" t="s">
        <v>22</v>
      </c>
    </row>
    <row r="1387" spans="1:13" x14ac:dyDescent="0.35">
      <c r="A1387" t="s">
        <v>2561</v>
      </c>
      <c r="B1387" t="s">
        <v>2301</v>
      </c>
      <c r="C1387" t="s">
        <v>2126</v>
      </c>
      <c r="D1387" t="s">
        <v>61</v>
      </c>
      <c r="E1387" t="s">
        <v>16</v>
      </c>
      <c r="F1387" t="s">
        <v>35</v>
      </c>
      <c r="G1387" t="s">
        <v>36</v>
      </c>
      <c r="H1387">
        <v>1</v>
      </c>
      <c r="I1387" t="s">
        <v>254</v>
      </c>
      <c r="J1387" t="s">
        <v>254</v>
      </c>
      <c r="K1387" t="s">
        <v>37</v>
      </c>
      <c r="L1387" t="s">
        <v>30</v>
      </c>
      <c r="M1387" t="s">
        <v>58</v>
      </c>
    </row>
    <row r="1388" spans="1:13" x14ac:dyDescent="0.35">
      <c r="A1388" t="s">
        <v>2562</v>
      </c>
      <c r="B1388" s="9">
        <v>46134</v>
      </c>
      <c r="C1388" t="s">
        <v>2563</v>
      </c>
      <c r="D1388" t="s">
        <v>53</v>
      </c>
      <c r="E1388" t="s">
        <v>16</v>
      </c>
      <c r="F1388" t="s">
        <v>42</v>
      </c>
      <c r="G1388" t="s">
        <v>43</v>
      </c>
      <c r="H1388">
        <v>2</v>
      </c>
      <c r="I1388" t="s">
        <v>220</v>
      </c>
      <c r="J1388" t="s">
        <v>221</v>
      </c>
      <c r="K1388" t="s">
        <v>111</v>
      </c>
      <c r="L1388" t="s">
        <v>21</v>
      </c>
      <c r="M1388" t="s">
        <v>22</v>
      </c>
    </row>
    <row r="1389" spans="1:13" x14ac:dyDescent="0.35">
      <c r="A1389" t="s">
        <v>2564</v>
      </c>
      <c r="B1389" s="9">
        <v>46103</v>
      </c>
      <c r="C1389" t="s">
        <v>2489</v>
      </c>
      <c r="D1389" t="s">
        <v>116</v>
      </c>
      <c r="E1389" t="s">
        <v>34</v>
      </c>
      <c r="F1389" t="s">
        <v>17</v>
      </c>
      <c r="G1389" t="s">
        <v>18</v>
      </c>
      <c r="H1389">
        <v>1</v>
      </c>
      <c r="I1389" t="s">
        <v>19</v>
      </c>
      <c r="J1389" t="s">
        <v>19</v>
      </c>
      <c r="K1389">
        <v>520</v>
      </c>
      <c r="L1389" t="s">
        <v>30</v>
      </c>
      <c r="M1389" t="s">
        <v>22</v>
      </c>
    </row>
    <row r="1390" spans="1:13" x14ac:dyDescent="0.35">
      <c r="A1390" t="s">
        <v>2565</v>
      </c>
      <c r="B1390" s="9">
        <v>46076</v>
      </c>
      <c r="C1390" t="s">
        <v>578</v>
      </c>
      <c r="D1390" t="s">
        <v>66</v>
      </c>
      <c r="E1390" t="s">
        <v>34</v>
      </c>
      <c r="F1390" t="s">
        <v>42</v>
      </c>
      <c r="G1390" t="s">
        <v>43</v>
      </c>
      <c r="H1390">
        <v>3</v>
      </c>
      <c r="I1390" t="s">
        <v>220</v>
      </c>
      <c r="J1390" t="s">
        <v>494</v>
      </c>
      <c r="K1390">
        <v>190</v>
      </c>
      <c r="L1390" t="s">
        <v>21</v>
      </c>
      <c r="M1390" t="s">
        <v>58</v>
      </c>
    </row>
    <row r="1391" spans="1:13" x14ac:dyDescent="0.35">
      <c r="A1391" t="s">
        <v>2566</v>
      </c>
      <c r="B1391" t="s">
        <v>2567</v>
      </c>
      <c r="C1391" t="s">
        <v>1028</v>
      </c>
      <c r="D1391" t="s">
        <v>40</v>
      </c>
      <c r="E1391" t="s">
        <v>16</v>
      </c>
      <c r="F1391" t="s">
        <v>42</v>
      </c>
      <c r="G1391" t="s">
        <v>43</v>
      </c>
      <c r="H1391">
        <v>1</v>
      </c>
      <c r="I1391" t="s">
        <v>79</v>
      </c>
      <c r="J1391" t="s">
        <v>79</v>
      </c>
      <c r="K1391">
        <v>190</v>
      </c>
      <c r="L1391" t="s">
        <v>30</v>
      </c>
      <c r="M1391" t="s">
        <v>22</v>
      </c>
    </row>
    <row r="1392" spans="1:13" x14ac:dyDescent="0.35">
      <c r="A1392" t="s">
        <v>2568</v>
      </c>
      <c r="B1392" s="9">
        <v>46076</v>
      </c>
      <c r="C1392" t="s">
        <v>1215</v>
      </c>
      <c r="D1392" t="s">
        <v>94</v>
      </c>
      <c r="E1392" t="s">
        <v>16</v>
      </c>
      <c r="F1392" t="s">
        <v>42</v>
      </c>
      <c r="G1392" t="s">
        <v>43</v>
      </c>
      <c r="H1392">
        <v>2</v>
      </c>
      <c r="I1392" t="s">
        <v>132</v>
      </c>
      <c r="J1392" t="s">
        <v>133</v>
      </c>
      <c r="K1392">
        <v>190</v>
      </c>
      <c r="L1392" t="s">
        <v>30</v>
      </c>
      <c r="M1392" t="s">
        <v>22</v>
      </c>
    </row>
    <row r="1393" spans="1:13" x14ac:dyDescent="0.35">
      <c r="A1393" t="s">
        <v>2569</v>
      </c>
      <c r="B1393" s="9">
        <v>46175</v>
      </c>
      <c r="C1393" t="s">
        <v>2218</v>
      </c>
      <c r="D1393" t="s">
        <v>61</v>
      </c>
      <c r="E1393" t="s">
        <v>41</v>
      </c>
      <c r="F1393" t="s">
        <v>89</v>
      </c>
      <c r="G1393" t="s">
        <v>90</v>
      </c>
      <c r="H1393">
        <v>1</v>
      </c>
      <c r="I1393" t="s">
        <v>68</v>
      </c>
      <c r="J1393" t="s">
        <v>68</v>
      </c>
      <c r="K1393" t="s">
        <v>108</v>
      </c>
      <c r="L1393" t="s">
        <v>30</v>
      </c>
      <c r="M1393" t="s">
        <v>22</v>
      </c>
    </row>
    <row r="1394" spans="1:13" x14ac:dyDescent="0.35">
      <c r="A1394" t="s">
        <v>2570</v>
      </c>
      <c r="B1394" s="9">
        <v>46051</v>
      </c>
      <c r="C1394" t="s">
        <v>496</v>
      </c>
      <c r="D1394" t="s">
        <v>94</v>
      </c>
      <c r="E1394" t="s">
        <v>41</v>
      </c>
      <c r="F1394" t="s">
        <v>42</v>
      </c>
      <c r="G1394" t="s">
        <v>43</v>
      </c>
      <c r="H1394">
        <v>2</v>
      </c>
      <c r="I1394" t="s">
        <v>62</v>
      </c>
      <c r="J1394" t="s">
        <v>63</v>
      </c>
      <c r="K1394">
        <v>190</v>
      </c>
      <c r="L1394" t="s">
        <v>30</v>
      </c>
      <c r="M1394" t="s">
        <v>22</v>
      </c>
    </row>
    <row r="1395" spans="1:13" x14ac:dyDescent="0.35">
      <c r="A1395" t="s">
        <v>2571</v>
      </c>
      <c r="B1395" s="9">
        <v>46142</v>
      </c>
      <c r="C1395" t="s">
        <v>1235</v>
      </c>
      <c r="D1395" t="s">
        <v>61</v>
      </c>
      <c r="E1395" t="s">
        <v>25</v>
      </c>
      <c r="F1395" t="s">
        <v>89</v>
      </c>
      <c r="G1395" t="s">
        <v>90</v>
      </c>
      <c r="H1395">
        <v>1</v>
      </c>
      <c r="I1395" t="s">
        <v>79</v>
      </c>
      <c r="J1395" t="s">
        <v>79</v>
      </c>
      <c r="K1395" t="s">
        <v>108</v>
      </c>
      <c r="L1395" t="s">
        <v>30</v>
      </c>
      <c r="M1395" t="s">
        <v>22</v>
      </c>
    </row>
    <row r="1396" spans="1:13" x14ac:dyDescent="0.35">
      <c r="A1396" t="s">
        <v>2572</v>
      </c>
      <c r="B1396" s="9">
        <v>46145</v>
      </c>
      <c r="C1396" t="s">
        <v>352</v>
      </c>
      <c r="D1396" t="s">
        <v>15</v>
      </c>
      <c r="E1396" t="s">
        <v>16</v>
      </c>
      <c r="F1396" t="s">
        <v>42</v>
      </c>
      <c r="G1396" t="s">
        <v>43</v>
      </c>
      <c r="H1396">
        <v>1</v>
      </c>
      <c r="I1396" t="s">
        <v>102</v>
      </c>
      <c r="J1396" t="s">
        <v>102</v>
      </c>
      <c r="K1396">
        <v>190</v>
      </c>
      <c r="L1396" t="s">
        <v>30</v>
      </c>
      <c r="M1396" t="s">
        <v>22</v>
      </c>
    </row>
    <row r="1397" spans="1:13" x14ac:dyDescent="0.35">
      <c r="A1397" t="s">
        <v>2573</v>
      </c>
      <c r="B1397" s="9">
        <v>46056</v>
      </c>
      <c r="C1397" t="s">
        <v>2574</v>
      </c>
      <c r="D1397" t="s">
        <v>99</v>
      </c>
      <c r="E1397" t="s">
        <v>16</v>
      </c>
      <c r="F1397" t="s">
        <v>42</v>
      </c>
      <c r="G1397" t="s">
        <v>43</v>
      </c>
      <c r="H1397">
        <v>2</v>
      </c>
      <c r="I1397" t="s">
        <v>220</v>
      </c>
      <c r="J1397" t="s">
        <v>221</v>
      </c>
      <c r="K1397">
        <v>190</v>
      </c>
      <c r="L1397" t="s">
        <v>30</v>
      </c>
      <c r="M1397" t="s">
        <v>22</v>
      </c>
    </row>
    <row r="1398" spans="1:13" x14ac:dyDescent="0.35">
      <c r="A1398" t="s">
        <v>2575</v>
      </c>
      <c r="B1398" s="9">
        <v>46159</v>
      </c>
      <c r="C1398" t="s">
        <v>496</v>
      </c>
      <c r="D1398" t="s">
        <v>46</v>
      </c>
      <c r="E1398" t="s">
        <v>16</v>
      </c>
      <c r="F1398" t="s">
        <v>83</v>
      </c>
      <c r="G1398" t="s">
        <v>84</v>
      </c>
      <c r="H1398">
        <v>2</v>
      </c>
      <c r="I1398" t="s">
        <v>132</v>
      </c>
      <c r="J1398" t="s">
        <v>133</v>
      </c>
      <c r="K1398" t="s">
        <v>103</v>
      </c>
      <c r="L1398" t="s">
        <v>21</v>
      </c>
      <c r="M1398" t="s">
        <v>58</v>
      </c>
    </row>
    <row r="1399" spans="1:13" x14ac:dyDescent="0.35">
      <c r="A1399" t="s">
        <v>2576</v>
      </c>
      <c r="B1399" s="9">
        <v>46087</v>
      </c>
      <c r="C1399" t="s">
        <v>2191</v>
      </c>
      <c r="D1399" t="s">
        <v>66</v>
      </c>
      <c r="E1399" t="s">
        <v>41</v>
      </c>
      <c r="F1399" t="s">
        <v>17</v>
      </c>
      <c r="G1399" t="s">
        <v>18</v>
      </c>
      <c r="H1399">
        <v>1</v>
      </c>
      <c r="I1399" t="s">
        <v>132</v>
      </c>
      <c r="J1399" t="s">
        <v>132</v>
      </c>
      <c r="K1399">
        <v>520</v>
      </c>
      <c r="L1399" t="s">
        <v>30</v>
      </c>
      <c r="M1399" t="s">
        <v>22</v>
      </c>
    </row>
    <row r="1400" spans="1:13" x14ac:dyDescent="0.35">
      <c r="A1400" t="s">
        <v>2577</v>
      </c>
      <c r="B1400" s="9">
        <v>46119</v>
      </c>
      <c r="C1400" t="s">
        <v>2578</v>
      </c>
      <c r="D1400" t="s">
        <v>53</v>
      </c>
      <c r="E1400" t="s">
        <v>25</v>
      </c>
      <c r="F1400" t="s">
        <v>42</v>
      </c>
      <c r="G1400" t="s">
        <v>43</v>
      </c>
      <c r="H1400">
        <v>1</v>
      </c>
      <c r="I1400" t="s">
        <v>220</v>
      </c>
      <c r="J1400" t="s">
        <v>220</v>
      </c>
      <c r="K1400">
        <v>190</v>
      </c>
      <c r="L1400" t="s">
        <v>30</v>
      </c>
      <c r="M1400" t="s">
        <v>58</v>
      </c>
    </row>
    <row r="1401" spans="1:13" x14ac:dyDescent="0.35">
      <c r="A1401" t="s">
        <v>2579</v>
      </c>
      <c r="B1401" s="9">
        <v>46076</v>
      </c>
      <c r="C1401" t="s">
        <v>430</v>
      </c>
      <c r="D1401" t="s">
        <v>15</v>
      </c>
      <c r="E1401" t="s">
        <v>25</v>
      </c>
      <c r="F1401" t="s">
        <v>42</v>
      </c>
      <c r="G1401" t="s">
        <v>43</v>
      </c>
      <c r="H1401">
        <v>1</v>
      </c>
      <c r="I1401" t="s">
        <v>56</v>
      </c>
      <c r="J1401" t="s">
        <v>56</v>
      </c>
      <c r="K1401">
        <v>190</v>
      </c>
      <c r="L1401" t="s">
        <v>30</v>
      </c>
      <c r="M1401" t="s">
        <v>22</v>
      </c>
    </row>
    <row r="1402" spans="1:13" x14ac:dyDescent="0.35">
      <c r="A1402" t="s">
        <v>2580</v>
      </c>
      <c r="B1402" s="9">
        <v>46082</v>
      </c>
      <c r="C1402" t="s">
        <v>2184</v>
      </c>
      <c r="D1402" t="s">
        <v>46</v>
      </c>
      <c r="E1402" t="s">
        <v>34</v>
      </c>
      <c r="F1402" t="s">
        <v>89</v>
      </c>
      <c r="G1402" t="s">
        <v>90</v>
      </c>
      <c r="H1402">
        <v>3</v>
      </c>
      <c r="I1402" t="s">
        <v>132</v>
      </c>
      <c r="J1402" t="s">
        <v>232</v>
      </c>
      <c r="K1402">
        <v>640</v>
      </c>
      <c r="L1402" t="s">
        <v>21</v>
      </c>
      <c r="M1402" t="s">
        <v>22</v>
      </c>
    </row>
    <row r="1403" spans="1:13" x14ac:dyDescent="0.35">
      <c r="A1403" t="s">
        <v>2581</v>
      </c>
      <c r="B1403" s="9">
        <v>46036</v>
      </c>
      <c r="C1403" t="s">
        <v>1351</v>
      </c>
      <c r="D1403" t="s">
        <v>116</v>
      </c>
      <c r="E1403" t="s">
        <v>25</v>
      </c>
      <c r="F1403" t="s">
        <v>74</v>
      </c>
      <c r="G1403" t="s">
        <v>75</v>
      </c>
      <c r="H1403">
        <v>2</v>
      </c>
      <c r="I1403" t="s">
        <v>68</v>
      </c>
      <c r="J1403" t="s">
        <v>248</v>
      </c>
      <c r="K1403">
        <v>410</v>
      </c>
      <c r="L1403" t="s">
        <v>30</v>
      </c>
      <c r="M1403" t="s">
        <v>22</v>
      </c>
    </row>
    <row r="1404" spans="1:13" x14ac:dyDescent="0.35">
      <c r="A1404" t="s">
        <v>2582</v>
      </c>
      <c r="B1404" s="9">
        <v>46362</v>
      </c>
      <c r="C1404" t="s">
        <v>2583</v>
      </c>
      <c r="D1404" t="s">
        <v>99</v>
      </c>
      <c r="E1404" t="s">
        <v>25</v>
      </c>
      <c r="F1404" t="s">
        <v>74</v>
      </c>
      <c r="G1404" t="s">
        <v>75</v>
      </c>
      <c r="H1404">
        <v>-2</v>
      </c>
      <c r="I1404" t="s">
        <v>132</v>
      </c>
      <c r="J1404" t="s">
        <v>848</v>
      </c>
      <c r="K1404" t="s">
        <v>76</v>
      </c>
      <c r="L1404" t="s">
        <v>30</v>
      </c>
      <c r="M1404" t="s">
        <v>22</v>
      </c>
    </row>
    <row r="1405" spans="1:13" x14ac:dyDescent="0.35">
      <c r="A1405" t="s">
        <v>2584</v>
      </c>
      <c r="B1405" s="9">
        <v>46165</v>
      </c>
      <c r="C1405" t="s">
        <v>129</v>
      </c>
      <c r="D1405" t="s">
        <v>61</v>
      </c>
      <c r="E1405" t="s">
        <v>16</v>
      </c>
      <c r="F1405" t="s">
        <v>17</v>
      </c>
      <c r="G1405" t="s">
        <v>18</v>
      </c>
      <c r="H1405">
        <v>1</v>
      </c>
      <c r="I1405" t="s">
        <v>132</v>
      </c>
      <c r="J1405" t="s">
        <v>132</v>
      </c>
      <c r="K1405" t="s">
        <v>29</v>
      </c>
      <c r="L1405" t="s">
        <v>30</v>
      </c>
      <c r="M1405" t="s">
        <v>22</v>
      </c>
    </row>
    <row r="1406" spans="1:13" x14ac:dyDescent="0.35">
      <c r="A1406" t="s">
        <v>2585</v>
      </c>
      <c r="B1406" t="s">
        <v>2586</v>
      </c>
      <c r="C1406" t="s">
        <v>78</v>
      </c>
      <c r="D1406" t="s">
        <v>40</v>
      </c>
      <c r="E1406" t="s">
        <v>25</v>
      </c>
      <c r="F1406" t="s">
        <v>42</v>
      </c>
      <c r="G1406" t="s">
        <v>43</v>
      </c>
      <c r="H1406">
        <v>3</v>
      </c>
      <c r="I1406" t="s">
        <v>102</v>
      </c>
      <c r="J1406" t="s">
        <v>127</v>
      </c>
      <c r="K1406">
        <v>190</v>
      </c>
      <c r="L1406" t="s">
        <v>21</v>
      </c>
      <c r="M1406" t="s">
        <v>22</v>
      </c>
    </row>
    <row r="1407" spans="1:13" x14ac:dyDescent="0.35">
      <c r="A1407" t="s">
        <v>2587</v>
      </c>
      <c r="B1407" s="9">
        <v>46144</v>
      </c>
      <c r="C1407" t="s">
        <v>2391</v>
      </c>
      <c r="D1407" t="s">
        <v>40</v>
      </c>
      <c r="E1407" t="s">
        <v>25</v>
      </c>
      <c r="F1407" t="s">
        <v>17</v>
      </c>
      <c r="G1407" t="s">
        <v>18</v>
      </c>
      <c r="H1407">
        <v>1</v>
      </c>
      <c r="I1407" t="s">
        <v>254</v>
      </c>
      <c r="J1407" t="s">
        <v>254</v>
      </c>
      <c r="K1407" t="s">
        <v>29</v>
      </c>
      <c r="L1407" t="s">
        <v>21</v>
      </c>
      <c r="M1407" t="s">
        <v>58</v>
      </c>
    </row>
    <row r="1408" spans="1:13" x14ac:dyDescent="0.35">
      <c r="A1408" t="s">
        <v>2588</v>
      </c>
      <c r="B1408" s="9">
        <v>46116</v>
      </c>
      <c r="C1408" t="s">
        <v>1312</v>
      </c>
      <c r="D1408" t="s">
        <v>66</v>
      </c>
      <c r="E1408" t="s">
        <v>34</v>
      </c>
      <c r="F1408" t="s">
        <v>17</v>
      </c>
      <c r="G1408" t="s">
        <v>18</v>
      </c>
      <c r="H1408">
        <v>1</v>
      </c>
      <c r="I1408" t="s">
        <v>68</v>
      </c>
      <c r="J1408" t="s">
        <v>68</v>
      </c>
      <c r="K1408">
        <v>520</v>
      </c>
      <c r="L1408" t="s">
        <v>30</v>
      </c>
      <c r="M1408" t="s">
        <v>58</v>
      </c>
    </row>
    <row r="1409" spans="1:13" x14ac:dyDescent="0.35">
      <c r="A1409" t="s">
        <v>2589</v>
      </c>
      <c r="B1409" s="9">
        <v>46207</v>
      </c>
      <c r="C1409" t="s">
        <v>1057</v>
      </c>
      <c r="D1409" t="s">
        <v>15</v>
      </c>
      <c r="E1409" t="s">
        <v>25</v>
      </c>
      <c r="F1409" t="s">
        <v>42</v>
      </c>
      <c r="G1409" t="s">
        <v>43</v>
      </c>
      <c r="H1409">
        <v>1</v>
      </c>
      <c r="I1409" t="s">
        <v>79</v>
      </c>
      <c r="J1409" t="s">
        <v>79</v>
      </c>
      <c r="K1409" t="s">
        <v>111</v>
      </c>
      <c r="L1409" t="s">
        <v>30</v>
      </c>
      <c r="M1409" t="s">
        <v>58</v>
      </c>
    </row>
    <row r="1410" spans="1:13" x14ac:dyDescent="0.35">
      <c r="A1410" t="s">
        <v>2590</v>
      </c>
      <c r="B1410" s="9">
        <v>46101</v>
      </c>
      <c r="C1410" t="s">
        <v>2591</v>
      </c>
      <c r="D1410" t="s">
        <v>61</v>
      </c>
      <c r="E1410" t="s">
        <v>41</v>
      </c>
      <c r="F1410" t="s">
        <v>74</v>
      </c>
      <c r="G1410" t="s">
        <v>75</v>
      </c>
      <c r="H1410">
        <v>1</v>
      </c>
      <c r="I1410" t="s">
        <v>132</v>
      </c>
      <c r="J1410" t="s">
        <v>132</v>
      </c>
      <c r="K1410">
        <v>410</v>
      </c>
      <c r="L1410" t="s">
        <v>30</v>
      </c>
      <c r="M1410" t="s">
        <v>58</v>
      </c>
    </row>
    <row r="1411" spans="1:13" x14ac:dyDescent="0.35">
      <c r="A1411" t="s">
        <v>2592</v>
      </c>
      <c r="B1411" s="9">
        <v>46108</v>
      </c>
      <c r="C1411" t="s">
        <v>919</v>
      </c>
      <c r="D1411" t="s">
        <v>46</v>
      </c>
      <c r="E1411" t="s">
        <v>25</v>
      </c>
      <c r="F1411" t="s">
        <v>26</v>
      </c>
      <c r="G1411" t="s">
        <v>27</v>
      </c>
      <c r="H1411">
        <v>1</v>
      </c>
      <c r="I1411" t="s">
        <v>106</v>
      </c>
      <c r="J1411" t="s">
        <v>106</v>
      </c>
      <c r="K1411">
        <v>520</v>
      </c>
      <c r="L1411" t="s">
        <v>30</v>
      </c>
      <c r="M1411" t="s">
        <v>58</v>
      </c>
    </row>
    <row r="1412" spans="1:13" x14ac:dyDescent="0.35">
      <c r="A1412" t="s">
        <v>2593</v>
      </c>
      <c r="B1412" s="9">
        <v>46122</v>
      </c>
      <c r="C1412" t="s">
        <v>2142</v>
      </c>
      <c r="D1412" t="s">
        <v>99</v>
      </c>
      <c r="E1412" t="s">
        <v>34</v>
      </c>
      <c r="F1412" t="s">
        <v>26</v>
      </c>
      <c r="G1412" t="s">
        <v>27</v>
      </c>
      <c r="H1412">
        <v>1</v>
      </c>
      <c r="I1412" t="s">
        <v>19</v>
      </c>
      <c r="J1412" t="s">
        <v>19</v>
      </c>
      <c r="K1412">
        <v>520</v>
      </c>
      <c r="L1412" t="s">
        <v>30</v>
      </c>
      <c r="M1412" t="s">
        <v>22</v>
      </c>
    </row>
    <row r="1413" spans="1:13" x14ac:dyDescent="0.35">
      <c r="A1413" t="s">
        <v>2594</v>
      </c>
      <c r="B1413" s="9">
        <v>46088</v>
      </c>
      <c r="C1413" t="s">
        <v>1250</v>
      </c>
      <c r="D1413" t="s">
        <v>99</v>
      </c>
      <c r="E1413" t="s">
        <v>41</v>
      </c>
      <c r="F1413" t="s">
        <v>89</v>
      </c>
      <c r="G1413" t="s">
        <v>90</v>
      </c>
      <c r="H1413">
        <v>2</v>
      </c>
      <c r="I1413" t="s">
        <v>68</v>
      </c>
      <c r="J1413" t="s">
        <v>248</v>
      </c>
      <c r="K1413">
        <v>640</v>
      </c>
      <c r="L1413" t="s">
        <v>30</v>
      </c>
      <c r="M1413" t="s">
        <v>22</v>
      </c>
    </row>
    <row r="1414" spans="1:13" x14ac:dyDescent="0.35">
      <c r="A1414" t="s">
        <v>2595</v>
      </c>
      <c r="B1414" s="9">
        <v>46043</v>
      </c>
      <c r="C1414" t="s">
        <v>1528</v>
      </c>
      <c r="D1414" t="s">
        <v>94</v>
      </c>
      <c r="E1414" t="s">
        <v>25</v>
      </c>
      <c r="F1414" t="s">
        <v>35</v>
      </c>
      <c r="G1414" t="s">
        <v>36</v>
      </c>
      <c r="H1414">
        <v>1</v>
      </c>
      <c r="I1414" t="s">
        <v>106</v>
      </c>
      <c r="J1414" t="s">
        <v>106</v>
      </c>
      <c r="K1414">
        <v>85</v>
      </c>
      <c r="L1414" t="s">
        <v>30</v>
      </c>
      <c r="M1414" t="s">
        <v>22</v>
      </c>
    </row>
    <row r="1415" spans="1:13" x14ac:dyDescent="0.35">
      <c r="A1415" t="s">
        <v>2596</v>
      </c>
      <c r="B1415" s="9">
        <v>46175</v>
      </c>
      <c r="C1415" t="s">
        <v>1066</v>
      </c>
      <c r="D1415" t="s">
        <v>94</v>
      </c>
      <c r="E1415" t="s">
        <v>41</v>
      </c>
      <c r="F1415" t="s">
        <v>83</v>
      </c>
      <c r="G1415" t="s">
        <v>84</v>
      </c>
      <c r="H1415">
        <v>1</v>
      </c>
      <c r="I1415" t="s">
        <v>140</v>
      </c>
      <c r="J1415" t="s">
        <v>19</v>
      </c>
      <c r="K1415" t="s">
        <v>103</v>
      </c>
      <c r="L1415" t="s">
        <v>30</v>
      </c>
      <c r="M1415" t="s">
        <v>22</v>
      </c>
    </row>
    <row r="1416" spans="1:13" x14ac:dyDescent="0.35">
      <c r="A1416" t="s">
        <v>2597</v>
      </c>
      <c r="B1416" s="9">
        <v>46028</v>
      </c>
      <c r="C1416" t="s">
        <v>2273</v>
      </c>
      <c r="D1416" t="s">
        <v>40</v>
      </c>
      <c r="E1416" t="s">
        <v>34</v>
      </c>
      <c r="F1416" t="s">
        <v>89</v>
      </c>
      <c r="G1416" t="s">
        <v>90</v>
      </c>
      <c r="H1416">
        <v>1</v>
      </c>
      <c r="I1416" t="s">
        <v>220</v>
      </c>
      <c r="J1416" t="s">
        <v>220</v>
      </c>
      <c r="K1416">
        <v>640</v>
      </c>
      <c r="L1416" t="s">
        <v>30</v>
      </c>
      <c r="M1416" t="s">
        <v>58</v>
      </c>
    </row>
    <row r="1417" spans="1:13" x14ac:dyDescent="0.35">
      <c r="A1417" t="s">
        <v>2598</v>
      </c>
      <c r="B1417" s="9">
        <v>46189</v>
      </c>
      <c r="C1417" t="s">
        <v>216</v>
      </c>
      <c r="D1417" t="s">
        <v>40</v>
      </c>
      <c r="E1417" t="s">
        <v>25</v>
      </c>
      <c r="F1417" t="s">
        <v>17</v>
      </c>
      <c r="G1417" t="s">
        <v>18</v>
      </c>
      <c r="H1417">
        <v>1</v>
      </c>
      <c r="I1417" t="s">
        <v>71</v>
      </c>
      <c r="J1417" t="s">
        <v>71</v>
      </c>
      <c r="K1417" t="s">
        <v>29</v>
      </c>
      <c r="L1417" t="s">
        <v>30</v>
      </c>
      <c r="M1417" t="s">
        <v>58</v>
      </c>
    </row>
    <row r="1418" spans="1:13" x14ac:dyDescent="0.35">
      <c r="A1418" t="s">
        <v>2599</v>
      </c>
      <c r="B1418" s="9">
        <v>46140</v>
      </c>
      <c r="C1418" t="s">
        <v>830</v>
      </c>
      <c r="D1418" t="s">
        <v>53</v>
      </c>
      <c r="E1418" t="s">
        <v>41</v>
      </c>
      <c r="F1418" t="s">
        <v>89</v>
      </c>
      <c r="G1418" t="s">
        <v>90</v>
      </c>
      <c r="H1418">
        <v>2</v>
      </c>
      <c r="I1418" t="s">
        <v>102</v>
      </c>
      <c r="J1418" t="s">
        <v>181</v>
      </c>
      <c r="K1418" t="s">
        <v>108</v>
      </c>
      <c r="L1418" t="s">
        <v>21</v>
      </c>
      <c r="M1418" t="s">
        <v>22</v>
      </c>
    </row>
    <row r="1419" spans="1:13" x14ac:dyDescent="0.35">
      <c r="A1419" t="s">
        <v>2600</v>
      </c>
      <c r="B1419" s="9">
        <v>46158</v>
      </c>
      <c r="C1419" t="s">
        <v>332</v>
      </c>
      <c r="D1419" t="s">
        <v>94</v>
      </c>
      <c r="E1419" t="s">
        <v>67</v>
      </c>
      <c r="F1419" t="s">
        <v>89</v>
      </c>
      <c r="G1419" t="s">
        <v>90</v>
      </c>
      <c r="H1419">
        <v>2</v>
      </c>
      <c r="I1419" t="s">
        <v>254</v>
      </c>
      <c r="J1419" t="s">
        <v>156</v>
      </c>
      <c r="K1419" t="s">
        <v>108</v>
      </c>
      <c r="L1419" t="s">
        <v>30</v>
      </c>
      <c r="M1419" t="s">
        <v>58</v>
      </c>
    </row>
    <row r="1420" spans="1:13" x14ac:dyDescent="0.35">
      <c r="A1420" t="s">
        <v>2601</v>
      </c>
      <c r="B1420" s="9">
        <v>46150</v>
      </c>
      <c r="C1420" t="s">
        <v>2602</v>
      </c>
      <c r="D1420" t="s">
        <v>66</v>
      </c>
      <c r="E1420" t="s">
        <v>67</v>
      </c>
      <c r="F1420" t="s">
        <v>42</v>
      </c>
      <c r="G1420" t="s">
        <v>43</v>
      </c>
      <c r="H1420">
        <v>1</v>
      </c>
      <c r="I1420" t="s">
        <v>136</v>
      </c>
      <c r="J1420" t="s">
        <v>136</v>
      </c>
      <c r="K1420" t="s">
        <v>111</v>
      </c>
      <c r="L1420" t="s">
        <v>30</v>
      </c>
      <c r="M1420" t="s">
        <v>58</v>
      </c>
    </row>
    <row r="1421" spans="1:13" x14ac:dyDescent="0.35">
      <c r="A1421" t="s">
        <v>2603</v>
      </c>
      <c r="B1421" s="9">
        <v>46168</v>
      </c>
      <c r="C1421" t="s">
        <v>2604</v>
      </c>
      <c r="D1421" t="s">
        <v>53</v>
      </c>
      <c r="E1421" t="s">
        <v>67</v>
      </c>
      <c r="F1421" t="s">
        <v>42</v>
      </c>
      <c r="G1421" t="s">
        <v>43</v>
      </c>
      <c r="H1421">
        <v>2</v>
      </c>
      <c r="I1421" t="s">
        <v>479</v>
      </c>
      <c r="J1421" t="s">
        <v>286</v>
      </c>
      <c r="K1421" t="s">
        <v>111</v>
      </c>
      <c r="L1421" t="s">
        <v>30</v>
      </c>
      <c r="M1421" t="s">
        <v>22</v>
      </c>
    </row>
    <row r="1422" spans="1:13" x14ac:dyDescent="0.35">
      <c r="A1422" t="s">
        <v>2605</v>
      </c>
      <c r="B1422" s="9">
        <v>46046</v>
      </c>
      <c r="C1422" t="s">
        <v>938</v>
      </c>
      <c r="D1422" t="s">
        <v>53</v>
      </c>
      <c r="E1422" t="s">
        <v>41</v>
      </c>
      <c r="F1422" t="s">
        <v>47</v>
      </c>
      <c r="G1422" t="s">
        <v>48</v>
      </c>
      <c r="H1422">
        <v>2</v>
      </c>
      <c r="I1422" t="s">
        <v>79</v>
      </c>
      <c r="J1422" t="s">
        <v>143</v>
      </c>
      <c r="K1422">
        <v>380</v>
      </c>
      <c r="L1422" t="s">
        <v>30</v>
      </c>
      <c r="M1422" t="s">
        <v>22</v>
      </c>
    </row>
    <row r="1423" spans="1:13" x14ac:dyDescent="0.35">
      <c r="A1423" t="s">
        <v>2606</v>
      </c>
      <c r="B1423" s="9">
        <v>46123</v>
      </c>
      <c r="C1423" t="s">
        <v>622</v>
      </c>
      <c r="D1423" t="s">
        <v>53</v>
      </c>
      <c r="E1423" t="s">
        <v>41</v>
      </c>
      <c r="F1423" t="s">
        <v>89</v>
      </c>
      <c r="G1423" t="s">
        <v>90</v>
      </c>
      <c r="H1423">
        <v>1</v>
      </c>
      <c r="I1423" t="s">
        <v>79</v>
      </c>
      <c r="J1423" t="s">
        <v>79</v>
      </c>
      <c r="K1423">
        <v>640</v>
      </c>
      <c r="L1423" t="s">
        <v>21</v>
      </c>
      <c r="M1423" t="s">
        <v>22</v>
      </c>
    </row>
    <row r="1424" spans="1:13" x14ac:dyDescent="0.35">
      <c r="A1424" t="s">
        <v>2607</v>
      </c>
      <c r="B1424" s="9">
        <v>46161</v>
      </c>
      <c r="C1424" t="s">
        <v>2356</v>
      </c>
      <c r="D1424" t="s">
        <v>66</v>
      </c>
      <c r="E1424" t="s">
        <v>41</v>
      </c>
      <c r="F1424" t="s">
        <v>89</v>
      </c>
      <c r="G1424" t="s">
        <v>90</v>
      </c>
      <c r="H1424">
        <v>3</v>
      </c>
      <c r="I1424" t="s">
        <v>362</v>
      </c>
      <c r="J1424" t="s">
        <v>205</v>
      </c>
      <c r="K1424" t="s">
        <v>108</v>
      </c>
      <c r="L1424" t="s">
        <v>21</v>
      </c>
      <c r="M1424" t="s">
        <v>58</v>
      </c>
    </row>
    <row r="1425" spans="1:13" x14ac:dyDescent="0.35">
      <c r="A1425" t="s">
        <v>2608</v>
      </c>
      <c r="B1425" s="9">
        <v>46163</v>
      </c>
      <c r="C1425" t="s">
        <v>1755</v>
      </c>
      <c r="D1425" t="s">
        <v>33</v>
      </c>
      <c r="E1425" t="s">
        <v>25</v>
      </c>
      <c r="F1425" t="s">
        <v>26</v>
      </c>
      <c r="G1425" t="s">
        <v>27</v>
      </c>
      <c r="H1425">
        <v>1</v>
      </c>
      <c r="I1425" t="s">
        <v>79</v>
      </c>
      <c r="J1425" t="s">
        <v>79</v>
      </c>
      <c r="K1425" t="s">
        <v>29</v>
      </c>
      <c r="L1425" t="s">
        <v>30</v>
      </c>
      <c r="M1425" t="s">
        <v>22</v>
      </c>
    </row>
    <row r="1426" spans="1:13" x14ac:dyDescent="0.35">
      <c r="A1426" t="s">
        <v>2609</v>
      </c>
      <c r="B1426" s="9">
        <v>46031</v>
      </c>
      <c r="C1426" t="s">
        <v>1454</v>
      </c>
      <c r="D1426" t="s">
        <v>99</v>
      </c>
      <c r="E1426" t="s">
        <v>34</v>
      </c>
      <c r="F1426" t="s">
        <v>83</v>
      </c>
      <c r="G1426" t="s">
        <v>84</v>
      </c>
      <c r="H1426">
        <v>1</v>
      </c>
      <c r="I1426" t="s">
        <v>220</v>
      </c>
      <c r="J1426" t="s">
        <v>220</v>
      </c>
      <c r="K1426">
        <v>340</v>
      </c>
      <c r="L1426" t="s">
        <v>30</v>
      </c>
      <c r="M1426" t="s">
        <v>58</v>
      </c>
    </row>
    <row r="1427" spans="1:13" x14ac:dyDescent="0.35">
      <c r="A1427" t="s">
        <v>2610</v>
      </c>
      <c r="B1427" s="9">
        <v>46200</v>
      </c>
      <c r="C1427" t="s">
        <v>2611</v>
      </c>
      <c r="D1427" t="s">
        <v>66</v>
      </c>
      <c r="E1427" t="s">
        <v>67</v>
      </c>
      <c r="F1427" t="s">
        <v>47</v>
      </c>
      <c r="G1427" t="s">
        <v>48</v>
      </c>
      <c r="H1427">
        <v>1</v>
      </c>
      <c r="I1427" t="s">
        <v>68</v>
      </c>
      <c r="J1427" t="s">
        <v>68</v>
      </c>
      <c r="K1427" t="s">
        <v>50</v>
      </c>
      <c r="L1427" t="s">
        <v>30</v>
      </c>
      <c r="M1427" t="s">
        <v>22</v>
      </c>
    </row>
    <row r="1428" spans="1:13" x14ac:dyDescent="0.35">
      <c r="A1428" t="s">
        <v>2612</v>
      </c>
      <c r="B1428" s="9">
        <v>46028</v>
      </c>
      <c r="C1428" t="s">
        <v>1628</v>
      </c>
      <c r="D1428" t="s">
        <v>99</v>
      </c>
      <c r="E1428" t="s">
        <v>41</v>
      </c>
      <c r="F1428" t="s">
        <v>47</v>
      </c>
      <c r="G1428" t="s">
        <v>48</v>
      </c>
      <c r="H1428">
        <v>1</v>
      </c>
      <c r="I1428" t="s">
        <v>71</v>
      </c>
      <c r="J1428" t="s">
        <v>71</v>
      </c>
      <c r="K1428">
        <v>380</v>
      </c>
      <c r="L1428" t="s">
        <v>30</v>
      </c>
      <c r="M1428" t="s">
        <v>22</v>
      </c>
    </row>
    <row r="1429" spans="1:13" x14ac:dyDescent="0.35">
      <c r="A1429" t="s">
        <v>2613</v>
      </c>
      <c r="B1429" s="9">
        <v>46206</v>
      </c>
      <c r="C1429" t="s">
        <v>2614</v>
      </c>
      <c r="D1429" t="s">
        <v>61</v>
      </c>
      <c r="E1429" t="s">
        <v>25</v>
      </c>
      <c r="F1429" t="s">
        <v>42</v>
      </c>
      <c r="G1429" t="s">
        <v>43</v>
      </c>
      <c r="H1429">
        <v>2</v>
      </c>
      <c r="I1429" t="s">
        <v>2615</v>
      </c>
      <c r="J1429" t="s">
        <v>286</v>
      </c>
      <c r="K1429" t="s">
        <v>111</v>
      </c>
      <c r="L1429" t="s">
        <v>21</v>
      </c>
      <c r="M1429" t="s">
        <v>22</v>
      </c>
    </row>
    <row r="1430" spans="1:13" x14ac:dyDescent="0.35">
      <c r="A1430" t="s">
        <v>2616</v>
      </c>
      <c r="B1430" s="9">
        <v>46070</v>
      </c>
      <c r="C1430" t="s">
        <v>348</v>
      </c>
      <c r="D1430" t="s">
        <v>15</v>
      </c>
      <c r="E1430" t="s">
        <v>67</v>
      </c>
      <c r="F1430" t="s">
        <v>89</v>
      </c>
      <c r="G1430" t="s">
        <v>90</v>
      </c>
      <c r="H1430">
        <v>3</v>
      </c>
      <c r="I1430" t="s">
        <v>71</v>
      </c>
      <c r="J1430" t="s">
        <v>379</v>
      </c>
      <c r="K1430">
        <v>640</v>
      </c>
      <c r="L1430" t="s">
        <v>30</v>
      </c>
      <c r="M1430" t="s">
        <v>22</v>
      </c>
    </row>
    <row r="1431" spans="1:13" x14ac:dyDescent="0.35">
      <c r="A1431" t="s">
        <v>2617</v>
      </c>
      <c r="B1431" s="9">
        <v>46041</v>
      </c>
      <c r="C1431" t="s">
        <v>696</v>
      </c>
      <c r="D1431" t="s">
        <v>116</v>
      </c>
      <c r="E1431" t="s">
        <v>67</v>
      </c>
      <c r="F1431" t="s">
        <v>74</v>
      </c>
      <c r="G1431" t="s">
        <v>75</v>
      </c>
      <c r="H1431">
        <v>2</v>
      </c>
      <c r="I1431" t="s">
        <v>132</v>
      </c>
      <c r="J1431" t="s">
        <v>133</v>
      </c>
      <c r="K1431">
        <v>410</v>
      </c>
      <c r="L1431" t="s">
        <v>30</v>
      </c>
      <c r="M1431" t="s">
        <v>58</v>
      </c>
    </row>
    <row r="1432" spans="1:13" x14ac:dyDescent="0.35">
      <c r="A1432" t="s">
        <v>2618</v>
      </c>
      <c r="B1432" s="9">
        <v>46102</v>
      </c>
      <c r="C1432" t="s">
        <v>2619</v>
      </c>
      <c r="D1432" t="s">
        <v>40</v>
      </c>
      <c r="E1432" t="s">
        <v>67</v>
      </c>
      <c r="F1432" t="s">
        <v>74</v>
      </c>
      <c r="G1432" t="s">
        <v>75</v>
      </c>
      <c r="H1432">
        <v>1</v>
      </c>
      <c r="I1432" t="s">
        <v>645</v>
      </c>
      <c r="J1432" t="s">
        <v>102</v>
      </c>
      <c r="K1432">
        <v>410</v>
      </c>
      <c r="L1432" t="s">
        <v>21</v>
      </c>
      <c r="M1432" t="s">
        <v>22</v>
      </c>
    </row>
    <row r="1433" spans="1:13" x14ac:dyDescent="0.35">
      <c r="A1433" t="s">
        <v>2620</v>
      </c>
      <c r="B1433" s="9">
        <v>46149</v>
      </c>
      <c r="C1433" t="s">
        <v>177</v>
      </c>
      <c r="D1433" t="s">
        <v>66</v>
      </c>
      <c r="E1433" t="s">
        <v>67</v>
      </c>
      <c r="F1433" t="s">
        <v>74</v>
      </c>
      <c r="G1433" t="s">
        <v>75</v>
      </c>
      <c r="H1433">
        <v>2</v>
      </c>
      <c r="I1433" t="s">
        <v>136</v>
      </c>
      <c r="J1433" t="s">
        <v>164</v>
      </c>
      <c r="K1433" t="s">
        <v>76</v>
      </c>
      <c r="L1433" t="s">
        <v>30</v>
      </c>
      <c r="M1433" t="s">
        <v>22</v>
      </c>
    </row>
    <row r="1434" spans="1:13" x14ac:dyDescent="0.35">
      <c r="A1434" t="s">
        <v>2621</v>
      </c>
      <c r="B1434" s="9">
        <v>46143</v>
      </c>
      <c r="C1434" t="s">
        <v>2142</v>
      </c>
      <c r="D1434" t="s">
        <v>15</v>
      </c>
      <c r="E1434" t="s">
        <v>41</v>
      </c>
      <c r="F1434" t="s">
        <v>35</v>
      </c>
      <c r="G1434" t="s">
        <v>36</v>
      </c>
      <c r="H1434">
        <v>-2</v>
      </c>
      <c r="I1434" t="s">
        <v>85</v>
      </c>
      <c r="J1434" t="s">
        <v>1617</v>
      </c>
      <c r="K1434" t="s">
        <v>37</v>
      </c>
      <c r="L1434" t="s">
        <v>30</v>
      </c>
      <c r="M1434" t="s">
        <v>22</v>
      </c>
    </row>
    <row r="1435" spans="1:13" x14ac:dyDescent="0.35">
      <c r="A1435" t="s">
        <v>2622</v>
      </c>
      <c r="B1435" s="9">
        <v>46175</v>
      </c>
      <c r="C1435" t="s">
        <v>2623</v>
      </c>
      <c r="D1435" t="s">
        <v>46</v>
      </c>
      <c r="E1435" t="s">
        <v>34</v>
      </c>
      <c r="F1435" t="s">
        <v>83</v>
      </c>
      <c r="G1435" t="s">
        <v>84</v>
      </c>
      <c r="H1435">
        <v>2</v>
      </c>
      <c r="I1435" t="s">
        <v>254</v>
      </c>
      <c r="J1435" t="s">
        <v>156</v>
      </c>
      <c r="K1435" t="s">
        <v>103</v>
      </c>
      <c r="L1435" t="s">
        <v>30</v>
      </c>
      <c r="M1435" t="s">
        <v>58</v>
      </c>
    </row>
    <row r="1436" spans="1:13" x14ac:dyDescent="0.35">
      <c r="A1436" t="s">
        <v>2624</v>
      </c>
      <c r="B1436" s="9">
        <v>46118</v>
      </c>
      <c r="C1436" t="s">
        <v>2625</v>
      </c>
      <c r="D1436" t="s">
        <v>33</v>
      </c>
      <c r="E1436" t="s">
        <v>25</v>
      </c>
      <c r="F1436" t="s">
        <v>17</v>
      </c>
      <c r="G1436" t="s">
        <v>18</v>
      </c>
      <c r="H1436">
        <v>1</v>
      </c>
      <c r="I1436" t="s">
        <v>132</v>
      </c>
      <c r="J1436" t="s">
        <v>132</v>
      </c>
      <c r="K1436">
        <v>520</v>
      </c>
      <c r="L1436" t="s">
        <v>30</v>
      </c>
      <c r="M1436" t="s">
        <v>22</v>
      </c>
    </row>
    <row r="1437" spans="1:13" x14ac:dyDescent="0.35">
      <c r="A1437" t="s">
        <v>2626</v>
      </c>
      <c r="B1437" s="9">
        <v>46107</v>
      </c>
      <c r="C1437" t="s">
        <v>2627</v>
      </c>
      <c r="D1437" t="s">
        <v>33</v>
      </c>
      <c r="E1437" t="s">
        <v>41</v>
      </c>
      <c r="F1437" t="s">
        <v>83</v>
      </c>
      <c r="G1437" t="s">
        <v>84</v>
      </c>
      <c r="H1437">
        <v>1</v>
      </c>
      <c r="I1437" t="s">
        <v>132</v>
      </c>
      <c r="J1437" t="s">
        <v>132</v>
      </c>
      <c r="K1437">
        <v>340</v>
      </c>
      <c r="L1437" t="s">
        <v>30</v>
      </c>
      <c r="M1437" t="s">
        <v>22</v>
      </c>
    </row>
    <row r="1438" spans="1:13" x14ac:dyDescent="0.35">
      <c r="A1438" t="s">
        <v>2628</v>
      </c>
      <c r="B1438" s="9">
        <v>46189</v>
      </c>
      <c r="C1438" t="s">
        <v>2629</v>
      </c>
      <c r="D1438" t="s">
        <v>53</v>
      </c>
      <c r="E1438" t="s">
        <v>67</v>
      </c>
      <c r="F1438" t="s">
        <v>42</v>
      </c>
      <c r="G1438" t="s">
        <v>43</v>
      </c>
      <c r="H1438">
        <v>2</v>
      </c>
      <c r="I1438" t="s">
        <v>71</v>
      </c>
      <c r="J1438" t="s">
        <v>286</v>
      </c>
      <c r="K1438" t="s">
        <v>111</v>
      </c>
      <c r="L1438" t="s">
        <v>30</v>
      </c>
      <c r="M1438" t="s">
        <v>22</v>
      </c>
    </row>
    <row r="1439" spans="1:13" x14ac:dyDescent="0.35">
      <c r="A1439" t="s">
        <v>2630</v>
      </c>
      <c r="B1439" s="9">
        <v>46189</v>
      </c>
      <c r="C1439" t="s">
        <v>961</v>
      </c>
      <c r="D1439" t="s">
        <v>53</v>
      </c>
      <c r="E1439" t="s">
        <v>25</v>
      </c>
      <c r="F1439" t="s">
        <v>26</v>
      </c>
      <c r="G1439" t="s">
        <v>27</v>
      </c>
      <c r="H1439">
        <v>-2</v>
      </c>
      <c r="I1439" t="s">
        <v>170</v>
      </c>
      <c r="J1439" t="s">
        <v>2631</v>
      </c>
      <c r="K1439" t="s">
        <v>29</v>
      </c>
      <c r="L1439" t="s">
        <v>30</v>
      </c>
      <c r="M1439" t="s">
        <v>22</v>
      </c>
    </row>
    <row r="1440" spans="1:13" x14ac:dyDescent="0.35">
      <c r="A1440" t="s">
        <v>2632</v>
      </c>
      <c r="B1440" s="9">
        <v>46145</v>
      </c>
      <c r="C1440" t="s">
        <v>2633</v>
      </c>
      <c r="D1440" t="s">
        <v>46</v>
      </c>
      <c r="E1440" t="s">
        <v>25</v>
      </c>
      <c r="F1440" t="s">
        <v>74</v>
      </c>
      <c r="G1440" t="s">
        <v>75</v>
      </c>
      <c r="H1440">
        <v>1</v>
      </c>
      <c r="I1440" t="s">
        <v>254</v>
      </c>
      <c r="J1440" t="s">
        <v>254</v>
      </c>
      <c r="K1440" t="s">
        <v>76</v>
      </c>
      <c r="L1440" t="s">
        <v>30</v>
      </c>
      <c r="M1440" t="s">
        <v>58</v>
      </c>
    </row>
    <row r="1441" spans="1:13" x14ac:dyDescent="0.35">
      <c r="A1441" t="s">
        <v>2634</v>
      </c>
      <c r="B1441" s="9">
        <v>46200</v>
      </c>
      <c r="C1441" t="s">
        <v>2635</v>
      </c>
      <c r="D1441" t="s">
        <v>53</v>
      </c>
      <c r="E1441" t="s">
        <v>34</v>
      </c>
      <c r="F1441" t="s">
        <v>83</v>
      </c>
      <c r="G1441" t="s">
        <v>84</v>
      </c>
      <c r="H1441">
        <v>1</v>
      </c>
      <c r="I1441" t="s">
        <v>106</v>
      </c>
      <c r="J1441" t="s">
        <v>106</v>
      </c>
      <c r="K1441" t="s">
        <v>103</v>
      </c>
      <c r="L1441" t="s">
        <v>30</v>
      </c>
      <c r="M1441" t="s">
        <v>58</v>
      </c>
    </row>
    <row r="1442" spans="1:13" x14ac:dyDescent="0.35">
      <c r="A1442" t="s">
        <v>2636</v>
      </c>
      <c r="B1442" s="9">
        <v>46145</v>
      </c>
      <c r="C1442" t="s">
        <v>1682</v>
      </c>
      <c r="D1442" t="s">
        <v>116</v>
      </c>
      <c r="E1442" t="s">
        <v>67</v>
      </c>
      <c r="F1442" t="s">
        <v>17</v>
      </c>
      <c r="G1442" t="s">
        <v>18</v>
      </c>
      <c r="H1442">
        <v>3</v>
      </c>
      <c r="I1442" t="s">
        <v>136</v>
      </c>
      <c r="J1442" t="s">
        <v>137</v>
      </c>
      <c r="K1442" t="s">
        <v>29</v>
      </c>
      <c r="L1442" t="s">
        <v>21</v>
      </c>
      <c r="M1442" t="s">
        <v>22</v>
      </c>
    </row>
    <row r="1443" spans="1:13" x14ac:dyDescent="0.35">
      <c r="A1443" t="s">
        <v>2637</v>
      </c>
      <c r="B1443" s="9">
        <v>46040</v>
      </c>
      <c r="C1443" t="s">
        <v>2507</v>
      </c>
      <c r="D1443" t="s">
        <v>46</v>
      </c>
      <c r="E1443" t="s">
        <v>41</v>
      </c>
      <c r="F1443" t="s">
        <v>42</v>
      </c>
      <c r="G1443" t="s">
        <v>43</v>
      </c>
      <c r="H1443">
        <v>1</v>
      </c>
      <c r="I1443" t="s">
        <v>136</v>
      </c>
      <c r="J1443" t="s">
        <v>136</v>
      </c>
      <c r="K1443">
        <v>190</v>
      </c>
      <c r="L1443" t="s">
        <v>30</v>
      </c>
      <c r="M1443" t="s">
        <v>22</v>
      </c>
    </row>
    <row r="1444" spans="1:13" x14ac:dyDescent="0.35">
      <c r="A1444" t="s">
        <v>2638</v>
      </c>
      <c r="B1444" s="9">
        <v>46095</v>
      </c>
      <c r="C1444" t="s">
        <v>2364</v>
      </c>
      <c r="D1444" t="s">
        <v>66</v>
      </c>
      <c r="E1444" t="s">
        <v>67</v>
      </c>
      <c r="F1444" t="s">
        <v>89</v>
      </c>
      <c r="G1444" t="s">
        <v>90</v>
      </c>
      <c r="H1444">
        <v>1</v>
      </c>
      <c r="I1444" t="s">
        <v>49</v>
      </c>
      <c r="J1444" t="s">
        <v>49</v>
      </c>
      <c r="K1444">
        <v>640</v>
      </c>
      <c r="L1444" t="s">
        <v>30</v>
      </c>
      <c r="M1444" t="s">
        <v>22</v>
      </c>
    </row>
    <row r="1445" spans="1:13" x14ac:dyDescent="0.35">
      <c r="A1445" t="s">
        <v>2639</v>
      </c>
      <c r="B1445" s="9">
        <v>46095</v>
      </c>
      <c r="C1445" t="s">
        <v>2320</v>
      </c>
      <c r="D1445" t="s">
        <v>61</v>
      </c>
      <c r="E1445" t="s">
        <v>25</v>
      </c>
      <c r="F1445" t="s">
        <v>26</v>
      </c>
      <c r="G1445" t="s">
        <v>27</v>
      </c>
      <c r="H1445">
        <v>1</v>
      </c>
      <c r="I1445" t="s">
        <v>254</v>
      </c>
      <c r="J1445" t="s">
        <v>254</v>
      </c>
      <c r="K1445">
        <v>520</v>
      </c>
      <c r="L1445" t="s">
        <v>30</v>
      </c>
      <c r="M1445" t="s">
        <v>58</v>
      </c>
    </row>
    <row r="1446" spans="1:13" x14ac:dyDescent="0.35">
      <c r="A1446" t="s">
        <v>2640</v>
      </c>
      <c r="B1446" s="9">
        <v>46085</v>
      </c>
      <c r="C1446" t="s">
        <v>180</v>
      </c>
      <c r="D1446" t="s">
        <v>53</v>
      </c>
      <c r="E1446" t="s">
        <v>34</v>
      </c>
      <c r="F1446" t="s">
        <v>42</v>
      </c>
      <c r="G1446" t="s">
        <v>43</v>
      </c>
      <c r="H1446">
        <v>2</v>
      </c>
      <c r="I1446" t="s">
        <v>102</v>
      </c>
      <c r="J1446" t="s">
        <v>181</v>
      </c>
      <c r="K1446">
        <v>190</v>
      </c>
      <c r="L1446" t="s">
        <v>21</v>
      </c>
      <c r="M1446" t="s">
        <v>22</v>
      </c>
    </row>
    <row r="1447" spans="1:13" x14ac:dyDescent="0.35">
      <c r="A1447" t="s">
        <v>2641</v>
      </c>
      <c r="B1447" s="9">
        <v>46134</v>
      </c>
      <c r="C1447" t="s">
        <v>2642</v>
      </c>
      <c r="D1447" t="s">
        <v>99</v>
      </c>
      <c r="E1447" t="s">
        <v>34</v>
      </c>
      <c r="F1447" t="s">
        <v>35</v>
      </c>
      <c r="G1447" t="s">
        <v>36</v>
      </c>
      <c r="H1447">
        <v>2</v>
      </c>
      <c r="I1447" t="s">
        <v>608</v>
      </c>
      <c r="J1447" t="s">
        <v>133</v>
      </c>
      <c r="K1447" t="s">
        <v>37</v>
      </c>
      <c r="L1447" t="s">
        <v>21</v>
      </c>
      <c r="M1447" t="s">
        <v>22</v>
      </c>
    </row>
    <row r="1448" spans="1:13" x14ac:dyDescent="0.35">
      <c r="A1448" t="s">
        <v>2643</v>
      </c>
      <c r="B1448" s="9">
        <v>46052</v>
      </c>
      <c r="C1448" t="s">
        <v>1161</v>
      </c>
      <c r="D1448" t="s">
        <v>40</v>
      </c>
      <c r="E1448" t="s">
        <v>67</v>
      </c>
      <c r="F1448" t="s">
        <v>35</v>
      </c>
      <c r="G1448" t="s">
        <v>36</v>
      </c>
      <c r="H1448">
        <v>2</v>
      </c>
      <c r="I1448" t="s">
        <v>19</v>
      </c>
      <c r="J1448" t="s">
        <v>238</v>
      </c>
      <c r="K1448">
        <v>85</v>
      </c>
      <c r="L1448" t="s">
        <v>30</v>
      </c>
      <c r="M1448" t="s">
        <v>58</v>
      </c>
    </row>
    <row r="1449" spans="1:13" x14ac:dyDescent="0.35">
      <c r="A1449" t="s">
        <v>2644</v>
      </c>
      <c r="B1449" t="s">
        <v>2645</v>
      </c>
      <c r="C1449" t="s">
        <v>741</v>
      </c>
      <c r="D1449" t="s">
        <v>33</v>
      </c>
      <c r="E1449" t="s">
        <v>25</v>
      </c>
      <c r="F1449" t="s">
        <v>74</v>
      </c>
      <c r="G1449" t="s">
        <v>75</v>
      </c>
      <c r="H1449">
        <v>1</v>
      </c>
      <c r="I1449" t="s">
        <v>106</v>
      </c>
      <c r="J1449" t="s">
        <v>106</v>
      </c>
      <c r="K1449" t="s">
        <v>76</v>
      </c>
      <c r="L1449" t="s">
        <v>30</v>
      </c>
      <c r="M1449" t="s">
        <v>58</v>
      </c>
    </row>
    <row r="1450" spans="1:13" x14ac:dyDescent="0.35">
      <c r="A1450" t="s">
        <v>2646</v>
      </c>
      <c r="B1450" s="9">
        <v>46194</v>
      </c>
      <c r="C1450" t="s">
        <v>414</v>
      </c>
      <c r="D1450" t="s">
        <v>46</v>
      </c>
      <c r="E1450" t="s">
        <v>41</v>
      </c>
      <c r="F1450" t="s">
        <v>89</v>
      </c>
      <c r="G1450" t="s">
        <v>90</v>
      </c>
      <c r="H1450">
        <v>1</v>
      </c>
      <c r="I1450" t="s">
        <v>220</v>
      </c>
      <c r="J1450" t="s">
        <v>220</v>
      </c>
      <c r="K1450" t="s">
        <v>108</v>
      </c>
      <c r="L1450" t="s">
        <v>30</v>
      </c>
      <c r="M1450" t="s">
        <v>22</v>
      </c>
    </row>
    <row r="1451" spans="1:13" x14ac:dyDescent="0.35">
      <c r="A1451" t="s">
        <v>2647</v>
      </c>
      <c r="B1451" s="9">
        <v>46142</v>
      </c>
      <c r="C1451" t="s">
        <v>506</v>
      </c>
      <c r="D1451" t="s">
        <v>66</v>
      </c>
      <c r="E1451" t="s">
        <v>25</v>
      </c>
      <c r="F1451" t="s">
        <v>17</v>
      </c>
      <c r="G1451" t="s">
        <v>18</v>
      </c>
      <c r="H1451">
        <v>1</v>
      </c>
      <c r="I1451" t="s">
        <v>19</v>
      </c>
      <c r="J1451" t="s">
        <v>19</v>
      </c>
      <c r="K1451" t="s">
        <v>29</v>
      </c>
      <c r="L1451" t="s">
        <v>30</v>
      </c>
      <c r="M1451" t="s">
        <v>22</v>
      </c>
    </row>
    <row r="1452" spans="1:13" x14ac:dyDescent="0.35">
      <c r="A1452" t="s">
        <v>2648</v>
      </c>
      <c r="B1452" s="9">
        <v>46164</v>
      </c>
      <c r="C1452" t="s">
        <v>492</v>
      </c>
      <c r="D1452" t="s">
        <v>66</v>
      </c>
      <c r="E1452" t="s">
        <v>67</v>
      </c>
      <c r="F1452" t="s">
        <v>89</v>
      </c>
      <c r="G1452" t="s">
        <v>90</v>
      </c>
      <c r="H1452">
        <v>3</v>
      </c>
      <c r="I1452" t="s">
        <v>19</v>
      </c>
      <c r="J1452" t="s">
        <v>326</v>
      </c>
      <c r="K1452" t="s">
        <v>108</v>
      </c>
      <c r="L1452" t="s">
        <v>30</v>
      </c>
      <c r="M1452" t="s">
        <v>22</v>
      </c>
    </row>
    <row r="1453" spans="1:13" x14ac:dyDescent="0.35">
      <c r="A1453" t="s">
        <v>2649</v>
      </c>
      <c r="B1453" s="9">
        <v>46180</v>
      </c>
      <c r="C1453" t="s">
        <v>2650</v>
      </c>
      <c r="D1453" t="s">
        <v>116</v>
      </c>
      <c r="E1453" t="s">
        <v>16</v>
      </c>
      <c r="F1453" t="s">
        <v>35</v>
      </c>
      <c r="G1453" t="s">
        <v>36</v>
      </c>
      <c r="H1453">
        <v>-1</v>
      </c>
      <c r="I1453" t="s">
        <v>1002</v>
      </c>
      <c r="J1453" t="s">
        <v>124</v>
      </c>
      <c r="K1453" t="s">
        <v>37</v>
      </c>
      <c r="L1453" t="s">
        <v>21</v>
      </c>
      <c r="M1453" t="s">
        <v>22</v>
      </c>
    </row>
    <row r="1454" spans="1:13" x14ac:dyDescent="0.35">
      <c r="A1454" t="s">
        <v>2651</v>
      </c>
      <c r="B1454" t="s">
        <v>2652</v>
      </c>
      <c r="C1454" t="s">
        <v>2102</v>
      </c>
      <c r="D1454" t="s">
        <v>94</v>
      </c>
      <c r="E1454" t="s">
        <v>67</v>
      </c>
      <c r="F1454" t="s">
        <v>74</v>
      </c>
      <c r="G1454" t="s">
        <v>75</v>
      </c>
      <c r="H1454">
        <v>1</v>
      </c>
      <c r="I1454" t="s">
        <v>19</v>
      </c>
      <c r="J1454" t="s">
        <v>19</v>
      </c>
      <c r="K1454" t="s">
        <v>76</v>
      </c>
      <c r="L1454" t="s">
        <v>30</v>
      </c>
      <c r="M1454" t="s">
        <v>22</v>
      </c>
    </row>
    <row r="1455" spans="1:13" x14ac:dyDescent="0.35">
      <c r="A1455" t="s">
        <v>2653</v>
      </c>
      <c r="B1455" s="9">
        <v>46132</v>
      </c>
      <c r="C1455" t="s">
        <v>2371</v>
      </c>
      <c r="D1455" t="s">
        <v>66</v>
      </c>
      <c r="E1455" t="s">
        <v>67</v>
      </c>
      <c r="F1455" t="s">
        <v>42</v>
      </c>
      <c r="G1455" t="s">
        <v>43</v>
      </c>
      <c r="H1455">
        <v>2</v>
      </c>
      <c r="I1455" t="s">
        <v>254</v>
      </c>
      <c r="J1455" t="s">
        <v>156</v>
      </c>
      <c r="K1455" t="s">
        <v>111</v>
      </c>
      <c r="L1455" t="s">
        <v>21</v>
      </c>
      <c r="M1455" t="s">
        <v>22</v>
      </c>
    </row>
    <row r="1456" spans="1:13" x14ac:dyDescent="0.35">
      <c r="A1456" t="s">
        <v>2654</v>
      </c>
      <c r="B1456" t="s">
        <v>935</v>
      </c>
      <c r="C1456" t="s">
        <v>521</v>
      </c>
      <c r="D1456" t="s">
        <v>94</v>
      </c>
      <c r="E1456" t="s">
        <v>67</v>
      </c>
      <c r="F1456" t="s">
        <v>42</v>
      </c>
      <c r="G1456" t="s">
        <v>43</v>
      </c>
      <c r="H1456">
        <v>1</v>
      </c>
      <c r="I1456" t="s">
        <v>2655</v>
      </c>
      <c r="J1456" t="s">
        <v>56</v>
      </c>
      <c r="K1456">
        <v>190</v>
      </c>
      <c r="L1456" t="s">
        <v>30</v>
      </c>
      <c r="M1456" t="s">
        <v>58</v>
      </c>
    </row>
    <row r="1457" spans="1:13" x14ac:dyDescent="0.35">
      <c r="A1457" t="s">
        <v>2656</v>
      </c>
      <c r="B1457" s="9">
        <v>46128</v>
      </c>
      <c r="C1457" t="s">
        <v>2657</v>
      </c>
      <c r="D1457" t="s">
        <v>15</v>
      </c>
      <c r="E1457" t="s">
        <v>34</v>
      </c>
      <c r="F1457" t="s">
        <v>74</v>
      </c>
      <c r="G1457" t="s">
        <v>75</v>
      </c>
      <c r="H1457">
        <v>1</v>
      </c>
      <c r="I1457" t="s">
        <v>28</v>
      </c>
      <c r="J1457" t="s">
        <v>28</v>
      </c>
      <c r="K1457">
        <v>410</v>
      </c>
      <c r="L1457" t="s">
        <v>30</v>
      </c>
      <c r="M1457" t="s">
        <v>58</v>
      </c>
    </row>
    <row r="1458" spans="1:13" x14ac:dyDescent="0.35">
      <c r="A1458" t="s">
        <v>2658</v>
      </c>
      <c r="B1458" s="9">
        <v>46180</v>
      </c>
      <c r="C1458" t="s">
        <v>1375</v>
      </c>
      <c r="D1458" t="s">
        <v>15</v>
      </c>
      <c r="E1458" t="s">
        <v>16</v>
      </c>
      <c r="F1458" t="s">
        <v>35</v>
      </c>
      <c r="G1458" t="s">
        <v>36</v>
      </c>
      <c r="H1458">
        <v>2</v>
      </c>
      <c r="I1458" t="s">
        <v>49</v>
      </c>
      <c r="J1458" t="s">
        <v>178</v>
      </c>
      <c r="K1458" t="s">
        <v>37</v>
      </c>
      <c r="L1458" t="s">
        <v>30</v>
      </c>
      <c r="M1458" t="s">
        <v>22</v>
      </c>
    </row>
    <row r="1459" spans="1:13" x14ac:dyDescent="0.35">
      <c r="A1459" t="s">
        <v>2659</v>
      </c>
      <c r="B1459" s="9">
        <v>46029</v>
      </c>
      <c r="C1459" t="s">
        <v>2660</v>
      </c>
      <c r="D1459" t="s">
        <v>61</v>
      </c>
      <c r="E1459" t="s">
        <v>67</v>
      </c>
      <c r="F1459" t="s">
        <v>17</v>
      </c>
      <c r="G1459" t="s">
        <v>18</v>
      </c>
      <c r="H1459">
        <v>2</v>
      </c>
      <c r="I1459" t="s">
        <v>220</v>
      </c>
      <c r="J1459" t="s">
        <v>221</v>
      </c>
      <c r="K1459">
        <v>520</v>
      </c>
      <c r="L1459" t="s">
        <v>30</v>
      </c>
      <c r="M1459" t="s">
        <v>22</v>
      </c>
    </row>
    <row r="1460" spans="1:13" x14ac:dyDescent="0.35">
      <c r="A1460" t="s">
        <v>2661</v>
      </c>
      <c r="B1460" s="9">
        <v>46071</v>
      </c>
      <c r="C1460" t="s">
        <v>927</v>
      </c>
      <c r="D1460" t="s">
        <v>33</v>
      </c>
      <c r="E1460" t="s">
        <v>41</v>
      </c>
      <c r="F1460" t="s">
        <v>26</v>
      </c>
      <c r="G1460" t="s">
        <v>27</v>
      </c>
      <c r="H1460">
        <v>3</v>
      </c>
      <c r="I1460" t="s">
        <v>62</v>
      </c>
      <c r="J1460" t="s">
        <v>488</v>
      </c>
      <c r="K1460">
        <v>520</v>
      </c>
      <c r="L1460" t="s">
        <v>21</v>
      </c>
      <c r="M1460" t="s">
        <v>58</v>
      </c>
    </row>
    <row r="1461" spans="1:13" x14ac:dyDescent="0.35">
      <c r="A1461" t="s">
        <v>2662</v>
      </c>
      <c r="B1461" s="9">
        <v>46179</v>
      </c>
      <c r="C1461" t="s">
        <v>830</v>
      </c>
      <c r="D1461" t="s">
        <v>40</v>
      </c>
      <c r="E1461" t="s">
        <v>34</v>
      </c>
      <c r="F1461" t="s">
        <v>17</v>
      </c>
      <c r="G1461" t="s">
        <v>18</v>
      </c>
      <c r="H1461">
        <v>1</v>
      </c>
      <c r="I1461" t="s">
        <v>19</v>
      </c>
      <c r="J1461" t="s">
        <v>19</v>
      </c>
      <c r="K1461" t="s">
        <v>29</v>
      </c>
      <c r="L1461" t="s">
        <v>21</v>
      </c>
      <c r="M1461" t="s">
        <v>58</v>
      </c>
    </row>
    <row r="1462" spans="1:13" x14ac:dyDescent="0.35">
      <c r="A1462" t="s">
        <v>2663</v>
      </c>
      <c r="B1462" t="s">
        <v>880</v>
      </c>
      <c r="C1462" t="s">
        <v>2664</v>
      </c>
      <c r="D1462" t="s">
        <v>46</v>
      </c>
      <c r="E1462" t="s">
        <v>67</v>
      </c>
      <c r="F1462" t="s">
        <v>74</v>
      </c>
      <c r="G1462" t="s">
        <v>75</v>
      </c>
      <c r="H1462">
        <v>2</v>
      </c>
      <c r="I1462" t="s">
        <v>170</v>
      </c>
      <c r="J1462" t="s">
        <v>152</v>
      </c>
      <c r="K1462">
        <v>410</v>
      </c>
      <c r="L1462" t="s">
        <v>30</v>
      </c>
      <c r="M1462" t="s">
        <v>22</v>
      </c>
    </row>
    <row r="1463" spans="1:13" x14ac:dyDescent="0.35">
      <c r="A1463" t="s">
        <v>2665</v>
      </c>
      <c r="B1463" s="9">
        <v>46185</v>
      </c>
      <c r="C1463" t="s">
        <v>145</v>
      </c>
      <c r="D1463" t="s">
        <v>15</v>
      </c>
      <c r="E1463" t="s">
        <v>67</v>
      </c>
      <c r="F1463" t="s">
        <v>26</v>
      </c>
      <c r="G1463" t="s">
        <v>27</v>
      </c>
      <c r="H1463">
        <v>3</v>
      </c>
      <c r="I1463" t="s">
        <v>28</v>
      </c>
      <c r="J1463" t="s">
        <v>568</v>
      </c>
      <c r="K1463" t="s">
        <v>29</v>
      </c>
      <c r="L1463" t="s">
        <v>30</v>
      </c>
      <c r="M1463" t="s">
        <v>58</v>
      </c>
    </row>
    <row r="1464" spans="1:13" x14ac:dyDescent="0.35">
      <c r="A1464" t="s">
        <v>2666</v>
      </c>
      <c r="B1464" s="9">
        <v>46203</v>
      </c>
      <c r="C1464" t="s">
        <v>817</v>
      </c>
      <c r="D1464" t="s">
        <v>15</v>
      </c>
      <c r="E1464" t="s">
        <v>16</v>
      </c>
      <c r="F1464" t="s">
        <v>42</v>
      </c>
      <c r="G1464" t="s">
        <v>43</v>
      </c>
      <c r="H1464">
        <v>1</v>
      </c>
      <c r="I1464" t="s">
        <v>19</v>
      </c>
      <c r="J1464" t="s">
        <v>19</v>
      </c>
      <c r="K1464" t="s">
        <v>111</v>
      </c>
      <c r="L1464" t="s">
        <v>30</v>
      </c>
      <c r="M1464" t="s">
        <v>58</v>
      </c>
    </row>
    <row r="1465" spans="1:13" x14ac:dyDescent="0.35">
      <c r="A1465" t="s">
        <v>2667</v>
      </c>
      <c r="B1465" t="s">
        <v>552</v>
      </c>
      <c r="C1465" t="s">
        <v>328</v>
      </c>
      <c r="D1465" t="s">
        <v>40</v>
      </c>
      <c r="E1465" t="s">
        <v>34</v>
      </c>
      <c r="F1465" t="s">
        <v>83</v>
      </c>
      <c r="G1465" t="s">
        <v>84</v>
      </c>
      <c r="H1465">
        <v>1</v>
      </c>
      <c r="I1465" t="s">
        <v>220</v>
      </c>
      <c r="J1465" t="s">
        <v>220</v>
      </c>
      <c r="K1465">
        <v>340</v>
      </c>
      <c r="L1465" t="s">
        <v>21</v>
      </c>
      <c r="M1465" t="s">
        <v>22</v>
      </c>
    </row>
    <row r="1466" spans="1:13" x14ac:dyDescent="0.35">
      <c r="A1466" t="s">
        <v>2668</v>
      </c>
      <c r="B1466" s="9">
        <v>46096</v>
      </c>
      <c r="C1466" t="s">
        <v>2509</v>
      </c>
      <c r="D1466" t="s">
        <v>15</v>
      </c>
      <c r="E1466" t="s">
        <v>34</v>
      </c>
      <c r="F1466" t="s">
        <v>42</v>
      </c>
      <c r="G1466" t="s">
        <v>43</v>
      </c>
      <c r="H1466">
        <v>1</v>
      </c>
      <c r="I1466" t="s">
        <v>254</v>
      </c>
      <c r="J1466" t="s">
        <v>254</v>
      </c>
      <c r="K1466">
        <v>190</v>
      </c>
      <c r="L1466" t="s">
        <v>30</v>
      </c>
      <c r="M1466" t="s">
        <v>22</v>
      </c>
    </row>
    <row r="1467" spans="1:13" x14ac:dyDescent="0.35">
      <c r="A1467" t="s">
        <v>2669</v>
      </c>
      <c r="B1467" s="9">
        <v>46162</v>
      </c>
      <c r="C1467" t="s">
        <v>2670</v>
      </c>
      <c r="D1467" t="s">
        <v>66</v>
      </c>
      <c r="E1467" t="s">
        <v>34</v>
      </c>
      <c r="F1467" t="s">
        <v>89</v>
      </c>
      <c r="G1467" t="s">
        <v>90</v>
      </c>
      <c r="H1467">
        <v>3</v>
      </c>
      <c r="I1467" t="s">
        <v>254</v>
      </c>
      <c r="J1467" t="s">
        <v>390</v>
      </c>
      <c r="K1467" t="s">
        <v>108</v>
      </c>
      <c r="L1467" t="s">
        <v>30</v>
      </c>
      <c r="M1467" t="s">
        <v>22</v>
      </c>
    </row>
    <row r="1468" spans="1:13" x14ac:dyDescent="0.35">
      <c r="A1468" t="s">
        <v>2671</v>
      </c>
      <c r="B1468" s="9">
        <v>46086</v>
      </c>
      <c r="C1468" t="s">
        <v>2672</v>
      </c>
      <c r="D1468" t="s">
        <v>116</v>
      </c>
      <c r="E1468" t="s">
        <v>34</v>
      </c>
      <c r="F1468" t="s">
        <v>83</v>
      </c>
      <c r="G1468" t="s">
        <v>84</v>
      </c>
      <c r="H1468">
        <v>-2</v>
      </c>
      <c r="I1468" t="s">
        <v>62</v>
      </c>
      <c r="J1468" t="s">
        <v>2673</v>
      </c>
      <c r="K1468">
        <v>340</v>
      </c>
      <c r="L1468" t="s">
        <v>30</v>
      </c>
      <c r="M1468" t="s">
        <v>22</v>
      </c>
    </row>
    <row r="1469" spans="1:13" x14ac:dyDescent="0.35">
      <c r="A1469" t="s">
        <v>2674</v>
      </c>
      <c r="B1469" s="9">
        <v>46118</v>
      </c>
      <c r="C1469" t="s">
        <v>2108</v>
      </c>
      <c r="D1469" t="s">
        <v>46</v>
      </c>
      <c r="E1469" t="s">
        <v>34</v>
      </c>
      <c r="F1469" t="s">
        <v>42</v>
      </c>
      <c r="G1469" t="s">
        <v>43</v>
      </c>
      <c r="H1469">
        <v>2</v>
      </c>
      <c r="I1469" t="s">
        <v>49</v>
      </c>
      <c r="J1469" t="s">
        <v>178</v>
      </c>
      <c r="K1469">
        <v>190</v>
      </c>
      <c r="L1469" t="s">
        <v>30</v>
      </c>
      <c r="M1469" t="s">
        <v>22</v>
      </c>
    </row>
    <row r="1470" spans="1:13" x14ac:dyDescent="0.35">
      <c r="A1470" t="s">
        <v>2675</v>
      </c>
      <c r="B1470" s="9">
        <v>46140</v>
      </c>
      <c r="C1470" t="s">
        <v>2676</v>
      </c>
      <c r="D1470" t="s">
        <v>116</v>
      </c>
      <c r="E1470" t="s">
        <v>25</v>
      </c>
      <c r="F1470" t="s">
        <v>26</v>
      </c>
      <c r="G1470" t="s">
        <v>27</v>
      </c>
      <c r="H1470">
        <v>1</v>
      </c>
      <c r="I1470" t="s">
        <v>19</v>
      </c>
      <c r="J1470" t="s">
        <v>19</v>
      </c>
      <c r="K1470" t="s">
        <v>29</v>
      </c>
      <c r="L1470" t="s">
        <v>30</v>
      </c>
      <c r="M1470" t="s">
        <v>22</v>
      </c>
    </row>
    <row r="1471" spans="1:13" x14ac:dyDescent="0.35">
      <c r="A1471" t="s">
        <v>2677</v>
      </c>
      <c r="B1471" s="9">
        <v>46189</v>
      </c>
      <c r="C1471" t="s">
        <v>599</v>
      </c>
      <c r="D1471" t="s">
        <v>94</v>
      </c>
      <c r="E1471" t="s">
        <v>41</v>
      </c>
      <c r="F1471" t="s">
        <v>89</v>
      </c>
      <c r="G1471" t="s">
        <v>90</v>
      </c>
      <c r="H1471">
        <v>3</v>
      </c>
      <c r="I1471" t="s">
        <v>49</v>
      </c>
      <c r="J1471" t="s">
        <v>257</v>
      </c>
      <c r="K1471" t="s">
        <v>108</v>
      </c>
      <c r="L1471" t="s">
        <v>30</v>
      </c>
      <c r="M1471" t="s">
        <v>22</v>
      </c>
    </row>
    <row r="1472" spans="1:13" x14ac:dyDescent="0.35">
      <c r="A1472" t="s">
        <v>2678</v>
      </c>
      <c r="B1472" s="9">
        <v>46148</v>
      </c>
      <c r="C1472" t="s">
        <v>1623</v>
      </c>
      <c r="D1472" t="s">
        <v>99</v>
      </c>
      <c r="E1472" t="s">
        <v>41</v>
      </c>
      <c r="F1472" t="s">
        <v>26</v>
      </c>
      <c r="G1472" t="s">
        <v>27</v>
      </c>
      <c r="H1472">
        <v>1</v>
      </c>
      <c r="I1472" t="s">
        <v>254</v>
      </c>
      <c r="J1472" t="s">
        <v>254</v>
      </c>
      <c r="K1472" t="s">
        <v>29</v>
      </c>
      <c r="L1472" t="s">
        <v>30</v>
      </c>
      <c r="M1472" t="s">
        <v>22</v>
      </c>
    </row>
    <row r="1473" spans="1:13" x14ac:dyDescent="0.35">
      <c r="A1473" t="s">
        <v>2679</v>
      </c>
      <c r="B1473" s="9">
        <v>46103</v>
      </c>
      <c r="C1473" t="s">
        <v>2680</v>
      </c>
      <c r="D1473" t="s">
        <v>46</v>
      </c>
      <c r="E1473" t="s">
        <v>67</v>
      </c>
      <c r="F1473" t="s">
        <v>17</v>
      </c>
      <c r="G1473" t="s">
        <v>18</v>
      </c>
      <c r="H1473">
        <v>2</v>
      </c>
      <c r="I1473" t="s">
        <v>68</v>
      </c>
      <c r="J1473" t="s">
        <v>248</v>
      </c>
      <c r="K1473">
        <v>520</v>
      </c>
      <c r="L1473" t="s">
        <v>21</v>
      </c>
      <c r="M1473" t="s">
        <v>22</v>
      </c>
    </row>
    <row r="1474" spans="1:13" x14ac:dyDescent="0.35">
      <c r="A1474" t="s">
        <v>2681</v>
      </c>
      <c r="B1474" s="9">
        <v>46123</v>
      </c>
      <c r="C1474" t="s">
        <v>403</v>
      </c>
      <c r="D1474" t="s">
        <v>53</v>
      </c>
      <c r="E1474" t="s">
        <v>67</v>
      </c>
      <c r="F1474" t="s">
        <v>83</v>
      </c>
      <c r="G1474" t="s">
        <v>84</v>
      </c>
      <c r="H1474">
        <v>2</v>
      </c>
      <c r="I1474" t="s">
        <v>102</v>
      </c>
      <c r="J1474" t="s">
        <v>181</v>
      </c>
      <c r="K1474">
        <v>340</v>
      </c>
      <c r="L1474" t="s">
        <v>30</v>
      </c>
      <c r="M1474" t="s">
        <v>22</v>
      </c>
    </row>
    <row r="1475" spans="1:13" x14ac:dyDescent="0.35">
      <c r="A1475" t="s">
        <v>2682</v>
      </c>
      <c r="B1475" s="9">
        <v>46189</v>
      </c>
      <c r="C1475" t="s">
        <v>334</v>
      </c>
      <c r="D1475" t="s">
        <v>46</v>
      </c>
      <c r="E1475" t="s">
        <v>67</v>
      </c>
      <c r="F1475" t="s">
        <v>17</v>
      </c>
      <c r="G1475" t="s">
        <v>18</v>
      </c>
      <c r="H1475">
        <v>1</v>
      </c>
      <c r="I1475" t="s">
        <v>19</v>
      </c>
      <c r="J1475" t="s">
        <v>19</v>
      </c>
      <c r="K1475" t="s">
        <v>29</v>
      </c>
      <c r="L1475" t="s">
        <v>30</v>
      </c>
      <c r="M1475" t="s">
        <v>22</v>
      </c>
    </row>
    <row r="1476" spans="1:13" x14ac:dyDescent="0.35">
      <c r="A1476" t="s">
        <v>2683</v>
      </c>
      <c r="B1476" t="s">
        <v>1548</v>
      </c>
      <c r="C1476" t="s">
        <v>2684</v>
      </c>
      <c r="D1476" t="s">
        <v>66</v>
      </c>
      <c r="E1476" t="s">
        <v>25</v>
      </c>
      <c r="F1476" t="s">
        <v>17</v>
      </c>
      <c r="G1476" t="s">
        <v>18</v>
      </c>
      <c r="H1476">
        <v>1</v>
      </c>
      <c r="I1476" t="s">
        <v>49</v>
      </c>
      <c r="J1476" t="s">
        <v>49</v>
      </c>
      <c r="K1476">
        <v>520</v>
      </c>
      <c r="L1476" t="s">
        <v>30</v>
      </c>
      <c r="M1476" t="s">
        <v>22</v>
      </c>
    </row>
    <row r="1477" spans="1:13" x14ac:dyDescent="0.35">
      <c r="A1477" t="s">
        <v>2685</v>
      </c>
      <c r="B1477" s="9">
        <v>46143</v>
      </c>
      <c r="C1477" t="s">
        <v>1140</v>
      </c>
      <c r="D1477" t="s">
        <v>15</v>
      </c>
      <c r="E1477" t="s">
        <v>41</v>
      </c>
      <c r="F1477" t="s">
        <v>83</v>
      </c>
      <c r="G1477" t="s">
        <v>84</v>
      </c>
      <c r="H1477">
        <v>3</v>
      </c>
      <c r="I1477" t="s">
        <v>102</v>
      </c>
      <c r="J1477" t="s">
        <v>127</v>
      </c>
      <c r="K1477" t="s">
        <v>103</v>
      </c>
      <c r="L1477" t="s">
        <v>30</v>
      </c>
      <c r="M1477" t="s">
        <v>22</v>
      </c>
    </row>
    <row r="1478" spans="1:13" x14ac:dyDescent="0.35">
      <c r="A1478" t="s">
        <v>2686</v>
      </c>
      <c r="B1478" s="9">
        <v>46068</v>
      </c>
      <c r="C1478" t="s">
        <v>1711</v>
      </c>
      <c r="D1478" t="s">
        <v>33</v>
      </c>
      <c r="E1478" t="s">
        <v>67</v>
      </c>
      <c r="F1478" t="s">
        <v>26</v>
      </c>
      <c r="G1478" t="s">
        <v>27</v>
      </c>
      <c r="H1478">
        <v>1</v>
      </c>
      <c r="I1478" t="s">
        <v>254</v>
      </c>
      <c r="J1478" t="s">
        <v>254</v>
      </c>
      <c r="K1478">
        <v>520</v>
      </c>
      <c r="L1478" t="s">
        <v>30</v>
      </c>
      <c r="M1478" t="s">
        <v>22</v>
      </c>
    </row>
    <row r="1479" spans="1:13" x14ac:dyDescent="0.35">
      <c r="A1479" t="s">
        <v>2687</v>
      </c>
      <c r="B1479" s="9">
        <v>46064</v>
      </c>
      <c r="C1479" t="s">
        <v>591</v>
      </c>
      <c r="D1479" t="s">
        <v>94</v>
      </c>
      <c r="E1479" t="s">
        <v>67</v>
      </c>
      <c r="F1479" t="s">
        <v>83</v>
      </c>
      <c r="G1479" t="s">
        <v>84</v>
      </c>
      <c r="H1479">
        <v>2</v>
      </c>
      <c r="I1479" t="s">
        <v>79</v>
      </c>
      <c r="J1479" t="s">
        <v>143</v>
      </c>
      <c r="K1479">
        <v>340</v>
      </c>
      <c r="L1479" t="s">
        <v>30</v>
      </c>
      <c r="M1479" t="s">
        <v>22</v>
      </c>
    </row>
    <row r="1480" spans="1:13" x14ac:dyDescent="0.35">
      <c r="A1480" t="s">
        <v>2688</v>
      </c>
      <c r="B1480" s="9">
        <v>46207</v>
      </c>
      <c r="C1480" t="s">
        <v>1831</v>
      </c>
      <c r="D1480" t="s">
        <v>66</v>
      </c>
      <c r="E1480" t="s">
        <v>34</v>
      </c>
      <c r="F1480" t="s">
        <v>42</v>
      </c>
      <c r="G1480" t="s">
        <v>43</v>
      </c>
      <c r="H1480">
        <v>3</v>
      </c>
      <c r="I1480" t="s">
        <v>106</v>
      </c>
      <c r="J1480" t="s">
        <v>160</v>
      </c>
      <c r="K1480" t="s">
        <v>111</v>
      </c>
      <c r="L1480" t="s">
        <v>21</v>
      </c>
      <c r="M1480" t="s">
        <v>22</v>
      </c>
    </row>
    <row r="1481" spans="1:13" x14ac:dyDescent="0.35">
      <c r="A1481" t="s">
        <v>2689</v>
      </c>
      <c r="B1481" s="9">
        <v>46029</v>
      </c>
      <c r="C1481" t="s">
        <v>2690</v>
      </c>
      <c r="D1481" t="s">
        <v>116</v>
      </c>
      <c r="E1481" t="s">
        <v>34</v>
      </c>
      <c r="F1481" t="s">
        <v>26</v>
      </c>
      <c r="G1481" t="s">
        <v>27</v>
      </c>
      <c r="H1481">
        <v>2</v>
      </c>
      <c r="I1481" t="s">
        <v>254</v>
      </c>
      <c r="J1481" t="s">
        <v>156</v>
      </c>
      <c r="K1481">
        <v>520</v>
      </c>
      <c r="L1481" t="s">
        <v>21</v>
      </c>
      <c r="M1481" t="s">
        <v>22</v>
      </c>
    </row>
    <row r="1482" spans="1:13" x14ac:dyDescent="0.35">
      <c r="A1482" t="s">
        <v>2691</v>
      </c>
      <c r="B1482" s="9">
        <v>46034</v>
      </c>
      <c r="C1482" t="s">
        <v>370</v>
      </c>
      <c r="D1482" t="s">
        <v>116</v>
      </c>
      <c r="E1482" t="s">
        <v>67</v>
      </c>
      <c r="F1482" t="s">
        <v>42</v>
      </c>
      <c r="G1482" t="s">
        <v>43</v>
      </c>
      <c r="H1482">
        <v>2</v>
      </c>
      <c r="I1482" t="s">
        <v>68</v>
      </c>
      <c r="J1482" t="s">
        <v>248</v>
      </c>
      <c r="K1482">
        <v>190</v>
      </c>
      <c r="L1482" t="s">
        <v>30</v>
      </c>
      <c r="M1482" t="s">
        <v>58</v>
      </c>
    </row>
    <row r="1483" spans="1:13" x14ac:dyDescent="0.35">
      <c r="A1483" t="s">
        <v>2692</v>
      </c>
      <c r="B1483" s="9">
        <v>46045</v>
      </c>
      <c r="C1483" t="s">
        <v>1019</v>
      </c>
      <c r="D1483" t="s">
        <v>53</v>
      </c>
      <c r="E1483" t="s">
        <v>16</v>
      </c>
      <c r="F1483" t="s">
        <v>89</v>
      </c>
      <c r="G1483" t="s">
        <v>90</v>
      </c>
      <c r="H1483">
        <v>1</v>
      </c>
      <c r="I1483" t="s">
        <v>1213</v>
      </c>
      <c r="J1483" t="s">
        <v>106</v>
      </c>
      <c r="K1483">
        <v>640</v>
      </c>
      <c r="L1483" t="s">
        <v>30</v>
      </c>
      <c r="M1483" t="s">
        <v>22</v>
      </c>
    </row>
    <row r="1484" spans="1:13" x14ac:dyDescent="0.35">
      <c r="A1484" t="s">
        <v>2693</v>
      </c>
      <c r="B1484" t="s">
        <v>381</v>
      </c>
      <c r="C1484" t="s">
        <v>938</v>
      </c>
      <c r="D1484" t="s">
        <v>116</v>
      </c>
      <c r="E1484" t="s">
        <v>67</v>
      </c>
      <c r="F1484" t="s">
        <v>35</v>
      </c>
      <c r="G1484" t="s">
        <v>36</v>
      </c>
      <c r="H1484">
        <v>1</v>
      </c>
      <c r="I1484" t="s">
        <v>254</v>
      </c>
      <c r="J1484" t="s">
        <v>254</v>
      </c>
      <c r="K1484">
        <v>85</v>
      </c>
      <c r="L1484" t="s">
        <v>30</v>
      </c>
      <c r="M1484" t="s">
        <v>22</v>
      </c>
    </row>
    <row r="1485" spans="1:13" x14ac:dyDescent="0.35">
      <c r="A1485" t="s">
        <v>2694</v>
      </c>
      <c r="B1485" s="9">
        <v>46054</v>
      </c>
      <c r="C1485" t="s">
        <v>1924</v>
      </c>
      <c r="D1485" t="s">
        <v>94</v>
      </c>
      <c r="E1485" t="s">
        <v>67</v>
      </c>
      <c r="F1485" t="s">
        <v>17</v>
      </c>
      <c r="G1485" t="s">
        <v>18</v>
      </c>
      <c r="H1485">
        <v>2</v>
      </c>
      <c r="I1485" t="s">
        <v>170</v>
      </c>
      <c r="J1485" t="s">
        <v>152</v>
      </c>
      <c r="K1485">
        <v>520</v>
      </c>
      <c r="L1485" t="s">
        <v>30</v>
      </c>
      <c r="M1485" t="s">
        <v>22</v>
      </c>
    </row>
    <row r="1486" spans="1:13" x14ac:dyDescent="0.35">
      <c r="A1486" t="s">
        <v>2695</v>
      </c>
      <c r="B1486" s="9">
        <v>46169</v>
      </c>
      <c r="C1486" t="s">
        <v>2696</v>
      </c>
      <c r="D1486" t="s">
        <v>94</v>
      </c>
      <c r="E1486" t="s">
        <v>67</v>
      </c>
      <c r="F1486" t="s">
        <v>47</v>
      </c>
      <c r="G1486" t="s">
        <v>48</v>
      </c>
      <c r="H1486">
        <v>2</v>
      </c>
      <c r="I1486" t="s">
        <v>254</v>
      </c>
      <c r="J1486" t="s">
        <v>156</v>
      </c>
      <c r="K1486" t="s">
        <v>50</v>
      </c>
      <c r="L1486" t="s">
        <v>30</v>
      </c>
      <c r="M1486" t="s">
        <v>22</v>
      </c>
    </row>
    <row r="1487" spans="1:13" x14ac:dyDescent="0.35">
      <c r="A1487" t="s">
        <v>2697</v>
      </c>
      <c r="B1487" s="9">
        <v>46069</v>
      </c>
      <c r="C1487" t="s">
        <v>822</v>
      </c>
      <c r="D1487" t="s">
        <v>33</v>
      </c>
      <c r="E1487" t="s">
        <v>16</v>
      </c>
      <c r="F1487" t="s">
        <v>89</v>
      </c>
      <c r="G1487" t="s">
        <v>90</v>
      </c>
      <c r="H1487">
        <v>1</v>
      </c>
      <c r="I1487" t="s">
        <v>56</v>
      </c>
      <c r="J1487" t="s">
        <v>56</v>
      </c>
      <c r="K1487">
        <v>640</v>
      </c>
      <c r="L1487" t="s">
        <v>30</v>
      </c>
      <c r="M1487" t="s">
        <v>22</v>
      </c>
    </row>
    <row r="1488" spans="1:13" x14ac:dyDescent="0.35">
      <c r="A1488" t="s">
        <v>2698</v>
      </c>
      <c r="B1488" s="9">
        <v>46148</v>
      </c>
      <c r="C1488" t="s">
        <v>399</v>
      </c>
      <c r="D1488" t="s">
        <v>61</v>
      </c>
      <c r="E1488" t="s">
        <v>41</v>
      </c>
      <c r="F1488" t="s">
        <v>47</v>
      </c>
      <c r="G1488" t="s">
        <v>48</v>
      </c>
      <c r="H1488">
        <v>2</v>
      </c>
      <c r="I1488" t="s">
        <v>649</v>
      </c>
      <c r="J1488" t="s">
        <v>248</v>
      </c>
      <c r="K1488" t="s">
        <v>50</v>
      </c>
      <c r="L1488" t="s">
        <v>30</v>
      </c>
      <c r="M1488" t="s">
        <v>22</v>
      </c>
    </row>
    <row r="1489" spans="1:13" x14ac:dyDescent="0.35">
      <c r="A1489" t="s">
        <v>2699</v>
      </c>
      <c r="B1489" s="9">
        <v>46362</v>
      </c>
      <c r="C1489" t="s">
        <v>1221</v>
      </c>
      <c r="D1489" t="s">
        <v>61</v>
      </c>
      <c r="E1489" t="s">
        <v>67</v>
      </c>
      <c r="F1489" t="s">
        <v>35</v>
      </c>
      <c r="G1489" t="s">
        <v>36</v>
      </c>
      <c r="H1489">
        <v>1</v>
      </c>
      <c r="I1489" t="s">
        <v>68</v>
      </c>
      <c r="J1489" t="s">
        <v>68</v>
      </c>
      <c r="K1489" t="s">
        <v>37</v>
      </c>
      <c r="L1489" t="s">
        <v>30</v>
      </c>
      <c r="M1489" t="s">
        <v>58</v>
      </c>
    </row>
    <row r="1490" spans="1:13" x14ac:dyDescent="0.35">
      <c r="A1490" t="s">
        <v>2700</v>
      </c>
      <c r="B1490" s="9">
        <v>46331</v>
      </c>
      <c r="C1490" t="s">
        <v>2701</v>
      </c>
      <c r="D1490" t="s">
        <v>33</v>
      </c>
      <c r="E1490" t="s">
        <v>16</v>
      </c>
      <c r="F1490" t="s">
        <v>74</v>
      </c>
      <c r="G1490" t="s">
        <v>75</v>
      </c>
      <c r="H1490">
        <v>1</v>
      </c>
      <c r="I1490" t="s">
        <v>28</v>
      </c>
      <c r="J1490" t="s">
        <v>28</v>
      </c>
      <c r="K1490" t="s">
        <v>76</v>
      </c>
      <c r="L1490" t="s">
        <v>30</v>
      </c>
      <c r="M1490" t="s">
        <v>22</v>
      </c>
    </row>
    <row r="1491" spans="1:13" x14ac:dyDescent="0.35">
      <c r="A1491" t="s">
        <v>2702</v>
      </c>
      <c r="B1491" s="9">
        <v>46112</v>
      </c>
      <c r="C1491" t="s">
        <v>1843</v>
      </c>
      <c r="D1491" t="s">
        <v>53</v>
      </c>
      <c r="E1491" t="s">
        <v>34</v>
      </c>
      <c r="F1491" t="s">
        <v>17</v>
      </c>
      <c r="G1491" t="s">
        <v>18</v>
      </c>
      <c r="H1491">
        <v>1</v>
      </c>
      <c r="I1491" t="s">
        <v>106</v>
      </c>
      <c r="J1491" t="s">
        <v>106</v>
      </c>
      <c r="K1491">
        <v>520</v>
      </c>
      <c r="L1491" t="s">
        <v>30</v>
      </c>
      <c r="M1491" t="s">
        <v>22</v>
      </c>
    </row>
    <row r="1492" spans="1:13" x14ac:dyDescent="0.35">
      <c r="A1492" t="s">
        <v>2703</v>
      </c>
      <c r="B1492" s="9">
        <v>46029</v>
      </c>
      <c r="C1492" t="s">
        <v>2704</v>
      </c>
      <c r="D1492" t="s">
        <v>61</v>
      </c>
      <c r="E1492" t="s">
        <v>67</v>
      </c>
      <c r="F1492" t="s">
        <v>35</v>
      </c>
      <c r="G1492" t="s">
        <v>36</v>
      </c>
      <c r="H1492">
        <v>1</v>
      </c>
      <c r="I1492" t="s">
        <v>192</v>
      </c>
      <c r="J1492" t="s">
        <v>56</v>
      </c>
      <c r="K1492">
        <v>85</v>
      </c>
      <c r="L1492" t="s">
        <v>30</v>
      </c>
      <c r="M1492" t="s">
        <v>22</v>
      </c>
    </row>
    <row r="1493" spans="1:13" x14ac:dyDescent="0.35">
      <c r="A1493" t="s">
        <v>2705</v>
      </c>
      <c r="B1493" s="9">
        <v>46037</v>
      </c>
      <c r="C1493" t="s">
        <v>2706</v>
      </c>
      <c r="D1493" t="s">
        <v>116</v>
      </c>
      <c r="E1493" t="s">
        <v>34</v>
      </c>
      <c r="F1493" t="s">
        <v>17</v>
      </c>
      <c r="G1493" t="s">
        <v>18</v>
      </c>
      <c r="H1493">
        <v>1</v>
      </c>
      <c r="I1493" t="s">
        <v>132</v>
      </c>
      <c r="J1493" t="s">
        <v>132</v>
      </c>
      <c r="K1493">
        <v>520</v>
      </c>
      <c r="L1493" t="s">
        <v>30</v>
      </c>
      <c r="M1493" t="s">
        <v>22</v>
      </c>
    </row>
    <row r="1494" spans="1:13" x14ac:dyDescent="0.35">
      <c r="A1494" t="s">
        <v>2707</v>
      </c>
      <c r="B1494" s="9">
        <v>46085</v>
      </c>
      <c r="C1494" t="s">
        <v>1342</v>
      </c>
      <c r="D1494" t="s">
        <v>61</v>
      </c>
      <c r="E1494" t="s">
        <v>25</v>
      </c>
      <c r="F1494" t="s">
        <v>89</v>
      </c>
      <c r="G1494" t="s">
        <v>90</v>
      </c>
      <c r="H1494">
        <v>1</v>
      </c>
      <c r="I1494" t="s">
        <v>136</v>
      </c>
      <c r="J1494" t="s">
        <v>136</v>
      </c>
      <c r="K1494">
        <v>640</v>
      </c>
      <c r="L1494" t="s">
        <v>30</v>
      </c>
      <c r="M1494" t="s">
        <v>22</v>
      </c>
    </row>
    <row r="1495" spans="1:13" x14ac:dyDescent="0.35">
      <c r="A1495" t="s">
        <v>2708</v>
      </c>
      <c r="B1495" s="9">
        <v>46200</v>
      </c>
      <c r="C1495" t="s">
        <v>1189</v>
      </c>
      <c r="D1495" t="s">
        <v>53</v>
      </c>
      <c r="E1495" t="s">
        <v>25</v>
      </c>
      <c r="F1495" t="s">
        <v>47</v>
      </c>
      <c r="G1495" t="s">
        <v>48</v>
      </c>
      <c r="H1495">
        <v>1</v>
      </c>
      <c r="I1495" t="s">
        <v>102</v>
      </c>
      <c r="J1495" t="s">
        <v>102</v>
      </c>
      <c r="K1495" t="s">
        <v>50</v>
      </c>
      <c r="L1495" t="s">
        <v>30</v>
      </c>
      <c r="M1495" t="s">
        <v>22</v>
      </c>
    </row>
    <row r="1496" spans="1:13" x14ac:dyDescent="0.35">
      <c r="A1496" t="s">
        <v>2709</v>
      </c>
      <c r="B1496" s="9">
        <v>46109</v>
      </c>
      <c r="C1496" t="s">
        <v>2348</v>
      </c>
      <c r="D1496" t="s">
        <v>116</v>
      </c>
      <c r="E1496" t="s">
        <v>16</v>
      </c>
      <c r="F1496" t="s">
        <v>89</v>
      </c>
      <c r="G1496" t="s">
        <v>90</v>
      </c>
      <c r="H1496">
        <v>2</v>
      </c>
      <c r="I1496" t="s">
        <v>19</v>
      </c>
      <c r="J1496" t="s">
        <v>238</v>
      </c>
      <c r="K1496">
        <v>640</v>
      </c>
      <c r="L1496" t="s">
        <v>30</v>
      </c>
      <c r="M1496" t="s">
        <v>58</v>
      </c>
    </row>
    <row r="1497" spans="1:13" x14ac:dyDescent="0.35">
      <c r="A1497" t="s">
        <v>2710</v>
      </c>
      <c r="B1497" t="s">
        <v>2645</v>
      </c>
      <c r="C1497" t="s">
        <v>24</v>
      </c>
      <c r="D1497" t="s">
        <v>61</v>
      </c>
      <c r="E1497" t="s">
        <v>34</v>
      </c>
      <c r="F1497" t="s">
        <v>35</v>
      </c>
      <c r="G1497" t="s">
        <v>36</v>
      </c>
      <c r="H1497">
        <v>3</v>
      </c>
      <c r="I1497" t="s">
        <v>106</v>
      </c>
      <c r="J1497" t="s">
        <v>160</v>
      </c>
      <c r="K1497" t="s">
        <v>37</v>
      </c>
      <c r="L1497" t="s">
        <v>30</v>
      </c>
      <c r="M1497" t="s">
        <v>58</v>
      </c>
    </row>
    <row r="1498" spans="1:13" x14ac:dyDescent="0.35">
      <c r="A1498" t="s">
        <v>2711</v>
      </c>
      <c r="B1498" s="9">
        <v>46199</v>
      </c>
      <c r="C1498" t="s">
        <v>2712</v>
      </c>
      <c r="D1498" t="s">
        <v>46</v>
      </c>
      <c r="E1498" t="s">
        <v>25</v>
      </c>
      <c r="F1498" t="s">
        <v>74</v>
      </c>
      <c r="G1498" t="s">
        <v>75</v>
      </c>
      <c r="H1498">
        <v>1</v>
      </c>
      <c r="I1498" t="s">
        <v>71</v>
      </c>
      <c r="J1498" t="s">
        <v>71</v>
      </c>
      <c r="K1498" t="s">
        <v>76</v>
      </c>
      <c r="L1498" t="s">
        <v>21</v>
      </c>
      <c r="M1498" t="s">
        <v>22</v>
      </c>
    </row>
    <row r="1499" spans="1:13" x14ac:dyDescent="0.35">
      <c r="A1499" t="s">
        <v>2713</v>
      </c>
      <c r="B1499" s="9">
        <v>46122</v>
      </c>
      <c r="C1499" t="s">
        <v>1239</v>
      </c>
      <c r="D1499" t="s">
        <v>94</v>
      </c>
      <c r="E1499" t="s">
        <v>67</v>
      </c>
      <c r="F1499" t="s">
        <v>42</v>
      </c>
      <c r="G1499" t="s">
        <v>43</v>
      </c>
      <c r="H1499">
        <v>1</v>
      </c>
      <c r="I1499" t="s">
        <v>132</v>
      </c>
      <c r="J1499" t="s">
        <v>132</v>
      </c>
      <c r="K1499">
        <v>190</v>
      </c>
      <c r="L1499" t="s">
        <v>30</v>
      </c>
      <c r="M1499" t="s">
        <v>22</v>
      </c>
    </row>
    <row r="1500" spans="1:13" x14ac:dyDescent="0.35">
      <c r="A1500" t="s">
        <v>2714</v>
      </c>
      <c r="B1500" t="s">
        <v>1753</v>
      </c>
      <c r="C1500" t="s">
        <v>2715</v>
      </c>
      <c r="D1500" t="s">
        <v>40</v>
      </c>
      <c r="E1500" t="s">
        <v>16</v>
      </c>
      <c r="F1500" t="s">
        <v>26</v>
      </c>
      <c r="G1500" t="s">
        <v>27</v>
      </c>
      <c r="H1500">
        <v>1</v>
      </c>
      <c r="I1500" t="s">
        <v>49</v>
      </c>
      <c r="J1500" t="s">
        <v>49</v>
      </c>
      <c r="K1500">
        <v>520</v>
      </c>
      <c r="L1500" t="s">
        <v>21</v>
      </c>
      <c r="M1500" t="s">
        <v>22</v>
      </c>
    </row>
    <row r="1501" spans="1:13" x14ac:dyDescent="0.35">
      <c r="A1501" t="s">
        <v>2716</v>
      </c>
      <c r="B1501" s="9">
        <v>46093</v>
      </c>
      <c r="C1501" t="s">
        <v>2717</v>
      </c>
      <c r="D1501" t="s">
        <v>53</v>
      </c>
      <c r="E1501" t="s">
        <v>34</v>
      </c>
      <c r="F1501" t="s">
        <v>35</v>
      </c>
      <c r="G1501" t="s">
        <v>36</v>
      </c>
      <c r="H1501">
        <v>1</v>
      </c>
      <c r="I1501" t="s">
        <v>220</v>
      </c>
      <c r="J1501" t="s">
        <v>2718</v>
      </c>
      <c r="K1501">
        <v>85</v>
      </c>
      <c r="L1501" t="s">
        <v>30</v>
      </c>
      <c r="M1501" t="s">
        <v>58</v>
      </c>
    </row>
    <row r="1502" spans="1:13" x14ac:dyDescent="0.35">
      <c r="A1502" t="s">
        <v>2719</v>
      </c>
      <c r="B1502" s="9">
        <v>46142</v>
      </c>
      <c r="C1502" t="s">
        <v>1721</v>
      </c>
      <c r="D1502" t="s">
        <v>94</v>
      </c>
      <c r="E1502" t="s">
        <v>16</v>
      </c>
      <c r="F1502" t="s">
        <v>26</v>
      </c>
      <c r="G1502" t="s">
        <v>27</v>
      </c>
      <c r="H1502">
        <v>1</v>
      </c>
      <c r="I1502" t="s">
        <v>132</v>
      </c>
      <c r="J1502" t="s">
        <v>132</v>
      </c>
      <c r="K1502" t="s">
        <v>29</v>
      </c>
      <c r="L1502" t="s">
        <v>30</v>
      </c>
      <c r="M1502" t="s">
        <v>22</v>
      </c>
    </row>
    <row r="1503" spans="1:13" x14ac:dyDescent="0.35">
      <c r="A1503" t="s">
        <v>2720</v>
      </c>
      <c r="B1503" s="9">
        <v>46179</v>
      </c>
      <c r="C1503" t="s">
        <v>927</v>
      </c>
      <c r="D1503" t="s">
        <v>33</v>
      </c>
      <c r="E1503" t="s">
        <v>34</v>
      </c>
      <c r="F1503" t="s">
        <v>47</v>
      </c>
      <c r="G1503" t="s">
        <v>48</v>
      </c>
      <c r="H1503">
        <v>1</v>
      </c>
      <c r="I1503" t="s">
        <v>254</v>
      </c>
      <c r="J1503" t="s">
        <v>254</v>
      </c>
      <c r="K1503" t="s">
        <v>50</v>
      </c>
      <c r="L1503" t="s">
        <v>30</v>
      </c>
      <c r="M1503" t="s">
        <v>22</v>
      </c>
    </row>
    <row r="1504" spans="1:13" x14ac:dyDescent="0.35">
      <c r="A1504" t="s">
        <v>2721</v>
      </c>
      <c r="B1504" s="9">
        <v>46051</v>
      </c>
      <c r="C1504" t="s">
        <v>2203</v>
      </c>
      <c r="D1504" t="s">
        <v>46</v>
      </c>
      <c r="E1504" t="s">
        <v>34</v>
      </c>
      <c r="F1504" t="s">
        <v>26</v>
      </c>
      <c r="G1504" t="s">
        <v>27</v>
      </c>
      <c r="H1504">
        <v>1</v>
      </c>
      <c r="I1504" t="s">
        <v>62</v>
      </c>
      <c r="J1504" t="s">
        <v>1336</v>
      </c>
      <c r="K1504">
        <v>520</v>
      </c>
      <c r="L1504" t="s">
        <v>30</v>
      </c>
      <c r="M1504" t="s">
        <v>22</v>
      </c>
    </row>
    <row r="1505" spans="1:13" x14ac:dyDescent="0.35">
      <c r="A1505" t="s">
        <v>2722</v>
      </c>
      <c r="B1505" t="s">
        <v>765</v>
      </c>
      <c r="C1505" t="s">
        <v>2003</v>
      </c>
      <c r="D1505" t="s">
        <v>40</v>
      </c>
      <c r="E1505" t="s">
        <v>34</v>
      </c>
      <c r="F1505" t="s">
        <v>26</v>
      </c>
      <c r="G1505" t="s">
        <v>27</v>
      </c>
      <c r="H1505">
        <v>1</v>
      </c>
      <c r="I1505" t="s">
        <v>71</v>
      </c>
      <c r="J1505" t="s">
        <v>71</v>
      </c>
      <c r="K1505">
        <v>520</v>
      </c>
      <c r="L1505" t="s">
        <v>30</v>
      </c>
      <c r="M1505" t="s">
        <v>22</v>
      </c>
    </row>
    <row r="1506" spans="1:13" x14ac:dyDescent="0.35">
      <c r="A1506" t="s">
        <v>2723</v>
      </c>
      <c r="B1506" t="s">
        <v>158</v>
      </c>
      <c r="C1506" t="s">
        <v>24</v>
      </c>
      <c r="D1506" t="s">
        <v>61</v>
      </c>
      <c r="E1506" t="s">
        <v>34</v>
      </c>
      <c r="F1506" t="s">
        <v>83</v>
      </c>
      <c r="G1506" t="s">
        <v>84</v>
      </c>
      <c r="H1506">
        <v>2</v>
      </c>
      <c r="I1506" t="s">
        <v>19</v>
      </c>
      <c r="J1506" t="s">
        <v>238</v>
      </c>
      <c r="K1506">
        <v>340</v>
      </c>
      <c r="L1506" t="s">
        <v>30</v>
      </c>
      <c r="M1506" t="s">
        <v>22</v>
      </c>
    </row>
    <row r="1507" spans="1:13" x14ac:dyDescent="0.35">
      <c r="A1507" t="s">
        <v>2724</v>
      </c>
      <c r="B1507" s="9">
        <v>46100</v>
      </c>
      <c r="C1507" t="s">
        <v>2098</v>
      </c>
      <c r="D1507" t="s">
        <v>53</v>
      </c>
      <c r="E1507" t="s">
        <v>16</v>
      </c>
      <c r="F1507" t="s">
        <v>74</v>
      </c>
      <c r="G1507" t="s">
        <v>75</v>
      </c>
      <c r="H1507">
        <v>1</v>
      </c>
      <c r="I1507" t="s">
        <v>106</v>
      </c>
      <c r="J1507" t="s">
        <v>106</v>
      </c>
      <c r="K1507">
        <v>410</v>
      </c>
      <c r="L1507" t="s">
        <v>21</v>
      </c>
      <c r="M1507" t="s">
        <v>22</v>
      </c>
    </row>
    <row r="1508" spans="1:13" x14ac:dyDescent="0.35">
      <c r="A1508" t="s">
        <v>2725</v>
      </c>
      <c r="B1508" s="9">
        <v>46185</v>
      </c>
      <c r="C1508" t="s">
        <v>1229</v>
      </c>
      <c r="D1508" t="s">
        <v>40</v>
      </c>
      <c r="E1508" t="s">
        <v>34</v>
      </c>
      <c r="F1508" t="s">
        <v>42</v>
      </c>
      <c r="G1508" t="s">
        <v>43</v>
      </c>
      <c r="H1508">
        <v>2</v>
      </c>
      <c r="I1508" t="s">
        <v>56</v>
      </c>
      <c r="J1508" t="s">
        <v>193</v>
      </c>
      <c r="K1508" t="s">
        <v>111</v>
      </c>
      <c r="L1508" t="s">
        <v>30</v>
      </c>
      <c r="M1508" t="s">
        <v>22</v>
      </c>
    </row>
    <row r="1509" spans="1:13" x14ac:dyDescent="0.35">
      <c r="A1509" t="s">
        <v>2726</v>
      </c>
      <c r="B1509" s="9">
        <v>46156</v>
      </c>
      <c r="C1509" t="s">
        <v>2366</v>
      </c>
      <c r="D1509" t="s">
        <v>99</v>
      </c>
      <c r="E1509" t="s">
        <v>25</v>
      </c>
      <c r="F1509" t="s">
        <v>35</v>
      </c>
      <c r="G1509" t="s">
        <v>36</v>
      </c>
      <c r="H1509">
        <v>1</v>
      </c>
      <c r="I1509" t="s">
        <v>28</v>
      </c>
      <c r="J1509" t="s">
        <v>28</v>
      </c>
      <c r="K1509" t="s">
        <v>37</v>
      </c>
      <c r="L1509" t="s">
        <v>30</v>
      </c>
      <c r="M1509" t="s">
        <v>22</v>
      </c>
    </row>
    <row r="1510" spans="1:13" x14ac:dyDescent="0.35">
      <c r="A1510" t="s">
        <v>2727</v>
      </c>
      <c r="B1510" t="s">
        <v>610</v>
      </c>
      <c r="C1510" t="s">
        <v>2728</v>
      </c>
      <c r="D1510" t="s">
        <v>53</v>
      </c>
      <c r="E1510" t="s">
        <v>41</v>
      </c>
      <c r="F1510" t="s">
        <v>74</v>
      </c>
      <c r="G1510" t="s">
        <v>75</v>
      </c>
      <c r="H1510">
        <v>3</v>
      </c>
      <c r="I1510" t="s">
        <v>106</v>
      </c>
      <c r="J1510" t="s">
        <v>160</v>
      </c>
      <c r="K1510" t="s">
        <v>76</v>
      </c>
      <c r="L1510" t="s">
        <v>21</v>
      </c>
      <c r="M1510" t="s">
        <v>22</v>
      </c>
    </row>
    <row r="1511" spans="1:13" x14ac:dyDescent="0.35">
      <c r="A1511" t="s">
        <v>2729</v>
      </c>
      <c r="B1511" s="9">
        <v>46158</v>
      </c>
      <c r="C1511" t="s">
        <v>2730</v>
      </c>
      <c r="D1511" t="s">
        <v>53</v>
      </c>
      <c r="E1511" t="s">
        <v>16</v>
      </c>
      <c r="F1511" t="s">
        <v>47</v>
      </c>
      <c r="G1511" t="s">
        <v>48</v>
      </c>
      <c r="H1511">
        <v>2</v>
      </c>
      <c r="I1511" t="s">
        <v>19</v>
      </c>
      <c r="J1511" t="s">
        <v>238</v>
      </c>
      <c r="K1511" t="s">
        <v>50</v>
      </c>
      <c r="L1511" t="s">
        <v>21</v>
      </c>
      <c r="M1511" t="s">
        <v>22</v>
      </c>
    </row>
    <row r="1512" spans="1:13" x14ac:dyDescent="0.35">
      <c r="A1512" t="s">
        <v>2731</v>
      </c>
      <c r="B1512" s="9">
        <v>46108</v>
      </c>
      <c r="C1512" t="s">
        <v>1312</v>
      </c>
      <c r="D1512" t="s">
        <v>66</v>
      </c>
      <c r="E1512" t="s">
        <v>41</v>
      </c>
      <c r="F1512" t="s">
        <v>74</v>
      </c>
      <c r="G1512" t="s">
        <v>75</v>
      </c>
      <c r="H1512">
        <v>2</v>
      </c>
      <c r="I1512" t="s">
        <v>102</v>
      </c>
      <c r="J1512" t="s">
        <v>181</v>
      </c>
      <c r="K1512">
        <v>410</v>
      </c>
      <c r="L1512" t="s">
        <v>30</v>
      </c>
      <c r="M1512" t="s">
        <v>22</v>
      </c>
    </row>
    <row r="1513" spans="1:13" x14ac:dyDescent="0.35">
      <c r="A1513" t="s">
        <v>2732</v>
      </c>
      <c r="B1513" s="9">
        <v>46197</v>
      </c>
      <c r="C1513" t="s">
        <v>2733</v>
      </c>
      <c r="D1513" t="s">
        <v>33</v>
      </c>
      <c r="E1513" t="s">
        <v>67</v>
      </c>
      <c r="F1513" t="s">
        <v>83</v>
      </c>
      <c r="G1513" t="s">
        <v>84</v>
      </c>
      <c r="H1513">
        <v>2</v>
      </c>
      <c r="I1513" t="s">
        <v>68</v>
      </c>
      <c r="J1513" t="s">
        <v>721</v>
      </c>
      <c r="K1513" t="s">
        <v>103</v>
      </c>
      <c r="L1513" t="s">
        <v>30</v>
      </c>
      <c r="M1513" t="s">
        <v>22</v>
      </c>
    </row>
    <row r="1514" spans="1:13" x14ac:dyDescent="0.35">
      <c r="A1514" t="s">
        <v>2734</v>
      </c>
      <c r="B1514" s="9">
        <v>46083</v>
      </c>
      <c r="C1514" t="s">
        <v>2320</v>
      </c>
      <c r="D1514" t="s">
        <v>46</v>
      </c>
      <c r="E1514" t="s">
        <v>16</v>
      </c>
      <c r="F1514" t="s">
        <v>42</v>
      </c>
      <c r="G1514" t="s">
        <v>43</v>
      </c>
      <c r="H1514">
        <v>3</v>
      </c>
      <c r="I1514" t="s">
        <v>79</v>
      </c>
      <c r="J1514" t="s">
        <v>91</v>
      </c>
      <c r="K1514">
        <v>190</v>
      </c>
      <c r="L1514" t="s">
        <v>30</v>
      </c>
      <c r="M1514" t="s">
        <v>22</v>
      </c>
    </row>
    <row r="1515" spans="1:13" x14ac:dyDescent="0.35">
      <c r="A1515" t="s">
        <v>2735</v>
      </c>
      <c r="B1515" s="9">
        <v>46187</v>
      </c>
      <c r="C1515" t="s">
        <v>129</v>
      </c>
      <c r="D1515" t="s">
        <v>33</v>
      </c>
      <c r="E1515" t="s">
        <v>41</v>
      </c>
      <c r="F1515" t="s">
        <v>26</v>
      </c>
      <c r="G1515" t="s">
        <v>27</v>
      </c>
      <c r="H1515">
        <v>1</v>
      </c>
      <c r="I1515" t="s">
        <v>737</v>
      </c>
      <c r="J1515" t="s">
        <v>102</v>
      </c>
      <c r="K1515" t="s">
        <v>29</v>
      </c>
      <c r="L1515" t="s">
        <v>30</v>
      </c>
      <c r="M1515" t="s">
        <v>22</v>
      </c>
    </row>
    <row r="1516" spans="1:13" x14ac:dyDescent="0.35">
      <c r="A1516" t="s">
        <v>2736</v>
      </c>
      <c r="B1516" s="9">
        <v>46123</v>
      </c>
      <c r="C1516" t="s">
        <v>98</v>
      </c>
      <c r="D1516" t="s">
        <v>46</v>
      </c>
      <c r="E1516" t="s">
        <v>41</v>
      </c>
      <c r="F1516" t="s">
        <v>17</v>
      </c>
      <c r="G1516" t="s">
        <v>18</v>
      </c>
      <c r="H1516">
        <v>3</v>
      </c>
      <c r="I1516" t="s">
        <v>744</v>
      </c>
      <c r="J1516" t="s">
        <v>160</v>
      </c>
      <c r="K1516">
        <v>520</v>
      </c>
      <c r="L1516" t="s">
        <v>30</v>
      </c>
      <c r="M1516" t="s">
        <v>22</v>
      </c>
    </row>
    <row r="1517" spans="1:13" x14ac:dyDescent="0.35">
      <c r="A1517" t="s">
        <v>2737</v>
      </c>
      <c r="B1517" s="9">
        <v>46121</v>
      </c>
      <c r="C1517" t="s">
        <v>1942</v>
      </c>
      <c r="D1517" t="s">
        <v>99</v>
      </c>
      <c r="E1517" t="s">
        <v>25</v>
      </c>
      <c r="F1517" t="s">
        <v>83</v>
      </c>
      <c r="G1517" t="s">
        <v>84</v>
      </c>
      <c r="H1517">
        <v>1</v>
      </c>
      <c r="I1517" t="s">
        <v>28</v>
      </c>
      <c r="J1517" t="s">
        <v>28</v>
      </c>
      <c r="K1517">
        <v>340</v>
      </c>
      <c r="L1517" t="s">
        <v>30</v>
      </c>
      <c r="M1517" t="s">
        <v>22</v>
      </c>
    </row>
    <row r="1518" spans="1:13" x14ac:dyDescent="0.35">
      <c r="A1518" t="s">
        <v>2738</v>
      </c>
      <c r="B1518" s="9">
        <v>46141</v>
      </c>
      <c r="C1518" t="s">
        <v>911</v>
      </c>
      <c r="D1518" t="s">
        <v>116</v>
      </c>
      <c r="E1518" t="s">
        <v>25</v>
      </c>
      <c r="F1518" t="s">
        <v>47</v>
      </c>
      <c r="G1518" t="s">
        <v>48</v>
      </c>
      <c r="H1518">
        <v>2</v>
      </c>
      <c r="I1518" t="s">
        <v>19</v>
      </c>
      <c r="J1518" t="s">
        <v>238</v>
      </c>
      <c r="K1518" t="s">
        <v>50</v>
      </c>
      <c r="L1518" t="s">
        <v>30</v>
      </c>
      <c r="M1518" t="s">
        <v>22</v>
      </c>
    </row>
    <row r="1519" spans="1:13" x14ac:dyDescent="0.35">
      <c r="A1519" t="s">
        <v>2739</v>
      </c>
      <c r="B1519" s="9">
        <v>46050</v>
      </c>
      <c r="C1519" t="s">
        <v>2740</v>
      </c>
      <c r="D1519" t="s">
        <v>53</v>
      </c>
      <c r="E1519" t="s">
        <v>67</v>
      </c>
      <c r="F1519" t="s">
        <v>17</v>
      </c>
      <c r="G1519" t="s">
        <v>18</v>
      </c>
      <c r="H1519">
        <v>1</v>
      </c>
      <c r="I1519" t="s">
        <v>106</v>
      </c>
      <c r="J1519" t="s">
        <v>106</v>
      </c>
      <c r="K1519">
        <v>520</v>
      </c>
      <c r="L1519" t="s">
        <v>30</v>
      </c>
      <c r="M1519" t="s">
        <v>22</v>
      </c>
    </row>
    <row r="1520" spans="1:13" x14ac:dyDescent="0.35">
      <c r="A1520" t="s">
        <v>2741</v>
      </c>
      <c r="B1520" s="9">
        <v>46174</v>
      </c>
      <c r="C1520" t="s">
        <v>2742</v>
      </c>
      <c r="D1520" t="s">
        <v>116</v>
      </c>
      <c r="E1520" t="s">
        <v>67</v>
      </c>
      <c r="F1520" t="s">
        <v>47</v>
      </c>
      <c r="G1520" t="s">
        <v>48</v>
      </c>
      <c r="H1520">
        <v>1</v>
      </c>
      <c r="I1520" t="s">
        <v>132</v>
      </c>
      <c r="J1520" t="s">
        <v>132</v>
      </c>
      <c r="K1520" t="s">
        <v>50</v>
      </c>
      <c r="L1520" t="s">
        <v>30</v>
      </c>
      <c r="M1520" t="s">
        <v>22</v>
      </c>
    </row>
    <row r="1521" spans="1:13" x14ac:dyDescent="0.35">
      <c r="A1521" t="s">
        <v>2743</v>
      </c>
      <c r="B1521" s="9">
        <v>46093</v>
      </c>
      <c r="C1521" t="s">
        <v>2744</v>
      </c>
      <c r="D1521" t="s">
        <v>53</v>
      </c>
      <c r="E1521" t="s">
        <v>25</v>
      </c>
      <c r="F1521" t="s">
        <v>42</v>
      </c>
      <c r="G1521" t="s">
        <v>43</v>
      </c>
      <c r="H1521">
        <v>2</v>
      </c>
      <c r="I1521" t="s">
        <v>68</v>
      </c>
      <c r="J1521" t="s">
        <v>248</v>
      </c>
      <c r="K1521">
        <v>190</v>
      </c>
      <c r="L1521" t="s">
        <v>30</v>
      </c>
      <c r="M1521" t="s">
        <v>22</v>
      </c>
    </row>
    <row r="1522" spans="1:13" x14ac:dyDescent="0.35">
      <c r="A1522" t="s">
        <v>2745</v>
      </c>
      <c r="B1522" s="9">
        <v>46106</v>
      </c>
      <c r="C1522" t="s">
        <v>433</v>
      </c>
      <c r="D1522" t="s">
        <v>116</v>
      </c>
      <c r="E1522" t="s">
        <v>34</v>
      </c>
      <c r="F1522" t="s">
        <v>74</v>
      </c>
      <c r="G1522" t="s">
        <v>75</v>
      </c>
      <c r="H1522">
        <v>1</v>
      </c>
      <c r="I1522" t="s">
        <v>19</v>
      </c>
      <c r="J1522" t="s">
        <v>19</v>
      </c>
      <c r="K1522">
        <v>410</v>
      </c>
      <c r="L1522" t="s">
        <v>30</v>
      </c>
      <c r="M1522" t="s">
        <v>22</v>
      </c>
    </row>
    <row r="1523" spans="1:13" x14ac:dyDescent="0.35">
      <c r="A1523" t="s">
        <v>2746</v>
      </c>
      <c r="B1523" s="9">
        <v>46184</v>
      </c>
      <c r="C1523" t="s">
        <v>1202</v>
      </c>
      <c r="D1523" t="s">
        <v>61</v>
      </c>
      <c r="E1523" t="s">
        <v>41</v>
      </c>
      <c r="F1523" t="s">
        <v>17</v>
      </c>
      <c r="G1523" t="s">
        <v>18</v>
      </c>
      <c r="H1523">
        <v>2</v>
      </c>
      <c r="I1523" t="s">
        <v>85</v>
      </c>
      <c r="J1523" t="s">
        <v>267</v>
      </c>
      <c r="K1523" t="s">
        <v>29</v>
      </c>
      <c r="L1523" t="s">
        <v>30</v>
      </c>
      <c r="M1523" t="s">
        <v>58</v>
      </c>
    </row>
    <row r="1524" spans="1:13" x14ac:dyDescent="0.35">
      <c r="A1524" t="s">
        <v>1851</v>
      </c>
      <c r="B1524" s="9">
        <v>46080</v>
      </c>
      <c r="C1524" t="s">
        <v>1852</v>
      </c>
      <c r="D1524" t="s">
        <v>33</v>
      </c>
      <c r="E1524" t="s">
        <v>67</v>
      </c>
      <c r="F1524" t="s">
        <v>42</v>
      </c>
      <c r="G1524" t="s">
        <v>43</v>
      </c>
      <c r="H1524">
        <v>1</v>
      </c>
      <c r="I1524" t="s">
        <v>79</v>
      </c>
      <c r="J1524" t="s">
        <v>79</v>
      </c>
      <c r="K1524">
        <v>190</v>
      </c>
      <c r="L1524" t="s">
        <v>30</v>
      </c>
      <c r="M1524" t="s">
        <v>22</v>
      </c>
    </row>
    <row r="1525" spans="1:13" x14ac:dyDescent="0.35">
      <c r="A1525" t="s">
        <v>2747</v>
      </c>
      <c r="B1525" s="9">
        <v>46055</v>
      </c>
      <c r="C1525" t="s">
        <v>498</v>
      </c>
      <c r="D1525" t="s">
        <v>53</v>
      </c>
      <c r="E1525" t="s">
        <v>41</v>
      </c>
      <c r="F1525" t="s">
        <v>17</v>
      </c>
      <c r="G1525" t="s">
        <v>18</v>
      </c>
      <c r="H1525">
        <v>2</v>
      </c>
      <c r="I1525" t="s">
        <v>19</v>
      </c>
      <c r="J1525" t="s">
        <v>238</v>
      </c>
      <c r="K1525">
        <v>520</v>
      </c>
      <c r="L1525" t="s">
        <v>30</v>
      </c>
      <c r="M1525" t="s">
        <v>22</v>
      </c>
    </row>
    <row r="1526" spans="1:13" x14ac:dyDescent="0.35">
      <c r="A1526" t="s">
        <v>2748</v>
      </c>
      <c r="B1526" s="9">
        <v>46184</v>
      </c>
      <c r="C1526" t="s">
        <v>1239</v>
      </c>
      <c r="D1526" t="s">
        <v>15</v>
      </c>
      <c r="E1526" t="s">
        <v>41</v>
      </c>
      <c r="F1526" t="s">
        <v>89</v>
      </c>
      <c r="G1526" t="s">
        <v>90</v>
      </c>
      <c r="H1526">
        <v>3</v>
      </c>
      <c r="I1526" t="s">
        <v>170</v>
      </c>
      <c r="J1526" t="s">
        <v>856</v>
      </c>
      <c r="K1526" t="s">
        <v>108</v>
      </c>
      <c r="L1526" t="s">
        <v>21</v>
      </c>
      <c r="M1526" t="s">
        <v>22</v>
      </c>
    </row>
    <row r="1527" spans="1:13" x14ac:dyDescent="0.35">
      <c r="A1527" t="s">
        <v>2749</v>
      </c>
      <c r="B1527" s="9">
        <v>46032</v>
      </c>
      <c r="C1527" t="s">
        <v>1126</v>
      </c>
      <c r="D1527" t="s">
        <v>116</v>
      </c>
      <c r="E1527" t="s">
        <v>16</v>
      </c>
      <c r="F1527" t="s">
        <v>35</v>
      </c>
      <c r="G1527" t="s">
        <v>36</v>
      </c>
      <c r="H1527">
        <v>1</v>
      </c>
      <c r="I1527" t="s">
        <v>254</v>
      </c>
      <c r="J1527" t="s">
        <v>2750</v>
      </c>
      <c r="K1527">
        <v>85</v>
      </c>
      <c r="L1527" t="s">
        <v>30</v>
      </c>
      <c r="M1527" t="s">
        <v>22</v>
      </c>
    </row>
    <row r="1528" spans="1:13" x14ac:dyDescent="0.35">
      <c r="A1528" t="s">
        <v>2751</v>
      </c>
      <c r="B1528" s="9">
        <v>46161</v>
      </c>
      <c r="C1528" t="s">
        <v>2752</v>
      </c>
      <c r="D1528" t="s">
        <v>116</v>
      </c>
      <c r="E1528" t="s">
        <v>67</v>
      </c>
      <c r="F1528" t="s">
        <v>35</v>
      </c>
      <c r="G1528" t="s">
        <v>36</v>
      </c>
      <c r="H1528">
        <v>2</v>
      </c>
      <c r="I1528" t="s">
        <v>19</v>
      </c>
      <c r="J1528" t="s">
        <v>238</v>
      </c>
      <c r="K1528" t="s">
        <v>37</v>
      </c>
      <c r="L1528" t="s">
        <v>21</v>
      </c>
      <c r="M1528" t="s">
        <v>58</v>
      </c>
    </row>
    <row r="1529" spans="1:13" x14ac:dyDescent="0.35">
      <c r="A1529" t="s">
        <v>2753</v>
      </c>
      <c r="B1529" s="9">
        <v>46027</v>
      </c>
      <c r="C1529" t="s">
        <v>2754</v>
      </c>
      <c r="D1529" t="s">
        <v>46</v>
      </c>
      <c r="E1529" t="s">
        <v>41</v>
      </c>
      <c r="F1529" t="s">
        <v>42</v>
      </c>
      <c r="G1529" t="s">
        <v>43</v>
      </c>
      <c r="H1529">
        <v>1</v>
      </c>
      <c r="I1529" t="s">
        <v>28</v>
      </c>
      <c r="J1529" t="s">
        <v>28</v>
      </c>
      <c r="K1529" t="s">
        <v>111</v>
      </c>
      <c r="L1529" t="s">
        <v>30</v>
      </c>
      <c r="M1529" t="s">
        <v>22</v>
      </c>
    </row>
    <row r="1530" spans="1:13" x14ac:dyDescent="0.35">
      <c r="A1530" t="s">
        <v>2755</v>
      </c>
      <c r="B1530" s="9">
        <v>46090</v>
      </c>
      <c r="C1530" t="s">
        <v>1346</v>
      </c>
      <c r="D1530" t="s">
        <v>40</v>
      </c>
      <c r="E1530" t="s">
        <v>41</v>
      </c>
      <c r="F1530" t="s">
        <v>89</v>
      </c>
      <c r="G1530" t="s">
        <v>90</v>
      </c>
      <c r="H1530">
        <v>3</v>
      </c>
      <c r="I1530" t="s">
        <v>28</v>
      </c>
      <c r="J1530" t="s">
        <v>2756</v>
      </c>
      <c r="K1530">
        <v>640</v>
      </c>
      <c r="L1530" t="s">
        <v>30</v>
      </c>
      <c r="M1530" t="s">
        <v>22</v>
      </c>
    </row>
    <row r="1531" spans="1:13" x14ac:dyDescent="0.35">
      <c r="A1531" t="s">
        <v>2757</v>
      </c>
      <c r="B1531" s="9">
        <v>46028</v>
      </c>
      <c r="C1531" t="s">
        <v>2348</v>
      </c>
      <c r="D1531" t="s">
        <v>61</v>
      </c>
      <c r="E1531" t="s">
        <v>25</v>
      </c>
      <c r="F1531" t="s">
        <v>83</v>
      </c>
      <c r="G1531" t="s">
        <v>84</v>
      </c>
      <c r="H1531">
        <v>2</v>
      </c>
      <c r="I1531" t="s">
        <v>19</v>
      </c>
      <c r="J1531" t="s">
        <v>238</v>
      </c>
      <c r="K1531">
        <v>340</v>
      </c>
      <c r="L1531" t="s">
        <v>30</v>
      </c>
      <c r="M1531" t="s">
        <v>22</v>
      </c>
    </row>
    <row r="1532" spans="1:13" x14ac:dyDescent="0.35">
      <c r="A1532" t="s">
        <v>2758</v>
      </c>
      <c r="B1532" s="9">
        <v>46094</v>
      </c>
      <c r="C1532" t="s">
        <v>2759</v>
      </c>
      <c r="D1532" t="s">
        <v>46</v>
      </c>
      <c r="E1532" t="s">
        <v>41</v>
      </c>
      <c r="F1532" t="s">
        <v>89</v>
      </c>
      <c r="G1532" t="s">
        <v>90</v>
      </c>
      <c r="H1532">
        <v>1</v>
      </c>
      <c r="I1532" t="s">
        <v>68</v>
      </c>
      <c r="J1532" t="s">
        <v>68</v>
      </c>
      <c r="K1532">
        <v>640</v>
      </c>
      <c r="L1532" t="s">
        <v>30</v>
      </c>
      <c r="M1532" t="s">
        <v>22</v>
      </c>
    </row>
    <row r="1533" spans="1:13" x14ac:dyDescent="0.35">
      <c r="A1533" t="s">
        <v>2760</v>
      </c>
      <c r="B1533" s="9">
        <v>46054</v>
      </c>
      <c r="C1533" t="s">
        <v>1890</v>
      </c>
      <c r="D1533" t="s">
        <v>40</v>
      </c>
      <c r="E1533" t="s">
        <v>25</v>
      </c>
      <c r="F1533" t="s">
        <v>35</v>
      </c>
      <c r="G1533" t="s">
        <v>36</v>
      </c>
      <c r="H1533">
        <v>2</v>
      </c>
      <c r="I1533" t="s">
        <v>62</v>
      </c>
      <c r="J1533" t="s">
        <v>63</v>
      </c>
      <c r="K1533">
        <v>85</v>
      </c>
      <c r="L1533" t="s">
        <v>21</v>
      </c>
      <c r="M1533" t="s">
        <v>22</v>
      </c>
    </row>
    <row r="1534" spans="1:13" x14ac:dyDescent="0.35">
      <c r="A1534" t="s">
        <v>2761</v>
      </c>
      <c r="B1534" s="9">
        <v>46159</v>
      </c>
      <c r="C1534" t="s">
        <v>2189</v>
      </c>
      <c r="D1534" t="s">
        <v>99</v>
      </c>
      <c r="E1534" t="s">
        <v>41</v>
      </c>
      <c r="F1534" t="s">
        <v>42</v>
      </c>
      <c r="G1534" t="s">
        <v>43</v>
      </c>
      <c r="H1534">
        <v>1</v>
      </c>
      <c r="I1534" t="s">
        <v>85</v>
      </c>
      <c r="J1534" t="s">
        <v>85</v>
      </c>
      <c r="K1534" t="s">
        <v>111</v>
      </c>
      <c r="L1534" t="s">
        <v>30</v>
      </c>
      <c r="M1534" t="s">
        <v>58</v>
      </c>
    </row>
    <row r="1535" spans="1:13" x14ac:dyDescent="0.35">
      <c r="A1535" t="s">
        <v>2762</v>
      </c>
      <c r="B1535" s="9">
        <v>46191</v>
      </c>
      <c r="C1535" t="s">
        <v>2763</v>
      </c>
      <c r="D1535" t="s">
        <v>15</v>
      </c>
      <c r="E1535" t="s">
        <v>41</v>
      </c>
      <c r="F1535" t="s">
        <v>89</v>
      </c>
      <c r="G1535" t="s">
        <v>90</v>
      </c>
      <c r="H1535">
        <v>1</v>
      </c>
      <c r="I1535" t="s">
        <v>28</v>
      </c>
      <c r="J1535" t="s">
        <v>28</v>
      </c>
      <c r="K1535" t="s">
        <v>108</v>
      </c>
      <c r="L1535" t="s">
        <v>30</v>
      </c>
      <c r="M1535" t="s">
        <v>22</v>
      </c>
    </row>
    <row r="1536" spans="1:13" x14ac:dyDescent="0.35">
      <c r="A1536" t="s">
        <v>2764</v>
      </c>
      <c r="B1536" s="9">
        <v>46148</v>
      </c>
      <c r="C1536" t="s">
        <v>844</v>
      </c>
      <c r="D1536" t="s">
        <v>53</v>
      </c>
      <c r="E1536" t="s">
        <v>16</v>
      </c>
      <c r="F1536" t="s">
        <v>74</v>
      </c>
      <c r="G1536" t="s">
        <v>75</v>
      </c>
      <c r="H1536">
        <v>3</v>
      </c>
      <c r="I1536" t="s">
        <v>68</v>
      </c>
      <c r="J1536" t="s">
        <v>205</v>
      </c>
      <c r="K1536" t="s">
        <v>76</v>
      </c>
      <c r="L1536" t="s">
        <v>30</v>
      </c>
      <c r="M1536" t="s">
        <v>22</v>
      </c>
    </row>
    <row r="1537" spans="1:13" x14ac:dyDescent="0.35">
      <c r="A1537" t="s">
        <v>2765</v>
      </c>
      <c r="B1537" s="9">
        <v>46125</v>
      </c>
      <c r="C1537" t="s">
        <v>2050</v>
      </c>
      <c r="D1537" t="s">
        <v>94</v>
      </c>
      <c r="E1537" t="s">
        <v>34</v>
      </c>
      <c r="F1537" t="s">
        <v>35</v>
      </c>
      <c r="G1537" t="s">
        <v>36</v>
      </c>
      <c r="H1537">
        <v>2</v>
      </c>
      <c r="I1537" t="s">
        <v>254</v>
      </c>
      <c r="J1537" t="s">
        <v>156</v>
      </c>
      <c r="K1537">
        <v>85</v>
      </c>
      <c r="L1537" t="s">
        <v>21</v>
      </c>
      <c r="M1537" t="s">
        <v>22</v>
      </c>
    </row>
    <row r="1538" spans="1:13" x14ac:dyDescent="0.35">
      <c r="A1538" t="s">
        <v>2766</v>
      </c>
      <c r="B1538" s="9">
        <v>46074</v>
      </c>
      <c r="C1538" t="s">
        <v>2767</v>
      </c>
      <c r="D1538" t="s">
        <v>61</v>
      </c>
      <c r="E1538" t="s">
        <v>41</v>
      </c>
      <c r="F1538" t="s">
        <v>35</v>
      </c>
      <c r="G1538" t="s">
        <v>36</v>
      </c>
      <c r="H1538">
        <v>1</v>
      </c>
      <c r="I1538" t="s">
        <v>220</v>
      </c>
      <c r="J1538" t="s">
        <v>220</v>
      </c>
      <c r="K1538">
        <v>85</v>
      </c>
      <c r="L1538" t="s">
        <v>30</v>
      </c>
      <c r="M1538" t="s">
        <v>22</v>
      </c>
    </row>
    <row r="1539" spans="1:13" x14ac:dyDescent="0.35">
      <c r="A1539" t="s">
        <v>2768</v>
      </c>
      <c r="B1539" s="9">
        <v>46187</v>
      </c>
      <c r="C1539" t="s">
        <v>2769</v>
      </c>
      <c r="D1539" t="s">
        <v>116</v>
      </c>
      <c r="E1539" t="s">
        <v>34</v>
      </c>
      <c r="F1539" t="s">
        <v>35</v>
      </c>
      <c r="G1539" t="s">
        <v>36</v>
      </c>
      <c r="H1539">
        <v>2</v>
      </c>
      <c r="I1539" t="s">
        <v>170</v>
      </c>
      <c r="J1539" t="s">
        <v>152</v>
      </c>
      <c r="K1539" t="s">
        <v>37</v>
      </c>
      <c r="L1539" t="s">
        <v>30</v>
      </c>
      <c r="M1539" t="s">
        <v>22</v>
      </c>
    </row>
    <row r="1540" spans="1:13" x14ac:dyDescent="0.35">
      <c r="A1540" t="s">
        <v>2770</v>
      </c>
      <c r="B1540" s="9">
        <v>46146</v>
      </c>
      <c r="C1540" t="s">
        <v>2771</v>
      </c>
      <c r="D1540" t="s">
        <v>61</v>
      </c>
      <c r="E1540" t="s">
        <v>25</v>
      </c>
      <c r="F1540" t="s">
        <v>89</v>
      </c>
      <c r="G1540" t="s">
        <v>90</v>
      </c>
      <c r="H1540">
        <v>2</v>
      </c>
      <c r="I1540" t="s">
        <v>266</v>
      </c>
      <c r="J1540" t="s">
        <v>267</v>
      </c>
      <c r="K1540" t="s">
        <v>108</v>
      </c>
      <c r="L1540" t="s">
        <v>30</v>
      </c>
      <c r="M1540" t="s">
        <v>22</v>
      </c>
    </row>
    <row r="1541" spans="1:13" x14ac:dyDescent="0.35">
      <c r="A1541" t="s">
        <v>2772</v>
      </c>
      <c r="B1541" s="9">
        <v>46187</v>
      </c>
      <c r="C1541" t="s">
        <v>2773</v>
      </c>
      <c r="D1541" t="s">
        <v>33</v>
      </c>
      <c r="E1541" t="s">
        <v>67</v>
      </c>
      <c r="F1541" t="s">
        <v>42</v>
      </c>
      <c r="G1541" t="s">
        <v>43</v>
      </c>
      <c r="H1541">
        <v>-1</v>
      </c>
      <c r="I1541" t="s">
        <v>192</v>
      </c>
      <c r="J1541" t="s">
        <v>1738</v>
      </c>
      <c r="K1541" t="s">
        <v>111</v>
      </c>
      <c r="L1541" t="s">
        <v>21</v>
      </c>
      <c r="M1541" t="s">
        <v>22</v>
      </c>
    </row>
    <row r="1542" spans="1:13" x14ac:dyDescent="0.35">
      <c r="A1542" t="s">
        <v>2774</v>
      </c>
      <c r="B1542" s="9">
        <v>46162</v>
      </c>
      <c r="C1542" t="s">
        <v>1733</v>
      </c>
      <c r="D1542" t="s">
        <v>46</v>
      </c>
      <c r="E1542" t="s">
        <v>25</v>
      </c>
      <c r="F1542" t="s">
        <v>89</v>
      </c>
      <c r="G1542" t="s">
        <v>90</v>
      </c>
      <c r="H1542">
        <v>1</v>
      </c>
      <c r="I1542" t="s">
        <v>79</v>
      </c>
      <c r="J1542" t="s">
        <v>79</v>
      </c>
      <c r="K1542" t="s">
        <v>108</v>
      </c>
      <c r="L1542" t="s">
        <v>21</v>
      </c>
      <c r="M1542" t="s">
        <v>22</v>
      </c>
    </row>
    <row r="1543" spans="1:13" x14ac:dyDescent="0.35">
      <c r="A1543" t="s">
        <v>2775</v>
      </c>
      <c r="B1543" s="9">
        <v>46076</v>
      </c>
      <c r="C1543" t="s">
        <v>1415</v>
      </c>
      <c r="D1543" t="s">
        <v>61</v>
      </c>
      <c r="E1543" t="s">
        <v>67</v>
      </c>
      <c r="F1543" t="s">
        <v>89</v>
      </c>
      <c r="G1543" t="s">
        <v>90</v>
      </c>
      <c r="H1543">
        <v>2</v>
      </c>
      <c r="I1543" t="s">
        <v>71</v>
      </c>
      <c r="J1543" t="s">
        <v>286</v>
      </c>
      <c r="K1543">
        <v>640</v>
      </c>
      <c r="L1543" t="s">
        <v>30</v>
      </c>
      <c r="M1543" t="s">
        <v>22</v>
      </c>
    </row>
    <row r="1544" spans="1:13" x14ac:dyDescent="0.35">
      <c r="A1544" t="s">
        <v>2776</v>
      </c>
      <c r="B1544" s="9">
        <v>46060</v>
      </c>
      <c r="C1544" t="s">
        <v>2777</v>
      </c>
      <c r="D1544" t="s">
        <v>94</v>
      </c>
      <c r="E1544" t="s">
        <v>34</v>
      </c>
      <c r="F1544" t="s">
        <v>74</v>
      </c>
      <c r="G1544" t="s">
        <v>75</v>
      </c>
      <c r="H1544">
        <v>1</v>
      </c>
      <c r="I1544" t="s">
        <v>140</v>
      </c>
      <c r="J1544" t="s">
        <v>19</v>
      </c>
      <c r="K1544">
        <v>410</v>
      </c>
      <c r="L1544" t="s">
        <v>30</v>
      </c>
      <c r="M1544" t="s">
        <v>22</v>
      </c>
    </row>
    <row r="1545" spans="1:13" x14ac:dyDescent="0.35">
      <c r="A1545" t="s">
        <v>2778</v>
      </c>
      <c r="B1545" s="9">
        <v>46239</v>
      </c>
      <c r="C1545" t="s">
        <v>2779</v>
      </c>
      <c r="D1545" t="s">
        <v>116</v>
      </c>
      <c r="E1545" t="s">
        <v>16</v>
      </c>
      <c r="F1545" t="s">
        <v>47</v>
      </c>
      <c r="G1545" t="s">
        <v>48</v>
      </c>
      <c r="H1545">
        <v>1</v>
      </c>
      <c r="I1545" t="s">
        <v>132</v>
      </c>
      <c r="J1545" t="s">
        <v>132</v>
      </c>
      <c r="K1545" t="s">
        <v>50</v>
      </c>
      <c r="L1545" t="s">
        <v>30</v>
      </c>
      <c r="M1545" t="s">
        <v>22</v>
      </c>
    </row>
    <row r="1546" spans="1:13" x14ac:dyDescent="0.35">
      <c r="A1546" t="s">
        <v>2780</v>
      </c>
      <c r="B1546" s="9">
        <v>46045</v>
      </c>
      <c r="C1546" t="s">
        <v>2452</v>
      </c>
      <c r="D1546" t="s">
        <v>61</v>
      </c>
      <c r="E1546" t="s">
        <v>41</v>
      </c>
      <c r="F1546" t="s">
        <v>35</v>
      </c>
      <c r="G1546" t="s">
        <v>36</v>
      </c>
      <c r="H1546">
        <v>2</v>
      </c>
      <c r="I1546" t="s">
        <v>71</v>
      </c>
      <c r="J1546" t="s">
        <v>286</v>
      </c>
      <c r="K1546">
        <v>85</v>
      </c>
      <c r="L1546" t="s">
        <v>21</v>
      </c>
      <c r="M1546" t="s">
        <v>22</v>
      </c>
    </row>
    <row r="1547" spans="1:13" x14ac:dyDescent="0.35">
      <c r="A1547" t="s">
        <v>2781</v>
      </c>
      <c r="B1547" s="9">
        <v>46297</v>
      </c>
      <c r="C1547" t="s">
        <v>2782</v>
      </c>
      <c r="D1547" t="s">
        <v>94</v>
      </c>
      <c r="E1547" t="s">
        <v>67</v>
      </c>
      <c r="F1547" t="s">
        <v>17</v>
      </c>
      <c r="G1547" t="s">
        <v>18</v>
      </c>
      <c r="H1547">
        <v>1</v>
      </c>
      <c r="I1547" t="s">
        <v>79</v>
      </c>
      <c r="J1547" t="s">
        <v>79</v>
      </c>
      <c r="K1547">
        <v>520</v>
      </c>
      <c r="L1547" t="s">
        <v>30</v>
      </c>
      <c r="M1547" t="s">
        <v>22</v>
      </c>
    </row>
    <row r="1548" spans="1:13" x14ac:dyDescent="0.35">
      <c r="A1548" t="s">
        <v>2668</v>
      </c>
      <c r="B1548" s="9">
        <v>46096</v>
      </c>
      <c r="C1548" t="s">
        <v>2509</v>
      </c>
      <c r="D1548" t="s">
        <v>15</v>
      </c>
      <c r="E1548" t="s">
        <v>34</v>
      </c>
      <c r="F1548" t="s">
        <v>42</v>
      </c>
      <c r="G1548" t="s">
        <v>43</v>
      </c>
      <c r="H1548">
        <v>1</v>
      </c>
      <c r="I1548" t="s">
        <v>254</v>
      </c>
      <c r="J1548" t="s">
        <v>254</v>
      </c>
      <c r="K1548">
        <v>190</v>
      </c>
      <c r="L1548" t="s">
        <v>30</v>
      </c>
      <c r="M1548" t="s">
        <v>22</v>
      </c>
    </row>
    <row r="1549" spans="1:13" x14ac:dyDescent="0.35">
      <c r="A1549" t="s">
        <v>2783</v>
      </c>
      <c r="B1549" s="9">
        <v>46197</v>
      </c>
      <c r="C1549" t="s">
        <v>2784</v>
      </c>
      <c r="D1549" t="s">
        <v>116</v>
      </c>
      <c r="E1549" t="s">
        <v>67</v>
      </c>
      <c r="F1549" t="s">
        <v>35</v>
      </c>
      <c r="G1549" t="s">
        <v>36</v>
      </c>
      <c r="H1549">
        <v>1</v>
      </c>
      <c r="I1549" t="s">
        <v>19</v>
      </c>
      <c r="J1549" t="s">
        <v>19</v>
      </c>
      <c r="K1549" t="s">
        <v>37</v>
      </c>
      <c r="L1549" t="s">
        <v>30</v>
      </c>
      <c r="M1549" t="s">
        <v>22</v>
      </c>
    </row>
    <row r="1550" spans="1:13" x14ac:dyDescent="0.35">
      <c r="A1550" t="s">
        <v>2785</v>
      </c>
      <c r="B1550" s="9">
        <v>46127</v>
      </c>
      <c r="C1550" t="s">
        <v>2786</v>
      </c>
      <c r="D1550" t="s">
        <v>61</v>
      </c>
      <c r="E1550" t="s">
        <v>34</v>
      </c>
      <c r="F1550" t="s">
        <v>83</v>
      </c>
      <c r="G1550" t="s">
        <v>84</v>
      </c>
      <c r="H1550">
        <v>3</v>
      </c>
      <c r="I1550" t="s">
        <v>71</v>
      </c>
      <c r="J1550" t="s">
        <v>379</v>
      </c>
      <c r="K1550">
        <v>340</v>
      </c>
      <c r="L1550" t="s">
        <v>30</v>
      </c>
      <c r="M1550" t="s">
        <v>58</v>
      </c>
    </row>
    <row r="1551" spans="1:13" x14ac:dyDescent="0.35">
      <c r="A1551" t="s">
        <v>2787</v>
      </c>
      <c r="B1551" s="9">
        <v>46084</v>
      </c>
      <c r="C1551" t="s">
        <v>996</v>
      </c>
      <c r="D1551" t="s">
        <v>116</v>
      </c>
      <c r="E1551" t="s">
        <v>25</v>
      </c>
      <c r="F1551" t="s">
        <v>83</v>
      </c>
      <c r="G1551" t="s">
        <v>84</v>
      </c>
      <c r="H1551">
        <v>1</v>
      </c>
      <c r="I1551" t="s">
        <v>132</v>
      </c>
      <c r="J1551" t="s">
        <v>132</v>
      </c>
      <c r="K1551">
        <v>340</v>
      </c>
      <c r="L1551" t="s">
        <v>21</v>
      </c>
      <c r="M1551" t="s">
        <v>58</v>
      </c>
    </row>
    <row r="1552" spans="1:13" x14ac:dyDescent="0.35">
      <c r="A1552" t="s">
        <v>2788</v>
      </c>
      <c r="B1552" s="9">
        <v>46180</v>
      </c>
      <c r="C1552" t="s">
        <v>862</v>
      </c>
      <c r="D1552" t="s">
        <v>15</v>
      </c>
      <c r="E1552" t="s">
        <v>25</v>
      </c>
      <c r="F1552" t="s">
        <v>83</v>
      </c>
      <c r="G1552" t="s">
        <v>84</v>
      </c>
      <c r="H1552">
        <v>1</v>
      </c>
      <c r="I1552" t="s">
        <v>102</v>
      </c>
      <c r="J1552" t="s">
        <v>102</v>
      </c>
      <c r="K1552" t="s">
        <v>103</v>
      </c>
      <c r="L1552" t="s">
        <v>21</v>
      </c>
      <c r="M1552" t="s">
        <v>58</v>
      </c>
    </row>
    <row r="1553" spans="1:13" x14ac:dyDescent="0.35">
      <c r="A1553" t="s">
        <v>2789</v>
      </c>
      <c r="B1553" s="9">
        <v>46031</v>
      </c>
      <c r="C1553" t="s">
        <v>1168</v>
      </c>
      <c r="D1553" t="s">
        <v>99</v>
      </c>
      <c r="E1553" t="s">
        <v>34</v>
      </c>
      <c r="F1553" t="s">
        <v>83</v>
      </c>
      <c r="G1553" t="s">
        <v>84</v>
      </c>
      <c r="H1553">
        <v>2</v>
      </c>
      <c r="I1553" t="s">
        <v>220</v>
      </c>
      <c r="J1553" t="s">
        <v>221</v>
      </c>
      <c r="K1553">
        <v>340</v>
      </c>
      <c r="L1553" t="s">
        <v>30</v>
      </c>
      <c r="M1553" t="s">
        <v>58</v>
      </c>
    </row>
    <row r="1554" spans="1:13" x14ac:dyDescent="0.35">
      <c r="A1554" t="s">
        <v>2790</v>
      </c>
      <c r="B1554" s="9">
        <v>46051</v>
      </c>
      <c r="C1554" t="s">
        <v>2791</v>
      </c>
      <c r="D1554" t="s">
        <v>61</v>
      </c>
      <c r="E1554" t="s">
        <v>41</v>
      </c>
      <c r="F1554" t="s">
        <v>89</v>
      </c>
      <c r="G1554" t="s">
        <v>90</v>
      </c>
      <c r="H1554">
        <v>3</v>
      </c>
      <c r="I1554" t="s">
        <v>362</v>
      </c>
      <c r="J1554" t="s">
        <v>205</v>
      </c>
      <c r="K1554">
        <v>640</v>
      </c>
      <c r="L1554" t="s">
        <v>21</v>
      </c>
      <c r="M1554" t="s">
        <v>22</v>
      </c>
    </row>
    <row r="1555" spans="1:13" x14ac:dyDescent="0.35">
      <c r="A1555" t="s">
        <v>2792</v>
      </c>
      <c r="B1555" s="9">
        <v>46206</v>
      </c>
      <c r="C1555" t="s">
        <v>2793</v>
      </c>
      <c r="D1555" t="s">
        <v>94</v>
      </c>
      <c r="E1555" t="s">
        <v>25</v>
      </c>
      <c r="F1555" t="s">
        <v>42</v>
      </c>
      <c r="G1555" t="s">
        <v>43</v>
      </c>
      <c r="H1555">
        <v>1</v>
      </c>
      <c r="I1555" t="s">
        <v>102</v>
      </c>
      <c r="J1555" t="s">
        <v>102</v>
      </c>
      <c r="K1555">
        <v>190</v>
      </c>
      <c r="L1555" t="s">
        <v>21</v>
      </c>
      <c r="M1555" t="s">
        <v>58</v>
      </c>
    </row>
    <row r="1556" spans="1:13" x14ac:dyDescent="0.35">
      <c r="A1556" t="s">
        <v>2794</v>
      </c>
      <c r="B1556" s="9">
        <v>46054</v>
      </c>
      <c r="C1556" t="s">
        <v>1686</v>
      </c>
      <c r="D1556" t="s">
        <v>53</v>
      </c>
      <c r="E1556" t="s">
        <v>25</v>
      </c>
      <c r="F1556" t="s">
        <v>74</v>
      </c>
      <c r="G1556" t="s">
        <v>75</v>
      </c>
      <c r="H1556">
        <v>2</v>
      </c>
      <c r="I1556" t="s">
        <v>62</v>
      </c>
      <c r="J1556" t="s">
        <v>63</v>
      </c>
      <c r="K1556">
        <v>410</v>
      </c>
      <c r="L1556" t="s">
        <v>30</v>
      </c>
      <c r="M1556" t="s">
        <v>22</v>
      </c>
    </row>
    <row r="1557" spans="1:13" x14ac:dyDescent="0.35">
      <c r="A1557" t="s">
        <v>2795</v>
      </c>
      <c r="B1557" t="s">
        <v>2796</v>
      </c>
      <c r="C1557" t="s">
        <v>1993</v>
      </c>
      <c r="D1557" t="s">
        <v>46</v>
      </c>
      <c r="E1557" t="s">
        <v>16</v>
      </c>
      <c r="F1557" t="s">
        <v>74</v>
      </c>
      <c r="G1557" t="s">
        <v>75</v>
      </c>
      <c r="H1557">
        <v>1</v>
      </c>
      <c r="I1557" t="s">
        <v>71</v>
      </c>
      <c r="J1557" t="s">
        <v>71</v>
      </c>
      <c r="K1557" t="s">
        <v>76</v>
      </c>
      <c r="L1557" t="s">
        <v>21</v>
      </c>
      <c r="M1557" t="s">
        <v>22</v>
      </c>
    </row>
    <row r="1558" spans="1:13" x14ac:dyDescent="0.35">
      <c r="A1558" t="s">
        <v>2797</v>
      </c>
      <c r="B1558" s="9">
        <v>46124</v>
      </c>
      <c r="C1558" t="s">
        <v>2798</v>
      </c>
      <c r="D1558" t="s">
        <v>116</v>
      </c>
      <c r="E1558" t="s">
        <v>41</v>
      </c>
      <c r="F1558" t="s">
        <v>42</v>
      </c>
      <c r="G1558" t="s">
        <v>43</v>
      </c>
      <c r="H1558">
        <v>2</v>
      </c>
      <c r="I1558" t="s">
        <v>254</v>
      </c>
      <c r="J1558" t="s">
        <v>156</v>
      </c>
      <c r="K1558">
        <v>190</v>
      </c>
      <c r="L1558" t="s">
        <v>30</v>
      </c>
      <c r="M1558" t="s">
        <v>22</v>
      </c>
    </row>
    <row r="1559" spans="1:13" x14ac:dyDescent="0.35">
      <c r="A1559" t="s">
        <v>2799</v>
      </c>
      <c r="B1559" s="9">
        <v>46177</v>
      </c>
      <c r="C1559" t="s">
        <v>2800</v>
      </c>
      <c r="D1559" t="s">
        <v>61</v>
      </c>
      <c r="E1559" t="s">
        <v>41</v>
      </c>
      <c r="F1559" t="s">
        <v>35</v>
      </c>
      <c r="G1559" t="s">
        <v>36</v>
      </c>
      <c r="H1559">
        <v>2</v>
      </c>
      <c r="I1559" t="s">
        <v>170</v>
      </c>
      <c r="J1559" t="s">
        <v>152</v>
      </c>
      <c r="K1559" t="s">
        <v>37</v>
      </c>
      <c r="L1559" t="s">
        <v>30</v>
      </c>
      <c r="M1559" t="s">
        <v>22</v>
      </c>
    </row>
    <row r="1560" spans="1:13" x14ac:dyDescent="0.35">
      <c r="A1560" t="s">
        <v>2801</v>
      </c>
      <c r="B1560" s="9">
        <v>46136</v>
      </c>
      <c r="C1560" t="s">
        <v>834</v>
      </c>
      <c r="D1560" t="s">
        <v>61</v>
      </c>
      <c r="E1560" t="s">
        <v>67</v>
      </c>
      <c r="F1560" t="s">
        <v>74</v>
      </c>
      <c r="G1560" t="s">
        <v>75</v>
      </c>
      <c r="H1560">
        <v>1</v>
      </c>
      <c r="I1560" t="s">
        <v>79</v>
      </c>
      <c r="J1560" t="s">
        <v>79</v>
      </c>
      <c r="K1560" t="s">
        <v>76</v>
      </c>
      <c r="L1560" t="s">
        <v>30</v>
      </c>
      <c r="M1560" t="s">
        <v>58</v>
      </c>
    </row>
    <row r="1561" spans="1:13" x14ac:dyDescent="0.35">
      <c r="A1561" t="s">
        <v>2802</v>
      </c>
      <c r="B1561" s="9">
        <v>46155</v>
      </c>
      <c r="C1561" t="s">
        <v>1087</v>
      </c>
      <c r="D1561" t="s">
        <v>116</v>
      </c>
      <c r="E1561" t="s">
        <v>25</v>
      </c>
      <c r="F1561" t="s">
        <v>26</v>
      </c>
      <c r="G1561" t="s">
        <v>27</v>
      </c>
      <c r="H1561">
        <v>1</v>
      </c>
      <c r="I1561" t="s">
        <v>79</v>
      </c>
      <c r="J1561" t="s">
        <v>79</v>
      </c>
      <c r="K1561" t="s">
        <v>29</v>
      </c>
      <c r="L1561" t="s">
        <v>30</v>
      </c>
      <c r="M1561" t="s">
        <v>58</v>
      </c>
    </row>
    <row r="1562" spans="1:13" x14ac:dyDescent="0.35">
      <c r="A1562" t="s">
        <v>2803</v>
      </c>
      <c r="B1562" s="9">
        <v>46157</v>
      </c>
      <c r="C1562" t="s">
        <v>2804</v>
      </c>
      <c r="D1562" t="s">
        <v>66</v>
      </c>
      <c r="E1562" t="s">
        <v>41</v>
      </c>
      <c r="F1562" t="s">
        <v>89</v>
      </c>
      <c r="G1562" t="s">
        <v>90</v>
      </c>
      <c r="H1562">
        <v>1</v>
      </c>
      <c r="I1562" t="s">
        <v>220</v>
      </c>
      <c r="J1562" t="s">
        <v>220</v>
      </c>
      <c r="K1562" t="s">
        <v>108</v>
      </c>
      <c r="L1562" t="s">
        <v>21</v>
      </c>
      <c r="M1562" t="s">
        <v>22</v>
      </c>
    </row>
    <row r="1563" spans="1:13" x14ac:dyDescent="0.35">
      <c r="A1563" t="s">
        <v>2805</v>
      </c>
      <c r="B1563" s="9">
        <v>46125</v>
      </c>
      <c r="C1563" t="s">
        <v>2806</v>
      </c>
      <c r="D1563" t="s">
        <v>53</v>
      </c>
      <c r="E1563" t="s">
        <v>34</v>
      </c>
      <c r="F1563" t="s">
        <v>74</v>
      </c>
      <c r="G1563" t="s">
        <v>75</v>
      </c>
      <c r="H1563">
        <v>2</v>
      </c>
      <c r="I1563" t="s">
        <v>132</v>
      </c>
      <c r="J1563" t="s">
        <v>133</v>
      </c>
      <c r="K1563">
        <v>410</v>
      </c>
      <c r="L1563" t="s">
        <v>30</v>
      </c>
      <c r="M1563" t="s">
        <v>58</v>
      </c>
    </row>
    <row r="1564" spans="1:13" x14ac:dyDescent="0.35">
      <c r="A1564" t="s">
        <v>2807</v>
      </c>
      <c r="B1564" s="9">
        <v>46106</v>
      </c>
      <c r="C1564" t="s">
        <v>1275</v>
      </c>
      <c r="D1564" t="s">
        <v>116</v>
      </c>
      <c r="E1564" t="s">
        <v>41</v>
      </c>
      <c r="F1564" t="s">
        <v>42</v>
      </c>
      <c r="G1564" t="s">
        <v>43</v>
      </c>
      <c r="H1564">
        <v>2</v>
      </c>
      <c r="I1564" t="s">
        <v>102</v>
      </c>
      <c r="J1564" t="s">
        <v>181</v>
      </c>
      <c r="K1564">
        <v>190</v>
      </c>
      <c r="L1564" t="s">
        <v>30</v>
      </c>
      <c r="M1564" t="s">
        <v>58</v>
      </c>
    </row>
    <row r="1565" spans="1:13" x14ac:dyDescent="0.35">
      <c r="A1565" t="s">
        <v>2808</v>
      </c>
      <c r="B1565" s="9">
        <v>46125</v>
      </c>
      <c r="C1565" t="s">
        <v>2809</v>
      </c>
      <c r="D1565" t="s">
        <v>33</v>
      </c>
      <c r="E1565" t="s">
        <v>25</v>
      </c>
      <c r="F1565" t="s">
        <v>74</v>
      </c>
      <c r="G1565" t="s">
        <v>75</v>
      </c>
      <c r="H1565">
        <v>2</v>
      </c>
      <c r="I1565" t="s">
        <v>136</v>
      </c>
      <c r="J1565" t="s">
        <v>164</v>
      </c>
      <c r="K1565">
        <v>410</v>
      </c>
      <c r="L1565" t="s">
        <v>30</v>
      </c>
      <c r="M1565" t="s">
        <v>22</v>
      </c>
    </row>
    <row r="1566" spans="1:13" x14ac:dyDescent="0.35">
      <c r="A1566" t="s">
        <v>2810</v>
      </c>
      <c r="B1566" s="9">
        <v>46124</v>
      </c>
      <c r="C1566" t="s">
        <v>2811</v>
      </c>
      <c r="D1566" t="s">
        <v>61</v>
      </c>
      <c r="E1566" t="s">
        <v>25</v>
      </c>
      <c r="F1566" t="s">
        <v>17</v>
      </c>
      <c r="G1566" t="s">
        <v>18</v>
      </c>
      <c r="H1566">
        <v>1</v>
      </c>
      <c r="I1566" t="s">
        <v>2615</v>
      </c>
      <c r="J1566" t="s">
        <v>71</v>
      </c>
      <c r="K1566">
        <v>520</v>
      </c>
      <c r="L1566" t="s">
        <v>30</v>
      </c>
      <c r="M1566" t="s">
        <v>22</v>
      </c>
    </row>
    <row r="1567" spans="1:13" x14ac:dyDescent="0.35">
      <c r="A1567" t="s">
        <v>2812</v>
      </c>
      <c r="B1567" s="9">
        <v>46044</v>
      </c>
      <c r="C1567" t="s">
        <v>2813</v>
      </c>
      <c r="D1567" t="s">
        <v>40</v>
      </c>
      <c r="E1567" t="s">
        <v>41</v>
      </c>
      <c r="F1567" t="s">
        <v>35</v>
      </c>
      <c r="G1567" t="s">
        <v>36</v>
      </c>
      <c r="H1567">
        <v>2</v>
      </c>
      <c r="I1567" t="s">
        <v>1213</v>
      </c>
      <c r="J1567" t="s">
        <v>107</v>
      </c>
      <c r="K1567">
        <v>85</v>
      </c>
      <c r="L1567" t="s">
        <v>30</v>
      </c>
      <c r="M1567" t="s">
        <v>58</v>
      </c>
    </row>
    <row r="1568" spans="1:13" x14ac:dyDescent="0.35">
      <c r="A1568" t="s">
        <v>2814</v>
      </c>
      <c r="B1568" s="9">
        <v>46051</v>
      </c>
      <c r="C1568" t="s">
        <v>1241</v>
      </c>
      <c r="D1568" t="s">
        <v>61</v>
      </c>
      <c r="E1568" t="s">
        <v>34</v>
      </c>
      <c r="F1568" t="s">
        <v>83</v>
      </c>
      <c r="G1568" t="s">
        <v>84</v>
      </c>
      <c r="H1568">
        <v>3</v>
      </c>
      <c r="I1568" t="s">
        <v>220</v>
      </c>
      <c r="J1568" t="s">
        <v>494</v>
      </c>
      <c r="K1568">
        <v>340</v>
      </c>
      <c r="L1568" t="s">
        <v>21</v>
      </c>
      <c r="M1568" t="s">
        <v>22</v>
      </c>
    </row>
    <row r="1569" spans="1:13" x14ac:dyDescent="0.35">
      <c r="A1569" t="s">
        <v>2815</v>
      </c>
      <c r="B1569" s="9">
        <v>46109</v>
      </c>
      <c r="C1569" t="s">
        <v>1828</v>
      </c>
      <c r="D1569" t="s">
        <v>46</v>
      </c>
      <c r="E1569" t="s">
        <v>41</v>
      </c>
      <c r="F1569" t="s">
        <v>74</v>
      </c>
      <c r="G1569" t="s">
        <v>75</v>
      </c>
      <c r="H1569">
        <v>2</v>
      </c>
      <c r="I1569" t="s">
        <v>102</v>
      </c>
      <c r="J1569" t="s">
        <v>2816</v>
      </c>
      <c r="K1569">
        <v>410</v>
      </c>
      <c r="L1569" t="s">
        <v>30</v>
      </c>
      <c r="M1569" t="s">
        <v>22</v>
      </c>
    </row>
    <row r="1570" spans="1:13" x14ac:dyDescent="0.35">
      <c r="A1570" t="s">
        <v>2817</v>
      </c>
      <c r="B1570" s="9">
        <v>46164</v>
      </c>
      <c r="C1570" t="s">
        <v>2818</v>
      </c>
      <c r="D1570" t="s">
        <v>116</v>
      </c>
      <c r="E1570" t="s">
        <v>67</v>
      </c>
      <c r="F1570" t="s">
        <v>83</v>
      </c>
      <c r="G1570" t="s">
        <v>84</v>
      </c>
      <c r="H1570">
        <v>2</v>
      </c>
      <c r="I1570" t="s">
        <v>106</v>
      </c>
      <c r="J1570" t="s">
        <v>107</v>
      </c>
      <c r="K1570" t="s">
        <v>103</v>
      </c>
      <c r="L1570" t="s">
        <v>30</v>
      </c>
      <c r="M1570" t="s">
        <v>22</v>
      </c>
    </row>
    <row r="1571" spans="1:13" x14ac:dyDescent="0.35">
      <c r="A1571" t="s">
        <v>2819</v>
      </c>
      <c r="B1571" s="9">
        <v>46150</v>
      </c>
      <c r="C1571" t="s">
        <v>567</v>
      </c>
      <c r="D1571" t="s">
        <v>53</v>
      </c>
      <c r="E1571" t="s">
        <v>67</v>
      </c>
      <c r="F1571" t="s">
        <v>42</v>
      </c>
      <c r="G1571" t="s">
        <v>43</v>
      </c>
      <c r="H1571">
        <v>2</v>
      </c>
      <c r="I1571" t="s">
        <v>254</v>
      </c>
      <c r="J1571" t="s">
        <v>156</v>
      </c>
      <c r="K1571" t="s">
        <v>111</v>
      </c>
      <c r="L1571" t="s">
        <v>30</v>
      </c>
      <c r="M1571" t="s">
        <v>22</v>
      </c>
    </row>
    <row r="1572" spans="1:13" x14ac:dyDescent="0.35">
      <c r="A1572" t="s">
        <v>2820</v>
      </c>
      <c r="B1572" s="9">
        <v>46157</v>
      </c>
      <c r="C1572" t="s">
        <v>541</v>
      </c>
      <c r="D1572" t="s">
        <v>66</v>
      </c>
      <c r="E1572" t="s">
        <v>67</v>
      </c>
      <c r="F1572" t="s">
        <v>89</v>
      </c>
      <c r="G1572" t="s">
        <v>90</v>
      </c>
      <c r="H1572">
        <v>1</v>
      </c>
      <c r="I1572" t="s">
        <v>254</v>
      </c>
      <c r="J1572" t="s">
        <v>254</v>
      </c>
      <c r="K1572" t="s">
        <v>108</v>
      </c>
      <c r="L1572" t="s">
        <v>30</v>
      </c>
      <c r="M1572" t="s">
        <v>22</v>
      </c>
    </row>
    <row r="1573" spans="1:13" x14ac:dyDescent="0.35">
      <c r="A1573" t="s">
        <v>2821</v>
      </c>
      <c r="B1573" s="9">
        <v>46060</v>
      </c>
      <c r="C1573" t="s">
        <v>2822</v>
      </c>
      <c r="D1573" t="s">
        <v>15</v>
      </c>
      <c r="E1573" t="s">
        <v>67</v>
      </c>
      <c r="F1573" t="s">
        <v>17</v>
      </c>
      <c r="G1573" t="s">
        <v>18</v>
      </c>
      <c r="H1573">
        <v>1</v>
      </c>
      <c r="I1573" t="s">
        <v>28</v>
      </c>
      <c r="J1573" t="s">
        <v>28</v>
      </c>
      <c r="K1573">
        <v>520</v>
      </c>
      <c r="L1573" t="s">
        <v>30</v>
      </c>
      <c r="M1573" t="s">
        <v>58</v>
      </c>
    </row>
    <row r="1574" spans="1:13" x14ac:dyDescent="0.35">
      <c r="A1574" t="s">
        <v>2823</v>
      </c>
      <c r="B1574" s="9">
        <v>46095</v>
      </c>
      <c r="C1574" t="s">
        <v>496</v>
      </c>
      <c r="D1574" t="s">
        <v>94</v>
      </c>
      <c r="E1574" t="s">
        <v>34</v>
      </c>
      <c r="F1574" t="s">
        <v>35</v>
      </c>
      <c r="G1574" t="s">
        <v>36</v>
      </c>
      <c r="H1574">
        <v>3</v>
      </c>
      <c r="I1574" t="s">
        <v>170</v>
      </c>
      <c r="J1574" t="s">
        <v>856</v>
      </c>
      <c r="K1574">
        <v>85</v>
      </c>
      <c r="L1574" t="s">
        <v>30</v>
      </c>
      <c r="M1574" t="s">
        <v>22</v>
      </c>
    </row>
    <row r="1575" spans="1:13" x14ac:dyDescent="0.35">
      <c r="A1575" t="s">
        <v>2824</v>
      </c>
      <c r="B1575" s="9">
        <v>46113</v>
      </c>
      <c r="C1575" t="s">
        <v>2825</v>
      </c>
      <c r="D1575" t="s">
        <v>15</v>
      </c>
      <c r="E1575" t="s">
        <v>16</v>
      </c>
      <c r="F1575" t="s">
        <v>17</v>
      </c>
      <c r="G1575" t="s">
        <v>18</v>
      </c>
      <c r="H1575">
        <v>1</v>
      </c>
      <c r="I1575" t="s">
        <v>71</v>
      </c>
      <c r="J1575" t="s">
        <v>71</v>
      </c>
      <c r="K1575">
        <v>520</v>
      </c>
      <c r="L1575" t="s">
        <v>30</v>
      </c>
      <c r="M1575" t="s">
        <v>22</v>
      </c>
    </row>
    <row r="1576" spans="1:13" x14ac:dyDescent="0.35">
      <c r="A1576" t="s">
        <v>2826</v>
      </c>
      <c r="B1576" s="9">
        <v>46098</v>
      </c>
      <c r="C1576" t="s">
        <v>2827</v>
      </c>
      <c r="D1576" t="s">
        <v>66</v>
      </c>
      <c r="E1576" t="s">
        <v>67</v>
      </c>
      <c r="F1576" t="s">
        <v>17</v>
      </c>
      <c r="G1576" t="s">
        <v>18</v>
      </c>
      <c r="H1576">
        <v>3</v>
      </c>
      <c r="I1576" t="s">
        <v>220</v>
      </c>
      <c r="J1576" t="s">
        <v>2828</v>
      </c>
      <c r="K1576">
        <v>520</v>
      </c>
      <c r="L1576" t="s">
        <v>21</v>
      </c>
      <c r="M1576" t="s">
        <v>22</v>
      </c>
    </row>
    <row r="1577" spans="1:13" x14ac:dyDescent="0.35">
      <c r="A1577" t="s">
        <v>2829</v>
      </c>
      <c r="B1577" s="9">
        <v>46125</v>
      </c>
      <c r="C1577" t="s">
        <v>2830</v>
      </c>
      <c r="D1577" t="s">
        <v>99</v>
      </c>
      <c r="E1577" t="s">
        <v>25</v>
      </c>
      <c r="F1577" t="s">
        <v>47</v>
      </c>
      <c r="G1577" t="s">
        <v>48</v>
      </c>
      <c r="H1577">
        <v>1</v>
      </c>
      <c r="I1577" t="s">
        <v>56</v>
      </c>
      <c r="J1577" t="s">
        <v>56</v>
      </c>
      <c r="K1577">
        <v>380</v>
      </c>
      <c r="L1577" t="s">
        <v>30</v>
      </c>
      <c r="M1577" t="s">
        <v>22</v>
      </c>
    </row>
    <row r="1578" spans="1:13" x14ac:dyDescent="0.35">
      <c r="A1578" t="s">
        <v>2831</v>
      </c>
      <c r="B1578" s="9">
        <v>46173</v>
      </c>
      <c r="C1578" t="s">
        <v>2080</v>
      </c>
      <c r="D1578" t="s">
        <v>61</v>
      </c>
      <c r="E1578" t="s">
        <v>25</v>
      </c>
      <c r="F1578" t="s">
        <v>83</v>
      </c>
      <c r="G1578" t="s">
        <v>84</v>
      </c>
      <c r="H1578">
        <v>1</v>
      </c>
      <c r="I1578" t="s">
        <v>254</v>
      </c>
      <c r="J1578" t="s">
        <v>254</v>
      </c>
      <c r="K1578" t="s">
        <v>103</v>
      </c>
      <c r="L1578" t="s">
        <v>30</v>
      </c>
      <c r="M1578" t="s">
        <v>22</v>
      </c>
    </row>
    <row r="1579" spans="1:13" x14ac:dyDescent="0.35">
      <c r="A1579" t="s">
        <v>2832</v>
      </c>
      <c r="B1579" t="s">
        <v>2833</v>
      </c>
      <c r="C1579" t="s">
        <v>2076</v>
      </c>
      <c r="D1579" t="s">
        <v>15</v>
      </c>
      <c r="E1579" t="s">
        <v>41</v>
      </c>
      <c r="F1579" t="s">
        <v>47</v>
      </c>
      <c r="G1579" t="s">
        <v>48</v>
      </c>
      <c r="H1579">
        <v>2</v>
      </c>
      <c r="I1579" t="s">
        <v>106</v>
      </c>
      <c r="J1579" t="s">
        <v>107</v>
      </c>
      <c r="K1579">
        <v>380</v>
      </c>
      <c r="L1579" t="s">
        <v>30</v>
      </c>
      <c r="M1579" t="s">
        <v>22</v>
      </c>
    </row>
    <row r="1580" spans="1:13" x14ac:dyDescent="0.35">
      <c r="A1580" t="s">
        <v>2834</v>
      </c>
      <c r="B1580" s="9">
        <v>46150</v>
      </c>
      <c r="C1580" t="s">
        <v>832</v>
      </c>
      <c r="D1580" t="s">
        <v>46</v>
      </c>
      <c r="E1580" t="s">
        <v>67</v>
      </c>
      <c r="F1580" t="s">
        <v>89</v>
      </c>
      <c r="G1580" t="s">
        <v>90</v>
      </c>
      <c r="H1580">
        <v>2</v>
      </c>
      <c r="I1580" t="s">
        <v>102</v>
      </c>
      <c r="J1580" t="s">
        <v>181</v>
      </c>
      <c r="K1580" t="s">
        <v>108</v>
      </c>
      <c r="L1580" t="s">
        <v>30</v>
      </c>
      <c r="M1580" t="s">
        <v>22</v>
      </c>
    </row>
    <row r="1581" spans="1:13" x14ac:dyDescent="0.35">
      <c r="A1581" t="s">
        <v>2835</v>
      </c>
      <c r="B1581" s="9">
        <v>46087</v>
      </c>
      <c r="C1581" t="s">
        <v>2836</v>
      </c>
      <c r="D1581" t="s">
        <v>15</v>
      </c>
      <c r="E1581" t="s">
        <v>67</v>
      </c>
      <c r="F1581" t="s">
        <v>47</v>
      </c>
      <c r="G1581" t="s">
        <v>48</v>
      </c>
      <c r="H1581">
        <v>1</v>
      </c>
      <c r="I1581" t="s">
        <v>19</v>
      </c>
      <c r="J1581" t="s">
        <v>1244</v>
      </c>
      <c r="K1581">
        <v>380</v>
      </c>
      <c r="L1581" t="s">
        <v>30</v>
      </c>
      <c r="M1581" t="s">
        <v>22</v>
      </c>
    </row>
    <row r="1582" spans="1:13" x14ac:dyDescent="0.35">
      <c r="A1582" t="s">
        <v>2837</v>
      </c>
      <c r="B1582" s="9">
        <v>46130</v>
      </c>
      <c r="C1582" t="s">
        <v>2838</v>
      </c>
      <c r="D1582" t="s">
        <v>53</v>
      </c>
      <c r="E1582" t="s">
        <v>41</v>
      </c>
      <c r="F1582" t="s">
        <v>35</v>
      </c>
      <c r="G1582" t="s">
        <v>36</v>
      </c>
      <c r="H1582">
        <v>1</v>
      </c>
      <c r="I1582" t="s">
        <v>136</v>
      </c>
      <c r="J1582" t="s">
        <v>136</v>
      </c>
      <c r="K1582">
        <v>85</v>
      </c>
      <c r="L1582" t="s">
        <v>30</v>
      </c>
      <c r="M1582" t="s">
        <v>22</v>
      </c>
    </row>
    <row r="1583" spans="1:13" x14ac:dyDescent="0.35">
      <c r="A1583" t="s">
        <v>2839</v>
      </c>
      <c r="B1583" s="9">
        <v>46075</v>
      </c>
      <c r="C1583" t="s">
        <v>1435</v>
      </c>
      <c r="D1583" t="s">
        <v>33</v>
      </c>
      <c r="E1583" t="s">
        <v>41</v>
      </c>
      <c r="F1583" t="s">
        <v>35</v>
      </c>
      <c r="G1583" t="s">
        <v>36</v>
      </c>
      <c r="H1583">
        <v>3</v>
      </c>
      <c r="I1583" t="s">
        <v>49</v>
      </c>
      <c r="J1583" t="s">
        <v>257</v>
      </c>
      <c r="K1583">
        <v>85</v>
      </c>
      <c r="L1583" t="s">
        <v>21</v>
      </c>
      <c r="M1583" t="s">
        <v>22</v>
      </c>
    </row>
    <row r="1584" spans="1:13" x14ac:dyDescent="0.35">
      <c r="A1584" t="s">
        <v>2840</v>
      </c>
      <c r="B1584" s="9">
        <v>46071</v>
      </c>
      <c r="C1584" t="s">
        <v>1931</v>
      </c>
      <c r="D1584" t="s">
        <v>61</v>
      </c>
      <c r="E1584" t="s">
        <v>34</v>
      </c>
      <c r="F1584" t="s">
        <v>42</v>
      </c>
      <c r="G1584" t="s">
        <v>43</v>
      </c>
      <c r="H1584">
        <v>2</v>
      </c>
      <c r="I1584" t="s">
        <v>132</v>
      </c>
      <c r="J1584" t="s">
        <v>133</v>
      </c>
      <c r="K1584">
        <v>190</v>
      </c>
      <c r="L1584" t="s">
        <v>30</v>
      </c>
      <c r="M1584" t="s">
        <v>58</v>
      </c>
    </row>
    <row r="1585" spans="1:13" x14ac:dyDescent="0.35">
      <c r="A1585" t="s">
        <v>2841</v>
      </c>
      <c r="B1585" s="9">
        <v>46125</v>
      </c>
      <c r="C1585" t="s">
        <v>2642</v>
      </c>
      <c r="D1585" t="s">
        <v>53</v>
      </c>
      <c r="E1585" t="s">
        <v>67</v>
      </c>
      <c r="F1585" t="s">
        <v>17</v>
      </c>
      <c r="G1585" t="s">
        <v>18</v>
      </c>
      <c r="H1585">
        <v>1</v>
      </c>
      <c r="I1585" t="s">
        <v>79</v>
      </c>
      <c r="J1585" t="s">
        <v>79</v>
      </c>
      <c r="K1585">
        <v>520</v>
      </c>
      <c r="L1585" t="s">
        <v>30</v>
      </c>
      <c r="M1585" t="s">
        <v>22</v>
      </c>
    </row>
    <row r="1586" spans="1:13" x14ac:dyDescent="0.35">
      <c r="A1586" t="s">
        <v>2842</v>
      </c>
      <c r="B1586" s="9">
        <v>46057</v>
      </c>
      <c r="C1586" t="s">
        <v>1246</v>
      </c>
      <c r="D1586" t="s">
        <v>61</v>
      </c>
      <c r="E1586" t="s">
        <v>16</v>
      </c>
      <c r="F1586" t="s">
        <v>47</v>
      </c>
      <c r="G1586" t="s">
        <v>48</v>
      </c>
      <c r="H1586">
        <v>1</v>
      </c>
      <c r="I1586" t="s">
        <v>254</v>
      </c>
      <c r="J1586" t="s">
        <v>2750</v>
      </c>
      <c r="K1586">
        <v>380</v>
      </c>
      <c r="L1586" t="s">
        <v>30</v>
      </c>
      <c r="M1586" t="s">
        <v>22</v>
      </c>
    </row>
    <row r="1587" spans="1:13" x14ac:dyDescent="0.35">
      <c r="A1587" t="s">
        <v>2843</v>
      </c>
      <c r="B1587" s="9">
        <v>46161</v>
      </c>
      <c r="C1587" t="s">
        <v>2391</v>
      </c>
      <c r="D1587" t="s">
        <v>46</v>
      </c>
      <c r="E1587" t="s">
        <v>67</v>
      </c>
      <c r="F1587" t="s">
        <v>17</v>
      </c>
      <c r="G1587" t="s">
        <v>18</v>
      </c>
      <c r="H1587">
        <v>1</v>
      </c>
      <c r="I1587" t="s">
        <v>19</v>
      </c>
      <c r="J1587" t="s">
        <v>19</v>
      </c>
      <c r="K1587" t="s">
        <v>29</v>
      </c>
      <c r="L1587" t="s">
        <v>21</v>
      </c>
      <c r="M1587" t="s">
        <v>22</v>
      </c>
    </row>
    <row r="1588" spans="1:13" x14ac:dyDescent="0.35">
      <c r="A1588" t="s">
        <v>2844</v>
      </c>
      <c r="B1588" s="9">
        <v>46176</v>
      </c>
      <c r="C1588" t="s">
        <v>564</v>
      </c>
      <c r="D1588" t="s">
        <v>53</v>
      </c>
      <c r="E1588" t="s">
        <v>34</v>
      </c>
      <c r="F1588" t="s">
        <v>47</v>
      </c>
      <c r="G1588" t="s">
        <v>48</v>
      </c>
      <c r="H1588">
        <v>2</v>
      </c>
      <c r="I1588" t="s">
        <v>220</v>
      </c>
      <c r="J1588" t="s">
        <v>221</v>
      </c>
      <c r="K1588" t="s">
        <v>50</v>
      </c>
      <c r="L1588" t="s">
        <v>30</v>
      </c>
      <c r="M1588" t="s">
        <v>22</v>
      </c>
    </row>
    <row r="1589" spans="1:13" x14ac:dyDescent="0.35">
      <c r="A1589" t="s">
        <v>2845</v>
      </c>
      <c r="B1589" t="s">
        <v>81</v>
      </c>
      <c r="C1589" t="s">
        <v>2360</v>
      </c>
      <c r="D1589" t="s">
        <v>99</v>
      </c>
      <c r="E1589" t="s">
        <v>16</v>
      </c>
      <c r="F1589" t="s">
        <v>17</v>
      </c>
      <c r="G1589" t="s">
        <v>18</v>
      </c>
      <c r="H1589">
        <v>2</v>
      </c>
      <c r="I1589" t="s">
        <v>56</v>
      </c>
      <c r="J1589" t="s">
        <v>193</v>
      </c>
      <c r="K1589">
        <v>520</v>
      </c>
      <c r="L1589" t="s">
        <v>30</v>
      </c>
      <c r="M1589" t="s">
        <v>58</v>
      </c>
    </row>
    <row r="1590" spans="1:13" x14ac:dyDescent="0.35">
      <c r="A1590" t="s">
        <v>2846</v>
      </c>
      <c r="B1590" s="9">
        <v>46080</v>
      </c>
      <c r="C1590" t="s">
        <v>2847</v>
      </c>
      <c r="D1590" t="s">
        <v>66</v>
      </c>
      <c r="E1590" t="s">
        <v>67</v>
      </c>
      <c r="F1590" t="s">
        <v>74</v>
      </c>
      <c r="G1590" t="s">
        <v>75</v>
      </c>
      <c r="H1590">
        <v>2</v>
      </c>
      <c r="I1590" t="s">
        <v>170</v>
      </c>
      <c r="J1590" t="s">
        <v>152</v>
      </c>
      <c r="K1590">
        <v>410</v>
      </c>
      <c r="L1590" t="s">
        <v>30</v>
      </c>
      <c r="M1590" t="s">
        <v>22</v>
      </c>
    </row>
    <row r="1591" spans="1:13" x14ac:dyDescent="0.35">
      <c r="A1591" t="s">
        <v>2848</v>
      </c>
      <c r="B1591" t="s">
        <v>629</v>
      </c>
      <c r="C1591" t="s">
        <v>923</v>
      </c>
      <c r="D1591" t="s">
        <v>33</v>
      </c>
      <c r="E1591" t="s">
        <v>34</v>
      </c>
      <c r="F1591" t="s">
        <v>17</v>
      </c>
      <c r="G1591" t="s">
        <v>18</v>
      </c>
      <c r="H1591">
        <v>2</v>
      </c>
      <c r="I1591" t="s">
        <v>62</v>
      </c>
      <c r="J1591" t="s">
        <v>63</v>
      </c>
      <c r="K1591">
        <v>520</v>
      </c>
      <c r="L1591" t="s">
        <v>30</v>
      </c>
      <c r="M1591" t="s">
        <v>22</v>
      </c>
    </row>
    <row r="1592" spans="1:13" x14ac:dyDescent="0.35">
      <c r="A1592" t="s">
        <v>2849</v>
      </c>
      <c r="B1592" s="9">
        <v>46160</v>
      </c>
      <c r="C1592" t="s">
        <v>2850</v>
      </c>
      <c r="D1592" t="s">
        <v>61</v>
      </c>
      <c r="E1592" t="s">
        <v>67</v>
      </c>
      <c r="F1592" t="s">
        <v>89</v>
      </c>
      <c r="G1592" t="s">
        <v>90</v>
      </c>
      <c r="H1592">
        <v>2</v>
      </c>
      <c r="I1592" t="s">
        <v>68</v>
      </c>
      <c r="J1592" t="s">
        <v>248</v>
      </c>
      <c r="K1592" t="s">
        <v>108</v>
      </c>
      <c r="L1592" t="s">
        <v>30</v>
      </c>
      <c r="M1592" t="s">
        <v>22</v>
      </c>
    </row>
    <row r="1593" spans="1:13" x14ac:dyDescent="0.35">
      <c r="A1593" t="s">
        <v>2851</v>
      </c>
      <c r="B1593" s="9">
        <v>46092</v>
      </c>
      <c r="C1593" t="s">
        <v>665</v>
      </c>
      <c r="D1593" t="s">
        <v>53</v>
      </c>
      <c r="E1593" t="s">
        <v>34</v>
      </c>
      <c r="F1593" t="s">
        <v>74</v>
      </c>
      <c r="G1593" t="s">
        <v>75</v>
      </c>
      <c r="H1593">
        <v>3</v>
      </c>
      <c r="I1593" t="s">
        <v>102</v>
      </c>
      <c r="J1593" t="s">
        <v>2852</v>
      </c>
      <c r="K1593">
        <v>410</v>
      </c>
      <c r="L1593" t="s">
        <v>30</v>
      </c>
      <c r="M1593" t="s">
        <v>22</v>
      </c>
    </row>
    <row r="1594" spans="1:13" x14ac:dyDescent="0.35">
      <c r="A1594" t="s">
        <v>2853</v>
      </c>
      <c r="B1594" s="9">
        <v>46077</v>
      </c>
      <c r="C1594" t="s">
        <v>135</v>
      </c>
      <c r="D1594" t="s">
        <v>99</v>
      </c>
      <c r="E1594" t="s">
        <v>25</v>
      </c>
      <c r="F1594" t="s">
        <v>47</v>
      </c>
      <c r="G1594" t="s">
        <v>48</v>
      </c>
      <c r="H1594">
        <v>2</v>
      </c>
      <c r="I1594" t="s">
        <v>132</v>
      </c>
      <c r="J1594" t="s">
        <v>133</v>
      </c>
      <c r="K1594">
        <v>380</v>
      </c>
      <c r="L1594" t="s">
        <v>30</v>
      </c>
      <c r="M1594" t="s">
        <v>22</v>
      </c>
    </row>
    <row r="1595" spans="1:13" x14ac:dyDescent="0.35">
      <c r="A1595" t="s">
        <v>2854</v>
      </c>
      <c r="B1595" s="9">
        <v>46105</v>
      </c>
      <c r="C1595" t="s">
        <v>1653</v>
      </c>
      <c r="D1595" t="s">
        <v>61</v>
      </c>
      <c r="E1595" t="s">
        <v>41</v>
      </c>
      <c r="F1595" t="s">
        <v>26</v>
      </c>
      <c r="G1595" t="s">
        <v>27</v>
      </c>
      <c r="H1595">
        <v>2</v>
      </c>
      <c r="I1595" t="s">
        <v>85</v>
      </c>
      <c r="J1595" t="s">
        <v>267</v>
      </c>
      <c r="K1595">
        <v>520</v>
      </c>
      <c r="L1595" t="s">
        <v>21</v>
      </c>
      <c r="M1595" t="s">
        <v>58</v>
      </c>
    </row>
    <row r="1596" spans="1:13" x14ac:dyDescent="0.35">
      <c r="A1596" t="s">
        <v>2855</v>
      </c>
      <c r="B1596" t="s">
        <v>1025</v>
      </c>
      <c r="C1596" t="s">
        <v>1227</v>
      </c>
      <c r="D1596" t="s">
        <v>61</v>
      </c>
      <c r="E1596" t="s">
        <v>67</v>
      </c>
      <c r="F1596" t="s">
        <v>83</v>
      </c>
      <c r="G1596" t="s">
        <v>84</v>
      </c>
      <c r="H1596">
        <v>1</v>
      </c>
      <c r="I1596" t="s">
        <v>132</v>
      </c>
      <c r="J1596" t="s">
        <v>132</v>
      </c>
      <c r="K1596" t="s">
        <v>103</v>
      </c>
      <c r="L1596" t="s">
        <v>30</v>
      </c>
      <c r="M1596" t="s">
        <v>22</v>
      </c>
    </row>
    <row r="1597" spans="1:13" x14ac:dyDescent="0.35">
      <c r="A1597" t="s">
        <v>2856</v>
      </c>
      <c r="B1597" s="9">
        <v>46162</v>
      </c>
      <c r="C1597" t="s">
        <v>2779</v>
      </c>
      <c r="D1597" t="s">
        <v>40</v>
      </c>
      <c r="E1597" t="s">
        <v>16</v>
      </c>
      <c r="F1597" t="s">
        <v>26</v>
      </c>
      <c r="G1597" t="s">
        <v>27</v>
      </c>
      <c r="H1597">
        <v>2</v>
      </c>
      <c r="I1597" t="s">
        <v>62</v>
      </c>
      <c r="J1597" t="s">
        <v>63</v>
      </c>
      <c r="K1597" t="s">
        <v>29</v>
      </c>
      <c r="L1597" t="s">
        <v>30</v>
      </c>
      <c r="M1597" t="s">
        <v>22</v>
      </c>
    </row>
    <row r="1598" spans="1:13" x14ac:dyDescent="0.35">
      <c r="A1598" t="s">
        <v>2857</v>
      </c>
      <c r="B1598" t="s">
        <v>1753</v>
      </c>
      <c r="C1598" t="s">
        <v>730</v>
      </c>
      <c r="D1598" t="s">
        <v>40</v>
      </c>
      <c r="E1598" t="s">
        <v>34</v>
      </c>
      <c r="F1598" t="s">
        <v>26</v>
      </c>
      <c r="G1598" t="s">
        <v>27</v>
      </c>
      <c r="H1598">
        <v>1</v>
      </c>
      <c r="I1598" t="s">
        <v>71</v>
      </c>
      <c r="J1598" t="s">
        <v>71</v>
      </c>
      <c r="K1598">
        <v>520</v>
      </c>
      <c r="L1598" t="s">
        <v>30</v>
      </c>
      <c r="M1598" t="s">
        <v>58</v>
      </c>
    </row>
    <row r="1599" spans="1:13" x14ac:dyDescent="0.35">
      <c r="A1599" t="s">
        <v>2858</v>
      </c>
      <c r="B1599" s="9">
        <v>46137</v>
      </c>
      <c r="C1599" t="s">
        <v>361</v>
      </c>
      <c r="D1599" t="s">
        <v>94</v>
      </c>
      <c r="E1599" t="s">
        <v>41</v>
      </c>
      <c r="F1599" t="s">
        <v>17</v>
      </c>
      <c r="G1599" t="s">
        <v>18</v>
      </c>
      <c r="H1599">
        <v>1</v>
      </c>
      <c r="I1599" t="s">
        <v>79</v>
      </c>
      <c r="J1599" t="s">
        <v>79</v>
      </c>
      <c r="K1599" t="s">
        <v>29</v>
      </c>
      <c r="L1599" t="s">
        <v>30</v>
      </c>
      <c r="M1599" t="s">
        <v>22</v>
      </c>
    </row>
    <row r="1600" spans="1:13" x14ac:dyDescent="0.35">
      <c r="A1600" t="s">
        <v>2859</v>
      </c>
      <c r="B1600" s="9">
        <v>46068</v>
      </c>
      <c r="C1600" t="s">
        <v>2860</v>
      </c>
      <c r="D1600" t="s">
        <v>46</v>
      </c>
      <c r="E1600" t="s">
        <v>67</v>
      </c>
      <c r="F1600" t="s">
        <v>47</v>
      </c>
      <c r="G1600" t="s">
        <v>48</v>
      </c>
      <c r="H1600">
        <v>1</v>
      </c>
      <c r="I1600" t="s">
        <v>79</v>
      </c>
      <c r="J1600" t="s">
        <v>79</v>
      </c>
      <c r="K1600">
        <v>380</v>
      </c>
      <c r="L1600" t="s">
        <v>30</v>
      </c>
      <c r="M1600" t="s">
        <v>58</v>
      </c>
    </row>
    <row r="1601" spans="1:13" x14ac:dyDescent="0.35">
      <c r="A1601" t="s">
        <v>2861</v>
      </c>
      <c r="B1601" t="s">
        <v>120</v>
      </c>
      <c r="C1601" t="s">
        <v>2862</v>
      </c>
      <c r="D1601" t="s">
        <v>116</v>
      </c>
      <c r="E1601" t="s">
        <v>16</v>
      </c>
      <c r="F1601" t="s">
        <v>35</v>
      </c>
      <c r="G1601" t="s">
        <v>36</v>
      </c>
      <c r="H1601">
        <v>3</v>
      </c>
      <c r="I1601" t="s">
        <v>79</v>
      </c>
      <c r="J1601" t="s">
        <v>91</v>
      </c>
      <c r="K1601">
        <v>85</v>
      </c>
      <c r="L1601" t="s">
        <v>30</v>
      </c>
      <c r="M1601" t="s">
        <v>22</v>
      </c>
    </row>
    <row r="1602" spans="1:13" x14ac:dyDescent="0.35">
      <c r="A1602" t="s">
        <v>2863</v>
      </c>
      <c r="B1602" s="9">
        <v>46143</v>
      </c>
      <c r="C1602" t="s">
        <v>2864</v>
      </c>
      <c r="D1602" t="s">
        <v>46</v>
      </c>
      <c r="E1602" t="s">
        <v>41</v>
      </c>
      <c r="F1602" t="s">
        <v>35</v>
      </c>
      <c r="G1602" t="s">
        <v>36</v>
      </c>
      <c r="H1602">
        <v>2</v>
      </c>
      <c r="I1602" t="s">
        <v>132</v>
      </c>
      <c r="J1602" t="s">
        <v>133</v>
      </c>
      <c r="K1602" t="s">
        <v>37</v>
      </c>
      <c r="L1602" t="s">
        <v>30</v>
      </c>
      <c r="M1602" t="s">
        <v>22</v>
      </c>
    </row>
    <row r="1603" spans="1:13" x14ac:dyDescent="0.35">
      <c r="A1603" t="s">
        <v>2865</v>
      </c>
      <c r="B1603" t="s">
        <v>120</v>
      </c>
      <c r="C1603" t="s">
        <v>2039</v>
      </c>
      <c r="D1603" t="s">
        <v>53</v>
      </c>
      <c r="E1603" t="s">
        <v>25</v>
      </c>
      <c r="F1603" t="s">
        <v>89</v>
      </c>
      <c r="G1603" t="s">
        <v>90</v>
      </c>
      <c r="H1603">
        <v>3</v>
      </c>
      <c r="I1603" t="s">
        <v>132</v>
      </c>
      <c r="J1603" t="s">
        <v>232</v>
      </c>
      <c r="K1603">
        <v>640</v>
      </c>
      <c r="L1603" t="s">
        <v>30</v>
      </c>
      <c r="M1603" t="s">
        <v>22</v>
      </c>
    </row>
    <row r="1604" spans="1:13" x14ac:dyDescent="0.35">
      <c r="A1604" t="s">
        <v>2866</v>
      </c>
      <c r="B1604" s="9">
        <v>46082</v>
      </c>
      <c r="C1604" t="s">
        <v>587</v>
      </c>
      <c r="D1604" t="s">
        <v>33</v>
      </c>
      <c r="E1604" t="s">
        <v>34</v>
      </c>
      <c r="F1604" t="s">
        <v>26</v>
      </c>
      <c r="G1604" t="s">
        <v>27</v>
      </c>
      <c r="H1604">
        <v>3</v>
      </c>
      <c r="I1604" t="s">
        <v>254</v>
      </c>
      <c r="J1604" t="s">
        <v>390</v>
      </c>
      <c r="K1604">
        <v>520</v>
      </c>
      <c r="L1604" t="s">
        <v>21</v>
      </c>
      <c r="M1604" t="s">
        <v>22</v>
      </c>
    </row>
    <row r="1605" spans="1:13" x14ac:dyDescent="0.35">
      <c r="A1605" t="s">
        <v>2867</v>
      </c>
      <c r="B1605" s="9">
        <v>46070</v>
      </c>
      <c r="C1605" t="s">
        <v>2868</v>
      </c>
      <c r="D1605" t="s">
        <v>40</v>
      </c>
      <c r="E1605" t="s">
        <v>41</v>
      </c>
      <c r="F1605" t="s">
        <v>83</v>
      </c>
      <c r="G1605" t="s">
        <v>84</v>
      </c>
      <c r="H1605">
        <v>1</v>
      </c>
      <c r="I1605" t="s">
        <v>645</v>
      </c>
      <c r="J1605" t="s">
        <v>102</v>
      </c>
      <c r="K1605">
        <v>340</v>
      </c>
      <c r="L1605" t="s">
        <v>30</v>
      </c>
      <c r="M1605" t="s">
        <v>22</v>
      </c>
    </row>
    <row r="1606" spans="1:13" x14ac:dyDescent="0.35">
      <c r="A1606" t="s">
        <v>2869</v>
      </c>
      <c r="B1606" t="s">
        <v>949</v>
      </c>
      <c r="C1606" t="s">
        <v>2870</v>
      </c>
      <c r="D1606" t="s">
        <v>46</v>
      </c>
      <c r="E1606" t="s">
        <v>25</v>
      </c>
      <c r="F1606" t="s">
        <v>89</v>
      </c>
      <c r="G1606" t="s">
        <v>90</v>
      </c>
      <c r="H1606">
        <v>3</v>
      </c>
      <c r="I1606" t="s">
        <v>106</v>
      </c>
      <c r="J1606" t="s">
        <v>160</v>
      </c>
      <c r="K1606" t="s">
        <v>108</v>
      </c>
      <c r="L1606" t="s">
        <v>30</v>
      </c>
      <c r="M1606" t="s">
        <v>22</v>
      </c>
    </row>
    <row r="1607" spans="1:13" x14ac:dyDescent="0.35">
      <c r="A1607" t="s">
        <v>2871</v>
      </c>
      <c r="B1607" s="9">
        <v>46187</v>
      </c>
      <c r="C1607" t="s">
        <v>204</v>
      </c>
      <c r="D1607" t="s">
        <v>94</v>
      </c>
      <c r="E1607" t="s">
        <v>41</v>
      </c>
      <c r="F1607" t="s">
        <v>17</v>
      </c>
      <c r="G1607" t="s">
        <v>18</v>
      </c>
      <c r="H1607">
        <v>1</v>
      </c>
      <c r="I1607" t="s">
        <v>102</v>
      </c>
      <c r="J1607" t="s">
        <v>102</v>
      </c>
      <c r="K1607" t="s">
        <v>29</v>
      </c>
      <c r="L1607" t="s">
        <v>30</v>
      </c>
      <c r="M1607" t="s">
        <v>58</v>
      </c>
    </row>
    <row r="1608" spans="1:13" x14ac:dyDescent="0.35">
      <c r="A1608" t="s">
        <v>2872</v>
      </c>
      <c r="B1608" s="9">
        <v>46266</v>
      </c>
      <c r="C1608" t="s">
        <v>2873</v>
      </c>
      <c r="D1608" t="s">
        <v>66</v>
      </c>
      <c r="E1608" t="s">
        <v>41</v>
      </c>
      <c r="F1608" t="s">
        <v>42</v>
      </c>
      <c r="G1608" t="s">
        <v>43</v>
      </c>
      <c r="H1608">
        <v>1</v>
      </c>
      <c r="I1608" t="s">
        <v>85</v>
      </c>
      <c r="J1608" t="s">
        <v>2874</v>
      </c>
      <c r="K1608">
        <v>190</v>
      </c>
      <c r="L1608" t="s">
        <v>21</v>
      </c>
      <c r="M1608" t="s">
        <v>22</v>
      </c>
    </row>
    <row r="1609" spans="1:13" x14ac:dyDescent="0.35">
      <c r="A1609" t="s">
        <v>2875</v>
      </c>
      <c r="B1609" s="9">
        <v>46030</v>
      </c>
      <c r="C1609" t="s">
        <v>299</v>
      </c>
      <c r="D1609" t="s">
        <v>53</v>
      </c>
      <c r="E1609" t="s">
        <v>67</v>
      </c>
      <c r="F1609" t="s">
        <v>83</v>
      </c>
      <c r="G1609" t="s">
        <v>84</v>
      </c>
      <c r="H1609">
        <v>2</v>
      </c>
      <c r="I1609" t="s">
        <v>71</v>
      </c>
      <c r="J1609" t="s">
        <v>286</v>
      </c>
      <c r="K1609">
        <v>340</v>
      </c>
      <c r="L1609" t="s">
        <v>30</v>
      </c>
      <c r="M1609" t="s">
        <v>22</v>
      </c>
    </row>
    <row r="1610" spans="1:13" x14ac:dyDescent="0.35">
      <c r="A1610" t="s">
        <v>2876</v>
      </c>
      <c r="B1610" s="9">
        <v>46077</v>
      </c>
      <c r="C1610" t="s">
        <v>817</v>
      </c>
      <c r="D1610" t="s">
        <v>53</v>
      </c>
      <c r="E1610" t="s">
        <v>16</v>
      </c>
      <c r="F1610" t="s">
        <v>42</v>
      </c>
      <c r="G1610" t="s">
        <v>43</v>
      </c>
      <c r="H1610">
        <v>1</v>
      </c>
      <c r="I1610" t="s">
        <v>19</v>
      </c>
      <c r="J1610" t="s">
        <v>19</v>
      </c>
      <c r="K1610">
        <v>190</v>
      </c>
      <c r="L1610" t="s">
        <v>30</v>
      </c>
      <c r="M1610" t="s">
        <v>22</v>
      </c>
    </row>
    <row r="1611" spans="1:13" x14ac:dyDescent="0.35">
      <c r="A1611" t="s">
        <v>2877</v>
      </c>
      <c r="B1611" t="s">
        <v>880</v>
      </c>
      <c r="C1611" t="s">
        <v>1473</v>
      </c>
      <c r="D1611" t="s">
        <v>15</v>
      </c>
      <c r="E1611" t="s">
        <v>41</v>
      </c>
      <c r="F1611" t="s">
        <v>42</v>
      </c>
      <c r="G1611" t="s">
        <v>43</v>
      </c>
      <c r="H1611">
        <v>2</v>
      </c>
      <c r="I1611" t="s">
        <v>106</v>
      </c>
      <c r="J1611" t="s">
        <v>107</v>
      </c>
      <c r="K1611">
        <v>190</v>
      </c>
      <c r="L1611" t="s">
        <v>30</v>
      </c>
      <c r="M1611" t="s">
        <v>22</v>
      </c>
    </row>
    <row r="1612" spans="1:13" x14ac:dyDescent="0.35">
      <c r="A1612" t="s">
        <v>2878</v>
      </c>
      <c r="B1612" s="9">
        <v>46122</v>
      </c>
      <c r="C1612" t="s">
        <v>412</v>
      </c>
      <c r="D1612" t="s">
        <v>94</v>
      </c>
      <c r="E1612" t="s">
        <v>67</v>
      </c>
      <c r="F1612" t="s">
        <v>74</v>
      </c>
      <c r="G1612" t="s">
        <v>75</v>
      </c>
      <c r="H1612">
        <v>3</v>
      </c>
      <c r="I1612" t="s">
        <v>68</v>
      </c>
      <c r="J1612" t="s">
        <v>205</v>
      </c>
      <c r="K1612">
        <v>410</v>
      </c>
      <c r="L1612" t="s">
        <v>21</v>
      </c>
      <c r="M1612" t="s">
        <v>22</v>
      </c>
    </row>
    <row r="1613" spans="1:13" x14ac:dyDescent="0.35">
      <c r="A1613" t="s">
        <v>2879</v>
      </c>
      <c r="B1613" s="9">
        <v>46202</v>
      </c>
      <c r="C1613" t="s">
        <v>631</v>
      </c>
      <c r="D1613" t="s">
        <v>46</v>
      </c>
      <c r="E1613" t="s">
        <v>67</v>
      </c>
      <c r="F1613" t="s">
        <v>47</v>
      </c>
      <c r="G1613" t="s">
        <v>48</v>
      </c>
      <c r="H1613">
        <v>3</v>
      </c>
      <c r="I1613" t="s">
        <v>217</v>
      </c>
      <c r="J1613" t="s">
        <v>2880</v>
      </c>
      <c r="K1613" t="s">
        <v>50</v>
      </c>
      <c r="L1613" t="s">
        <v>30</v>
      </c>
      <c r="M1613" t="s">
        <v>22</v>
      </c>
    </row>
    <row r="1614" spans="1:13" x14ac:dyDescent="0.35">
      <c r="A1614" t="s">
        <v>2881</v>
      </c>
      <c r="B1614" s="9">
        <v>46177</v>
      </c>
      <c r="C1614" t="s">
        <v>607</v>
      </c>
      <c r="D1614" t="s">
        <v>66</v>
      </c>
      <c r="E1614" t="s">
        <v>34</v>
      </c>
      <c r="F1614" t="s">
        <v>89</v>
      </c>
      <c r="G1614" t="s">
        <v>90</v>
      </c>
      <c r="H1614">
        <v>1</v>
      </c>
      <c r="I1614" t="s">
        <v>62</v>
      </c>
      <c r="J1614" t="s">
        <v>62</v>
      </c>
      <c r="K1614" t="s">
        <v>108</v>
      </c>
      <c r="L1614" t="s">
        <v>30</v>
      </c>
      <c r="M1614" t="s">
        <v>22</v>
      </c>
    </row>
    <row r="1615" spans="1:13" x14ac:dyDescent="0.35">
      <c r="A1615" t="s">
        <v>2882</v>
      </c>
      <c r="B1615" s="9">
        <v>46029</v>
      </c>
      <c r="C1615" t="s">
        <v>1130</v>
      </c>
      <c r="D1615" t="s">
        <v>33</v>
      </c>
      <c r="E1615" t="s">
        <v>67</v>
      </c>
      <c r="F1615" t="s">
        <v>74</v>
      </c>
      <c r="G1615" t="s">
        <v>75</v>
      </c>
      <c r="H1615">
        <v>3</v>
      </c>
      <c r="I1615" t="s">
        <v>136</v>
      </c>
      <c r="J1615" t="s">
        <v>137</v>
      </c>
      <c r="K1615">
        <v>410</v>
      </c>
      <c r="L1615" t="s">
        <v>30</v>
      </c>
      <c r="M1615" t="s">
        <v>22</v>
      </c>
    </row>
    <row r="1616" spans="1:13" x14ac:dyDescent="0.35">
      <c r="A1616" t="s">
        <v>2883</v>
      </c>
      <c r="B1616" s="9">
        <v>46151</v>
      </c>
      <c r="C1616" t="s">
        <v>696</v>
      </c>
      <c r="D1616" t="s">
        <v>116</v>
      </c>
      <c r="E1616" t="s">
        <v>16</v>
      </c>
      <c r="F1616" t="s">
        <v>74</v>
      </c>
      <c r="G1616" t="s">
        <v>75</v>
      </c>
      <c r="H1616">
        <v>1</v>
      </c>
      <c r="I1616" t="s">
        <v>758</v>
      </c>
      <c r="J1616" t="s">
        <v>49</v>
      </c>
      <c r="K1616" t="s">
        <v>76</v>
      </c>
      <c r="L1616" t="s">
        <v>30</v>
      </c>
      <c r="M1616" t="s">
        <v>22</v>
      </c>
    </row>
    <row r="1617" spans="1:13" x14ac:dyDescent="0.35">
      <c r="A1617" t="s">
        <v>2884</v>
      </c>
      <c r="B1617" s="9">
        <v>46332</v>
      </c>
      <c r="C1617" t="s">
        <v>2022</v>
      </c>
      <c r="D1617" t="s">
        <v>116</v>
      </c>
      <c r="E1617" t="s">
        <v>16</v>
      </c>
      <c r="F1617" t="s">
        <v>47</v>
      </c>
      <c r="G1617" t="s">
        <v>48</v>
      </c>
      <c r="H1617">
        <v>1</v>
      </c>
      <c r="I1617" t="s">
        <v>132</v>
      </c>
      <c r="J1617" t="s">
        <v>132</v>
      </c>
      <c r="K1617" t="s">
        <v>50</v>
      </c>
      <c r="L1617" t="s">
        <v>30</v>
      </c>
      <c r="M1617" t="s">
        <v>22</v>
      </c>
    </row>
    <row r="1618" spans="1:13" x14ac:dyDescent="0.35">
      <c r="A1618" t="s">
        <v>2885</v>
      </c>
      <c r="B1618" t="s">
        <v>2645</v>
      </c>
      <c r="C1618" t="s">
        <v>1054</v>
      </c>
      <c r="D1618" t="s">
        <v>15</v>
      </c>
      <c r="E1618" t="s">
        <v>16</v>
      </c>
      <c r="F1618" t="s">
        <v>17</v>
      </c>
      <c r="G1618" t="s">
        <v>18</v>
      </c>
      <c r="H1618">
        <v>1</v>
      </c>
      <c r="I1618" t="s">
        <v>79</v>
      </c>
      <c r="J1618" t="s">
        <v>79</v>
      </c>
      <c r="K1618" t="s">
        <v>29</v>
      </c>
      <c r="L1618" t="s">
        <v>30</v>
      </c>
      <c r="M1618" t="s">
        <v>58</v>
      </c>
    </row>
    <row r="1619" spans="1:13" x14ac:dyDescent="0.35">
      <c r="A1619" t="s">
        <v>2886</v>
      </c>
      <c r="B1619" s="9">
        <v>46063</v>
      </c>
      <c r="C1619" t="s">
        <v>320</v>
      </c>
      <c r="D1619" t="s">
        <v>40</v>
      </c>
      <c r="E1619" t="s">
        <v>34</v>
      </c>
      <c r="F1619" t="s">
        <v>89</v>
      </c>
      <c r="G1619" t="s">
        <v>90</v>
      </c>
      <c r="H1619">
        <v>2</v>
      </c>
      <c r="I1619" t="s">
        <v>28</v>
      </c>
      <c r="J1619" t="s">
        <v>316</v>
      </c>
      <c r="K1619">
        <v>640</v>
      </c>
      <c r="L1619" t="s">
        <v>30</v>
      </c>
      <c r="M1619" t="s">
        <v>58</v>
      </c>
    </row>
    <row r="1620" spans="1:13" x14ac:dyDescent="0.35">
      <c r="A1620" t="s">
        <v>2887</v>
      </c>
      <c r="B1620" s="9">
        <v>46208</v>
      </c>
      <c r="C1620" t="s">
        <v>513</v>
      </c>
      <c r="D1620" t="s">
        <v>94</v>
      </c>
      <c r="E1620" t="s">
        <v>16</v>
      </c>
      <c r="F1620" t="s">
        <v>89</v>
      </c>
      <c r="G1620" t="s">
        <v>90</v>
      </c>
      <c r="H1620">
        <v>2</v>
      </c>
      <c r="I1620" t="s">
        <v>49</v>
      </c>
      <c r="J1620" t="s">
        <v>178</v>
      </c>
      <c r="K1620" t="s">
        <v>108</v>
      </c>
      <c r="L1620" t="s">
        <v>30</v>
      </c>
      <c r="M1620" t="s">
        <v>22</v>
      </c>
    </row>
    <row r="1621" spans="1:13" x14ac:dyDescent="0.35">
      <c r="A1621" t="s">
        <v>2888</v>
      </c>
      <c r="B1621" s="9">
        <v>46115</v>
      </c>
      <c r="C1621" t="s">
        <v>938</v>
      </c>
      <c r="D1621" t="s">
        <v>53</v>
      </c>
      <c r="E1621" t="s">
        <v>16</v>
      </c>
      <c r="F1621" t="s">
        <v>26</v>
      </c>
      <c r="G1621" t="s">
        <v>27</v>
      </c>
      <c r="H1621">
        <v>1</v>
      </c>
      <c r="I1621" t="s">
        <v>79</v>
      </c>
      <c r="J1621" t="s">
        <v>79</v>
      </c>
      <c r="K1621">
        <v>520</v>
      </c>
      <c r="L1621" t="s">
        <v>30</v>
      </c>
      <c r="M1621" t="s">
        <v>58</v>
      </c>
    </row>
    <row r="1622" spans="1:13" x14ac:dyDescent="0.35">
      <c r="A1622" t="s">
        <v>2889</v>
      </c>
      <c r="B1622" s="9">
        <v>46079</v>
      </c>
      <c r="C1622" t="s">
        <v>2890</v>
      </c>
      <c r="D1622" t="s">
        <v>15</v>
      </c>
      <c r="E1622" t="s">
        <v>34</v>
      </c>
      <c r="F1622" t="s">
        <v>47</v>
      </c>
      <c r="G1622" t="s">
        <v>48</v>
      </c>
      <c r="H1622">
        <v>1</v>
      </c>
      <c r="I1622" t="s">
        <v>19</v>
      </c>
      <c r="J1622" t="s">
        <v>19</v>
      </c>
      <c r="K1622">
        <v>380</v>
      </c>
      <c r="L1622" t="s">
        <v>21</v>
      </c>
      <c r="M1622" t="s">
        <v>22</v>
      </c>
    </row>
    <row r="1623" spans="1:13" x14ac:dyDescent="0.35">
      <c r="A1623" t="s">
        <v>2891</v>
      </c>
      <c r="B1623" s="9">
        <v>46144</v>
      </c>
      <c r="C1623" t="s">
        <v>860</v>
      </c>
      <c r="D1623" t="s">
        <v>94</v>
      </c>
      <c r="E1623" t="s">
        <v>67</v>
      </c>
      <c r="F1623" t="s">
        <v>26</v>
      </c>
      <c r="G1623" t="s">
        <v>27</v>
      </c>
      <c r="H1623">
        <v>3</v>
      </c>
      <c r="I1623" t="s">
        <v>136</v>
      </c>
      <c r="J1623" t="s">
        <v>137</v>
      </c>
      <c r="K1623">
        <v>520</v>
      </c>
      <c r="L1623" t="s">
        <v>30</v>
      </c>
      <c r="M1623" t="s">
        <v>22</v>
      </c>
    </row>
    <row r="1624" spans="1:13" x14ac:dyDescent="0.35">
      <c r="A1624" t="s">
        <v>2892</v>
      </c>
      <c r="B1624" s="9">
        <v>46088</v>
      </c>
      <c r="C1624" t="s">
        <v>881</v>
      </c>
      <c r="D1624" t="s">
        <v>116</v>
      </c>
      <c r="E1624" t="s">
        <v>25</v>
      </c>
      <c r="F1624" t="s">
        <v>17</v>
      </c>
      <c r="G1624" t="s">
        <v>18</v>
      </c>
      <c r="H1624">
        <v>1</v>
      </c>
      <c r="I1624" t="s">
        <v>79</v>
      </c>
      <c r="J1624" t="s">
        <v>79</v>
      </c>
      <c r="K1624">
        <v>520</v>
      </c>
      <c r="L1624" t="s">
        <v>30</v>
      </c>
      <c r="M1624" t="s">
        <v>22</v>
      </c>
    </row>
    <row r="1625" spans="1:13" x14ac:dyDescent="0.35">
      <c r="A1625" t="s">
        <v>2893</v>
      </c>
      <c r="B1625" s="9">
        <v>46096</v>
      </c>
      <c r="C1625" t="s">
        <v>2894</v>
      </c>
      <c r="D1625" t="s">
        <v>46</v>
      </c>
      <c r="E1625" t="s">
        <v>67</v>
      </c>
      <c r="F1625" t="s">
        <v>35</v>
      </c>
      <c r="G1625" t="s">
        <v>36</v>
      </c>
      <c r="H1625">
        <v>1</v>
      </c>
      <c r="I1625" t="s">
        <v>102</v>
      </c>
      <c r="J1625" t="s">
        <v>102</v>
      </c>
      <c r="K1625">
        <v>85</v>
      </c>
      <c r="L1625" t="s">
        <v>21</v>
      </c>
      <c r="M1625" t="s">
        <v>58</v>
      </c>
    </row>
    <row r="1626" spans="1:13" x14ac:dyDescent="0.35">
      <c r="A1626" t="s">
        <v>2895</v>
      </c>
      <c r="B1626" s="9">
        <v>46117</v>
      </c>
      <c r="C1626" t="s">
        <v>2896</v>
      </c>
      <c r="D1626" t="s">
        <v>46</v>
      </c>
      <c r="E1626" t="s">
        <v>25</v>
      </c>
      <c r="F1626" t="s">
        <v>47</v>
      </c>
      <c r="G1626" t="s">
        <v>48</v>
      </c>
      <c r="H1626">
        <v>1</v>
      </c>
      <c r="I1626" t="s">
        <v>62</v>
      </c>
      <c r="J1626" t="s">
        <v>62</v>
      </c>
      <c r="K1626">
        <v>380</v>
      </c>
      <c r="L1626" t="s">
        <v>21</v>
      </c>
      <c r="M1626" t="s">
        <v>22</v>
      </c>
    </row>
    <row r="1627" spans="1:13" x14ac:dyDescent="0.35">
      <c r="A1627" t="s">
        <v>2897</v>
      </c>
      <c r="B1627" s="9">
        <v>46120</v>
      </c>
      <c r="C1627" t="s">
        <v>2898</v>
      </c>
      <c r="D1627" t="s">
        <v>116</v>
      </c>
      <c r="E1627" t="s">
        <v>34</v>
      </c>
      <c r="F1627" t="s">
        <v>35</v>
      </c>
      <c r="G1627" t="s">
        <v>36</v>
      </c>
      <c r="H1627">
        <v>1</v>
      </c>
      <c r="I1627" t="s">
        <v>19</v>
      </c>
      <c r="J1627" t="s">
        <v>19</v>
      </c>
      <c r="K1627">
        <v>85</v>
      </c>
      <c r="L1627" t="s">
        <v>21</v>
      </c>
      <c r="M1627" t="s">
        <v>58</v>
      </c>
    </row>
    <row r="1628" spans="1:13" x14ac:dyDescent="0.35">
      <c r="A1628" t="s">
        <v>2899</v>
      </c>
      <c r="B1628" s="9">
        <v>46112</v>
      </c>
      <c r="C1628" t="s">
        <v>481</v>
      </c>
      <c r="D1628" t="s">
        <v>94</v>
      </c>
      <c r="E1628" t="s">
        <v>67</v>
      </c>
      <c r="F1628" t="s">
        <v>47</v>
      </c>
      <c r="G1628" t="s">
        <v>48</v>
      </c>
      <c r="H1628">
        <v>2</v>
      </c>
      <c r="I1628" t="s">
        <v>102</v>
      </c>
      <c r="J1628" t="s">
        <v>181</v>
      </c>
      <c r="K1628">
        <v>380</v>
      </c>
      <c r="L1628" t="s">
        <v>30</v>
      </c>
      <c r="M1628" t="s">
        <v>22</v>
      </c>
    </row>
    <row r="1629" spans="1:13" x14ac:dyDescent="0.35">
      <c r="A1629" t="s">
        <v>2900</v>
      </c>
      <c r="B1629" s="9">
        <v>46140</v>
      </c>
      <c r="C1629" t="s">
        <v>229</v>
      </c>
      <c r="D1629" t="s">
        <v>66</v>
      </c>
      <c r="E1629" t="s">
        <v>25</v>
      </c>
      <c r="F1629" t="s">
        <v>26</v>
      </c>
      <c r="G1629" t="s">
        <v>27</v>
      </c>
      <c r="H1629">
        <v>1</v>
      </c>
      <c r="I1629" t="s">
        <v>19</v>
      </c>
      <c r="J1629" t="s">
        <v>19</v>
      </c>
      <c r="K1629" t="s">
        <v>29</v>
      </c>
      <c r="L1629" t="s">
        <v>30</v>
      </c>
      <c r="M1629" t="s">
        <v>22</v>
      </c>
    </row>
    <row r="1630" spans="1:13" x14ac:dyDescent="0.35">
      <c r="A1630" t="s">
        <v>2901</v>
      </c>
      <c r="B1630" s="9">
        <v>46134</v>
      </c>
      <c r="C1630" t="s">
        <v>2376</v>
      </c>
      <c r="D1630" t="s">
        <v>46</v>
      </c>
      <c r="E1630" t="s">
        <v>41</v>
      </c>
      <c r="F1630" t="s">
        <v>35</v>
      </c>
      <c r="G1630" t="s">
        <v>36</v>
      </c>
      <c r="H1630">
        <v>2</v>
      </c>
      <c r="I1630" t="s">
        <v>132</v>
      </c>
      <c r="J1630" t="s">
        <v>133</v>
      </c>
      <c r="K1630" t="s">
        <v>37</v>
      </c>
      <c r="L1630" t="s">
        <v>30</v>
      </c>
      <c r="M1630" t="s">
        <v>22</v>
      </c>
    </row>
    <row r="1631" spans="1:13" x14ac:dyDescent="0.35">
      <c r="A1631" t="s">
        <v>2902</v>
      </c>
      <c r="B1631" s="9">
        <v>46035</v>
      </c>
      <c r="C1631" t="s">
        <v>1296</v>
      </c>
      <c r="D1631" t="s">
        <v>33</v>
      </c>
      <c r="E1631" t="s">
        <v>25</v>
      </c>
      <c r="F1631" t="s">
        <v>42</v>
      </c>
      <c r="G1631" t="s">
        <v>43</v>
      </c>
      <c r="H1631">
        <v>2</v>
      </c>
      <c r="I1631" t="s">
        <v>68</v>
      </c>
      <c r="J1631" t="s">
        <v>248</v>
      </c>
      <c r="K1631">
        <v>190</v>
      </c>
      <c r="L1631" t="s">
        <v>30</v>
      </c>
      <c r="M1631" t="s">
        <v>22</v>
      </c>
    </row>
    <row r="1632" spans="1:13" x14ac:dyDescent="0.35">
      <c r="A1632" t="s">
        <v>2903</v>
      </c>
      <c r="B1632" t="s">
        <v>610</v>
      </c>
      <c r="C1632" t="s">
        <v>1199</v>
      </c>
      <c r="D1632" t="s">
        <v>15</v>
      </c>
      <c r="E1632" t="s">
        <v>41</v>
      </c>
      <c r="F1632" t="s">
        <v>74</v>
      </c>
      <c r="G1632" t="s">
        <v>75</v>
      </c>
      <c r="H1632">
        <v>1</v>
      </c>
      <c r="I1632" t="s">
        <v>102</v>
      </c>
      <c r="J1632" t="s">
        <v>102</v>
      </c>
      <c r="K1632" t="s">
        <v>76</v>
      </c>
      <c r="L1632" t="s">
        <v>30</v>
      </c>
      <c r="M1632" t="s">
        <v>22</v>
      </c>
    </row>
    <row r="1633" spans="1:13" x14ac:dyDescent="0.35">
      <c r="A1633" t="s">
        <v>2904</v>
      </c>
      <c r="B1633" s="9">
        <v>46178</v>
      </c>
      <c r="C1633" t="s">
        <v>1798</v>
      </c>
      <c r="D1633" t="s">
        <v>61</v>
      </c>
      <c r="E1633" t="s">
        <v>41</v>
      </c>
      <c r="F1633" t="s">
        <v>35</v>
      </c>
      <c r="G1633" t="s">
        <v>36</v>
      </c>
      <c r="H1633">
        <v>1</v>
      </c>
      <c r="I1633" t="s">
        <v>132</v>
      </c>
      <c r="J1633" t="s">
        <v>132</v>
      </c>
      <c r="K1633" t="s">
        <v>37</v>
      </c>
      <c r="L1633" t="s">
        <v>21</v>
      </c>
      <c r="M1633" t="s">
        <v>22</v>
      </c>
    </row>
    <row r="1634" spans="1:13" x14ac:dyDescent="0.35">
      <c r="A1634" t="s">
        <v>2905</v>
      </c>
      <c r="B1634" s="9">
        <v>46111</v>
      </c>
      <c r="C1634" t="s">
        <v>2906</v>
      </c>
      <c r="D1634" t="s">
        <v>46</v>
      </c>
      <c r="E1634" t="s">
        <v>41</v>
      </c>
      <c r="F1634" t="s">
        <v>89</v>
      </c>
      <c r="G1634" t="s">
        <v>90</v>
      </c>
      <c r="H1634">
        <v>2</v>
      </c>
      <c r="I1634" t="s">
        <v>106</v>
      </c>
      <c r="J1634" t="s">
        <v>107</v>
      </c>
      <c r="K1634">
        <v>640</v>
      </c>
      <c r="L1634" t="s">
        <v>30</v>
      </c>
      <c r="M1634" t="s">
        <v>58</v>
      </c>
    </row>
    <row r="1635" spans="1:13" x14ac:dyDescent="0.35">
      <c r="A1635" t="s">
        <v>2907</v>
      </c>
      <c r="B1635" s="9">
        <v>46205</v>
      </c>
      <c r="C1635" t="s">
        <v>2908</v>
      </c>
      <c r="D1635" t="s">
        <v>46</v>
      </c>
      <c r="E1635" t="s">
        <v>16</v>
      </c>
      <c r="F1635" t="s">
        <v>17</v>
      </c>
      <c r="G1635" t="s">
        <v>18</v>
      </c>
      <c r="H1635">
        <v>1</v>
      </c>
      <c r="I1635" t="s">
        <v>254</v>
      </c>
      <c r="J1635" t="s">
        <v>254</v>
      </c>
      <c r="K1635" t="s">
        <v>29</v>
      </c>
      <c r="L1635" t="s">
        <v>21</v>
      </c>
      <c r="M1635" t="s">
        <v>22</v>
      </c>
    </row>
    <row r="1636" spans="1:13" x14ac:dyDescent="0.35">
      <c r="A1636" t="s">
        <v>2909</v>
      </c>
      <c r="B1636" s="9">
        <v>46030</v>
      </c>
      <c r="C1636" t="s">
        <v>2583</v>
      </c>
      <c r="D1636" t="s">
        <v>116</v>
      </c>
      <c r="E1636" t="s">
        <v>67</v>
      </c>
      <c r="F1636" t="s">
        <v>47</v>
      </c>
      <c r="G1636" t="s">
        <v>48</v>
      </c>
      <c r="H1636">
        <v>1</v>
      </c>
      <c r="I1636" t="s">
        <v>68</v>
      </c>
      <c r="J1636" t="s">
        <v>68</v>
      </c>
      <c r="K1636">
        <v>380</v>
      </c>
      <c r="L1636" t="s">
        <v>30</v>
      </c>
      <c r="M1636" t="s">
        <v>22</v>
      </c>
    </row>
    <row r="1637" spans="1:13" x14ac:dyDescent="0.35">
      <c r="A1637" t="s">
        <v>2910</v>
      </c>
      <c r="B1637" s="9">
        <v>46129</v>
      </c>
      <c r="C1637" t="s">
        <v>2052</v>
      </c>
      <c r="D1637" t="s">
        <v>53</v>
      </c>
      <c r="E1637" t="s">
        <v>34</v>
      </c>
      <c r="F1637" t="s">
        <v>89</v>
      </c>
      <c r="G1637" t="s">
        <v>90</v>
      </c>
      <c r="H1637">
        <v>2</v>
      </c>
      <c r="I1637" t="s">
        <v>68</v>
      </c>
      <c r="J1637" t="s">
        <v>248</v>
      </c>
      <c r="K1637">
        <v>640</v>
      </c>
      <c r="L1637" t="s">
        <v>21</v>
      </c>
      <c r="M1637" t="s">
        <v>22</v>
      </c>
    </row>
    <row r="1638" spans="1:13" x14ac:dyDescent="0.35">
      <c r="A1638" t="s">
        <v>2911</v>
      </c>
      <c r="B1638" s="9">
        <v>46068</v>
      </c>
      <c r="C1638" t="s">
        <v>2912</v>
      </c>
      <c r="D1638" t="s">
        <v>53</v>
      </c>
      <c r="E1638" t="s">
        <v>16</v>
      </c>
      <c r="F1638" t="s">
        <v>26</v>
      </c>
      <c r="G1638" t="s">
        <v>27</v>
      </c>
      <c r="H1638">
        <v>1</v>
      </c>
      <c r="I1638" t="s">
        <v>49</v>
      </c>
      <c r="J1638" t="s">
        <v>49</v>
      </c>
      <c r="K1638">
        <v>520</v>
      </c>
      <c r="L1638" t="s">
        <v>30</v>
      </c>
      <c r="M1638" t="s">
        <v>22</v>
      </c>
    </row>
    <row r="1639" spans="1:13" x14ac:dyDescent="0.35">
      <c r="A1639" t="s">
        <v>2913</v>
      </c>
      <c r="B1639" s="9">
        <v>46128</v>
      </c>
      <c r="C1639" t="s">
        <v>2914</v>
      </c>
      <c r="D1639" t="s">
        <v>15</v>
      </c>
      <c r="E1639" t="s">
        <v>16</v>
      </c>
      <c r="F1639" t="s">
        <v>17</v>
      </c>
      <c r="G1639" t="s">
        <v>18</v>
      </c>
      <c r="H1639">
        <v>1</v>
      </c>
      <c r="I1639" t="s">
        <v>28</v>
      </c>
      <c r="J1639" t="s">
        <v>28</v>
      </c>
      <c r="K1639">
        <v>520</v>
      </c>
      <c r="L1639" t="s">
        <v>21</v>
      </c>
      <c r="M1639" t="s">
        <v>22</v>
      </c>
    </row>
    <row r="1640" spans="1:13" x14ac:dyDescent="0.35">
      <c r="A1640" t="s">
        <v>2915</v>
      </c>
      <c r="B1640" s="9">
        <v>46096</v>
      </c>
      <c r="C1640" t="s">
        <v>2696</v>
      </c>
      <c r="D1640" t="s">
        <v>53</v>
      </c>
      <c r="E1640" t="s">
        <v>41</v>
      </c>
      <c r="F1640" t="s">
        <v>42</v>
      </c>
      <c r="G1640" t="s">
        <v>43</v>
      </c>
      <c r="H1640">
        <v>1</v>
      </c>
      <c r="I1640" t="s">
        <v>79</v>
      </c>
      <c r="J1640" t="s">
        <v>79</v>
      </c>
      <c r="K1640">
        <v>190</v>
      </c>
      <c r="L1640" t="s">
        <v>30</v>
      </c>
      <c r="M1640" t="s">
        <v>22</v>
      </c>
    </row>
    <row r="1641" spans="1:13" x14ac:dyDescent="0.35">
      <c r="A1641" t="s">
        <v>2916</v>
      </c>
      <c r="B1641" s="9">
        <v>46187</v>
      </c>
      <c r="C1641" t="s">
        <v>403</v>
      </c>
      <c r="D1641" t="s">
        <v>94</v>
      </c>
      <c r="E1641" t="s">
        <v>25</v>
      </c>
      <c r="F1641" t="s">
        <v>42</v>
      </c>
      <c r="G1641" t="s">
        <v>43</v>
      </c>
      <c r="H1641">
        <v>2</v>
      </c>
      <c r="I1641" t="s">
        <v>254</v>
      </c>
      <c r="J1641" t="s">
        <v>156</v>
      </c>
      <c r="K1641" t="s">
        <v>111</v>
      </c>
      <c r="L1641" t="s">
        <v>30</v>
      </c>
      <c r="M1641" t="s">
        <v>58</v>
      </c>
    </row>
    <row r="1642" spans="1:13" x14ac:dyDescent="0.35">
      <c r="A1642" t="s">
        <v>2917</v>
      </c>
      <c r="B1642" s="9">
        <v>46143</v>
      </c>
      <c r="C1642" t="s">
        <v>2042</v>
      </c>
      <c r="D1642" t="s">
        <v>46</v>
      </c>
      <c r="E1642" t="s">
        <v>16</v>
      </c>
      <c r="F1642" t="s">
        <v>89</v>
      </c>
      <c r="G1642" t="s">
        <v>90</v>
      </c>
      <c r="H1642">
        <v>2</v>
      </c>
      <c r="I1642" t="s">
        <v>132</v>
      </c>
      <c r="J1642" t="s">
        <v>133</v>
      </c>
      <c r="K1642" t="s">
        <v>108</v>
      </c>
      <c r="L1642" t="s">
        <v>30</v>
      </c>
      <c r="M1642" t="s">
        <v>58</v>
      </c>
    </row>
    <row r="1643" spans="1:13" x14ac:dyDescent="0.35">
      <c r="A1643" t="s">
        <v>2918</v>
      </c>
      <c r="B1643" s="9">
        <v>46128</v>
      </c>
      <c r="C1643" t="s">
        <v>2919</v>
      </c>
      <c r="D1643" t="s">
        <v>15</v>
      </c>
      <c r="E1643" t="s">
        <v>34</v>
      </c>
      <c r="F1643" t="s">
        <v>26</v>
      </c>
      <c r="G1643" t="s">
        <v>27</v>
      </c>
      <c r="H1643">
        <v>-1</v>
      </c>
      <c r="I1643" t="s">
        <v>220</v>
      </c>
      <c r="J1643" t="s">
        <v>2920</v>
      </c>
      <c r="K1643">
        <v>520</v>
      </c>
      <c r="L1643" t="s">
        <v>30</v>
      </c>
      <c r="M1643" t="s">
        <v>22</v>
      </c>
    </row>
    <row r="1644" spans="1:13" x14ac:dyDescent="0.35">
      <c r="A1644" t="s">
        <v>2921</v>
      </c>
      <c r="B1644" s="9">
        <v>46208</v>
      </c>
      <c r="C1644" t="s">
        <v>2028</v>
      </c>
      <c r="D1644" t="s">
        <v>53</v>
      </c>
      <c r="E1644" t="s">
        <v>41</v>
      </c>
      <c r="F1644" t="s">
        <v>47</v>
      </c>
      <c r="G1644" t="s">
        <v>48</v>
      </c>
      <c r="H1644">
        <v>2</v>
      </c>
      <c r="I1644" t="s">
        <v>49</v>
      </c>
      <c r="J1644" t="s">
        <v>178</v>
      </c>
      <c r="K1644" t="s">
        <v>50</v>
      </c>
      <c r="L1644" t="s">
        <v>30</v>
      </c>
      <c r="M1644" t="s">
        <v>22</v>
      </c>
    </row>
    <row r="1645" spans="1:13" x14ac:dyDescent="0.35">
      <c r="A1645" t="s">
        <v>2922</v>
      </c>
      <c r="B1645" s="9">
        <v>46074</v>
      </c>
      <c r="C1645" t="s">
        <v>1854</v>
      </c>
      <c r="D1645" t="s">
        <v>61</v>
      </c>
      <c r="E1645" t="s">
        <v>25</v>
      </c>
      <c r="F1645" t="s">
        <v>83</v>
      </c>
      <c r="G1645" t="s">
        <v>84</v>
      </c>
      <c r="H1645">
        <v>1</v>
      </c>
      <c r="I1645" t="s">
        <v>1213</v>
      </c>
      <c r="J1645" t="s">
        <v>106</v>
      </c>
      <c r="K1645">
        <v>340</v>
      </c>
      <c r="L1645" t="s">
        <v>30</v>
      </c>
      <c r="M1645" t="s">
        <v>22</v>
      </c>
    </row>
    <row r="1646" spans="1:13" x14ac:dyDescent="0.35">
      <c r="A1646" t="s">
        <v>2923</v>
      </c>
      <c r="B1646" s="9">
        <v>46114</v>
      </c>
      <c r="C1646" t="s">
        <v>98</v>
      </c>
      <c r="D1646" t="s">
        <v>15</v>
      </c>
      <c r="E1646" t="s">
        <v>25</v>
      </c>
      <c r="F1646" t="s">
        <v>17</v>
      </c>
      <c r="G1646" t="s">
        <v>18</v>
      </c>
      <c r="H1646">
        <v>3</v>
      </c>
      <c r="I1646" t="s">
        <v>79</v>
      </c>
      <c r="J1646" t="s">
        <v>91</v>
      </c>
      <c r="K1646">
        <v>520</v>
      </c>
      <c r="L1646" t="s">
        <v>30</v>
      </c>
      <c r="M1646" t="s">
        <v>22</v>
      </c>
    </row>
    <row r="1647" spans="1:13" x14ac:dyDescent="0.35">
      <c r="A1647" t="s">
        <v>2924</v>
      </c>
      <c r="B1647" s="9">
        <v>46146</v>
      </c>
      <c r="C1647" t="s">
        <v>2925</v>
      </c>
      <c r="D1647" t="s">
        <v>53</v>
      </c>
      <c r="E1647" t="s">
        <v>25</v>
      </c>
      <c r="F1647" t="s">
        <v>89</v>
      </c>
      <c r="G1647" t="s">
        <v>90</v>
      </c>
      <c r="H1647">
        <v>1</v>
      </c>
      <c r="I1647" t="s">
        <v>106</v>
      </c>
      <c r="J1647" t="s">
        <v>106</v>
      </c>
      <c r="K1647" t="s">
        <v>108</v>
      </c>
      <c r="L1647" t="s">
        <v>30</v>
      </c>
      <c r="M1647" t="s">
        <v>22</v>
      </c>
    </row>
    <row r="1648" spans="1:13" x14ac:dyDescent="0.35">
      <c r="A1648" t="s">
        <v>2926</v>
      </c>
      <c r="B1648" s="9">
        <v>46154</v>
      </c>
      <c r="C1648" t="s">
        <v>70</v>
      </c>
      <c r="D1648" t="s">
        <v>94</v>
      </c>
      <c r="E1648" t="s">
        <v>16</v>
      </c>
      <c r="F1648" t="s">
        <v>89</v>
      </c>
      <c r="G1648" t="s">
        <v>90</v>
      </c>
      <c r="H1648">
        <v>2</v>
      </c>
      <c r="I1648" t="s">
        <v>254</v>
      </c>
      <c r="J1648" t="s">
        <v>156</v>
      </c>
      <c r="K1648" t="s">
        <v>108</v>
      </c>
      <c r="L1648" t="s">
        <v>30</v>
      </c>
      <c r="M1648" t="s">
        <v>22</v>
      </c>
    </row>
    <row r="1649" spans="1:13" x14ac:dyDescent="0.35">
      <c r="A1649" t="s">
        <v>2927</v>
      </c>
      <c r="B1649" s="9">
        <v>46099</v>
      </c>
      <c r="C1649" t="s">
        <v>1199</v>
      </c>
      <c r="D1649" t="s">
        <v>53</v>
      </c>
      <c r="E1649" t="s">
        <v>34</v>
      </c>
      <c r="F1649" t="s">
        <v>35</v>
      </c>
      <c r="G1649" t="s">
        <v>36</v>
      </c>
      <c r="H1649">
        <v>1</v>
      </c>
      <c r="I1649" t="s">
        <v>106</v>
      </c>
      <c r="J1649" t="s">
        <v>106</v>
      </c>
      <c r="K1649">
        <v>85</v>
      </c>
      <c r="L1649" t="s">
        <v>21</v>
      </c>
      <c r="M1649" t="s">
        <v>22</v>
      </c>
    </row>
    <row r="1650" spans="1:13" x14ac:dyDescent="0.35">
      <c r="A1650" t="s">
        <v>2928</v>
      </c>
      <c r="B1650" t="s">
        <v>2929</v>
      </c>
      <c r="C1650" t="s">
        <v>977</v>
      </c>
      <c r="D1650" t="s">
        <v>15</v>
      </c>
      <c r="E1650" t="s">
        <v>67</v>
      </c>
      <c r="F1650" t="s">
        <v>74</v>
      </c>
      <c r="G1650" t="s">
        <v>75</v>
      </c>
      <c r="H1650">
        <v>2</v>
      </c>
      <c r="I1650" t="s">
        <v>106</v>
      </c>
      <c r="J1650" t="s">
        <v>107</v>
      </c>
      <c r="K1650">
        <v>410</v>
      </c>
      <c r="L1650" t="s">
        <v>30</v>
      </c>
      <c r="M1650" t="s">
        <v>22</v>
      </c>
    </row>
    <row r="1651" spans="1:13" x14ac:dyDescent="0.35">
      <c r="A1651" t="s">
        <v>2930</v>
      </c>
      <c r="B1651" s="9">
        <v>46033</v>
      </c>
      <c r="C1651" t="s">
        <v>2931</v>
      </c>
      <c r="D1651" t="s">
        <v>33</v>
      </c>
      <c r="E1651" t="s">
        <v>67</v>
      </c>
      <c r="F1651" t="s">
        <v>26</v>
      </c>
      <c r="G1651" t="s">
        <v>27</v>
      </c>
      <c r="H1651">
        <v>1</v>
      </c>
      <c r="I1651" t="s">
        <v>68</v>
      </c>
      <c r="J1651" t="s">
        <v>68</v>
      </c>
      <c r="K1651">
        <v>520</v>
      </c>
      <c r="L1651" t="s">
        <v>30</v>
      </c>
      <c r="M1651" t="s">
        <v>58</v>
      </c>
    </row>
    <row r="1652" spans="1:13" x14ac:dyDescent="0.35">
      <c r="A1652" t="s">
        <v>2932</v>
      </c>
      <c r="B1652" s="9">
        <v>46111</v>
      </c>
      <c r="C1652" t="s">
        <v>2933</v>
      </c>
      <c r="D1652" t="s">
        <v>94</v>
      </c>
      <c r="E1652" t="s">
        <v>41</v>
      </c>
      <c r="F1652" t="s">
        <v>83</v>
      </c>
      <c r="G1652" t="s">
        <v>84</v>
      </c>
      <c r="H1652">
        <v>2</v>
      </c>
      <c r="I1652" t="s">
        <v>136</v>
      </c>
      <c r="J1652" t="s">
        <v>164</v>
      </c>
      <c r="K1652">
        <v>340</v>
      </c>
      <c r="L1652" t="s">
        <v>30</v>
      </c>
      <c r="M1652" t="s">
        <v>22</v>
      </c>
    </row>
    <row r="1653" spans="1:13" x14ac:dyDescent="0.35">
      <c r="A1653" t="s">
        <v>2934</v>
      </c>
      <c r="B1653" s="9">
        <v>46039</v>
      </c>
      <c r="C1653" t="s">
        <v>1083</v>
      </c>
      <c r="D1653" t="s">
        <v>53</v>
      </c>
      <c r="E1653" t="s">
        <v>67</v>
      </c>
      <c r="F1653" t="s">
        <v>89</v>
      </c>
      <c r="G1653" t="s">
        <v>90</v>
      </c>
      <c r="H1653">
        <v>2</v>
      </c>
      <c r="I1653" t="s">
        <v>28</v>
      </c>
      <c r="J1653" t="s">
        <v>316</v>
      </c>
      <c r="K1653">
        <v>640</v>
      </c>
      <c r="L1653" t="s">
        <v>30</v>
      </c>
      <c r="M1653" t="s">
        <v>22</v>
      </c>
    </row>
    <row r="1654" spans="1:13" x14ac:dyDescent="0.35">
      <c r="A1654" t="s">
        <v>2935</v>
      </c>
      <c r="B1654" s="9">
        <v>46057</v>
      </c>
      <c r="C1654" t="s">
        <v>521</v>
      </c>
      <c r="D1654" t="s">
        <v>66</v>
      </c>
      <c r="E1654" t="s">
        <v>67</v>
      </c>
      <c r="F1654" t="s">
        <v>17</v>
      </c>
      <c r="G1654" t="s">
        <v>18</v>
      </c>
      <c r="H1654">
        <v>2</v>
      </c>
      <c r="I1654" t="s">
        <v>106</v>
      </c>
      <c r="J1654" t="s">
        <v>107</v>
      </c>
      <c r="K1654">
        <v>520</v>
      </c>
      <c r="L1654" t="s">
        <v>30</v>
      </c>
      <c r="M1654" t="s">
        <v>22</v>
      </c>
    </row>
    <row r="1655" spans="1:13" x14ac:dyDescent="0.35">
      <c r="A1655" t="s">
        <v>2936</v>
      </c>
      <c r="B1655" s="9">
        <v>46152</v>
      </c>
      <c r="C1655" t="s">
        <v>2150</v>
      </c>
      <c r="D1655" t="s">
        <v>33</v>
      </c>
      <c r="E1655" t="s">
        <v>67</v>
      </c>
      <c r="F1655" t="s">
        <v>74</v>
      </c>
      <c r="G1655" t="s">
        <v>75</v>
      </c>
      <c r="H1655">
        <v>1</v>
      </c>
      <c r="I1655" t="s">
        <v>62</v>
      </c>
      <c r="J1655" t="s">
        <v>62</v>
      </c>
      <c r="K1655" t="s">
        <v>76</v>
      </c>
      <c r="L1655" t="s">
        <v>21</v>
      </c>
      <c r="M1655" t="s">
        <v>22</v>
      </c>
    </row>
    <row r="1656" spans="1:13" x14ac:dyDescent="0.35">
      <c r="A1656" t="s">
        <v>2937</v>
      </c>
      <c r="B1656" s="9">
        <v>46190</v>
      </c>
      <c r="C1656" t="s">
        <v>2473</v>
      </c>
      <c r="D1656" t="s">
        <v>46</v>
      </c>
      <c r="E1656" t="s">
        <v>67</v>
      </c>
      <c r="F1656" t="s">
        <v>83</v>
      </c>
      <c r="G1656" t="s">
        <v>84</v>
      </c>
      <c r="H1656">
        <v>1</v>
      </c>
      <c r="I1656" t="s">
        <v>62</v>
      </c>
      <c r="J1656" t="s">
        <v>62</v>
      </c>
      <c r="K1656" t="s">
        <v>103</v>
      </c>
      <c r="L1656" t="s">
        <v>21</v>
      </c>
      <c r="M1656" t="s">
        <v>58</v>
      </c>
    </row>
    <row r="1657" spans="1:13" x14ac:dyDescent="0.35">
      <c r="A1657" t="s">
        <v>2938</v>
      </c>
      <c r="B1657" s="9">
        <v>46038</v>
      </c>
      <c r="C1657" t="s">
        <v>580</v>
      </c>
      <c r="D1657" t="s">
        <v>40</v>
      </c>
      <c r="E1657" t="s">
        <v>25</v>
      </c>
      <c r="F1657" t="s">
        <v>89</v>
      </c>
      <c r="G1657" t="s">
        <v>90</v>
      </c>
      <c r="H1657">
        <v>1</v>
      </c>
      <c r="I1657" t="s">
        <v>79</v>
      </c>
      <c r="J1657" t="s">
        <v>79</v>
      </c>
      <c r="K1657">
        <v>640</v>
      </c>
      <c r="L1657" t="s">
        <v>30</v>
      </c>
      <c r="M1657" t="s">
        <v>22</v>
      </c>
    </row>
    <row r="1658" spans="1:13" x14ac:dyDescent="0.35">
      <c r="A1658" t="s">
        <v>2939</v>
      </c>
      <c r="B1658" s="9">
        <v>46173</v>
      </c>
      <c r="C1658" t="s">
        <v>1227</v>
      </c>
      <c r="D1658" t="s">
        <v>40</v>
      </c>
      <c r="E1658" t="s">
        <v>25</v>
      </c>
      <c r="F1658" t="s">
        <v>17</v>
      </c>
      <c r="G1658" t="s">
        <v>18</v>
      </c>
      <c r="H1658">
        <v>1</v>
      </c>
      <c r="I1658" t="s">
        <v>136</v>
      </c>
      <c r="J1658" t="s">
        <v>136</v>
      </c>
      <c r="K1658" t="s">
        <v>29</v>
      </c>
      <c r="L1658" t="s">
        <v>30</v>
      </c>
      <c r="M1658" t="s">
        <v>22</v>
      </c>
    </row>
    <row r="1659" spans="1:13" x14ac:dyDescent="0.35">
      <c r="A1659" t="s">
        <v>2940</v>
      </c>
      <c r="B1659" s="9">
        <v>46119</v>
      </c>
      <c r="C1659" t="s">
        <v>425</v>
      </c>
      <c r="D1659" t="s">
        <v>40</v>
      </c>
      <c r="E1659" t="s">
        <v>41</v>
      </c>
      <c r="F1659" t="s">
        <v>17</v>
      </c>
      <c r="G1659" t="s">
        <v>18</v>
      </c>
      <c r="H1659">
        <v>3</v>
      </c>
      <c r="I1659" t="s">
        <v>102</v>
      </c>
      <c r="J1659" t="s">
        <v>127</v>
      </c>
      <c r="K1659">
        <v>520</v>
      </c>
      <c r="L1659" t="s">
        <v>30</v>
      </c>
      <c r="M1659" t="s">
        <v>22</v>
      </c>
    </row>
    <row r="1660" spans="1:13" x14ac:dyDescent="0.35">
      <c r="A1660" t="s">
        <v>2941</v>
      </c>
      <c r="B1660" s="9">
        <v>46050</v>
      </c>
      <c r="C1660" t="s">
        <v>2501</v>
      </c>
      <c r="D1660" t="s">
        <v>33</v>
      </c>
      <c r="E1660" t="s">
        <v>41</v>
      </c>
      <c r="F1660" t="s">
        <v>74</v>
      </c>
      <c r="G1660" t="s">
        <v>75</v>
      </c>
      <c r="H1660">
        <v>2</v>
      </c>
      <c r="I1660" t="s">
        <v>79</v>
      </c>
      <c r="J1660" t="s">
        <v>143</v>
      </c>
      <c r="K1660">
        <v>410</v>
      </c>
      <c r="L1660" t="s">
        <v>30</v>
      </c>
      <c r="M1660" t="s">
        <v>22</v>
      </c>
    </row>
    <row r="1661" spans="1:13" x14ac:dyDescent="0.35">
      <c r="A1661" t="s">
        <v>2942</v>
      </c>
      <c r="B1661" s="9">
        <v>46065</v>
      </c>
      <c r="C1661" t="s">
        <v>1672</v>
      </c>
      <c r="D1661" t="s">
        <v>33</v>
      </c>
      <c r="E1661" t="s">
        <v>41</v>
      </c>
      <c r="F1661" t="s">
        <v>26</v>
      </c>
      <c r="G1661" t="s">
        <v>27</v>
      </c>
      <c r="H1661">
        <v>1</v>
      </c>
      <c r="I1661" t="s">
        <v>2943</v>
      </c>
      <c r="J1661" t="s">
        <v>19</v>
      </c>
      <c r="K1661">
        <v>520</v>
      </c>
      <c r="L1661" t="s">
        <v>21</v>
      </c>
      <c r="M1661" t="s">
        <v>22</v>
      </c>
    </row>
    <row r="1662" spans="1:13" x14ac:dyDescent="0.35">
      <c r="A1662" t="s">
        <v>2944</v>
      </c>
      <c r="B1662" s="9">
        <v>46146</v>
      </c>
      <c r="C1662" t="s">
        <v>2945</v>
      </c>
      <c r="D1662" t="s">
        <v>46</v>
      </c>
      <c r="E1662" t="s">
        <v>41</v>
      </c>
      <c r="F1662" t="s">
        <v>83</v>
      </c>
      <c r="G1662" t="s">
        <v>84</v>
      </c>
      <c r="H1662">
        <v>1</v>
      </c>
      <c r="I1662" t="s">
        <v>151</v>
      </c>
      <c r="J1662" t="s">
        <v>170</v>
      </c>
      <c r="K1662" t="s">
        <v>103</v>
      </c>
      <c r="L1662" t="s">
        <v>30</v>
      </c>
      <c r="M1662" t="s">
        <v>22</v>
      </c>
    </row>
    <row r="1663" spans="1:13" x14ac:dyDescent="0.35">
      <c r="A1663" t="s">
        <v>2946</v>
      </c>
      <c r="B1663" s="9">
        <v>46141</v>
      </c>
      <c r="C1663" t="s">
        <v>2791</v>
      </c>
      <c r="D1663" t="s">
        <v>99</v>
      </c>
      <c r="E1663" t="s">
        <v>67</v>
      </c>
      <c r="F1663" t="s">
        <v>74</v>
      </c>
      <c r="G1663" t="s">
        <v>75</v>
      </c>
      <c r="H1663">
        <v>1</v>
      </c>
      <c r="I1663" t="s">
        <v>170</v>
      </c>
      <c r="J1663" t="s">
        <v>170</v>
      </c>
      <c r="K1663" t="s">
        <v>76</v>
      </c>
      <c r="L1663" t="s">
        <v>21</v>
      </c>
      <c r="M1663" t="s">
        <v>58</v>
      </c>
    </row>
    <row r="1664" spans="1:13" x14ac:dyDescent="0.35">
      <c r="A1664" t="s">
        <v>2947</v>
      </c>
      <c r="B1664" s="9">
        <v>46101</v>
      </c>
      <c r="C1664" t="s">
        <v>700</v>
      </c>
      <c r="D1664" t="s">
        <v>15</v>
      </c>
      <c r="E1664" t="s">
        <v>67</v>
      </c>
      <c r="F1664" t="s">
        <v>42</v>
      </c>
      <c r="G1664" t="s">
        <v>43</v>
      </c>
      <c r="H1664">
        <v>1</v>
      </c>
      <c r="I1664" t="s">
        <v>56</v>
      </c>
      <c r="J1664" t="s">
        <v>56</v>
      </c>
      <c r="K1664">
        <v>190</v>
      </c>
      <c r="L1664" t="s">
        <v>30</v>
      </c>
      <c r="M1664" t="s">
        <v>22</v>
      </c>
    </row>
    <row r="1665" spans="1:13" x14ac:dyDescent="0.35">
      <c r="A1665" t="s">
        <v>2948</v>
      </c>
      <c r="B1665" t="s">
        <v>1900</v>
      </c>
      <c r="C1665" t="s">
        <v>2949</v>
      </c>
      <c r="D1665" t="s">
        <v>46</v>
      </c>
      <c r="E1665" t="s">
        <v>41</v>
      </c>
      <c r="F1665" t="s">
        <v>17</v>
      </c>
      <c r="G1665" t="s">
        <v>18</v>
      </c>
      <c r="H1665">
        <v>3</v>
      </c>
      <c r="I1665" t="s">
        <v>254</v>
      </c>
      <c r="J1665" t="s">
        <v>390</v>
      </c>
      <c r="K1665" t="s">
        <v>29</v>
      </c>
      <c r="L1665" t="s">
        <v>30</v>
      </c>
      <c r="M1665" t="s">
        <v>58</v>
      </c>
    </row>
    <row r="1666" spans="1:13" x14ac:dyDescent="0.35">
      <c r="A1666" t="s">
        <v>2950</v>
      </c>
      <c r="B1666" s="9">
        <v>46092</v>
      </c>
      <c r="C1666" t="s">
        <v>800</v>
      </c>
      <c r="D1666" t="s">
        <v>94</v>
      </c>
      <c r="E1666" t="s">
        <v>67</v>
      </c>
      <c r="F1666" t="s">
        <v>83</v>
      </c>
      <c r="G1666" t="s">
        <v>84</v>
      </c>
      <c r="H1666">
        <v>2</v>
      </c>
      <c r="I1666" t="s">
        <v>737</v>
      </c>
      <c r="J1666" t="s">
        <v>181</v>
      </c>
      <c r="K1666">
        <v>340</v>
      </c>
      <c r="L1666" t="s">
        <v>30</v>
      </c>
      <c r="M1666" t="s">
        <v>22</v>
      </c>
    </row>
    <row r="1667" spans="1:13" x14ac:dyDescent="0.35">
      <c r="A1667" t="s">
        <v>2951</v>
      </c>
      <c r="B1667" s="9">
        <v>46066</v>
      </c>
      <c r="C1667" t="s">
        <v>2168</v>
      </c>
      <c r="D1667" t="s">
        <v>40</v>
      </c>
      <c r="E1667" t="s">
        <v>25</v>
      </c>
      <c r="F1667" t="s">
        <v>47</v>
      </c>
      <c r="G1667" t="s">
        <v>48</v>
      </c>
      <c r="H1667">
        <v>1</v>
      </c>
      <c r="I1667" t="s">
        <v>136</v>
      </c>
      <c r="J1667" t="s">
        <v>136</v>
      </c>
      <c r="K1667">
        <v>380</v>
      </c>
      <c r="L1667" t="s">
        <v>30</v>
      </c>
      <c r="M1667" t="s">
        <v>22</v>
      </c>
    </row>
    <row r="1668" spans="1:13" x14ac:dyDescent="0.35">
      <c r="A1668" t="s">
        <v>2952</v>
      </c>
      <c r="B1668" s="9">
        <v>46064</v>
      </c>
      <c r="C1668" t="s">
        <v>1360</v>
      </c>
      <c r="D1668" t="s">
        <v>94</v>
      </c>
      <c r="E1668" t="s">
        <v>16</v>
      </c>
      <c r="F1668" t="s">
        <v>74</v>
      </c>
      <c r="G1668" t="s">
        <v>75</v>
      </c>
      <c r="H1668">
        <v>2</v>
      </c>
      <c r="I1668" t="s">
        <v>19</v>
      </c>
      <c r="J1668" t="s">
        <v>238</v>
      </c>
      <c r="K1668">
        <v>410</v>
      </c>
      <c r="L1668" t="s">
        <v>30</v>
      </c>
      <c r="M1668" t="s">
        <v>58</v>
      </c>
    </row>
    <row r="1669" spans="1:13" x14ac:dyDescent="0.35">
      <c r="A1669" t="s">
        <v>2953</v>
      </c>
      <c r="B1669" s="9">
        <v>46098</v>
      </c>
      <c r="C1669" t="s">
        <v>1612</v>
      </c>
      <c r="D1669" t="s">
        <v>33</v>
      </c>
      <c r="E1669" t="s">
        <v>67</v>
      </c>
      <c r="F1669" t="s">
        <v>89</v>
      </c>
      <c r="G1669" t="s">
        <v>90</v>
      </c>
      <c r="H1669">
        <v>1</v>
      </c>
      <c r="I1669" t="s">
        <v>102</v>
      </c>
      <c r="J1669" t="s">
        <v>102</v>
      </c>
      <c r="K1669">
        <v>640</v>
      </c>
      <c r="L1669" t="s">
        <v>30</v>
      </c>
      <c r="M1669" t="s">
        <v>58</v>
      </c>
    </row>
    <row r="1670" spans="1:13" x14ac:dyDescent="0.35">
      <c r="A1670" t="s">
        <v>2954</v>
      </c>
      <c r="B1670" s="9">
        <v>46097</v>
      </c>
      <c r="C1670" t="s">
        <v>842</v>
      </c>
      <c r="D1670" t="s">
        <v>33</v>
      </c>
      <c r="E1670" t="s">
        <v>67</v>
      </c>
      <c r="F1670" t="s">
        <v>17</v>
      </c>
      <c r="G1670" t="s">
        <v>18</v>
      </c>
      <c r="H1670">
        <v>1</v>
      </c>
      <c r="I1670" t="s">
        <v>254</v>
      </c>
      <c r="J1670" t="s">
        <v>254</v>
      </c>
      <c r="K1670">
        <v>520</v>
      </c>
      <c r="L1670" t="s">
        <v>30</v>
      </c>
      <c r="M1670" t="s">
        <v>22</v>
      </c>
    </row>
    <row r="1671" spans="1:13" x14ac:dyDescent="0.35">
      <c r="A1671" t="s">
        <v>2955</v>
      </c>
      <c r="B1671" s="9">
        <v>46203</v>
      </c>
      <c r="C1671" t="s">
        <v>1890</v>
      </c>
      <c r="D1671" t="s">
        <v>40</v>
      </c>
      <c r="E1671" t="s">
        <v>16</v>
      </c>
      <c r="F1671" t="s">
        <v>74</v>
      </c>
      <c r="G1671" t="s">
        <v>75</v>
      </c>
      <c r="H1671">
        <v>1</v>
      </c>
      <c r="I1671" t="s">
        <v>758</v>
      </c>
      <c r="J1671" t="s">
        <v>49</v>
      </c>
      <c r="K1671" t="s">
        <v>76</v>
      </c>
      <c r="L1671" t="s">
        <v>21</v>
      </c>
      <c r="M1671" t="s">
        <v>22</v>
      </c>
    </row>
    <row r="1672" spans="1:13" x14ac:dyDescent="0.35">
      <c r="A1672" t="s">
        <v>2956</v>
      </c>
      <c r="B1672" s="9">
        <v>46116</v>
      </c>
      <c r="C1672" t="s">
        <v>1298</v>
      </c>
      <c r="D1672" t="s">
        <v>40</v>
      </c>
      <c r="E1672" t="s">
        <v>34</v>
      </c>
      <c r="F1672" t="s">
        <v>47</v>
      </c>
      <c r="G1672" t="s">
        <v>48</v>
      </c>
      <c r="H1672">
        <v>2</v>
      </c>
      <c r="I1672" t="s">
        <v>220</v>
      </c>
      <c r="J1672" t="s">
        <v>221</v>
      </c>
      <c r="K1672">
        <v>380</v>
      </c>
      <c r="L1672" t="s">
        <v>30</v>
      </c>
      <c r="M1672" t="s">
        <v>58</v>
      </c>
    </row>
    <row r="1673" spans="1:13" x14ac:dyDescent="0.35">
      <c r="A1673" t="s">
        <v>2957</v>
      </c>
      <c r="B1673" s="9">
        <v>46164</v>
      </c>
      <c r="C1673" t="s">
        <v>1536</v>
      </c>
      <c r="D1673" t="s">
        <v>94</v>
      </c>
      <c r="E1673" t="s">
        <v>34</v>
      </c>
      <c r="F1673" t="s">
        <v>26</v>
      </c>
      <c r="G1673" t="s">
        <v>27</v>
      </c>
      <c r="H1673">
        <v>1</v>
      </c>
      <c r="I1673" t="s">
        <v>79</v>
      </c>
      <c r="J1673" t="s">
        <v>79</v>
      </c>
      <c r="K1673" t="s">
        <v>29</v>
      </c>
      <c r="L1673" t="s">
        <v>30</v>
      </c>
      <c r="M1673" t="s">
        <v>22</v>
      </c>
    </row>
    <row r="1674" spans="1:13" x14ac:dyDescent="0.35">
      <c r="A1674" t="s">
        <v>2958</v>
      </c>
      <c r="B1674" s="9">
        <v>46028</v>
      </c>
      <c r="C1674" t="s">
        <v>2222</v>
      </c>
      <c r="D1674" t="s">
        <v>61</v>
      </c>
      <c r="E1674" t="s">
        <v>16</v>
      </c>
      <c r="F1674" t="s">
        <v>35</v>
      </c>
      <c r="G1674" t="s">
        <v>36</v>
      </c>
      <c r="H1674">
        <v>1</v>
      </c>
      <c r="I1674" t="s">
        <v>106</v>
      </c>
      <c r="J1674" t="s">
        <v>106</v>
      </c>
      <c r="K1674">
        <v>85</v>
      </c>
      <c r="L1674" t="s">
        <v>30</v>
      </c>
      <c r="M1674" t="s">
        <v>58</v>
      </c>
    </row>
    <row r="1675" spans="1:13" x14ac:dyDescent="0.35">
      <c r="A1675" t="s">
        <v>2959</v>
      </c>
      <c r="B1675" s="9">
        <v>46143</v>
      </c>
      <c r="C1675" t="s">
        <v>847</v>
      </c>
      <c r="D1675" t="s">
        <v>46</v>
      </c>
      <c r="E1675" t="s">
        <v>67</v>
      </c>
      <c r="F1675" t="s">
        <v>47</v>
      </c>
      <c r="G1675" t="s">
        <v>48</v>
      </c>
      <c r="H1675">
        <v>1</v>
      </c>
      <c r="I1675" t="s">
        <v>254</v>
      </c>
      <c r="J1675" t="s">
        <v>254</v>
      </c>
      <c r="K1675" t="s">
        <v>50</v>
      </c>
      <c r="L1675" t="s">
        <v>30</v>
      </c>
      <c r="M1675" t="s">
        <v>22</v>
      </c>
    </row>
    <row r="1676" spans="1:13" x14ac:dyDescent="0.35">
      <c r="A1676" t="s">
        <v>2960</v>
      </c>
      <c r="B1676" s="9">
        <v>46124</v>
      </c>
      <c r="C1676" t="s">
        <v>2961</v>
      </c>
      <c r="D1676" t="s">
        <v>66</v>
      </c>
      <c r="E1676" t="s">
        <v>41</v>
      </c>
      <c r="F1676" t="s">
        <v>83</v>
      </c>
      <c r="G1676" t="s">
        <v>84</v>
      </c>
      <c r="H1676">
        <v>2</v>
      </c>
      <c r="I1676" t="s">
        <v>49</v>
      </c>
      <c r="J1676" t="s">
        <v>2962</v>
      </c>
      <c r="K1676">
        <v>340</v>
      </c>
      <c r="L1676" t="s">
        <v>21</v>
      </c>
      <c r="M1676" t="s">
        <v>22</v>
      </c>
    </row>
    <row r="1677" spans="1:13" x14ac:dyDescent="0.35">
      <c r="A1677" t="s">
        <v>2963</v>
      </c>
      <c r="B1677" s="9">
        <v>46101</v>
      </c>
      <c r="C1677" t="s">
        <v>2964</v>
      </c>
      <c r="D1677" t="s">
        <v>15</v>
      </c>
      <c r="E1677" t="s">
        <v>34</v>
      </c>
      <c r="F1677" t="s">
        <v>42</v>
      </c>
      <c r="G1677" t="s">
        <v>43</v>
      </c>
      <c r="H1677">
        <v>2</v>
      </c>
      <c r="I1677" t="s">
        <v>426</v>
      </c>
      <c r="J1677" t="s">
        <v>316</v>
      </c>
      <c r="K1677">
        <v>190</v>
      </c>
      <c r="L1677" t="s">
        <v>21</v>
      </c>
      <c r="M1677" t="s">
        <v>22</v>
      </c>
    </row>
    <row r="1678" spans="1:13" x14ac:dyDescent="0.35">
      <c r="A1678" t="s">
        <v>2965</v>
      </c>
      <c r="B1678" t="s">
        <v>339</v>
      </c>
      <c r="C1678" t="s">
        <v>868</v>
      </c>
      <c r="D1678" t="s">
        <v>99</v>
      </c>
      <c r="E1678" t="s">
        <v>16</v>
      </c>
      <c r="F1678" t="s">
        <v>42</v>
      </c>
      <c r="G1678" t="s">
        <v>43</v>
      </c>
      <c r="H1678">
        <v>1</v>
      </c>
      <c r="I1678" t="s">
        <v>85</v>
      </c>
      <c r="J1678" t="s">
        <v>85</v>
      </c>
      <c r="K1678">
        <v>190</v>
      </c>
      <c r="L1678" t="s">
        <v>30</v>
      </c>
      <c r="M1678" t="s">
        <v>58</v>
      </c>
    </row>
    <row r="1679" spans="1:13" x14ac:dyDescent="0.35">
      <c r="A1679" t="s">
        <v>2727</v>
      </c>
      <c r="B1679" t="s">
        <v>610</v>
      </c>
      <c r="C1679" t="s">
        <v>2728</v>
      </c>
      <c r="D1679" t="s">
        <v>53</v>
      </c>
      <c r="E1679" t="s">
        <v>41</v>
      </c>
      <c r="F1679" t="s">
        <v>74</v>
      </c>
      <c r="G1679" t="s">
        <v>75</v>
      </c>
      <c r="H1679">
        <v>3</v>
      </c>
      <c r="I1679" t="s">
        <v>106</v>
      </c>
      <c r="J1679" t="s">
        <v>160</v>
      </c>
      <c r="K1679" t="s">
        <v>76</v>
      </c>
      <c r="L1679" t="s">
        <v>21</v>
      </c>
      <c r="M1679" t="s">
        <v>22</v>
      </c>
    </row>
    <row r="1680" spans="1:13" x14ac:dyDescent="0.35">
      <c r="A1680" t="s">
        <v>2966</v>
      </c>
      <c r="B1680" s="9">
        <v>46112</v>
      </c>
      <c r="C1680" t="s">
        <v>229</v>
      </c>
      <c r="D1680" t="s">
        <v>116</v>
      </c>
      <c r="E1680" t="s">
        <v>67</v>
      </c>
      <c r="F1680" t="s">
        <v>83</v>
      </c>
      <c r="G1680" t="s">
        <v>84</v>
      </c>
      <c r="H1680">
        <v>2</v>
      </c>
      <c r="I1680" t="s">
        <v>106</v>
      </c>
      <c r="J1680" t="s">
        <v>1380</v>
      </c>
      <c r="K1680">
        <v>340</v>
      </c>
      <c r="L1680" t="s">
        <v>21</v>
      </c>
      <c r="M1680" t="s">
        <v>22</v>
      </c>
    </row>
    <row r="1681" spans="1:13" x14ac:dyDescent="0.35">
      <c r="A1681" t="s">
        <v>2967</v>
      </c>
      <c r="B1681" s="9">
        <v>46299</v>
      </c>
      <c r="C1681" t="s">
        <v>2968</v>
      </c>
      <c r="D1681" t="s">
        <v>46</v>
      </c>
      <c r="E1681" t="s">
        <v>16</v>
      </c>
      <c r="F1681" t="s">
        <v>83</v>
      </c>
      <c r="G1681" t="s">
        <v>84</v>
      </c>
      <c r="H1681">
        <v>1</v>
      </c>
      <c r="I1681" t="s">
        <v>71</v>
      </c>
      <c r="J1681" t="s">
        <v>71</v>
      </c>
      <c r="K1681">
        <v>340</v>
      </c>
      <c r="L1681" t="s">
        <v>30</v>
      </c>
      <c r="M1681" t="s">
        <v>22</v>
      </c>
    </row>
    <row r="1682" spans="1:13" x14ac:dyDescent="0.35">
      <c r="A1682" t="s">
        <v>2969</v>
      </c>
      <c r="B1682" s="9">
        <v>46176</v>
      </c>
      <c r="C1682" t="s">
        <v>2364</v>
      </c>
      <c r="D1682" t="s">
        <v>33</v>
      </c>
      <c r="E1682" t="s">
        <v>25</v>
      </c>
      <c r="F1682" t="s">
        <v>42</v>
      </c>
      <c r="G1682" t="s">
        <v>43</v>
      </c>
      <c r="H1682">
        <v>2</v>
      </c>
      <c r="I1682" t="s">
        <v>56</v>
      </c>
      <c r="J1682" t="s">
        <v>193</v>
      </c>
      <c r="K1682" t="s">
        <v>111</v>
      </c>
      <c r="L1682" t="s">
        <v>30</v>
      </c>
      <c r="M1682" t="s">
        <v>22</v>
      </c>
    </row>
    <row r="1683" spans="1:13" x14ac:dyDescent="0.35">
      <c r="A1683" t="s">
        <v>2970</v>
      </c>
      <c r="B1683" s="9">
        <v>46061</v>
      </c>
      <c r="C1683" t="s">
        <v>2971</v>
      </c>
      <c r="D1683" t="s">
        <v>33</v>
      </c>
      <c r="E1683" t="s">
        <v>34</v>
      </c>
      <c r="F1683" t="s">
        <v>89</v>
      </c>
      <c r="G1683" t="s">
        <v>90</v>
      </c>
      <c r="H1683">
        <v>1</v>
      </c>
      <c r="I1683" t="s">
        <v>132</v>
      </c>
      <c r="J1683" t="s">
        <v>132</v>
      </c>
      <c r="K1683">
        <v>640</v>
      </c>
      <c r="L1683" t="s">
        <v>30</v>
      </c>
      <c r="M1683" t="s">
        <v>58</v>
      </c>
    </row>
    <row r="1684" spans="1:13" x14ac:dyDescent="0.35">
      <c r="A1684" t="s">
        <v>2972</v>
      </c>
      <c r="B1684" s="9">
        <v>46198</v>
      </c>
      <c r="C1684" t="s">
        <v>2973</v>
      </c>
      <c r="D1684" t="s">
        <v>53</v>
      </c>
      <c r="E1684" t="s">
        <v>16</v>
      </c>
      <c r="F1684" t="s">
        <v>47</v>
      </c>
      <c r="G1684" t="s">
        <v>48</v>
      </c>
      <c r="H1684">
        <v>2</v>
      </c>
      <c r="I1684" t="s">
        <v>85</v>
      </c>
      <c r="J1684" t="s">
        <v>267</v>
      </c>
      <c r="K1684" t="s">
        <v>50</v>
      </c>
      <c r="L1684" t="s">
        <v>30</v>
      </c>
      <c r="M1684" t="s">
        <v>58</v>
      </c>
    </row>
    <row r="1685" spans="1:13" x14ac:dyDescent="0.35">
      <c r="A1685" t="s">
        <v>2974</v>
      </c>
      <c r="B1685" s="9">
        <v>46041</v>
      </c>
      <c r="C1685" t="s">
        <v>173</v>
      </c>
      <c r="D1685" t="s">
        <v>15</v>
      </c>
      <c r="E1685" t="s">
        <v>41</v>
      </c>
      <c r="F1685" t="s">
        <v>74</v>
      </c>
      <c r="G1685" t="s">
        <v>75</v>
      </c>
      <c r="H1685">
        <v>1</v>
      </c>
      <c r="I1685" t="s">
        <v>106</v>
      </c>
      <c r="J1685" t="s">
        <v>106</v>
      </c>
      <c r="K1685">
        <v>410</v>
      </c>
      <c r="L1685" t="s">
        <v>30</v>
      </c>
      <c r="M1685" t="s">
        <v>22</v>
      </c>
    </row>
    <row r="1686" spans="1:13" x14ac:dyDescent="0.35">
      <c r="A1686" t="s">
        <v>2975</v>
      </c>
      <c r="B1686" s="9">
        <v>46043</v>
      </c>
      <c r="C1686" t="s">
        <v>870</v>
      </c>
      <c r="D1686" t="s">
        <v>94</v>
      </c>
      <c r="E1686" t="s">
        <v>41</v>
      </c>
      <c r="F1686" t="s">
        <v>83</v>
      </c>
      <c r="G1686" t="s">
        <v>84</v>
      </c>
      <c r="H1686">
        <v>3</v>
      </c>
      <c r="I1686" t="s">
        <v>102</v>
      </c>
      <c r="J1686" t="s">
        <v>127</v>
      </c>
      <c r="K1686">
        <v>340</v>
      </c>
      <c r="L1686" t="s">
        <v>30</v>
      </c>
      <c r="M1686" t="s">
        <v>22</v>
      </c>
    </row>
    <row r="1687" spans="1:13" x14ac:dyDescent="0.35">
      <c r="A1687" t="s">
        <v>2976</v>
      </c>
      <c r="B1687" s="9">
        <v>46194</v>
      </c>
      <c r="C1687" t="s">
        <v>2977</v>
      </c>
      <c r="D1687" t="s">
        <v>99</v>
      </c>
      <c r="E1687" t="s">
        <v>67</v>
      </c>
      <c r="F1687" t="s">
        <v>42</v>
      </c>
      <c r="G1687" t="s">
        <v>43</v>
      </c>
      <c r="H1687">
        <v>1</v>
      </c>
      <c r="I1687" t="s">
        <v>62</v>
      </c>
      <c r="J1687" t="s">
        <v>62</v>
      </c>
      <c r="K1687" t="s">
        <v>111</v>
      </c>
      <c r="L1687" t="s">
        <v>21</v>
      </c>
      <c r="M1687" t="s">
        <v>22</v>
      </c>
    </row>
    <row r="1688" spans="1:13" x14ac:dyDescent="0.35">
      <c r="A1688" t="s">
        <v>2978</v>
      </c>
      <c r="B1688" t="s">
        <v>2067</v>
      </c>
      <c r="C1688" t="s">
        <v>2979</v>
      </c>
      <c r="D1688" t="s">
        <v>33</v>
      </c>
      <c r="E1688" t="s">
        <v>41</v>
      </c>
      <c r="F1688" t="s">
        <v>89</v>
      </c>
      <c r="G1688" t="s">
        <v>90</v>
      </c>
      <c r="H1688">
        <v>1</v>
      </c>
      <c r="I1688" t="s">
        <v>85</v>
      </c>
      <c r="J1688" t="s">
        <v>85</v>
      </c>
      <c r="K1688" t="s">
        <v>108</v>
      </c>
      <c r="L1688" t="s">
        <v>30</v>
      </c>
      <c r="M1688" t="s">
        <v>58</v>
      </c>
    </row>
    <row r="1689" spans="1:13" x14ac:dyDescent="0.35">
      <c r="A1689" t="s">
        <v>2980</v>
      </c>
      <c r="B1689" s="9">
        <v>46122</v>
      </c>
      <c r="C1689" t="s">
        <v>716</v>
      </c>
      <c r="D1689" t="s">
        <v>53</v>
      </c>
      <c r="E1689" t="s">
        <v>25</v>
      </c>
      <c r="F1689" t="s">
        <v>42</v>
      </c>
      <c r="G1689" t="s">
        <v>43</v>
      </c>
      <c r="H1689">
        <v>3</v>
      </c>
      <c r="I1689" t="s">
        <v>68</v>
      </c>
      <c r="J1689" t="s">
        <v>205</v>
      </c>
      <c r="K1689">
        <v>190</v>
      </c>
      <c r="L1689" t="s">
        <v>30</v>
      </c>
      <c r="M1689" t="s">
        <v>58</v>
      </c>
    </row>
    <row r="1690" spans="1:13" x14ac:dyDescent="0.35">
      <c r="A1690" t="s">
        <v>2981</v>
      </c>
      <c r="B1690" s="9">
        <v>46195</v>
      </c>
      <c r="C1690" t="s">
        <v>663</v>
      </c>
      <c r="D1690" t="s">
        <v>94</v>
      </c>
      <c r="E1690" t="s">
        <v>25</v>
      </c>
      <c r="F1690" t="s">
        <v>35</v>
      </c>
      <c r="G1690" t="s">
        <v>36</v>
      </c>
      <c r="H1690">
        <v>1</v>
      </c>
      <c r="I1690" t="s">
        <v>85</v>
      </c>
      <c r="J1690" t="s">
        <v>85</v>
      </c>
      <c r="K1690" t="s">
        <v>37</v>
      </c>
      <c r="L1690" t="s">
        <v>30</v>
      </c>
      <c r="M1690" t="s">
        <v>22</v>
      </c>
    </row>
    <row r="1691" spans="1:13" x14ac:dyDescent="0.35">
      <c r="A1691" t="s">
        <v>2982</v>
      </c>
      <c r="B1691" s="9">
        <v>46205</v>
      </c>
      <c r="C1691" t="s">
        <v>2983</v>
      </c>
      <c r="D1691" t="s">
        <v>61</v>
      </c>
      <c r="E1691" t="s">
        <v>34</v>
      </c>
      <c r="F1691" t="s">
        <v>89</v>
      </c>
      <c r="G1691" t="s">
        <v>90</v>
      </c>
      <c r="H1691">
        <v>3</v>
      </c>
      <c r="I1691" t="s">
        <v>71</v>
      </c>
      <c r="J1691" t="s">
        <v>379</v>
      </c>
      <c r="K1691" t="s">
        <v>108</v>
      </c>
      <c r="L1691" t="s">
        <v>30</v>
      </c>
      <c r="M1691" t="s">
        <v>22</v>
      </c>
    </row>
    <row r="1692" spans="1:13" x14ac:dyDescent="0.35">
      <c r="A1692" t="s">
        <v>2984</v>
      </c>
      <c r="B1692" s="9">
        <v>46037</v>
      </c>
      <c r="C1692" t="s">
        <v>1163</v>
      </c>
      <c r="D1692" t="s">
        <v>99</v>
      </c>
      <c r="E1692" t="s">
        <v>67</v>
      </c>
      <c r="F1692" t="s">
        <v>35</v>
      </c>
      <c r="G1692" t="s">
        <v>36</v>
      </c>
      <c r="H1692">
        <v>2</v>
      </c>
      <c r="I1692" t="s">
        <v>132</v>
      </c>
      <c r="J1692" t="s">
        <v>133</v>
      </c>
      <c r="K1692">
        <v>85</v>
      </c>
      <c r="L1692" t="s">
        <v>21</v>
      </c>
      <c r="M1692" t="s">
        <v>22</v>
      </c>
    </row>
    <row r="1693" spans="1:13" x14ac:dyDescent="0.35">
      <c r="A1693" t="s">
        <v>2985</v>
      </c>
      <c r="B1693" s="9">
        <v>46195</v>
      </c>
      <c r="C1693" t="s">
        <v>525</v>
      </c>
      <c r="D1693" t="s">
        <v>53</v>
      </c>
      <c r="E1693" t="s">
        <v>25</v>
      </c>
      <c r="F1693" t="s">
        <v>42</v>
      </c>
      <c r="G1693" t="s">
        <v>43</v>
      </c>
      <c r="H1693">
        <v>1</v>
      </c>
      <c r="I1693" t="s">
        <v>102</v>
      </c>
      <c r="J1693" t="s">
        <v>102</v>
      </c>
      <c r="K1693" t="s">
        <v>111</v>
      </c>
      <c r="L1693" t="s">
        <v>21</v>
      </c>
      <c r="M1693" t="s">
        <v>22</v>
      </c>
    </row>
    <row r="1694" spans="1:13" x14ac:dyDescent="0.35">
      <c r="A1694" t="s">
        <v>2986</v>
      </c>
      <c r="B1694" s="9">
        <v>46053</v>
      </c>
      <c r="C1694" t="s">
        <v>2987</v>
      </c>
      <c r="D1694" t="s">
        <v>15</v>
      </c>
      <c r="E1694" t="s">
        <v>67</v>
      </c>
      <c r="F1694" t="s">
        <v>17</v>
      </c>
      <c r="G1694" t="s">
        <v>18</v>
      </c>
      <c r="H1694">
        <v>2</v>
      </c>
      <c r="I1694" t="s">
        <v>102</v>
      </c>
      <c r="J1694" t="s">
        <v>1565</v>
      </c>
      <c r="K1694">
        <v>520</v>
      </c>
      <c r="L1694" t="s">
        <v>30</v>
      </c>
      <c r="M1694" t="s">
        <v>22</v>
      </c>
    </row>
    <row r="1695" spans="1:13" x14ac:dyDescent="0.35">
      <c r="A1695" t="s">
        <v>2988</v>
      </c>
      <c r="B1695" s="9">
        <v>46069</v>
      </c>
      <c r="C1695" t="s">
        <v>2086</v>
      </c>
      <c r="D1695" t="s">
        <v>61</v>
      </c>
      <c r="E1695" t="s">
        <v>67</v>
      </c>
      <c r="F1695" t="s">
        <v>17</v>
      </c>
      <c r="G1695" t="s">
        <v>18</v>
      </c>
      <c r="H1695">
        <v>2</v>
      </c>
      <c r="I1695" t="s">
        <v>102</v>
      </c>
      <c r="J1695" t="s">
        <v>181</v>
      </c>
      <c r="K1695">
        <v>520</v>
      </c>
      <c r="L1695" t="s">
        <v>30</v>
      </c>
      <c r="M1695" t="s">
        <v>22</v>
      </c>
    </row>
    <row r="1696" spans="1:13" x14ac:dyDescent="0.35">
      <c r="A1696" t="s">
        <v>2989</v>
      </c>
      <c r="B1696" s="9">
        <v>46079</v>
      </c>
      <c r="C1696" t="s">
        <v>325</v>
      </c>
      <c r="D1696" t="s">
        <v>61</v>
      </c>
      <c r="E1696" t="s">
        <v>67</v>
      </c>
      <c r="F1696" t="s">
        <v>35</v>
      </c>
      <c r="G1696" t="s">
        <v>36</v>
      </c>
      <c r="H1696">
        <v>3</v>
      </c>
      <c r="I1696" t="s">
        <v>136</v>
      </c>
      <c r="J1696" t="s">
        <v>137</v>
      </c>
      <c r="K1696">
        <v>85</v>
      </c>
      <c r="L1696" t="s">
        <v>21</v>
      </c>
      <c r="M1696" t="s">
        <v>22</v>
      </c>
    </row>
    <row r="1697" spans="1:13" x14ac:dyDescent="0.35">
      <c r="A1697" t="s">
        <v>2990</v>
      </c>
      <c r="B1697" t="s">
        <v>158</v>
      </c>
      <c r="C1697" t="s">
        <v>583</v>
      </c>
      <c r="D1697" t="s">
        <v>53</v>
      </c>
      <c r="E1697" t="s">
        <v>16</v>
      </c>
      <c r="F1697" t="s">
        <v>17</v>
      </c>
      <c r="G1697" t="s">
        <v>18</v>
      </c>
      <c r="H1697">
        <v>1</v>
      </c>
      <c r="I1697" t="s">
        <v>56</v>
      </c>
      <c r="J1697" t="s">
        <v>56</v>
      </c>
      <c r="K1697">
        <v>520</v>
      </c>
      <c r="L1697" t="s">
        <v>30</v>
      </c>
      <c r="M1697" t="s">
        <v>22</v>
      </c>
    </row>
    <row r="1698" spans="1:13" x14ac:dyDescent="0.35">
      <c r="A1698" t="s">
        <v>2991</v>
      </c>
      <c r="B1698" s="9">
        <v>46064</v>
      </c>
      <c r="C1698" t="s">
        <v>1931</v>
      </c>
      <c r="D1698" t="s">
        <v>66</v>
      </c>
      <c r="E1698" t="s">
        <v>16</v>
      </c>
      <c r="F1698" t="s">
        <v>17</v>
      </c>
      <c r="G1698" t="s">
        <v>18</v>
      </c>
      <c r="H1698">
        <v>2</v>
      </c>
      <c r="I1698" t="s">
        <v>49</v>
      </c>
      <c r="J1698" t="s">
        <v>178</v>
      </c>
      <c r="K1698">
        <v>520</v>
      </c>
      <c r="L1698" t="s">
        <v>30</v>
      </c>
      <c r="M1698" t="s">
        <v>22</v>
      </c>
    </row>
    <row r="1699" spans="1:13" x14ac:dyDescent="0.35">
      <c r="A1699" t="s">
        <v>2992</v>
      </c>
      <c r="B1699" s="9">
        <v>46178</v>
      </c>
      <c r="C1699" t="s">
        <v>2993</v>
      </c>
      <c r="D1699" t="s">
        <v>15</v>
      </c>
      <c r="E1699" t="s">
        <v>34</v>
      </c>
      <c r="F1699" t="s">
        <v>17</v>
      </c>
      <c r="G1699" t="s">
        <v>18</v>
      </c>
      <c r="H1699">
        <v>2</v>
      </c>
      <c r="I1699" t="s">
        <v>19</v>
      </c>
      <c r="J1699" t="s">
        <v>238</v>
      </c>
      <c r="K1699" t="s">
        <v>29</v>
      </c>
      <c r="L1699" t="s">
        <v>30</v>
      </c>
      <c r="M1699" t="s">
        <v>22</v>
      </c>
    </row>
    <row r="1700" spans="1:13" x14ac:dyDescent="0.35">
      <c r="A1700" t="s">
        <v>2994</v>
      </c>
      <c r="B1700" t="s">
        <v>1610</v>
      </c>
      <c r="C1700" t="s">
        <v>2995</v>
      </c>
      <c r="D1700" t="s">
        <v>99</v>
      </c>
      <c r="E1700" t="s">
        <v>16</v>
      </c>
      <c r="F1700" t="s">
        <v>26</v>
      </c>
      <c r="G1700" t="s">
        <v>27</v>
      </c>
      <c r="H1700">
        <v>1</v>
      </c>
      <c r="I1700" t="s">
        <v>136</v>
      </c>
      <c r="J1700" t="s">
        <v>136</v>
      </c>
      <c r="K1700" t="s">
        <v>29</v>
      </c>
      <c r="L1700" t="s">
        <v>21</v>
      </c>
      <c r="M1700" t="s">
        <v>58</v>
      </c>
    </row>
    <row r="1701" spans="1:13" x14ac:dyDescent="0.35">
      <c r="A1701" t="s">
        <v>2996</v>
      </c>
      <c r="B1701" s="9">
        <v>46076</v>
      </c>
      <c r="C1701" t="s">
        <v>180</v>
      </c>
      <c r="D1701" t="s">
        <v>15</v>
      </c>
      <c r="E1701" t="s">
        <v>16</v>
      </c>
      <c r="F1701" t="s">
        <v>89</v>
      </c>
      <c r="G1701" t="s">
        <v>90</v>
      </c>
      <c r="H1701">
        <v>1</v>
      </c>
      <c r="I1701" t="s">
        <v>254</v>
      </c>
      <c r="J1701" t="s">
        <v>254</v>
      </c>
      <c r="K1701">
        <v>640</v>
      </c>
      <c r="L1701" t="s">
        <v>30</v>
      </c>
      <c r="M1701" t="s">
        <v>22</v>
      </c>
    </row>
    <row r="1702" spans="1:13" x14ac:dyDescent="0.35">
      <c r="A1702" t="s">
        <v>2997</v>
      </c>
      <c r="B1702" s="9">
        <v>46165</v>
      </c>
      <c r="C1702" t="s">
        <v>2998</v>
      </c>
      <c r="D1702" t="s">
        <v>66</v>
      </c>
      <c r="E1702" t="s">
        <v>16</v>
      </c>
      <c r="F1702" t="s">
        <v>17</v>
      </c>
      <c r="G1702" t="s">
        <v>18</v>
      </c>
      <c r="H1702">
        <v>1</v>
      </c>
      <c r="I1702" t="s">
        <v>71</v>
      </c>
      <c r="J1702" t="s">
        <v>71</v>
      </c>
      <c r="K1702" t="s">
        <v>29</v>
      </c>
      <c r="L1702" t="s">
        <v>30</v>
      </c>
      <c r="M1702" t="s">
        <v>58</v>
      </c>
    </row>
    <row r="1703" spans="1:13" x14ac:dyDescent="0.35">
      <c r="A1703" t="s">
        <v>2999</v>
      </c>
      <c r="B1703" s="9">
        <v>46187</v>
      </c>
      <c r="C1703" t="s">
        <v>245</v>
      </c>
      <c r="D1703" t="s">
        <v>66</v>
      </c>
      <c r="E1703" t="s">
        <v>16</v>
      </c>
      <c r="F1703" t="s">
        <v>17</v>
      </c>
      <c r="G1703" t="s">
        <v>18</v>
      </c>
      <c r="H1703">
        <v>1</v>
      </c>
      <c r="I1703" t="s">
        <v>132</v>
      </c>
      <c r="J1703" t="s">
        <v>3000</v>
      </c>
      <c r="K1703" t="s">
        <v>29</v>
      </c>
      <c r="L1703" t="s">
        <v>30</v>
      </c>
      <c r="M1703" t="s">
        <v>22</v>
      </c>
    </row>
    <row r="1704" spans="1:13" x14ac:dyDescent="0.35">
      <c r="A1704" t="s">
        <v>3001</v>
      </c>
      <c r="B1704" s="9">
        <v>46055</v>
      </c>
      <c r="C1704" t="s">
        <v>1181</v>
      </c>
      <c r="D1704" t="s">
        <v>94</v>
      </c>
      <c r="E1704" t="s">
        <v>67</v>
      </c>
      <c r="F1704" t="s">
        <v>47</v>
      </c>
      <c r="G1704" t="s">
        <v>48</v>
      </c>
      <c r="H1704">
        <v>2</v>
      </c>
      <c r="I1704" t="s">
        <v>102</v>
      </c>
      <c r="J1704" t="s">
        <v>181</v>
      </c>
      <c r="K1704">
        <v>380</v>
      </c>
      <c r="L1704" t="s">
        <v>30</v>
      </c>
      <c r="M1704" t="s">
        <v>22</v>
      </c>
    </row>
    <row r="1705" spans="1:13" x14ac:dyDescent="0.35">
      <c r="A1705" t="s">
        <v>3002</v>
      </c>
      <c r="B1705" s="9">
        <v>46150</v>
      </c>
      <c r="C1705" t="s">
        <v>231</v>
      </c>
      <c r="D1705" t="s">
        <v>53</v>
      </c>
      <c r="E1705" t="s">
        <v>34</v>
      </c>
      <c r="F1705" t="s">
        <v>26</v>
      </c>
      <c r="G1705" t="s">
        <v>27</v>
      </c>
      <c r="H1705">
        <v>-1</v>
      </c>
      <c r="I1705" t="s">
        <v>49</v>
      </c>
      <c r="J1705" t="s">
        <v>3003</v>
      </c>
      <c r="K1705" t="s">
        <v>29</v>
      </c>
      <c r="L1705" t="s">
        <v>30</v>
      </c>
      <c r="M1705" t="s">
        <v>22</v>
      </c>
    </row>
    <row r="1706" spans="1:13" x14ac:dyDescent="0.35">
      <c r="A1706" t="s">
        <v>3004</v>
      </c>
      <c r="B1706" s="9">
        <v>46114</v>
      </c>
      <c r="C1706" t="s">
        <v>3005</v>
      </c>
      <c r="D1706" t="s">
        <v>33</v>
      </c>
      <c r="E1706" t="s">
        <v>41</v>
      </c>
      <c r="F1706" t="s">
        <v>89</v>
      </c>
      <c r="G1706" t="s">
        <v>90</v>
      </c>
      <c r="H1706">
        <v>-2</v>
      </c>
      <c r="I1706" t="s">
        <v>68</v>
      </c>
      <c r="J1706" t="s">
        <v>1084</v>
      </c>
      <c r="K1706">
        <v>640</v>
      </c>
      <c r="L1706" t="s">
        <v>30</v>
      </c>
      <c r="M1706" t="s">
        <v>22</v>
      </c>
    </row>
    <row r="1707" spans="1:13" x14ac:dyDescent="0.35">
      <c r="A1707" t="s">
        <v>3006</v>
      </c>
      <c r="B1707" s="9">
        <v>46055</v>
      </c>
      <c r="C1707" t="s">
        <v>504</v>
      </c>
      <c r="D1707" t="s">
        <v>116</v>
      </c>
      <c r="E1707" t="s">
        <v>25</v>
      </c>
      <c r="F1707" t="s">
        <v>35</v>
      </c>
      <c r="G1707" t="s">
        <v>36</v>
      </c>
      <c r="H1707">
        <v>1</v>
      </c>
      <c r="I1707" t="s">
        <v>132</v>
      </c>
      <c r="J1707" t="s">
        <v>132</v>
      </c>
      <c r="K1707">
        <v>85</v>
      </c>
      <c r="L1707" t="s">
        <v>30</v>
      </c>
      <c r="M1707" t="s">
        <v>58</v>
      </c>
    </row>
    <row r="1708" spans="1:13" x14ac:dyDescent="0.35">
      <c r="A1708" t="s">
        <v>3007</v>
      </c>
      <c r="B1708" s="9">
        <v>46128</v>
      </c>
      <c r="C1708" t="s">
        <v>3008</v>
      </c>
      <c r="D1708" t="s">
        <v>53</v>
      </c>
      <c r="E1708" t="s">
        <v>41</v>
      </c>
      <c r="F1708" t="s">
        <v>17</v>
      </c>
      <c r="G1708" t="s">
        <v>18</v>
      </c>
      <c r="H1708">
        <v>1</v>
      </c>
      <c r="I1708" t="s">
        <v>79</v>
      </c>
      <c r="J1708" t="s">
        <v>79</v>
      </c>
      <c r="K1708">
        <v>520</v>
      </c>
      <c r="L1708" t="s">
        <v>30</v>
      </c>
      <c r="M1708" t="s">
        <v>22</v>
      </c>
    </row>
    <row r="1709" spans="1:13" x14ac:dyDescent="0.35">
      <c r="A1709" t="s">
        <v>3009</v>
      </c>
      <c r="B1709" s="9">
        <v>46198</v>
      </c>
      <c r="C1709" t="s">
        <v>968</v>
      </c>
      <c r="D1709" t="s">
        <v>53</v>
      </c>
      <c r="E1709" t="s">
        <v>16</v>
      </c>
      <c r="F1709" t="s">
        <v>47</v>
      </c>
      <c r="G1709" t="s">
        <v>48</v>
      </c>
      <c r="H1709">
        <v>2</v>
      </c>
      <c r="I1709" t="s">
        <v>500</v>
      </c>
      <c r="J1709" t="s">
        <v>221</v>
      </c>
      <c r="K1709" t="s">
        <v>50</v>
      </c>
      <c r="L1709" t="s">
        <v>21</v>
      </c>
      <c r="M1709" t="s">
        <v>22</v>
      </c>
    </row>
    <row r="1710" spans="1:13" x14ac:dyDescent="0.35">
      <c r="A1710" t="s">
        <v>3010</v>
      </c>
      <c r="B1710" s="9">
        <v>46036</v>
      </c>
      <c r="C1710" t="s">
        <v>3011</v>
      </c>
      <c r="D1710" t="s">
        <v>116</v>
      </c>
      <c r="E1710" t="s">
        <v>16</v>
      </c>
      <c r="F1710" t="s">
        <v>83</v>
      </c>
      <c r="G1710" t="s">
        <v>84</v>
      </c>
      <c r="H1710">
        <v>2</v>
      </c>
      <c r="I1710" t="s">
        <v>102</v>
      </c>
      <c r="J1710" t="s">
        <v>181</v>
      </c>
      <c r="K1710">
        <v>340</v>
      </c>
      <c r="L1710" t="s">
        <v>30</v>
      </c>
      <c r="M1710" t="s">
        <v>58</v>
      </c>
    </row>
    <row r="1711" spans="1:13" x14ac:dyDescent="0.35">
      <c r="A1711" t="s">
        <v>3012</v>
      </c>
      <c r="B1711" s="9">
        <v>46271</v>
      </c>
      <c r="C1711" t="s">
        <v>2014</v>
      </c>
      <c r="D1711" t="s">
        <v>40</v>
      </c>
      <c r="E1711" t="s">
        <v>67</v>
      </c>
      <c r="F1711" t="s">
        <v>89</v>
      </c>
      <c r="G1711" t="s">
        <v>90</v>
      </c>
      <c r="H1711">
        <v>1</v>
      </c>
      <c r="I1711" t="s">
        <v>102</v>
      </c>
      <c r="J1711" t="s">
        <v>102</v>
      </c>
      <c r="K1711" t="s">
        <v>108</v>
      </c>
      <c r="L1711" t="s">
        <v>30</v>
      </c>
      <c r="M1711" t="s">
        <v>22</v>
      </c>
    </row>
    <row r="1712" spans="1:13" x14ac:dyDescent="0.35">
      <c r="A1712" t="s">
        <v>3013</v>
      </c>
      <c r="B1712" s="9">
        <v>46182</v>
      </c>
      <c r="C1712" t="s">
        <v>3014</v>
      </c>
      <c r="D1712" t="s">
        <v>53</v>
      </c>
      <c r="E1712" t="s">
        <v>41</v>
      </c>
      <c r="F1712" t="s">
        <v>74</v>
      </c>
      <c r="G1712" t="s">
        <v>75</v>
      </c>
      <c r="H1712">
        <v>1</v>
      </c>
      <c r="I1712" t="s">
        <v>136</v>
      </c>
      <c r="J1712" t="s">
        <v>136</v>
      </c>
      <c r="K1712" t="s">
        <v>76</v>
      </c>
      <c r="L1712" t="s">
        <v>30</v>
      </c>
      <c r="M1712" t="s">
        <v>22</v>
      </c>
    </row>
    <row r="1713" spans="1:13" x14ac:dyDescent="0.35">
      <c r="A1713" t="s">
        <v>3015</v>
      </c>
      <c r="B1713" s="9">
        <v>46111</v>
      </c>
      <c r="C1713" t="s">
        <v>1833</v>
      </c>
      <c r="D1713" t="s">
        <v>116</v>
      </c>
      <c r="E1713" t="s">
        <v>67</v>
      </c>
      <c r="F1713" t="s">
        <v>89</v>
      </c>
      <c r="G1713" t="s">
        <v>90</v>
      </c>
      <c r="H1713">
        <v>2</v>
      </c>
      <c r="I1713" t="s">
        <v>220</v>
      </c>
      <c r="J1713" t="s">
        <v>221</v>
      </c>
      <c r="K1713">
        <v>640</v>
      </c>
      <c r="L1713" t="s">
        <v>30</v>
      </c>
      <c r="M1713" t="s">
        <v>58</v>
      </c>
    </row>
    <row r="1714" spans="1:13" x14ac:dyDescent="0.35">
      <c r="A1714" t="s">
        <v>3016</v>
      </c>
      <c r="B1714" s="9">
        <v>46145</v>
      </c>
      <c r="C1714" t="s">
        <v>2401</v>
      </c>
      <c r="D1714" t="s">
        <v>61</v>
      </c>
      <c r="E1714" t="s">
        <v>67</v>
      </c>
      <c r="F1714" t="s">
        <v>35</v>
      </c>
      <c r="G1714" t="s">
        <v>36</v>
      </c>
      <c r="H1714">
        <v>1</v>
      </c>
      <c r="I1714" t="s">
        <v>79</v>
      </c>
      <c r="J1714" t="s">
        <v>85</v>
      </c>
      <c r="K1714" t="s">
        <v>37</v>
      </c>
      <c r="L1714" t="s">
        <v>30</v>
      </c>
      <c r="M1714" t="s">
        <v>58</v>
      </c>
    </row>
    <row r="1715" spans="1:13" x14ac:dyDescent="0.35">
      <c r="A1715" t="s">
        <v>3017</v>
      </c>
      <c r="B1715" s="9">
        <v>46080</v>
      </c>
      <c r="C1715" t="s">
        <v>3018</v>
      </c>
      <c r="D1715" t="s">
        <v>40</v>
      </c>
      <c r="E1715" t="s">
        <v>34</v>
      </c>
      <c r="F1715" t="s">
        <v>89</v>
      </c>
      <c r="G1715" t="s">
        <v>90</v>
      </c>
      <c r="H1715">
        <v>-1</v>
      </c>
      <c r="I1715" t="s">
        <v>132</v>
      </c>
      <c r="J1715" t="s">
        <v>1873</v>
      </c>
      <c r="K1715">
        <v>640</v>
      </c>
      <c r="L1715" t="s">
        <v>30</v>
      </c>
      <c r="M1715" t="s">
        <v>58</v>
      </c>
    </row>
    <row r="1716" spans="1:13" x14ac:dyDescent="0.35">
      <c r="A1716" t="s">
        <v>3019</v>
      </c>
      <c r="B1716" s="9">
        <v>46172</v>
      </c>
      <c r="C1716" t="s">
        <v>788</v>
      </c>
      <c r="D1716" t="s">
        <v>61</v>
      </c>
      <c r="E1716" t="s">
        <v>34</v>
      </c>
      <c r="F1716" t="s">
        <v>42</v>
      </c>
      <c r="G1716" t="s">
        <v>43</v>
      </c>
      <c r="H1716">
        <v>1</v>
      </c>
      <c r="I1716" t="s">
        <v>71</v>
      </c>
      <c r="J1716" t="s">
        <v>71</v>
      </c>
      <c r="K1716" t="s">
        <v>111</v>
      </c>
      <c r="L1716" t="s">
        <v>30</v>
      </c>
      <c r="M1716" t="s">
        <v>22</v>
      </c>
    </row>
    <row r="1717" spans="1:13" x14ac:dyDescent="0.35">
      <c r="A1717" t="s">
        <v>3020</v>
      </c>
      <c r="B1717" s="9">
        <v>46158</v>
      </c>
      <c r="C1717" t="s">
        <v>3021</v>
      </c>
      <c r="D1717" t="s">
        <v>116</v>
      </c>
      <c r="E1717" t="s">
        <v>67</v>
      </c>
      <c r="F1717" t="s">
        <v>42</v>
      </c>
      <c r="G1717" t="s">
        <v>43</v>
      </c>
      <c r="H1717">
        <v>1</v>
      </c>
      <c r="I1717" t="s">
        <v>71</v>
      </c>
      <c r="J1717" t="s">
        <v>71</v>
      </c>
      <c r="K1717" t="s">
        <v>111</v>
      </c>
      <c r="L1717" t="s">
        <v>21</v>
      </c>
      <c r="M1717" t="s">
        <v>22</v>
      </c>
    </row>
    <row r="1718" spans="1:13" x14ac:dyDescent="0.35">
      <c r="A1718" t="s">
        <v>3022</v>
      </c>
      <c r="B1718" s="9">
        <v>46151</v>
      </c>
      <c r="C1718" t="s">
        <v>2374</v>
      </c>
      <c r="D1718" t="s">
        <v>15</v>
      </c>
      <c r="E1718" t="s">
        <v>34</v>
      </c>
      <c r="F1718" t="s">
        <v>74</v>
      </c>
      <c r="G1718" t="s">
        <v>75</v>
      </c>
      <c r="H1718">
        <v>-2</v>
      </c>
      <c r="I1718" t="s">
        <v>79</v>
      </c>
      <c r="J1718" t="s">
        <v>281</v>
      </c>
      <c r="K1718" t="s">
        <v>76</v>
      </c>
      <c r="L1718" t="s">
        <v>30</v>
      </c>
      <c r="M1718" t="s">
        <v>22</v>
      </c>
    </row>
    <row r="1719" spans="1:13" x14ac:dyDescent="0.35">
      <c r="A1719" t="s">
        <v>3023</v>
      </c>
      <c r="B1719" s="9">
        <v>46184</v>
      </c>
      <c r="C1719" t="s">
        <v>3024</v>
      </c>
      <c r="D1719" t="s">
        <v>66</v>
      </c>
      <c r="E1719" t="s">
        <v>25</v>
      </c>
      <c r="F1719" t="s">
        <v>89</v>
      </c>
      <c r="G1719" t="s">
        <v>90</v>
      </c>
      <c r="H1719">
        <v>3</v>
      </c>
      <c r="I1719" t="s">
        <v>85</v>
      </c>
      <c r="J1719" t="s">
        <v>86</v>
      </c>
      <c r="K1719" t="s">
        <v>108</v>
      </c>
      <c r="L1719" t="s">
        <v>30</v>
      </c>
      <c r="M1719" t="s">
        <v>22</v>
      </c>
    </row>
    <row r="1720" spans="1:13" x14ac:dyDescent="0.35">
      <c r="A1720" t="s">
        <v>3025</v>
      </c>
      <c r="B1720" s="9">
        <v>46034</v>
      </c>
      <c r="C1720" t="s">
        <v>720</v>
      </c>
      <c r="D1720" t="s">
        <v>53</v>
      </c>
      <c r="E1720" t="s">
        <v>67</v>
      </c>
      <c r="F1720" t="s">
        <v>47</v>
      </c>
      <c r="G1720" t="s">
        <v>48</v>
      </c>
      <c r="H1720">
        <v>3</v>
      </c>
      <c r="I1720" t="s">
        <v>28</v>
      </c>
      <c r="J1720" t="s">
        <v>568</v>
      </c>
      <c r="K1720">
        <v>380</v>
      </c>
      <c r="L1720" t="s">
        <v>21</v>
      </c>
      <c r="M1720" t="s">
        <v>22</v>
      </c>
    </row>
    <row r="1721" spans="1:13" x14ac:dyDescent="0.35">
      <c r="A1721" t="s">
        <v>3026</v>
      </c>
      <c r="B1721" s="9">
        <v>46032</v>
      </c>
      <c r="C1721" t="s">
        <v>985</v>
      </c>
      <c r="D1721" t="s">
        <v>99</v>
      </c>
      <c r="E1721" t="s">
        <v>41</v>
      </c>
      <c r="F1721" t="s">
        <v>83</v>
      </c>
      <c r="G1721" t="s">
        <v>84</v>
      </c>
      <c r="H1721">
        <v>2</v>
      </c>
      <c r="I1721" t="s">
        <v>79</v>
      </c>
      <c r="J1721" t="s">
        <v>143</v>
      </c>
      <c r="K1721">
        <v>340</v>
      </c>
      <c r="L1721" t="s">
        <v>30</v>
      </c>
      <c r="M1721" t="s">
        <v>22</v>
      </c>
    </row>
    <row r="1722" spans="1:13" x14ac:dyDescent="0.35">
      <c r="A1722" t="s">
        <v>3027</v>
      </c>
      <c r="B1722" s="9">
        <v>46137</v>
      </c>
      <c r="C1722" t="s">
        <v>2182</v>
      </c>
      <c r="D1722" t="s">
        <v>40</v>
      </c>
      <c r="E1722" t="s">
        <v>41</v>
      </c>
      <c r="F1722" t="s">
        <v>42</v>
      </c>
      <c r="G1722" t="s">
        <v>43</v>
      </c>
      <c r="H1722">
        <v>2</v>
      </c>
      <c r="I1722" t="s">
        <v>68</v>
      </c>
      <c r="J1722" t="s">
        <v>248</v>
      </c>
      <c r="K1722" t="s">
        <v>111</v>
      </c>
      <c r="L1722" t="s">
        <v>30</v>
      </c>
      <c r="M1722" t="s">
        <v>58</v>
      </c>
    </row>
    <row r="1723" spans="1:13" x14ac:dyDescent="0.35">
      <c r="A1723" t="s">
        <v>3028</v>
      </c>
      <c r="B1723" s="9">
        <v>46036</v>
      </c>
      <c r="C1723" t="s">
        <v>3029</v>
      </c>
      <c r="D1723" t="s">
        <v>46</v>
      </c>
      <c r="E1723" t="s">
        <v>67</v>
      </c>
      <c r="F1723" t="s">
        <v>89</v>
      </c>
      <c r="G1723" t="s">
        <v>90</v>
      </c>
      <c r="H1723">
        <v>2</v>
      </c>
      <c r="I1723" t="s">
        <v>106</v>
      </c>
      <c r="J1723" t="s">
        <v>107</v>
      </c>
      <c r="K1723">
        <v>640</v>
      </c>
      <c r="L1723" t="s">
        <v>30</v>
      </c>
      <c r="M1723" t="s">
        <v>22</v>
      </c>
    </row>
    <row r="1724" spans="1:13" x14ac:dyDescent="0.35">
      <c r="A1724" t="s">
        <v>3030</v>
      </c>
      <c r="B1724" s="9">
        <v>46031</v>
      </c>
      <c r="C1724" t="s">
        <v>3031</v>
      </c>
      <c r="D1724" t="s">
        <v>94</v>
      </c>
      <c r="E1724" t="s">
        <v>41</v>
      </c>
      <c r="F1724" t="s">
        <v>35</v>
      </c>
      <c r="G1724" t="s">
        <v>36</v>
      </c>
      <c r="H1724">
        <v>3</v>
      </c>
      <c r="I1724" t="s">
        <v>71</v>
      </c>
      <c r="J1724" t="s">
        <v>379</v>
      </c>
      <c r="K1724">
        <v>85</v>
      </c>
      <c r="L1724" t="s">
        <v>30</v>
      </c>
      <c r="M1724" t="s">
        <v>22</v>
      </c>
    </row>
    <row r="1725" spans="1:13" x14ac:dyDescent="0.35">
      <c r="A1725" t="s">
        <v>3032</v>
      </c>
      <c r="B1725" s="9">
        <v>46197</v>
      </c>
      <c r="C1725" t="s">
        <v>3033</v>
      </c>
      <c r="D1725" t="s">
        <v>46</v>
      </c>
      <c r="E1725" t="s">
        <v>34</v>
      </c>
      <c r="F1725" t="s">
        <v>83</v>
      </c>
      <c r="G1725" t="s">
        <v>84</v>
      </c>
      <c r="H1725">
        <v>3</v>
      </c>
      <c r="I1725" t="s">
        <v>49</v>
      </c>
      <c r="J1725" t="s">
        <v>257</v>
      </c>
      <c r="K1725" t="s">
        <v>103</v>
      </c>
      <c r="L1725" t="s">
        <v>21</v>
      </c>
      <c r="M1725" t="s">
        <v>22</v>
      </c>
    </row>
    <row r="1726" spans="1:13" x14ac:dyDescent="0.35">
      <c r="A1726" t="s">
        <v>3034</v>
      </c>
      <c r="B1726" s="9">
        <v>46361</v>
      </c>
      <c r="C1726" t="s">
        <v>1737</v>
      </c>
      <c r="D1726" t="s">
        <v>33</v>
      </c>
      <c r="E1726" t="s">
        <v>16</v>
      </c>
      <c r="F1726" t="s">
        <v>26</v>
      </c>
      <c r="G1726" t="s">
        <v>27</v>
      </c>
      <c r="H1726">
        <v>1</v>
      </c>
      <c r="I1726" t="s">
        <v>254</v>
      </c>
      <c r="J1726" t="s">
        <v>254</v>
      </c>
      <c r="K1726" t="s">
        <v>29</v>
      </c>
      <c r="L1726" t="s">
        <v>30</v>
      </c>
      <c r="M1726" t="s">
        <v>58</v>
      </c>
    </row>
    <row r="1727" spans="1:13" x14ac:dyDescent="0.35">
      <c r="A1727" t="s">
        <v>3035</v>
      </c>
      <c r="B1727" t="s">
        <v>998</v>
      </c>
      <c r="C1727" t="s">
        <v>1528</v>
      </c>
      <c r="D1727" t="s">
        <v>61</v>
      </c>
      <c r="E1727" t="s">
        <v>67</v>
      </c>
      <c r="F1727" t="s">
        <v>47</v>
      </c>
      <c r="G1727" t="s">
        <v>48</v>
      </c>
      <c r="H1727">
        <v>2</v>
      </c>
      <c r="I1727" t="s">
        <v>132</v>
      </c>
      <c r="J1727" t="s">
        <v>3036</v>
      </c>
      <c r="K1727">
        <v>380</v>
      </c>
      <c r="L1727" t="s">
        <v>30</v>
      </c>
      <c r="M1727" t="s">
        <v>22</v>
      </c>
    </row>
    <row r="1728" spans="1:13" x14ac:dyDescent="0.35">
      <c r="A1728" t="s">
        <v>3037</v>
      </c>
      <c r="B1728" t="s">
        <v>290</v>
      </c>
      <c r="C1728" t="s">
        <v>2401</v>
      </c>
      <c r="D1728" t="s">
        <v>15</v>
      </c>
      <c r="E1728" t="s">
        <v>16</v>
      </c>
      <c r="F1728" t="s">
        <v>42</v>
      </c>
      <c r="G1728" t="s">
        <v>43</v>
      </c>
      <c r="H1728">
        <v>1</v>
      </c>
      <c r="I1728" t="s">
        <v>68</v>
      </c>
      <c r="J1728" t="s">
        <v>68</v>
      </c>
      <c r="K1728">
        <v>190</v>
      </c>
      <c r="L1728" t="s">
        <v>30</v>
      </c>
      <c r="M1728" t="s">
        <v>58</v>
      </c>
    </row>
    <row r="1729" spans="1:13" x14ac:dyDescent="0.35">
      <c r="A1729" t="s">
        <v>3038</v>
      </c>
      <c r="B1729" s="9">
        <v>46298</v>
      </c>
      <c r="C1729" t="s">
        <v>981</v>
      </c>
      <c r="D1729" t="s">
        <v>33</v>
      </c>
      <c r="E1729" t="s">
        <v>16</v>
      </c>
      <c r="F1729" t="s">
        <v>26</v>
      </c>
      <c r="G1729" t="s">
        <v>27</v>
      </c>
      <c r="H1729">
        <v>2</v>
      </c>
      <c r="I1729" t="s">
        <v>106</v>
      </c>
      <c r="J1729" t="s">
        <v>107</v>
      </c>
      <c r="K1729">
        <v>520</v>
      </c>
      <c r="L1729" t="s">
        <v>30</v>
      </c>
      <c r="M1729" t="s">
        <v>22</v>
      </c>
    </row>
    <row r="1730" spans="1:13" x14ac:dyDescent="0.35">
      <c r="A1730" t="s">
        <v>3039</v>
      </c>
      <c r="B1730" s="9">
        <v>46101</v>
      </c>
      <c r="C1730" t="s">
        <v>2100</v>
      </c>
      <c r="D1730" t="s">
        <v>61</v>
      </c>
      <c r="E1730" t="s">
        <v>67</v>
      </c>
      <c r="F1730" t="s">
        <v>47</v>
      </c>
      <c r="G1730" t="s">
        <v>48</v>
      </c>
      <c r="H1730">
        <v>3</v>
      </c>
      <c r="I1730" t="s">
        <v>19</v>
      </c>
      <c r="J1730" t="s">
        <v>326</v>
      </c>
      <c r="K1730">
        <v>380</v>
      </c>
      <c r="L1730" t="s">
        <v>30</v>
      </c>
      <c r="M1730" t="s">
        <v>58</v>
      </c>
    </row>
    <row r="1731" spans="1:13" x14ac:dyDescent="0.35">
      <c r="A1731" t="s">
        <v>3040</v>
      </c>
      <c r="B1731" s="9">
        <v>46107</v>
      </c>
      <c r="C1731" t="s">
        <v>1924</v>
      </c>
      <c r="D1731" t="s">
        <v>33</v>
      </c>
      <c r="E1731" t="s">
        <v>25</v>
      </c>
      <c r="F1731" t="s">
        <v>89</v>
      </c>
      <c r="G1731" t="s">
        <v>90</v>
      </c>
      <c r="H1731">
        <v>1</v>
      </c>
      <c r="I1731" t="s">
        <v>28</v>
      </c>
      <c r="J1731" t="s">
        <v>28</v>
      </c>
      <c r="K1731">
        <v>640</v>
      </c>
      <c r="L1731" t="s">
        <v>21</v>
      </c>
      <c r="M1731" t="s">
        <v>58</v>
      </c>
    </row>
    <row r="1732" spans="1:13" x14ac:dyDescent="0.35">
      <c r="A1732" t="s">
        <v>3041</v>
      </c>
      <c r="B1732" s="9">
        <v>46128</v>
      </c>
      <c r="C1732" t="s">
        <v>428</v>
      </c>
      <c r="D1732" t="s">
        <v>116</v>
      </c>
      <c r="E1732" t="s">
        <v>67</v>
      </c>
      <c r="F1732" t="s">
        <v>83</v>
      </c>
      <c r="G1732" t="s">
        <v>84</v>
      </c>
      <c r="H1732">
        <v>1</v>
      </c>
      <c r="I1732" t="s">
        <v>132</v>
      </c>
      <c r="J1732" t="s">
        <v>132</v>
      </c>
      <c r="K1732">
        <v>340</v>
      </c>
      <c r="L1732" t="s">
        <v>30</v>
      </c>
      <c r="M1732" t="s">
        <v>58</v>
      </c>
    </row>
    <row r="1733" spans="1:13" x14ac:dyDescent="0.35">
      <c r="A1733" t="s">
        <v>3042</v>
      </c>
      <c r="B1733" s="9">
        <v>46079</v>
      </c>
      <c r="C1733" t="s">
        <v>1248</v>
      </c>
      <c r="D1733" t="s">
        <v>33</v>
      </c>
      <c r="E1733" t="s">
        <v>67</v>
      </c>
      <c r="F1733" t="s">
        <v>89</v>
      </c>
      <c r="G1733" t="s">
        <v>90</v>
      </c>
      <c r="H1733">
        <v>3</v>
      </c>
      <c r="I1733" t="s">
        <v>68</v>
      </c>
      <c r="J1733" t="s">
        <v>205</v>
      </c>
      <c r="K1733">
        <v>640</v>
      </c>
      <c r="L1733" t="s">
        <v>30</v>
      </c>
      <c r="M1733" t="s">
        <v>22</v>
      </c>
    </row>
    <row r="1734" spans="1:13" x14ac:dyDescent="0.35">
      <c r="A1734" t="s">
        <v>3043</v>
      </c>
      <c r="B1734" s="9">
        <v>46114</v>
      </c>
      <c r="C1734" t="s">
        <v>760</v>
      </c>
      <c r="D1734" t="s">
        <v>99</v>
      </c>
      <c r="E1734" t="s">
        <v>67</v>
      </c>
      <c r="F1734" t="s">
        <v>74</v>
      </c>
      <c r="G1734" t="s">
        <v>75</v>
      </c>
      <c r="H1734">
        <v>2</v>
      </c>
      <c r="I1734" t="s">
        <v>68</v>
      </c>
      <c r="J1734" t="s">
        <v>248</v>
      </c>
      <c r="K1734">
        <v>410</v>
      </c>
      <c r="L1734" t="s">
        <v>30</v>
      </c>
      <c r="M1734" t="s">
        <v>22</v>
      </c>
    </row>
    <row r="1735" spans="1:13" x14ac:dyDescent="0.35">
      <c r="A1735" t="s">
        <v>3044</v>
      </c>
      <c r="B1735" s="9">
        <v>46131</v>
      </c>
      <c r="C1735" t="s">
        <v>131</v>
      </c>
      <c r="D1735" t="s">
        <v>61</v>
      </c>
      <c r="E1735" t="s">
        <v>41</v>
      </c>
      <c r="F1735" t="s">
        <v>35</v>
      </c>
      <c r="G1735" t="s">
        <v>36</v>
      </c>
      <c r="H1735">
        <v>1</v>
      </c>
      <c r="I1735" t="s">
        <v>132</v>
      </c>
      <c r="J1735" t="s">
        <v>132</v>
      </c>
      <c r="K1735">
        <v>85</v>
      </c>
      <c r="L1735" t="s">
        <v>30</v>
      </c>
      <c r="M1735" t="s">
        <v>22</v>
      </c>
    </row>
    <row r="1736" spans="1:13" x14ac:dyDescent="0.35">
      <c r="A1736" t="s">
        <v>3045</v>
      </c>
      <c r="B1736" s="9">
        <v>46028</v>
      </c>
      <c r="C1736" t="s">
        <v>3046</v>
      </c>
      <c r="D1736" t="s">
        <v>33</v>
      </c>
      <c r="E1736" t="s">
        <v>34</v>
      </c>
      <c r="F1736" t="s">
        <v>17</v>
      </c>
      <c r="G1736" t="s">
        <v>18</v>
      </c>
      <c r="H1736">
        <v>1</v>
      </c>
      <c r="I1736" t="s">
        <v>106</v>
      </c>
      <c r="J1736" t="s">
        <v>1270</v>
      </c>
      <c r="K1736">
        <v>520</v>
      </c>
      <c r="L1736" t="s">
        <v>30</v>
      </c>
      <c r="M1736" t="s">
        <v>22</v>
      </c>
    </row>
    <row r="1737" spans="1:13" x14ac:dyDescent="0.35">
      <c r="A1737" t="s">
        <v>3047</v>
      </c>
      <c r="B1737" s="9">
        <v>46171</v>
      </c>
      <c r="C1737" t="s">
        <v>1375</v>
      </c>
      <c r="D1737" t="s">
        <v>15</v>
      </c>
      <c r="E1737" t="s">
        <v>25</v>
      </c>
      <c r="F1737" t="s">
        <v>47</v>
      </c>
      <c r="G1737" t="s">
        <v>48</v>
      </c>
      <c r="H1737">
        <v>3</v>
      </c>
      <c r="I1737" t="s">
        <v>102</v>
      </c>
      <c r="J1737" t="s">
        <v>127</v>
      </c>
      <c r="K1737" t="s">
        <v>50</v>
      </c>
      <c r="L1737" t="s">
        <v>21</v>
      </c>
      <c r="M1737" t="s">
        <v>22</v>
      </c>
    </row>
    <row r="1738" spans="1:13" x14ac:dyDescent="0.35">
      <c r="A1738" t="s">
        <v>3048</v>
      </c>
      <c r="B1738" s="9">
        <v>46206</v>
      </c>
      <c r="C1738" t="s">
        <v>464</v>
      </c>
      <c r="D1738" t="s">
        <v>40</v>
      </c>
      <c r="E1738" t="s">
        <v>41</v>
      </c>
      <c r="F1738" t="s">
        <v>26</v>
      </c>
      <c r="G1738" t="s">
        <v>27</v>
      </c>
      <c r="H1738">
        <v>3</v>
      </c>
      <c r="I1738" t="s">
        <v>102</v>
      </c>
      <c r="J1738" t="s">
        <v>127</v>
      </c>
      <c r="K1738" t="s">
        <v>29</v>
      </c>
      <c r="L1738" t="s">
        <v>30</v>
      </c>
      <c r="M1738" t="s">
        <v>22</v>
      </c>
    </row>
    <row r="1739" spans="1:13" x14ac:dyDescent="0.35">
      <c r="A1739" t="s">
        <v>3049</v>
      </c>
      <c r="B1739" s="9">
        <v>46186</v>
      </c>
      <c r="C1739" t="s">
        <v>2509</v>
      </c>
      <c r="D1739" t="s">
        <v>94</v>
      </c>
      <c r="E1739" t="s">
        <v>16</v>
      </c>
      <c r="F1739" t="s">
        <v>89</v>
      </c>
      <c r="G1739" t="s">
        <v>90</v>
      </c>
      <c r="H1739">
        <v>2</v>
      </c>
      <c r="I1739" t="s">
        <v>79</v>
      </c>
      <c r="J1739" t="s">
        <v>143</v>
      </c>
      <c r="K1739" t="s">
        <v>108</v>
      </c>
      <c r="L1739" t="s">
        <v>30</v>
      </c>
      <c r="M1739" t="s">
        <v>22</v>
      </c>
    </row>
    <row r="1740" spans="1:13" x14ac:dyDescent="0.35">
      <c r="A1740" t="s">
        <v>3050</v>
      </c>
      <c r="B1740" s="9">
        <v>46079</v>
      </c>
      <c r="C1740" t="s">
        <v>1735</v>
      </c>
      <c r="D1740" t="s">
        <v>99</v>
      </c>
      <c r="E1740" t="s">
        <v>25</v>
      </c>
      <c r="F1740" t="s">
        <v>83</v>
      </c>
      <c r="G1740" t="s">
        <v>84</v>
      </c>
      <c r="H1740">
        <v>3</v>
      </c>
      <c r="I1740" t="s">
        <v>85</v>
      </c>
      <c r="J1740" t="s">
        <v>86</v>
      </c>
      <c r="K1740">
        <v>340</v>
      </c>
      <c r="L1740" t="s">
        <v>21</v>
      </c>
      <c r="M1740" t="s">
        <v>22</v>
      </c>
    </row>
    <row r="1741" spans="1:13" x14ac:dyDescent="0.35">
      <c r="A1741" t="s">
        <v>3051</v>
      </c>
      <c r="B1741" s="9">
        <v>46167</v>
      </c>
      <c r="C1741" t="s">
        <v>201</v>
      </c>
      <c r="D1741" t="s">
        <v>66</v>
      </c>
      <c r="E1741" t="s">
        <v>34</v>
      </c>
      <c r="F1741" t="s">
        <v>89</v>
      </c>
      <c r="G1741" t="s">
        <v>90</v>
      </c>
      <c r="H1741">
        <v>-1</v>
      </c>
      <c r="I1741" t="s">
        <v>479</v>
      </c>
      <c r="J1741" t="s">
        <v>1404</v>
      </c>
      <c r="K1741" t="s">
        <v>108</v>
      </c>
      <c r="L1741" t="s">
        <v>30</v>
      </c>
      <c r="M1741" t="s">
        <v>22</v>
      </c>
    </row>
    <row r="1742" spans="1:13" x14ac:dyDescent="0.35">
      <c r="A1742" t="s">
        <v>3052</v>
      </c>
      <c r="B1742" s="9">
        <v>46024</v>
      </c>
      <c r="C1742" t="s">
        <v>2052</v>
      </c>
      <c r="D1742" t="s">
        <v>94</v>
      </c>
      <c r="E1742" t="s">
        <v>41</v>
      </c>
      <c r="F1742" t="s">
        <v>83</v>
      </c>
      <c r="G1742" t="s">
        <v>84</v>
      </c>
      <c r="H1742">
        <v>2</v>
      </c>
      <c r="I1742" t="s">
        <v>254</v>
      </c>
      <c r="J1742" t="s">
        <v>156</v>
      </c>
      <c r="K1742">
        <v>340</v>
      </c>
      <c r="L1742" t="s">
        <v>30</v>
      </c>
      <c r="M1742" t="s">
        <v>22</v>
      </c>
    </row>
    <row r="1743" spans="1:13" x14ac:dyDescent="0.35">
      <c r="A1743" t="s">
        <v>3053</v>
      </c>
      <c r="B1743" s="9">
        <v>46200</v>
      </c>
      <c r="C1743" t="s">
        <v>3054</v>
      </c>
      <c r="D1743" t="s">
        <v>33</v>
      </c>
      <c r="E1743" t="s">
        <v>34</v>
      </c>
      <c r="F1743" t="s">
        <v>17</v>
      </c>
      <c r="G1743" t="s">
        <v>18</v>
      </c>
      <c r="H1743">
        <v>1</v>
      </c>
      <c r="I1743" t="s">
        <v>28</v>
      </c>
      <c r="J1743" t="s">
        <v>28</v>
      </c>
      <c r="K1743" t="s">
        <v>29</v>
      </c>
      <c r="L1743" t="s">
        <v>30</v>
      </c>
      <c r="M1743" t="s">
        <v>22</v>
      </c>
    </row>
    <row r="1744" spans="1:13" x14ac:dyDescent="0.35">
      <c r="A1744" t="s">
        <v>3055</v>
      </c>
      <c r="B1744" s="9">
        <v>46041</v>
      </c>
      <c r="C1744" t="s">
        <v>2320</v>
      </c>
      <c r="D1744" t="s">
        <v>53</v>
      </c>
      <c r="E1744" t="s">
        <v>25</v>
      </c>
      <c r="F1744" t="s">
        <v>17</v>
      </c>
      <c r="G1744" t="s">
        <v>18</v>
      </c>
      <c r="H1744">
        <v>1</v>
      </c>
      <c r="I1744" t="s">
        <v>85</v>
      </c>
      <c r="J1744" t="s">
        <v>85</v>
      </c>
      <c r="K1744">
        <v>520</v>
      </c>
      <c r="L1744" t="s">
        <v>21</v>
      </c>
      <c r="M1744" t="s">
        <v>22</v>
      </c>
    </row>
    <row r="1745" spans="1:13" x14ac:dyDescent="0.35">
      <c r="A1745" t="s">
        <v>3056</v>
      </c>
      <c r="B1745" s="9">
        <v>46183</v>
      </c>
      <c r="C1745" t="s">
        <v>1824</v>
      </c>
      <c r="D1745" t="s">
        <v>15</v>
      </c>
      <c r="E1745" t="s">
        <v>41</v>
      </c>
      <c r="F1745" t="s">
        <v>26</v>
      </c>
      <c r="G1745" t="s">
        <v>27</v>
      </c>
      <c r="H1745">
        <v>2</v>
      </c>
      <c r="I1745" t="s">
        <v>62</v>
      </c>
      <c r="J1745" t="s">
        <v>63</v>
      </c>
      <c r="K1745" t="s">
        <v>29</v>
      </c>
      <c r="L1745" t="s">
        <v>30</v>
      </c>
      <c r="M1745" t="s">
        <v>22</v>
      </c>
    </row>
    <row r="1746" spans="1:13" x14ac:dyDescent="0.35">
      <c r="A1746" t="s">
        <v>3057</v>
      </c>
      <c r="B1746" t="s">
        <v>3058</v>
      </c>
      <c r="C1746" t="s">
        <v>696</v>
      </c>
      <c r="D1746" t="s">
        <v>61</v>
      </c>
      <c r="E1746" t="s">
        <v>41</v>
      </c>
      <c r="F1746" t="s">
        <v>35</v>
      </c>
      <c r="G1746" t="s">
        <v>36</v>
      </c>
      <c r="H1746">
        <v>1</v>
      </c>
      <c r="I1746" t="s">
        <v>85</v>
      </c>
      <c r="J1746" t="s">
        <v>85</v>
      </c>
      <c r="K1746">
        <v>85</v>
      </c>
      <c r="L1746" t="s">
        <v>30</v>
      </c>
      <c r="M1746" t="s">
        <v>22</v>
      </c>
    </row>
    <row r="1747" spans="1:13" x14ac:dyDescent="0.35">
      <c r="A1747" t="s">
        <v>3059</v>
      </c>
      <c r="B1747" s="9">
        <v>46189</v>
      </c>
      <c r="C1747" t="s">
        <v>1721</v>
      </c>
      <c r="D1747" t="s">
        <v>15</v>
      </c>
      <c r="E1747" t="s">
        <v>34</v>
      </c>
      <c r="F1747" t="s">
        <v>17</v>
      </c>
      <c r="G1747" t="s">
        <v>18</v>
      </c>
      <c r="H1747">
        <v>2</v>
      </c>
      <c r="I1747" t="s">
        <v>49</v>
      </c>
      <c r="J1747" t="s">
        <v>178</v>
      </c>
      <c r="K1747" t="s">
        <v>29</v>
      </c>
      <c r="L1747" t="s">
        <v>30</v>
      </c>
      <c r="M1747" t="s">
        <v>58</v>
      </c>
    </row>
    <row r="1748" spans="1:13" x14ac:dyDescent="0.35">
      <c r="A1748" t="s">
        <v>3060</v>
      </c>
      <c r="B1748" t="s">
        <v>259</v>
      </c>
      <c r="C1748" t="s">
        <v>509</v>
      </c>
      <c r="D1748" t="s">
        <v>53</v>
      </c>
      <c r="E1748" t="s">
        <v>16</v>
      </c>
      <c r="F1748" t="s">
        <v>26</v>
      </c>
      <c r="G1748" t="s">
        <v>27</v>
      </c>
      <c r="H1748">
        <v>1</v>
      </c>
      <c r="I1748" t="s">
        <v>68</v>
      </c>
      <c r="J1748" t="s">
        <v>68</v>
      </c>
      <c r="K1748" t="s">
        <v>29</v>
      </c>
      <c r="L1748" t="s">
        <v>30</v>
      </c>
      <c r="M1748" t="s">
        <v>58</v>
      </c>
    </row>
    <row r="1749" spans="1:13" x14ac:dyDescent="0.35">
      <c r="A1749" t="s">
        <v>3061</v>
      </c>
      <c r="B1749" s="9">
        <v>46046</v>
      </c>
      <c r="C1749" t="s">
        <v>195</v>
      </c>
      <c r="D1749" t="s">
        <v>40</v>
      </c>
      <c r="E1749" t="s">
        <v>41</v>
      </c>
      <c r="F1749" t="s">
        <v>74</v>
      </c>
      <c r="G1749" t="s">
        <v>75</v>
      </c>
      <c r="H1749">
        <v>1</v>
      </c>
      <c r="I1749" t="s">
        <v>106</v>
      </c>
      <c r="J1749" t="s">
        <v>106</v>
      </c>
      <c r="K1749">
        <v>410</v>
      </c>
      <c r="L1749" t="s">
        <v>30</v>
      </c>
      <c r="M1749" t="s">
        <v>22</v>
      </c>
    </row>
    <row r="1750" spans="1:13" x14ac:dyDescent="0.35">
      <c r="A1750" t="s">
        <v>3062</v>
      </c>
      <c r="B1750" s="9">
        <v>46161</v>
      </c>
      <c r="C1750" t="s">
        <v>135</v>
      </c>
      <c r="D1750" t="s">
        <v>46</v>
      </c>
      <c r="E1750" t="s">
        <v>41</v>
      </c>
      <c r="F1750" t="s">
        <v>26</v>
      </c>
      <c r="G1750" t="s">
        <v>27</v>
      </c>
      <c r="H1750">
        <v>1</v>
      </c>
      <c r="I1750" t="s">
        <v>79</v>
      </c>
      <c r="J1750" t="s">
        <v>79</v>
      </c>
      <c r="K1750" t="s">
        <v>29</v>
      </c>
      <c r="L1750" t="s">
        <v>30</v>
      </c>
      <c r="M1750" t="s">
        <v>22</v>
      </c>
    </row>
    <row r="1751" spans="1:13" x14ac:dyDescent="0.35">
      <c r="A1751" t="s">
        <v>3063</v>
      </c>
      <c r="B1751" s="9">
        <v>46067</v>
      </c>
      <c r="C1751" t="s">
        <v>3064</v>
      </c>
      <c r="D1751" t="s">
        <v>53</v>
      </c>
      <c r="E1751" t="s">
        <v>41</v>
      </c>
      <c r="F1751" t="s">
        <v>74</v>
      </c>
      <c r="G1751" t="s">
        <v>75</v>
      </c>
      <c r="H1751">
        <v>2</v>
      </c>
      <c r="I1751" t="s">
        <v>102</v>
      </c>
      <c r="J1751" t="s">
        <v>181</v>
      </c>
      <c r="K1751">
        <v>410</v>
      </c>
      <c r="L1751" t="s">
        <v>30</v>
      </c>
      <c r="M1751" t="s">
        <v>22</v>
      </c>
    </row>
    <row r="1752" spans="1:13" x14ac:dyDescent="0.35">
      <c r="A1752" t="s">
        <v>3065</v>
      </c>
      <c r="B1752" s="9">
        <v>46068</v>
      </c>
      <c r="C1752" t="s">
        <v>3066</v>
      </c>
      <c r="D1752" t="s">
        <v>53</v>
      </c>
      <c r="E1752" t="s">
        <v>25</v>
      </c>
      <c r="F1752" t="s">
        <v>17</v>
      </c>
      <c r="G1752" t="s">
        <v>18</v>
      </c>
      <c r="H1752">
        <v>1</v>
      </c>
      <c r="I1752" t="s">
        <v>71</v>
      </c>
      <c r="J1752" t="s">
        <v>71</v>
      </c>
      <c r="K1752">
        <v>520</v>
      </c>
      <c r="L1752" t="s">
        <v>30</v>
      </c>
      <c r="M1752" t="s">
        <v>22</v>
      </c>
    </row>
    <row r="1753" spans="1:13" x14ac:dyDescent="0.35">
      <c r="A1753" t="s">
        <v>3067</v>
      </c>
      <c r="B1753" s="9">
        <v>46036</v>
      </c>
      <c r="C1753" t="s">
        <v>1332</v>
      </c>
      <c r="D1753" t="s">
        <v>61</v>
      </c>
      <c r="E1753" t="s">
        <v>16</v>
      </c>
      <c r="F1753" t="s">
        <v>74</v>
      </c>
      <c r="G1753" t="s">
        <v>75</v>
      </c>
      <c r="H1753">
        <v>1</v>
      </c>
      <c r="I1753" t="s">
        <v>102</v>
      </c>
      <c r="J1753" t="s">
        <v>102</v>
      </c>
      <c r="K1753">
        <v>410</v>
      </c>
      <c r="L1753" t="s">
        <v>21</v>
      </c>
      <c r="M1753" t="s">
        <v>58</v>
      </c>
    </row>
    <row r="1754" spans="1:13" x14ac:dyDescent="0.35">
      <c r="A1754" t="s">
        <v>3068</v>
      </c>
      <c r="B1754" s="9">
        <v>46088</v>
      </c>
      <c r="C1754" t="s">
        <v>1978</v>
      </c>
      <c r="D1754" t="s">
        <v>94</v>
      </c>
      <c r="E1754" t="s">
        <v>25</v>
      </c>
      <c r="F1754" t="s">
        <v>26</v>
      </c>
      <c r="G1754" t="s">
        <v>27</v>
      </c>
      <c r="H1754">
        <v>1</v>
      </c>
      <c r="I1754" t="s">
        <v>71</v>
      </c>
      <c r="J1754" t="s">
        <v>71</v>
      </c>
      <c r="K1754">
        <v>520</v>
      </c>
      <c r="L1754" t="s">
        <v>30</v>
      </c>
      <c r="M1754" t="s">
        <v>58</v>
      </c>
    </row>
    <row r="1755" spans="1:13" x14ac:dyDescent="0.35">
      <c r="A1755" t="s">
        <v>3069</v>
      </c>
      <c r="B1755" s="9">
        <v>46157</v>
      </c>
      <c r="C1755" t="s">
        <v>2168</v>
      </c>
      <c r="D1755" t="s">
        <v>99</v>
      </c>
      <c r="E1755" t="s">
        <v>25</v>
      </c>
      <c r="F1755" t="s">
        <v>83</v>
      </c>
      <c r="G1755" t="s">
        <v>84</v>
      </c>
      <c r="H1755">
        <v>1</v>
      </c>
      <c r="I1755" t="s">
        <v>79</v>
      </c>
      <c r="J1755" t="s">
        <v>79</v>
      </c>
      <c r="K1755" t="s">
        <v>103</v>
      </c>
      <c r="L1755" t="s">
        <v>30</v>
      </c>
      <c r="M1755" t="s">
        <v>22</v>
      </c>
    </row>
    <row r="1756" spans="1:13" x14ac:dyDescent="0.35">
      <c r="A1756" t="s">
        <v>3070</v>
      </c>
      <c r="B1756" s="9">
        <v>46091</v>
      </c>
      <c r="C1756" t="s">
        <v>3071</v>
      </c>
      <c r="D1756" t="s">
        <v>99</v>
      </c>
      <c r="E1756" t="s">
        <v>67</v>
      </c>
      <c r="F1756" t="s">
        <v>17</v>
      </c>
      <c r="G1756" t="s">
        <v>18</v>
      </c>
      <c r="H1756">
        <v>2</v>
      </c>
      <c r="I1756" t="s">
        <v>49</v>
      </c>
      <c r="J1756" t="s">
        <v>178</v>
      </c>
      <c r="K1756">
        <v>520</v>
      </c>
      <c r="L1756" t="s">
        <v>30</v>
      </c>
      <c r="M1756" t="s">
        <v>22</v>
      </c>
    </row>
    <row r="1757" spans="1:13" x14ac:dyDescent="0.35">
      <c r="A1757" t="s">
        <v>3072</v>
      </c>
      <c r="B1757" s="9">
        <v>46147</v>
      </c>
      <c r="C1757" t="s">
        <v>1128</v>
      </c>
      <c r="D1757" t="s">
        <v>53</v>
      </c>
      <c r="E1757" t="s">
        <v>34</v>
      </c>
      <c r="F1757" t="s">
        <v>26</v>
      </c>
      <c r="G1757" t="s">
        <v>27</v>
      </c>
      <c r="H1757">
        <v>1</v>
      </c>
      <c r="I1757" t="s">
        <v>136</v>
      </c>
      <c r="J1757" t="s">
        <v>136</v>
      </c>
      <c r="K1757" t="s">
        <v>29</v>
      </c>
      <c r="L1757" t="s">
        <v>30</v>
      </c>
      <c r="M1757" t="s">
        <v>22</v>
      </c>
    </row>
    <row r="1758" spans="1:13" x14ac:dyDescent="0.35">
      <c r="A1758" t="s">
        <v>3073</v>
      </c>
      <c r="B1758" s="9">
        <v>46036</v>
      </c>
      <c r="C1758" t="s">
        <v>3074</v>
      </c>
      <c r="D1758" t="s">
        <v>99</v>
      </c>
      <c r="E1758" t="s">
        <v>25</v>
      </c>
      <c r="F1758" t="s">
        <v>89</v>
      </c>
      <c r="G1758" t="s">
        <v>90</v>
      </c>
      <c r="H1758">
        <v>1</v>
      </c>
      <c r="I1758" t="s">
        <v>71</v>
      </c>
      <c r="J1758" t="s">
        <v>71</v>
      </c>
      <c r="K1758">
        <v>640</v>
      </c>
      <c r="L1758" t="s">
        <v>30</v>
      </c>
      <c r="M1758" t="s">
        <v>22</v>
      </c>
    </row>
    <row r="1759" spans="1:13" x14ac:dyDescent="0.35">
      <c r="A1759" t="s">
        <v>3075</v>
      </c>
      <c r="B1759" t="s">
        <v>3058</v>
      </c>
      <c r="C1759" t="s">
        <v>553</v>
      </c>
      <c r="D1759" t="s">
        <v>40</v>
      </c>
      <c r="E1759" t="s">
        <v>67</v>
      </c>
      <c r="F1759" t="s">
        <v>83</v>
      </c>
      <c r="G1759" t="s">
        <v>84</v>
      </c>
      <c r="H1759">
        <v>2</v>
      </c>
      <c r="I1759" t="s">
        <v>136</v>
      </c>
      <c r="J1759" t="s">
        <v>3076</v>
      </c>
      <c r="K1759">
        <v>340</v>
      </c>
      <c r="L1759" t="s">
        <v>30</v>
      </c>
      <c r="M1759" t="s">
        <v>22</v>
      </c>
    </row>
    <row r="1760" spans="1:13" x14ac:dyDescent="0.35">
      <c r="A1760" t="s">
        <v>3077</v>
      </c>
      <c r="B1760" t="s">
        <v>989</v>
      </c>
      <c r="C1760" t="s">
        <v>2142</v>
      </c>
      <c r="D1760" t="s">
        <v>15</v>
      </c>
      <c r="E1760" t="s">
        <v>41</v>
      </c>
      <c r="F1760" t="s">
        <v>74</v>
      </c>
      <c r="G1760" t="s">
        <v>75</v>
      </c>
      <c r="H1760">
        <v>1</v>
      </c>
      <c r="I1760" t="s">
        <v>106</v>
      </c>
      <c r="J1760" t="s">
        <v>106</v>
      </c>
      <c r="K1760" t="s">
        <v>76</v>
      </c>
      <c r="L1760" t="s">
        <v>21</v>
      </c>
      <c r="M1760" t="s">
        <v>58</v>
      </c>
    </row>
    <row r="1761" spans="1:13" x14ac:dyDescent="0.35">
      <c r="A1761" t="s">
        <v>3078</v>
      </c>
      <c r="B1761" s="9">
        <v>46296</v>
      </c>
      <c r="C1761" t="s">
        <v>3079</v>
      </c>
      <c r="D1761" t="s">
        <v>53</v>
      </c>
      <c r="E1761" t="s">
        <v>41</v>
      </c>
      <c r="F1761" t="s">
        <v>47</v>
      </c>
      <c r="G1761" t="s">
        <v>48</v>
      </c>
      <c r="H1761">
        <v>1</v>
      </c>
      <c r="I1761" t="s">
        <v>68</v>
      </c>
      <c r="J1761" t="s">
        <v>68</v>
      </c>
      <c r="K1761">
        <v>380</v>
      </c>
      <c r="L1761" t="s">
        <v>30</v>
      </c>
      <c r="M1761" t="s">
        <v>58</v>
      </c>
    </row>
    <row r="1762" spans="1:13" x14ac:dyDescent="0.35">
      <c r="A1762" t="s">
        <v>3080</v>
      </c>
      <c r="B1762" s="9">
        <v>46192</v>
      </c>
      <c r="C1762" t="s">
        <v>1986</v>
      </c>
      <c r="D1762" t="s">
        <v>94</v>
      </c>
      <c r="E1762" t="s">
        <v>67</v>
      </c>
      <c r="F1762" t="s">
        <v>42</v>
      </c>
      <c r="G1762" t="s">
        <v>43</v>
      </c>
      <c r="H1762">
        <v>2</v>
      </c>
      <c r="I1762" t="s">
        <v>19</v>
      </c>
      <c r="J1762" t="s">
        <v>238</v>
      </c>
      <c r="K1762" t="s">
        <v>111</v>
      </c>
      <c r="L1762" t="s">
        <v>30</v>
      </c>
      <c r="M1762" t="s">
        <v>22</v>
      </c>
    </row>
    <row r="1763" spans="1:13" x14ac:dyDescent="0.35">
      <c r="A1763" t="s">
        <v>3081</v>
      </c>
      <c r="B1763" s="9">
        <v>46062</v>
      </c>
      <c r="C1763" t="s">
        <v>3082</v>
      </c>
      <c r="D1763" t="s">
        <v>15</v>
      </c>
      <c r="E1763" t="s">
        <v>34</v>
      </c>
      <c r="F1763" t="s">
        <v>35</v>
      </c>
      <c r="G1763" t="s">
        <v>36</v>
      </c>
      <c r="H1763">
        <v>3</v>
      </c>
      <c r="I1763" t="s">
        <v>85</v>
      </c>
      <c r="J1763" t="s">
        <v>86</v>
      </c>
      <c r="K1763">
        <v>85</v>
      </c>
      <c r="L1763" t="s">
        <v>30</v>
      </c>
      <c r="M1763" t="s">
        <v>22</v>
      </c>
    </row>
    <row r="1764" spans="1:13" x14ac:dyDescent="0.35">
      <c r="A1764" t="s">
        <v>3083</v>
      </c>
      <c r="B1764" s="9">
        <v>46054</v>
      </c>
      <c r="C1764" t="s">
        <v>3084</v>
      </c>
      <c r="D1764" t="s">
        <v>46</v>
      </c>
      <c r="E1764" t="s">
        <v>34</v>
      </c>
      <c r="F1764" t="s">
        <v>42</v>
      </c>
      <c r="G1764" t="s">
        <v>43</v>
      </c>
      <c r="H1764">
        <v>1</v>
      </c>
      <c r="I1764" t="s">
        <v>254</v>
      </c>
      <c r="J1764" t="s">
        <v>254</v>
      </c>
      <c r="K1764">
        <v>190</v>
      </c>
      <c r="L1764" t="s">
        <v>30</v>
      </c>
      <c r="M1764" t="s">
        <v>58</v>
      </c>
    </row>
    <row r="1765" spans="1:13" x14ac:dyDescent="0.35">
      <c r="A1765" t="s">
        <v>3085</v>
      </c>
      <c r="B1765" s="9">
        <v>46071</v>
      </c>
      <c r="C1765" t="s">
        <v>2964</v>
      </c>
      <c r="D1765" t="s">
        <v>116</v>
      </c>
      <c r="E1765" t="s">
        <v>34</v>
      </c>
      <c r="F1765" t="s">
        <v>42</v>
      </c>
      <c r="G1765" t="s">
        <v>43</v>
      </c>
      <c r="H1765">
        <v>1</v>
      </c>
      <c r="I1765" t="s">
        <v>68</v>
      </c>
      <c r="J1765" t="s">
        <v>68</v>
      </c>
      <c r="K1765">
        <v>190</v>
      </c>
      <c r="L1765" t="s">
        <v>30</v>
      </c>
      <c r="M1765" t="s">
        <v>22</v>
      </c>
    </row>
    <row r="1766" spans="1:13" x14ac:dyDescent="0.35">
      <c r="A1766" t="s">
        <v>3086</v>
      </c>
      <c r="B1766" s="9">
        <v>46141</v>
      </c>
      <c r="C1766" t="s">
        <v>2100</v>
      </c>
      <c r="D1766" t="s">
        <v>61</v>
      </c>
      <c r="E1766" t="s">
        <v>34</v>
      </c>
      <c r="F1766" t="s">
        <v>35</v>
      </c>
      <c r="G1766" t="s">
        <v>36</v>
      </c>
      <c r="H1766">
        <v>1</v>
      </c>
      <c r="I1766" t="s">
        <v>106</v>
      </c>
      <c r="J1766" t="s">
        <v>106</v>
      </c>
      <c r="K1766" t="s">
        <v>37</v>
      </c>
      <c r="L1766" t="s">
        <v>30</v>
      </c>
      <c r="M1766" t="s">
        <v>22</v>
      </c>
    </row>
    <row r="1767" spans="1:13" x14ac:dyDescent="0.35">
      <c r="A1767" t="s">
        <v>3087</v>
      </c>
      <c r="B1767" s="9">
        <v>46183</v>
      </c>
      <c r="C1767" t="s">
        <v>498</v>
      </c>
      <c r="D1767" t="s">
        <v>46</v>
      </c>
      <c r="E1767" t="s">
        <v>41</v>
      </c>
      <c r="F1767" t="s">
        <v>47</v>
      </c>
      <c r="G1767" t="s">
        <v>48</v>
      </c>
      <c r="H1767">
        <v>1</v>
      </c>
      <c r="I1767" t="s">
        <v>170</v>
      </c>
      <c r="J1767" t="s">
        <v>170</v>
      </c>
      <c r="K1767" t="s">
        <v>50</v>
      </c>
      <c r="L1767" t="s">
        <v>30</v>
      </c>
      <c r="M1767" t="s">
        <v>22</v>
      </c>
    </row>
    <row r="1768" spans="1:13" x14ac:dyDescent="0.35">
      <c r="A1768" t="s">
        <v>3088</v>
      </c>
      <c r="B1768" t="s">
        <v>259</v>
      </c>
      <c r="C1768" t="s">
        <v>199</v>
      </c>
      <c r="D1768" t="s">
        <v>99</v>
      </c>
      <c r="E1768" t="s">
        <v>67</v>
      </c>
      <c r="F1768" t="s">
        <v>35</v>
      </c>
      <c r="G1768" t="s">
        <v>36</v>
      </c>
      <c r="H1768">
        <v>1</v>
      </c>
      <c r="I1768" t="s">
        <v>49</v>
      </c>
      <c r="J1768" t="s">
        <v>49</v>
      </c>
      <c r="K1768" t="s">
        <v>37</v>
      </c>
      <c r="L1768" t="s">
        <v>30</v>
      </c>
      <c r="M1768" t="s">
        <v>22</v>
      </c>
    </row>
    <row r="1769" spans="1:13" x14ac:dyDescent="0.35">
      <c r="A1769" t="s">
        <v>3089</v>
      </c>
      <c r="B1769" s="9">
        <v>46201</v>
      </c>
      <c r="C1769" t="s">
        <v>2203</v>
      </c>
      <c r="D1769" t="s">
        <v>46</v>
      </c>
      <c r="E1769" t="s">
        <v>34</v>
      </c>
      <c r="F1769" t="s">
        <v>89</v>
      </c>
      <c r="G1769" t="s">
        <v>90</v>
      </c>
      <c r="H1769">
        <v>1</v>
      </c>
      <c r="I1769" t="s">
        <v>254</v>
      </c>
      <c r="J1769" t="s">
        <v>254</v>
      </c>
      <c r="K1769" t="s">
        <v>108</v>
      </c>
      <c r="L1769" t="s">
        <v>30</v>
      </c>
      <c r="M1769" t="s">
        <v>58</v>
      </c>
    </row>
    <row r="1770" spans="1:13" x14ac:dyDescent="0.35">
      <c r="A1770" t="s">
        <v>3090</v>
      </c>
      <c r="B1770" s="9">
        <v>46206</v>
      </c>
      <c r="C1770" t="s">
        <v>2191</v>
      </c>
      <c r="D1770" t="s">
        <v>99</v>
      </c>
      <c r="E1770" t="s">
        <v>67</v>
      </c>
      <c r="F1770" t="s">
        <v>35</v>
      </c>
      <c r="G1770" t="s">
        <v>36</v>
      </c>
      <c r="H1770">
        <v>2</v>
      </c>
      <c r="I1770" t="s">
        <v>49</v>
      </c>
      <c r="J1770" t="s">
        <v>2962</v>
      </c>
      <c r="K1770" t="s">
        <v>37</v>
      </c>
      <c r="L1770" t="s">
        <v>30</v>
      </c>
      <c r="M1770" t="s">
        <v>22</v>
      </c>
    </row>
    <row r="1771" spans="1:13" x14ac:dyDescent="0.35">
      <c r="A1771" t="s">
        <v>3091</v>
      </c>
      <c r="B1771" s="9">
        <v>46045</v>
      </c>
      <c r="C1771" t="s">
        <v>3092</v>
      </c>
      <c r="D1771" t="s">
        <v>40</v>
      </c>
      <c r="E1771" t="s">
        <v>25</v>
      </c>
      <c r="F1771" t="s">
        <v>42</v>
      </c>
      <c r="G1771" t="s">
        <v>43</v>
      </c>
      <c r="H1771">
        <v>3</v>
      </c>
      <c r="I1771" t="s">
        <v>68</v>
      </c>
      <c r="J1771" t="s">
        <v>3093</v>
      </c>
      <c r="K1771">
        <v>190</v>
      </c>
      <c r="L1771" t="s">
        <v>21</v>
      </c>
      <c r="M1771" t="s">
        <v>22</v>
      </c>
    </row>
    <row r="1772" spans="1:13" x14ac:dyDescent="0.35">
      <c r="A1772" t="s">
        <v>3094</v>
      </c>
      <c r="B1772" s="9">
        <v>46130</v>
      </c>
      <c r="C1772" t="s">
        <v>1798</v>
      </c>
      <c r="D1772" t="s">
        <v>61</v>
      </c>
      <c r="E1772" t="s">
        <v>25</v>
      </c>
      <c r="F1772" t="s">
        <v>83</v>
      </c>
      <c r="G1772" t="s">
        <v>84</v>
      </c>
      <c r="H1772">
        <v>2</v>
      </c>
      <c r="I1772" t="s">
        <v>220</v>
      </c>
      <c r="J1772" t="s">
        <v>221</v>
      </c>
      <c r="K1772">
        <v>340</v>
      </c>
      <c r="L1772" t="s">
        <v>30</v>
      </c>
      <c r="M1772" t="s">
        <v>58</v>
      </c>
    </row>
    <row r="1773" spans="1:13" x14ac:dyDescent="0.35">
      <c r="A1773" t="s">
        <v>3095</v>
      </c>
      <c r="B1773" s="9">
        <v>46061</v>
      </c>
      <c r="C1773" t="s">
        <v>1659</v>
      </c>
      <c r="D1773" t="s">
        <v>99</v>
      </c>
      <c r="E1773" t="s">
        <v>34</v>
      </c>
      <c r="F1773" t="s">
        <v>89</v>
      </c>
      <c r="G1773" t="s">
        <v>90</v>
      </c>
      <c r="H1773">
        <v>3</v>
      </c>
      <c r="I1773" t="s">
        <v>254</v>
      </c>
      <c r="J1773" t="s">
        <v>390</v>
      </c>
      <c r="K1773">
        <v>640</v>
      </c>
      <c r="L1773" t="s">
        <v>21</v>
      </c>
      <c r="M1773" t="s">
        <v>22</v>
      </c>
    </row>
    <row r="1774" spans="1:13" x14ac:dyDescent="0.35">
      <c r="A1774" t="s">
        <v>3096</v>
      </c>
      <c r="B1774" s="9">
        <v>46193</v>
      </c>
      <c r="C1774" t="s">
        <v>585</v>
      </c>
      <c r="D1774" t="s">
        <v>94</v>
      </c>
      <c r="E1774" t="s">
        <v>16</v>
      </c>
      <c r="F1774" t="s">
        <v>89</v>
      </c>
      <c r="G1774" t="s">
        <v>90</v>
      </c>
      <c r="H1774">
        <v>1</v>
      </c>
      <c r="I1774" t="s">
        <v>62</v>
      </c>
      <c r="J1774" t="s">
        <v>62</v>
      </c>
      <c r="K1774" t="s">
        <v>108</v>
      </c>
      <c r="L1774" t="s">
        <v>30</v>
      </c>
      <c r="M1774" t="s">
        <v>22</v>
      </c>
    </row>
    <row r="1775" spans="1:13" x14ac:dyDescent="0.35">
      <c r="A1775" t="s">
        <v>3097</v>
      </c>
      <c r="B1775" s="9">
        <v>46085</v>
      </c>
      <c r="C1775" t="s">
        <v>2333</v>
      </c>
      <c r="D1775" t="s">
        <v>94</v>
      </c>
      <c r="E1775" t="s">
        <v>16</v>
      </c>
      <c r="F1775" t="s">
        <v>47</v>
      </c>
      <c r="G1775" t="s">
        <v>48</v>
      </c>
      <c r="H1775">
        <v>3</v>
      </c>
      <c r="I1775" t="s">
        <v>79</v>
      </c>
      <c r="J1775" t="s">
        <v>91</v>
      </c>
      <c r="K1775">
        <v>380</v>
      </c>
      <c r="L1775" t="s">
        <v>30</v>
      </c>
      <c r="M1775" t="s">
        <v>22</v>
      </c>
    </row>
    <row r="1776" spans="1:13" x14ac:dyDescent="0.35">
      <c r="A1776" t="s">
        <v>1860</v>
      </c>
      <c r="B1776" s="9">
        <v>46149</v>
      </c>
      <c r="C1776" t="s">
        <v>1861</v>
      </c>
      <c r="D1776" t="s">
        <v>116</v>
      </c>
      <c r="E1776" t="s">
        <v>16</v>
      </c>
      <c r="F1776" t="s">
        <v>42</v>
      </c>
      <c r="G1776" t="s">
        <v>43</v>
      </c>
      <c r="H1776">
        <v>1</v>
      </c>
      <c r="I1776" t="s">
        <v>71</v>
      </c>
      <c r="J1776" t="s">
        <v>71</v>
      </c>
      <c r="K1776" t="s">
        <v>111</v>
      </c>
      <c r="L1776" t="s">
        <v>30</v>
      </c>
      <c r="M1776" t="s">
        <v>58</v>
      </c>
    </row>
    <row r="1777" spans="1:13" x14ac:dyDescent="0.35">
      <c r="A1777" t="s">
        <v>3098</v>
      </c>
      <c r="B1777" s="9">
        <v>46155</v>
      </c>
      <c r="C1777" t="s">
        <v>3099</v>
      </c>
      <c r="D1777" t="s">
        <v>94</v>
      </c>
      <c r="E1777" t="s">
        <v>34</v>
      </c>
      <c r="F1777" t="s">
        <v>26</v>
      </c>
      <c r="G1777" t="s">
        <v>27</v>
      </c>
      <c r="H1777">
        <v>1</v>
      </c>
      <c r="I1777" t="s">
        <v>254</v>
      </c>
      <c r="J1777" t="s">
        <v>2750</v>
      </c>
      <c r="K1777" t="s">
        <v>29</v>
      </c>
      <c r="L1777" t="s">
        <v>30</v>
      </c>
      <c r="M1777" t="s">
        <v>22</v>
      </c>
    </row>
    <row r="1778" spans="1:13" x14ac:dyDescent="0.35">
      <c r="A1778" t="s">
        <v>3100</v>
      </c>
      <c r="B1778" s="9">
        <v>46196</v>
      </c>
      <c r="C1778" t="s">
        <v>1912</v>
      </c>
      <c r="D1778" t="s">
        <v>61</v>
      </c>
      <c r="E1778" t="s">
        <v>67</v>
      </c>
      <c r="F1778" t="s">
        <v>17</v>
      </c>
      <c r="G1778" t="s">
        <v>18</v>
      </c>
      <c r="H1778">
        <v>2</v>
      </c>
      <c r="I1778" t="s">
        <v>85</v>
      </c>
      <c r="J1778" t="s">
        <v>786</v>
      </c>
      <c r="K1778" t="s">
        <v>29</v>
      </c>
      <c r="L1778" t="s">
        <v>21</v>
      </c>
      <c r="M1778" t="s">
        <v>58</v>
      </c>
    </row>
    <row r="1779" spans="1:13" x14ac:dyDescent="0.35">
      <c r="A1779" t="s">
        <v>3101</v>
      </c>
      <c r="B1779" s="9">
        <v>46180</v>
      </c>
      <c r="C1779" t="s">
        <v>3102</v>
      </c>
      <c r="D1779" t="s">
        <v>40</v>
      </c>
      <c r="E1779" t="s">
        <v>41</v>
      </c>
      <c r="F1779" t="s">
        <v>89</v>
      </c>
      <c r="G1779" t="s">
        <v>90</v>
      </c>
      <c r="H1779">
        <v>2</v>
      </c>
      <c r="I1779" t="s">
        <v>19</v>
      </c>
      <c r="J1779" t="s">
        <v>238</v>
      </c>
      <c r="K1779" t="s">
        <v>108</v>
      </c>
      <c r="L1779" t="s">
        <v>30</v>
      </c>
      <c r="M1779" t="s">
        <v>22</v>
      </c>
    </row>
    <row r="1780" spans="1:13" x14ac:dyDescent="0.35">
      <c r="A1780" t="s">
        <v>3103</v>
      </c>
      <c r="B1780" s="9">
        <v>46098</v>
      </c>
      <c r="C1780" t="s">
        <v>3104</v>
      </c>
      <c r="D1780" t="s">
        <v>40</v>
      </c>
      <c r="E1780" t="s">
        <v>67</v>
      </c>
      <c r="F1780" t="s">
        <v>17</v>
      </c>
      <c r="G1780" t="s">
        <v>18</v>
      </c>
      <c r="H1780">
        <v>1</v>
      </c>
      <c r="I1780" t="s">
        <v>106</v>
      </c>
      <c r="J1780" t="s">
        <v>106</v>
      </c>
      <c r="K1780">
        <v>520</v>
      </c>
      <c r="L1780" t="s">
        <v>30</v>
      </c>
      <c r="M1780" t="s">
        <v>22</v>
      </c>
    </row>
    <row r="1781" spans="1:13" x14ac:dyDescent="0.35">
      <c r="A1781" t="s">
        <v>3105</v>
      </c>
      <c r="B1781" s="9">
        <v>46087</v>
      </c>
      <c r="C1781" t="s">
        <v>1715</v>
      </c>
      <c r="D1781" t="s">
        <v>40</v>
      </c>
      <c r="E1781" t="s">
        <v>16</v>
      </c>
      <c r="F1781" t="s">
        <v>26</v>
      </c>
      <c r="G1781" t="s">
        <v>27</v>
      </c>
      <c r="H1781">
        <v>2</v>
      </c>
      <c r="I1781" t="s">
        <v>68</v>
      </c>
      <c r="J1781" t="s">
        <v>248</v>
      </c>
      <c r="K1781" t="s">
        <v>29</v>
      </c>
      <c r="L1781" t="s">
        <v>30</v>
      </c>
      <c r="M1781" t="s">
        <v>58</v>
      </c>
    </row>
    <row r="1782" spans="1:13" x14ac:dyDescent="0.35">
      <c r="A1782" t="s">
        <v>3106</v>
      </c>
      <c r="B1782" s="9">
        <v>46098</v>
      </c>
      <c r="C1782" t="s">
        <v>2811</v>
      </c>
      <c r="D1782" t="s">
        <v>15</v>
      </c>
      <c r="E1782" t="s">
        <v>41</v>
      </c>
      <c r="F1782" t="s">
        <v>83</v>
      </c>
      <c r="G1782" t="s">
        <v>84</v>
      </c>
      <c r="H1782">
        <v>2</v>
      </c>
      <c r="I1782" t="s">
        <v>220</v>
      </c>
      <c r="J1782" t="s">
        <v>221</v>
      </c>
      <c r="K1782">
        <v>340</v>
      </c>
      <c r="L1782" t="s">
        <v>30</v>
      </c>
      <c r="M1782" t="s">
        <v>22</v>
      </c>
    </row>
    <row r="1783" spans="1:13" x14ac:dyDescent="0.35">
      <c r="A1783" t="s">
        <v>3107</v>
      </c>
      <c r="B1783" t="s">
        <v>914</v>
      </c>
      <c r="C1783" t="s">
        <v>3108</v>
      </c>
      <c r="D1783" t="s">
        <v>53</v>
      </c>
      <c r="E1783" t="s">
        <v>34</v>
      </c>
      <c r="F1783" t="s">
        <v>17</v>
      </c>
      <c r="G1783" t="s">
        <v>18</v>
      </c>
      <c r="H1783">
        <v>1</v>
      </c>
      <c r="I1783" t="s">
        <v>71</v>
      </c>
      <c r="J1783" t="s">
        <v>71</v>
      </c>
      <c r="K1783" t="s">
        <v>29</v>
      </c>
      <c r="L1783" t="s">
        <v>30</v>
      </c>
      <c r="M1783" t="s">
        <v>22</v>
      </c>
    </row>
    <row r="1784" spans="1:13" x14ac:dyDescent="0.35">
      <c r="A1784" t="s">
        <v>3109</v>
      </c>
      <c r="B1784" s="9">
        <v>46140</v>
      </c>
      <c r="C1784" t="s">
        <v>562</v>
      </c>
      <c r="D1784" t="s">
        <v>99</v>
      </c>
      <c r="E1784" t="s">
        <v>16</v>
      </c>
      <c r="F1784" t="s">
        <v>83</v>
      </c>
      <c r="G1784" t="s">
        <v>84</v>
      </c>
      <c r="H1784">
        <v>1</v>
      </c>
      <c r="I1784" t="s">
        <v>28</v>
      </c>
      <c r="J1784" t="s">
        <v>28</v>
      </c>
      <c r="K1784" t="s">
        <v>103</v>
      </c>
      <c r="L1784" t="s">
        <v>30</v>
      </c>
      <c r="M1784" t="s">
        <v>22</v>
      </c>
    </row>
    <row r="1785" spans="1:13" x14ac:dyDescent="0.35">
      <c r="A1785" t="s">
        <v>3110</v>
      </c>
      <c r="B1785" s="9">
        <v>46125</v>
      </c>
      <c r="C1785" t="s">
        <v>2218</v>
      </c>
      <c r="D1785" t="s">
        <v>33</v>
      </c>
      <c r="E1785" t="s">
        <v>25</v>
      </c>
      <c r="F1785" t="s">
        <v>35</v>
      </c>
      <c r="G1785" t="s">
        <v>36</v>
      </c>
      <c r="H1785">
        <v>2</v>
      </c>
      <c r="I1785" t="s">
        <v>68</v>
      </c>
      <c r="J1785" t="s">
        <v>248</v>
      </c>
      <c r="K1785">
        <v>85</v>
      </c>
      <c r="L1785" t="s">
        <v>30</v>
      </c>
      <c r="M1785" t="s">
        <v>22</v>
      </c>
    </row>
    <row r="1786" spans="1:13" x14ac:dyDescent="0.35">
      <c r="A1786" t="s">
        <v>3111</v>
      </c>
      <c r="B1786" s="9">
        <v>46093</v>
      </c>
      <c r="C1786" t="s">
        <v>3112</v>
      </c>
      <c r="D1786" t="s">
        <v>15</v>
      </c>
      <c r="E1786" t="s">
        <v>16</v>
      </c>
      <c r="F1786" t="s">
        <v>74</v>
      </c>
      <c r="G1786" t="s">
        <v>75</v>
      </c>
      <c r="H1786">
        <v>1</v>
      </c>
      <c r="I1786" t="s">
        <v>71</v>
      </c>
      <c r="J1786" t="s">
        <v>71</v>
      </c>
      <c r="K1786">
        <v>410</v>
      </c>
      <c r="L1786" t="s">
        <v>30</v>
      </c>
      <c r="M1786" t="s">
        <v>58</v>
      </c>
    </row>
    <row r="1787" spans="1:13" x14ac:dyDescent="0.35">
      <c r="A1787" t="s">
        <v>3113</v>
      </c>
      <c r="B1787" s="9">
        <v>46029</v>
      </c>
      <c r="C1787" t="s">
        <v>3114</v>
      </c>
      <c r="D1787" t="s">
        <v>46</v>
      </c>
      <c r="E1787" t="s">
        <v>67</v>
      </c>
      <c r="F1787" t="s">
        <v>74</v>
      </c>
      <c r="G1787" t="s">
        <v>75</v>
      </c>
      <c r="H1787">
        <v>2</v>
      </c>
      <c r="I1787" t="s">
        <v>254</v>
      </c>
      <c r="J1787" t="s">
        <v>156</v>
      </c>
      <c r="K1787">
        <v>410</v>
      </c>
      <c r="L1787" t="s">
        <v>30</v>
      </c>
      <c r="M1787" t="s">
        <v>22</v>
      </c>
    </row>
    <row r="1788" spans="1:13" x14ac:dyDescent="0.35">
      <c r="A1788" t="s">
        <v>3115</v>
      </c>
      <c r="B1788" s="9">
        <v>46184</v>
      </c>
      <c r="C1788" t="s">
        <v>3116</v>
      </c>
      <c r="D1788" t="s">
        <v>99</v>
      </c>
      <c r="E1788" t="s">
        <v>67</v>
      </c>
      <c r="F1788" t="s">
        <v>47</v>
      </c>
      <c r="G1788" t="s">
        <v>48</v>
      </c>
      <c r="H1788">
        <v>2</v>
      </c>
      <c r="I1788" t="s">
        <v>79</v>
      </c>
      <c r="J1788" t="s">
        <v>143</v>
      </c>
      <c r="K1788" t="s">
        <v>50</v>
      </c>
      <c r="L1788" t="s">
        <v>30</v>
      </c>
      <c r="M1788" t="s">
        <v>58</v>
      </c>
    </row>
    <row r="1789" spans="1:13" x14ac:dyDescent="0.35">
      <c r="A1789" t="s">
        <v>3117</v>
      </c>
      <c r="B1789" s="9">
        <v>46187</v>
      </c>
      <c r="C1789" t="s">
        <v>2804</v>
      </c>
      <c r="D1789" t="s">
        <v>53</v>
      </c>
      <c r="E1789" t="s">
        <v>41</v>
      </c>
      <c r="F1789" t="s">
        <v>26</v>
      </c>
      <c r="G1789" t="s">
        <v>27</v>
      </c>
      <c r="H1789">
        <v>2</v>
      </c>
      <c r="I1789" t="s">
        <v>220</v>
      </c>
      <c r="J1789" t="s">
        <v>221</v>
      </c>
      <c r="K1789" t="s">
        <v>29</v>
      </c>
      <c r="L1789" t="s">
        <v>30</v>
      </c>
      <c r="M1789" t="s">
        <v>22</v>
      </c>
    </row>
    <row r="1790" spans="1:13" x14ac:dyDescent="0.35">
      <c r="A1790" t="s">
        <v>3118</v>
      </c>
      <c r="B1790" s="9">
        <v>46167</v>
      </c>
      <c r="C1790" t="s">
        <v>862</v>
      </c>
      <c r="D1790" t="s">
        <v>116</v>
      </c>
      <c r="E1790" t="s">
        <v>25</v>
      </c>
      <c r="F1790" t="s">
        <v>89</v>
      </c>
      <c r="G1790" t="s">
        <v>90</v>
      </c>
      <c r="H1790">
        <v>3</v>
      </c>
      <c r="I1790" t="s">
        <v>19</v>
      </c>
      <c r="J1790" t="s">
        <v>326</v>
      </c>
      <c r="K1790" t="s">
        <v>108</v>
      </c>
      <c r="L1790" t="s">
        <v>30</v>
      </c>
      <c r="M1790" t="s">
        <v>22</v>
      </c>
    </row>
    <row r="1791" spans="1:13" x14ac:dyDescent="0.35">
      <c r="A1791" t="s">
        <v>3119</v>
      </c>
      <c r="B1791" s="9">
        <v>46056</v>
      </c>
      <c r="C1791" t="s">
        <v>159</v>
      </c>
      <c r="D1791" t="s">
        <v>99</v>
      </c>
      <c r="E1791" t="s">
        <v>34</v>
      </c>
      <c r="F1791" t="s">
        <v>35</v>
      </c>
      <c r="G1791" t="s">
        <v>36</v>
      </c>
      <c r="H1791">
        <v>1</v>
      </c>
      <c r="I1791" t="s">
        <v>132</v>
      </c>
      <c r="J1791" t="s">
        <v>132</v>
      </c>
      <c r="K1791">
        <v>85</v>
      </c>
      <c r="L1791" t="s">
        <v>30</v>
      </c>
      <c r="M1791" t="s">
        <v>22</v>
      </c>
    </row>
    <row r="1792" spans="1:13" x14ac:dyDescent="0.35">
      <c r="A1792" t="s">
        <v>3120</v>
      </c>
      <c r="B1792" s="9">
        <v>46129</v>
      </c>
      <c r="C1792" t="s">
        <v>334</v>
      </c>
      <c r="D1792" t="s">
        <v>94</v>
      </c>
      <c r="E1792" t="s">
        <v>16</v>
      </c>
      <c r="F1792" t="s">
        <v>83</v>
      </c>
      <c r="G1792" t="s">
        <v>84</v>
      </c>
      <c r="H1792">
        <v>1</v>
      </c>
      <c r="I1792" t="s">
        <v>136</v>
      </c>
      <c r="J1792" t="s">
        <v>136</v>
      </c>
      <c r="K1792">
        <v>340</v>
      </c>
      <c r="L1792" t="s">
        <v>30</v>
      </c>
      <c r="M1792" t="s">
        <v>22</v>
      </c>
    </row>
    <row r="1793" spans="1:13" x14ac:dyDescent="0.35">
      <c r="A1793" t="s">
        <v>3121</v>
      </c>
      <c r="B1793" s="9">
        <v>46167</v>
      </c>
      <c r="C1793" t="s">
        <v>1912</v>
      </c>
      <c r="D1793" t="s">
        <v>61</v>
      </c>
      <c r="E1793" t="s">
        <v>41</v>
      </c>
      <c r="F1793" t="s">
        <v>74</v>
      </c>
      <c r="G1793" t="s">
        <v>75</v>
      </c>
      <c r="H1793">
        <v>2</v>
      </c>
      <c r="I1793" t="s">
        <v>220</v>
      </c>
      <c r="J1793" t="s">
        <v>221</v>
      </c>
      <c r="K1793" t="s">
        <v>76</v>
      </c>
      <c r="L1793" t="s">
        <v>30</v>
      </c>
      <c r="M1793" t="s">
        <v>22</v>
      </c>
    </row>
    <row r="1794" spans="1:13" x14ac:dyDescent="0.35">
      <c r="A1794" t="s">
        <v>3122</v>
      </c>
      <c r="B1794" s="9">
        <v>46164</v>
      </c>
      <c r="C1794" t="s">
        <v>3123</v>
      </c>
      <c r="D1794" t="s">
        <v>40</v>
      </c>
      <c r="E1794" t="s">
        <v>67</v>
      </c>
      <c r="F1794" t="s">
        <v>35</v>
      </c>
      <c r="G1794" t="s">
        <v>36</v>
      </c>
      <c r="H1794">
        <v>1</v>
      </c>
      <c r="I1794" t="s">
        <v>132</v>
      </c>
      <c r="J1794" t="s">
        <v>132</v>
      </c>
      <c r="K1794" t="s">
        <v>37</v>
      </c>
      <c r="L1794" t="s">
        <v>30</v>
      </c>
      <c r="M1794" t="s">
        <v>22</v>
      </c>
    </row>
    <row r="1795" spans="1:13" x14ac:dyDescent="0.35">
      <c r="A1795" t="s">
        <v>3124</v>
      </c>
      <c r="B1795" s="9">
        <v>46148</v>
      </c>
      <c r="C1795" t="s">
        <v>447</v>
      </c>
      <c r="D1795" t="s">
        <v>66</v>
      </c>
      <c r="E1795" t="s">
        <v>41</v>
      </c>
      <c r="F1795" t="s">
        <v>17</v>
      </c>
      <c r="G1795" t="s">
        <v>18</v>
      </c>
      <c r="H1795">
        <v>3</v>
      </c>
      <c r="I1795" t="s">
        <v>68</v>
      </c>
      <c r="J1795" t="s">
        <v>205</v>
      </c>
      <c r="K1795" t="s">
        <v>29</v>
      </c>
      <c r="L1795" t="s">
        <v>30</v>
      </c>
      <c r="M1795" t="s">
        <v>22</v>
      </c>
    </row>
    <row r="1796" spans="1:13" x14ac:dyDescent="0.35">
      <c r="A1796" t="s">
        <v>3125</v>
      </c>
      <c r="B1796" s="9">
        <v>46154</v>
      </c>
      <c r="C1796" t="s">
        <v>1784</v>
      </c>
      <c r="D1796" t="s">
        <v>66</v>
      </c>
      <c r="E1796" t="s">
        <v>67</v>
      </c>
      <c r="F1796" t="s">
        <v>17</v>
      </c>
      <c r="G1796" t="s">
        <v>18</v>
      </c>
      <c r="H1796">
        <v>3</v>
      </c>
      <c r="I1796" t="s">
        <v>106</v>
      </c>
      <c r="J1796" t="s">
        <v>160</v>
      </c>
      <c r="K1796" t="s">
        <v>29</v>
      </c>
      <c r="L1796" t="s">
        <v>30</v>
      </c>
      <c r="M1796" t="s">
        <v>22</v>
      </c>
    </row>
    <row r="1797" spans="1:13" x14ac:dyDescent="0.35">
      <c r="A1797" t="s">
        <v>2462</v>
      </c>
      <c r="B1797" s="9">
        <v>46180</v>
      </c>
      <c r="C1797" t="s">
        <v>870</v>
      </c>
      <c r="D1797" t="s">
        <v>61</v>
      </c>
      <c r="E1797" t="s">
        <v>34</v>
      </c>
      <c r="F1797" t="s">
        <v>47</v>
      </c>
      <c r="G1797" t="s">
        <v>48</v>
      </c>
      <c r="H1797">
        <v>1</v>
      </c>
      <c r="I1797" t="s">
        <v>19</v>
      </c>
      <c r="J1797" t="s">
        <v>19</v>
      </c>
      <c r="K1797" t="s">
        <v>50</v>
      </c>
      <c r="L1797" t="s">
        <v>30</v>
      </c>
      <c r="M1797" t="s">
        <v>22</v>
      </c>
    </row>
    <row r="1798" spans="1:13" x14ac:dyDescent="0.35">
      <c r="A1798" t="s">
        <v>3126</v>
      </c>
      <c r="B1798" s="9">
        <v>46046</v>
      </c>
      <c r="C1798" t="s">
        <v>2074</v>
      </c>
      <c r="D1798" t="s">
        <v>40</v>
      </c>
      <c r="E1798" t="s">
        <v>41</v>
      </c>
      <c r="F1798" t="s">
        <v>74</v>
      </c>
      <c r="G1798" t="s">
        <v>75</v>
      </c>
      <c r="H1798">
        <v>3</v>
      </c>
      <c r="I1798" t="s">
        <v>79</v>
      </c>
      <c r="J1798" t="s">
        <v>91</v>
      </c>
      <c r="K1798">
        <v>410</v>
      </c>
      <c r="L1798" t="s">
        <v>21</v>
      </c>
      <c r="M1798" t="s">
        <v>22</v>
      </c>
    </row>
    <row r="1799" spans="1:13" x14ac:dyDescent="0.35">
      <c r="A1799" t="s">
        <v>3127</v>
      </c>
      <c r="B1799" t="s">
        <v>3128</v>
      </c>
      <c r="C1799" t="s">
        <v>3129</v>
      </c>
      <c r="D1799" t="s">
        <v>46</v>
      </c>
      <c r="E1799" t="s">
        <v>41</v>
      </c>
      <c r="F1799" t="s">
        <v>47</v>
      </c>
      <c r="G1799" t="s">
        <v>48</v>
      </c>
      <c r="H1799">
        <v>2</v>
      </c>
      <c r="I1799" t="s">
        <v>56</v>
      </c>
      <c r="J1799" t="s">
        <v>193</v>
      </c>
      <c r="K1799">
        <v>380</v>
      </c>
      <c r="L1799" t="s">
        <v>30</v>
      </c>
      <c r="M1799" t="s">
        <v>22</v>
      </c>
    </row>
    <row r="1800" spans="1:13" x14ac:dyDescent="0.35">
      <c r="A1800" t="s">
        <v>3130</v>
      </c>
      <c r="B1800" s="9">
        <v>46057</v>
      </c>
      <c r="C1800" t="s">
        <v>2964</v>
      </c>
      <c r="D1800" t="s">
        <v>94</v>
      </c>
      <c r="E1800" t="s">
        <v>67</v>
      </c>
      <c r="F1800" t="s">
        <v>74</v>
      </c>
      <c r="G1800" t="s">
        <v>75</v>
      </c>
      <c r="H1800">
        <v>-1</v>
      </c>
      <c r="I1800" t="s">
        <v>102</v>
      </c>
      <c r="J1800" t="s">
        <v>1136</v>
      </c>
      <c r="K1800">
        <v>410</v>
      </c>
      <c r="L1800" t="s">
        <v>30</v>
      </c>
      <c r="M1800" t="s">
        <v>22</v>
      </c>
    </row>
    <row r="1801" spans="1:13" x14ac:dyDescent="0.35">
      <c r="A1801" t="s">
        <v>3131</v>
      </c>
      <c r="B1801" s="9">
        <v>46053</v>
      </c>
      <c r="C1801" t="s">
        <v>1385</v>
      </c>
      <c r="D1801" t="s">
        <v>61</v>
      </c>
      <c r="E1801" t="s">
        <v>16</v>
      </c>
      <c r="F1801" t="s">
        <v>26</v>
      </c>
      <c r="G1801" t="s">
        <v>27</v>
      </c>
      <c r="H1801">
        <v>2</v>
      </c>
      <c r="I1801" t="s">
        <v>1508</v>
      </c>
      <c r="J1801" t="s">
        <v>221</v>
      </c>
      <c r="K1801">
        <v>520</v>
      </c>
      <c r="L1801" t="s">
        <v>30</v>
      </c>
      <c r="M1801" t="s">
        <v>22</v>
      </c>
    </row>
    <row r="1802" spans="1:13" x14ac:dyDescent="0.35">
      <c r="A1802" t="s">
        <v>3132</v>
      </c>
      <c r="B1802" s="9">
        <v>46073</v>
      </c>
      <c r="C1802" t="s">
        <v>3133</v>
      </c>
      <c r="D1802" t="s">
        <v>66</v>
      </c>
      <c r="E1802" t="s">
        <v>25</v>
      </c>
      <c r="F1802" t="s">
        <v>17</v>
      </c>
      <c r="G1802" t="s">
        <v>18</v>
      </c>
      <c r="H1802">
        <v>3</v>
      </c>
      <c r="I1802" t="s">
        <v>71</v>
      </c>
      <c r="J1802" t="s">
        <v>379</v>
      </c>
      <c r="K1802">
        <v>520</v>
      </c>
      <c r="L1802" t="s">
        <v>30</v>
      </c>
      <c r="M1802" t="s">
        <v>22</v>
      </c>
    </row>
    <row r="1803" spans="1:13" x14ac:dyDescent="0.35">
      <c r="A1803" t="s">
        <v>3134</v>
      </c>
      <c r="B1803" s="9">
        <v>46142</v>
      </c>
      <c r="C1803" t="s">
        <v>1960</v>
      </c>
      <c r="D1803" t="s">
        <v>66</v>
      </c>
      <c r="E1803" t="s">
        <v>67</v>
      </c>
      <c r="F1803" t="s">
        <v>26</v>
      </c>
      <c r="G1803" t="s">
        <v>27</v>
      </c>
      <c r="H1803">
        <v>3</v>
      </c>
      <c r="I1803" t="s">
        <v>85</v>
      </c>
      <c r="J1803" t="s">
        <v>86</v>
      </c>
      <c r="K1803" t="s">
        <v>29</v>
      </c>
      <c r="L1803" t="s">
        <v>30</v>
      </c>
      <c r="M1803" t="s">
        <v>22</v>
      </c>
    </row>
    <row r="1804" spans="1:13" x14ac:dyDescent="0.35">
      <c r="A1804" t="s">
        <v>3135</v>
      </c>
      <c r="B1804" s="9">
        <v>46196</v>
      </c>
      <c r="C1804" t="s">
        <v>1496</v>
      </c>
      <c r="D1804" t="s">
        <v>66</v>
      </c>
      <c r="E1804" t="s">
        <v>34</v>
      </c>
      <c r="F1804" t="s">
        <v>35</v>
      </c>
      <c r="G1804" t="s">
        <v>36</v>
      </c>
      <c r="H1804">
        <v>2</v>
      </c>
      <c r="I1804" t="s">
        <v>254</v>
      </c>
      <c r="J1804" t="s">
        <v>156</v>
      </c>
      <c r="K1804" t="s">
        <v>37</v>
      </c>
      <c r="L1804" t="s">
        <v>30</v>
      </c>
      <c r="M1804" t="s">
        <v>22</v>
      </c>
    </row>
    <row r="1805" spans="1:13" x14ac:dyDescent="0.35">
      <c r="A1805" t="s">
        <v>3136</v>
      </c>
      <c r="B1805" s="9">
        <v>46140</v>
      </c>
      <c r="C1805" t="s">
        <v>2020</v>
      </c>
      <c r="D1805" t="s">
        <v>53</v>
      </c>
      <c r="E1805" t="s">
        <v>16</v>
      </c>
      <c r="F1805" t="s">
        <v>35</v>
      </c>
      <c r="G1805" t="s">
        <v>36</v>
      </c>
      <c r="H1805">
        <v>2</v>
      </c>
      <c r="I1805" t="s">
        <v>170</v>
      </c>
      <c r="J1805" t="s">
        <v>152</v>
      </c>
      <c r="K1805" t="s">
        <v>37</v>
      </c>
      <c r="L1805" t="s">
        <v>30</v>
      </c>
      <c r="M1805" t="s">
        <v>22</v>
      </c>
    </row>
    <row r="1806" spans="1:13" x14ac:dyDescent="0.35">
      <c r="A1806" t="s">
        <v>3137</v>
      </c>
      <c r="B1806" s="9">
        <v>46129</v>
      </c>
      <c r="C1806" t="s">
        <v>3138</v>
      </c>
      <c r="D1806" t="s">
        <v>116</v>
      </c>
      <c r="E1806" t="s">
        <v>25</v>
      </c>
      <c r="F1806" t="s">
        <v>74</v>
      </c>
      <c r="G1806" t="s">
        <v>75</v>
      </c>
      <c r="H1806">
        <v>1</v>
      </c>
      <c r="I1806" t="s">
        <v>62</v>
      </c>
      <c r="J1806" t="s">
        <v>62</v>
      </c>
      <c r="K1806">
        <v>410</v>
      </c>
      <c r="L1806" t="s">
        <v>30</v>
      </c>
      <c r="M1806" t="s">
        <v>22</v>
      </c>
    </row>
    <row r="1807" spans="1:13" x14ac:dyDescent="0.35">
      <c r="A1807" t="s">
        <v>3139</v>
      </c>
      <c r="B1807" s="9">
        <v>46109</v>
      </c>
      <c r="C1807" t="s">
        <v>2908</v>
      </c>
      <c r="D1807" t="s">
        <v>53</v>
      </c>
      <c r="E1807" t="s">
        <v>67</v>
      </c>
      <c r="F1807" t="s">
        <v>83</v>
      </c>
      <c r="G1807" t="s">
        <v>84</v>
      </c>
      <c r="H1807">
        <v>1</v>
      </c>
      <c r="I1807" t="s">
        <v>102</v>
      </c>
      <c r="J1807" t="s">
        <v>102</v>
      </c>
      <c r="K1807">
        <v>340</v>
      </c>
      <c r="L1807" t="s">
        <v>21</v>
      </c>
      <c r="M1807" t="s">
        <v>22</v>
      </c>
    </row>
    <row r="1808" spans="1:13" x14ac:dyDescent="0.35">
      <c r="A1808" t="s">
        <v>3140</v>
      </c>
      <c r="B1808" s="9">
        <v>46117</v>
      </c>
      <c r="C1808" t="s">
        <v>1392</v>
      </c>
      <c r="D1808" t="s">
        <v>99</v>
      </c>
      <c r="E1808" t="s">
        <v>25</v>
      </c>
      <c r="F1808" t="s">
        <v>26</v>
      </c>
      <c r="G1808" t="s">
        <v>27</v>
      </c>
      <c r="H1808">
        <v>1</v>
      </c>
      <c r="I1808" t="s">
        <v>132</v>
      </c>
      <c r="J1808" t="s">
        <v>3000</v>
      </c>
      <c r="K1808" t="s">
        <v>29</v>
      </c>
      <c r="L1808" t="s">
        <v>30</v>
      </c>
      <c r="M1808" t="s">
        <v>22</v>
      </c>
    </row>
    <row r="1809" spans="1:13" x14ac:dyDescent="0.35">
      <c r="A1809" t="s">
        <v>3141</v>
      </c>
      <c r="B1809" s="9">
        <v>46083</v>
      </c>
      <c r="C1809" t="s">
        <v>1107</v>
      </c>
      <c r="D1809" t="s">
        <v>94</v>
      </c>
      <c r="E1809" t="s">
        <v>67</v>
      </c>
      <c r="F1809" t="s">
        <v>89</v>
      </c>
      <c r="G1809" t="s">
        <v>90</v>
      </c>
      <c r="H1809">
        <v>1</v>
      </c>
      <c r="I1809" t="s">
        <v>85</v>
      </c>
      <c r="J1809" t="s">
        <v>550</v>
      </c>
      <c r="K1809">
        <v>640</v>
      </c>
      <c r="L1809" t="s">
        <v>30</v>
      </c>
      <c r="M1809" t="s">
        <v>22</v>
      </c>
    </row>
    <row r="1810" spans="1:13" x14ac:dyDescent="0.35">
      <c r="A1810" t="s">
        <v>3142</v>
      </c>
      <c r="B1810" s="9">
        <v>46182</v>
      </c>
      <c r="C1810" t="s">
        <v>2611</v>
      </c>
      <c r="D1810" t="s">
        <v>15</v>
      </c>
      <c r="E1810" t="s">
        <v>34</v>
      </c>
      <c r="F1810" t="s">
        <v>47</v>
      </c>
      <c r="G1810" t="s">
        <v>48</v>
      </c>
      <c r="H1810">
        <v>3</v>
      </c>
      <c r="I1810" t="s">
        <v>79</v>
      </c>
      <c r="J1810" t="s">
        <v>91</v>
      </c>
      <c r="K1810" t="s">
        <v>50</v>
      </c>
      <c r="L1810" t="s">
        <v>30</v>
      </c>
      <c r="M1810" t="s">
        <v>58</v>
      </c>
    </row>
    <row r="1811" spans="1:13" x14ac:dyDescent="0.35">
      <c r="A1811" t="s">
        <v>3143</v>
      </c>
      <c r="B1811" s="9">
        <v>46180</v>
      </c>
      <c r="C1811" t="s">
        <v>2056</v>
      </c>
      <c r="D1811" t="s">
        <v>33</v>
      </c>
      <c r="E1811" t="s">
        <v>34</v>
      </c>
      <c r="F1811" t="s">
        <v>42</v>
      </c>
      <c r="G1811" t="s">
        <v>43</v>
      </c>
      <c r="H1811">
        <v>3</v>
      </c>
      <c r="I1811" t="s">
        <v>254</v>
      </c>
      <c r="J1811" t="s">
        <v>390</v>
      </c>
      <c r="K1811" t="s">
        <v>111</v>
      </c>
      <c r="L1811" t="s">
        <v>30</v>
      </c>
      <c r="M1811" t="s">
        <v>22</v>
      </c>
    </row>
    <row r="1812" spans="1:13" x14ac:dyDescent="0.35">
      <c r="A1812" t="s">
        <v>3144</v>
      </c>
      <c r="B1812" s="9">
        <v>46048</v>
      </c>
      <c r="C1812" t="s">
        <v>129</v>
      </c>
      <c r="D1812" t="s">
        <v>66</v>
      </c>
      <c r="E1812" t="s">
        <v>67</v>
      </c>
      <c r="F1812" t="s">
        <v>26</v>
      </c>
      <c r="G1812" t="s">
        <v>27</v>
      </c>
      <c r="H1812">
        <v>2</v>
      </c>
      <c r="I1812" t="s">
        <v>136</v>
      </c>
      <c r="J1812" t="s">
        <v>164</v>
      </c>
      <c r="K1812">
        <v>520</v>
      </c>
      <c r="L1812" t="s">
        <v>21</v>
      </c>
      <c r="M1812" t="s">
        <v>22</v>
      </c>
    </row>
    <row r="1813" spans="1:13" x14ac:dyDescent="0.35">
      <c r="A1813" t="s">
        <v>3145</v>
      </c>
      <c r="B1813" s="9">
        <v>46067</v>
      </c>
      <c r="C1813" t="s">
        <v>690</v>
      </c>
      <c r="D1813" t="s">
        <v>33</v>
      </c>
      <c r="E1813" t="s">
        <v>16</v>
      </c>
      <c r="F1813" t="s">
        <v>89</v>
      </c>
      <c r="G1813" t="s">
        <v>90</v>
      </c>
      <c r="H1813">
        <v>2</v>
      </c>
      <c r="I1813" t="s">
        <v>132</v>
      </c>
      <c r="J1813" t="s">
        <v>133</v>
      </c>
      <c r="K1813">
        <v>640</v>
      </c>
      <c r="L1813" t="s">
        <v>30</v>
      </c>
      <c r="M1813" t="s">
        <v>22</v>
      </c>
    </row>
    <row r="1814" spans="1:13" x14ac:dyDescent="0.35">
      <c r="A1814" t="s">
        <v>3146</v>
      </c>
      <c r="B1814" s="9">
        <v>46126</v>
      </c>
      <c r="C1814" t="s">
        <v>39</v>
      </c>
      <c r="D1814" t="s">
        <v>99</v>
      </c>
      <c r="E1814" t="s">
        <v>16</v>
      </c>
      <c r="F1814" t="s">
        <v>83</v>
      </c>
      <c r="G1814" t="s">
        <v>84</v>
      </c>
      <c r="H1814">
        <v>3</v>
      </c>
      <c r="I1814" t="s">
        <v>254</v>
      </c>
      <c r="J1814" t="s">
        <v>390</v>
      </c>
      <c r="K1814">
        <v>340</v>
      </c>
      <c r="L1814" t="s">
        <v>30</v>
      </c>
      <c r="M1814" t="s">
        <v>22</v>
      </c>
    </row>
    <row r="1815" spans="1:13" x14ac:dyDescent="0.35">
      <c r="A1815" t="s">
        <v>3147</v>
      </c>
      <c r="B1815" s="9">
        <v>46084</v>
      </c>
      <c r="C1815" t="s">
        <v>1004</v>
      </c>
      <c r="D1815" t="s">
        <v>15</v>
      </c>
      <c r="E1815" t="s">
        <v>16</v>
      </c>
      <c r="F1815" t="s">
        <v>83</v>
      </c>
      <c r="G1815" t="s">
        <v>84</v>
      </c>
      <c r="H1815">
        <v>1</v>
      </c>
      <c r="I1815" t="s">
        <v>56</v>
      </c>
      <c r="J1815" t="s">
        <v>56</v>
      </c>
      <c r="K1815">
        <v>340</v>
      </c>
      <c r="L1815" t="s">
        <v>30</v>
      </c>
      <c r="M1815" t="s">
        <v>22</v>
      </c>
    </row>
    <row r="1816" spans="1:13" x14ac:dyDescent="0.35">
      <c r="A1816" t="s">
        <v>3148</v>
      </c>
      <c r="B1816" s="9">
        <v>46058</v>
      </c>
      <c r="C1816" t="s">
        <v>3149</v>
      </c>
      <c r="D1816" t="s">
        <v>40</v>
      </c>
      <c r="E1816" t="s">
        <v>34</v>
      </c>
      <c r="F1816" t="s">
        <v>42</v>
      </c>
      <c r="G1816" t="s">
        <v>43</v>
      </c>
      <c r="H1816">
        <v>3</v>
      </c>
      <c r="I1816" t="s">
        <v>220</v>
      </c>
      <c r="J1816" t="s">
        <v>3150</v>
      </c>
      <c r="K1816">
        <v>190</v>
      </c>
      <c r="L1816" t="s">
        <v>30</v>
      </c>
      <c r="M1816" t="s">
        <v>22</v>
      </c>
    </row>
    <row r="1817" spans="1:13" x14ac:dyDescent="0.35">
      <c r="A1817" t="s">
        <v>3151</v>
      </c>
      <c r="B1817" s="9">
        <v>46089</v>
      </c>
      <c r="C1817" t="s">
        <v>3152</v>
      </c>
      <c r="D1817" t="s">
        <v>94</v>
      </c>
      <c r="E1817" t="s">
        <v>67</v>
      </c>
      <c r="F1817" t="s">
        <v>83</v>
      </c>
      <c r="G1817" t="s">
        <v>84</v>
      </c>
      <c r="H1817">
        <v>1</v>
      </c>
      <c r="I1817" t="s">
        <v>106</v>
      </c>
      <c r="J1817" t="s">
        <v>106</v>
      </c>
      <c r="K1817">
        <v>340</v>
      </c>
      <c r="L1817" t="s">
        <v>21</v>
      </c>
      <c r="M1817" t="s">
        <v>22</v>
      </c>
    </row>
    <row r="1818" spans="1:13" x14ac:dyDescent="0.35">
      <c r="A1818" t="s">
        <v>3153</v>
      </c>
      <c r="B1818" s="9">
        <v>46194</v>
      </c>
      <c r="C1818" t="s">
        <v>3154</v>
      </c>
      <c r="D1818" t="s">
        <v>15</v>
      </c>
      <c r="E1818" t="s">
        <v>34</v>
      </c>
      <c r="F1818" t="s">
        <v>74</v>
      </c>
      <c r="G1818" t="s">
        <v>75</v>
      </c>
      <c r="H1818">
        <v>1</v>
      </c>
      <c r="I1818" t="s">
        <v>79</v>
      </c>
      <c r="J1818" t="s">
        <v>79</v>
      </c>
      <c r="K1818" t="s">
        <v>76</v>
      </c>
      <c r="L1818" t="s">
        <v>21</v>
      </c>
      <c r="M1818" t="s">
        <v>22</v>
      </c>
    </row>
    <row r="1819" spans="1:13" x14ac:dyDescent="0.35">
      <c r="A1819" t="s">
        <v>3155</v>
      </c>
      <c r="B1819" s="9">
        <v>46033</v>
      </c>
      <c r="C1819" t="s">
        <v>1667</v>
      </c>
      <c r="D1819" t="s">
        <v>94</v>
      </c>
      <c r="E1819" t="s">
        <v>25</v>
      </c>
      <c r="F1819" t="s">
        <v>35</v>
      </c>
      <c r="G1819" t="s">
        <v>36</v>
      </c>
      <c r="H1819">
        <v>1</v>
      </c>
      <c r="I1819" t="s">
        <v>19</v>
      </c>
      <c r="J1819" t="s">
        <v>19</v>
      </c>
      <c r="K1819">
        <v>85</v>
      </c>
      <c r="L1819" t="s">
        <v>30</v>
      </c>
      <c r="M1819" t="s">
        <v>22</v>
      </c>
    </row>
    <row r="1820" spans="1:13" x14ac:dyDescent="0.35">
      <c r="A1820" t="s">
        <v>3156</v>
      </c>
      <c r="B1820" s="9">
        <v>46109</v>
      </c>
      <c r="C1820" t="s">
        <v>471</v>
      </c>
      <c r="D1820" t="s">
        <v>40</v>
      </c>
      <c r="E1820" t="s">
        <v>25</v>
      </c>
      <c r="F1820" t="s">
        <v>74</v>
      </c>
      <c r="G1820" t="s">
        <v>75</v>
      </c>
      <c r="H1820">
        <v>3</v>
      </c>
      <c r="I1820" t="s">
        <v>71</v>
      </c>
      <c r="J1820" t="s">
        <v>379</v>
      </c>
      <c r="K1820">
        <v>410</v>
      </c>
      <c r="L1820" t="s">
        <v>30</v>
      </c>
      <c r="M1820" t="s">
        <v>58</v>
      </c>
    </row>
    <row r="1821" spans="1:13" x14ac:dyDescent="0.35">
      <c r="A1821" t="s">
        <v>3157</v>
      </c>
      <c r="B1821" s="9">
        <v>46151</v>
      </c>
      <c r="C1821" t="s">
        <v>3158</v>
      </c>
      <c r="D1821" t="s">
        <v>40</v>
      </c>
      <c r="E1821" t="s">
        <v>41</v>
      </c>
      <c r="F1821" t="s">
        <v>89</v>
      </c>
      <c r="G1821" t="s">
        <v>90</v>
      </c>
      <c r="H1821">
        <v>1</v>
      </c>
      <c r="I1821" t="s">
        <v>132</v>
      </c>
      <c r="J1821" t="s">
        <v>3159</v>
      </c>
      <c r="K1821" t="s">
        <v>108</v>
      </c>
      <c r="L1821" t="s">
        <v>30</v>
      </c>
      <c r="M1821" t="s">
        <v>22</v>
      </c>
    </row>
    <row r="1822" spans="1:13" x14ac:dyDescent="0.35">
      <c r="A1822" t="s">
        <v>3160</v>
      </c>
      <c r="B1822" s="9">
        <v>46357</v>
      </c>
      <c r="C1822" t="s">
        <v>2657</v>
      </c>
      <c r="D1822" t="s">
        <v>99</v>
      </c>
      <c r="E1822" t="s">
        <v>25</v>
      </c>
      <c r="F1822" t="s">
        <v>26</v>
      </c>
      <c r="G1822" t="s">
        <v>27</v>
      </c>
      <c r="H1822">
        <v>1</v>
      </c>
      <c r="I1822" t="s">
        <v>71</v>
      </c>
      <c r="J1822" t="s">
        <v>71</v>
      </c>
      <c r="K1822">
        <v>520</v>
      </c>
      <c r="L1822" t="s">
        <v>30</v>
      </c>
      <c r="M1822" t="s">
        <v>22</v>
      </c>
    </row>
    <row r="1823" spans="1:13" x14ac:dyDescent="0.35">
      <c r="A1823" t="s">
        <v>3161</v>
      </c>
      <c r="B1823" s="9">
        <v>46057</v>
      </c>
      <c r="C1823" t="s">
        <v>635</v>
      </c>
      <c r="D1823" t="s">
        <v>116</v>
      </c>
      <c r="E1823" t="s">
        <v>67</v>
      </c>
      <c r="F1823" t="s">
        <v>17</v>
      </c>
      <c r="G1823" t="s">
        <v>18</v>
      </c>
      <c r="H1823">
        <v>1</v>
      </c>
      <c r="I1823" t="s">
        <v>102</v>
      </c>
      <c r="J1823" t="s">
        <v>102</v>
      </c>
      <c r="K1823">
        <v>520</v>
      </c>
      <c r="L1823" t="s">
        <v>30</v>
      </c>
      <c r="M1823" t="s">
        <v>22</v>
      </c>
    </row>
    <row r="1824" spans="1:13" x14ac:dyDescent="0.35">
      <c r="A1824" t="s">
        <v>3162</v>
      </c>
      <c r="B1824" s="9">
        <v>46202</v>
      </c>
      <c r="C1824" t="s">
        <v>576</v>
      </c>
      <c r="D1824" t="s">
        <v>53</v>
      </c>
      <c r="E1824" t="s">
        <v>41</v>
      </c>
      <c r="F1824" t="s">
        <v>26</v>
      </c>
      <c r="G1824" t="s">
        <v>27</v>
      </c>
      <c r="H1824">
        <v>1</v>
      </c>
      <c r="I1824" t="s">
        <v>19</v>
      </c>
      <c r="J1824" t="s">
        <v>19</v>
      </c>
      <c r="K1824" t="s">
        <v>29</v>
      </c>
      <c r="L1824" t="s">
        <v>30</v>
      </c>
      <c r="M1824" t="s">
        <v>58</v>
      </c>
    </row>
    <row r="1825" spans="1:13" x14ac:dyDescent="0.35">
      <c r="A1825" t="s">
        <v>3163</v>
      </c>
      <c r="B1825" s="9">
        <v>46128</v>
      </c>
      <c r="C1825" t="s">
        <v>3164</v>
      </c>
      <c r="D1825" t="s">
        <v>53</v>
      </c>
      <c r="E1825" t="s">
        <v>34</v>
      </c>
      <c r="F1825" t="s">
        <v>74</v>
      </c>
      <c r="G1825" t="s">
        <v>75</v>
      </c>
      <c r="H1825">
        <v>1</v>
      </c>
      <c r="I1825" t="s">
        <v>744</v>
      </c>
      <c r="J1825" t="s">
        <v>106</v>
      </c>
      <c r="K1825">
        <v>410</v>
      </c>
      <c r="L1825" t="s">
        <v>21</v>
      </c>
      <c r="M1825" t="s">
        <v>22</v>
      </c>
    </row>
    <row r="1826" spans="1:13" x14ac:dyDescent="0.35">
      <c r="A1826" t="s">
        <v>3165</v>
      </c>
      <c r="B1826" s="9">
        <v>46125</v>
      </c>
      <c r="C1826" t="s">
        <v>3166</v>
      </c>
      <c r="D1826" t="s">
        <v>40</v>
      </c>
      <c r="E1826" t="s">
        <v>16</v>
      </c>
      <c r="F1826" t="s">
        <v>83</v>
      </c>
      <c r="G1826" t="s">
        <v>84</v>
      </c>
      <c r="H1826">
        <v>2</v>
      </c>
      <c r="I1826" t="s">
        <v>1419</v>
      </c>
      <c r="J1826" t="s">
        <v>133</v>
      </c>
      <c r="K1826">
        <v>340</v>
      </c>
      <c r="L1826" t="s">
        <v>30</v>
      </c>
      <c r="M1826" t="s">
        <v>22</v>
      </c>
    </row>
    <row r="1827" spans="1:13" x14ac:dyDescent="0.35">
      <c r="A1827" t="s">
        <v>3167</v>
      </c>
      <c r="B1827" s="9">
        <v>46332</v>
      </c>
      <c r="C1827" t="s">
        <v>3168</v>
      </c>
      <c r="D1827" t="s">
        <v>40</v>
      </c>
      <c r="E1827" t="s">
        <v>67</v>
      </c>
      <c r="F1827" t="s">
        <v>83</v>
      </c>
      <c r="G1827" t="s">
        <v>84</v>
      </c>
      <c r="H1827">
        <v>1</v>
      </c>
      <c r="I1827" t="s">
        <v>102</v>
      </c>
      <c r="J1827" t="s">
        <v>102</v>
      </c>
      <c r="K1827" t="s">
        <v>103</v>
      </c>
      <c r="L1827" t="s">
        <v>21</v>
      </c>
      <c r="M1827" t="s">
        <v>22</v>
      </c>
    </row>
    <row r="1828" spans="1:13" x14ac:dyDescent="0.35">
      <c r="A1828" t="s">
        <v>3169</v>
      </c>
      <c r="B1828" s="9">
        <v>46041</v>
      </c>
      <c r="C1828" t="s">
        <v>3170</v>
      </c>
      <c r="D1828" t="s">
        <v>46</v>
      </c>
      <c r="E1828" t="s">
        <v>34</v>
      </c>
      <c r="F1828" t="s">
        <v>26</v>
      </c>
      <c r="G1828" t="s">
        <v>27</v>
      </c>
      <c r="H1828">
        <v>1</v>
      </c>
      <c r="I1828" t="s">
        <v>656</v>
      </c>
      <c r="J1828" t="s">
        <v>28</v>
      </c>
      <c r="K1828">
        <v>520</v>
      </c>
      <c r="L1828" t="s">
        <v>30</v>
      </c>
      <c r="M1828" t="s">
        <v>22</v>
      </c>
    </row>
    <row r="1829" spans="1:13" x14ac:dyDescent="0.35">
      <c r="A1829" t="s">
        <v>3171</v>
      </c>
      <c r="B1829" s="9">
        <v>46087</v>
      </c>
      <c r="C1829" t="s">
        <v>3172</v>
      </c>
      <c r="D1829" t="s">
        <v>40</v>
      </c>
      <c r="E1829" t="s">
        <v>16</v>
      </c>
      <c r="F1829" t="s">
        <v>47</v>
      </c>
      <c r="G1829" t="s">
        <v>48</v>
      </c>
      <c r="H1829">
        <v>-1</v>
      </c>
      <c r="I1829" t="s">
        <v>362</v>
      </c>
      <c r="J1829" t="s">
        <v>1726</v>
      </c>
      <c r="K1829">
        <v>380</v>
      </c>
      <c r="L1829" t="s">
        <v>30</v>
      </c>
      <c r="M1829" t="s">
        <v>22</v>
      </c>
    </row>
    <row r="1830" spans="1:13" x14ac:dyDescent="0.35">
      <c r="A1830" t="s">
        <v>3173</v>
      </c>
      <c r="B1830" s="9">
        <v>46112</v>
      </c>
      <c r="C1830" t="s">
        <v>1183</v>
      </c>
      <c r="D1830" t="s">
        <v>33</v>
      </c>
      <c r="E1830" t="s">
        <v>16</v>
      </c>
      <c r="F1830" t="s">
        <v>26</v>
      </c>
      <c r="G1830" t="s">
        <v>27</v>
      </c>
      <c r="H1830">
        <v>2</v>
      </c>
      <c r="I1830" t="s">
        <v>102</v>
      </c>
      <c r="J1830" t="s">
        <v>181</v>
      </c>
      <c r="K1830">
        <v>520</v>
      </c>
      <c r="L1830" t="s">
        <v>21</v>
      </c>
      <c r="M1830" t="s">
        <v>22</v>
      </c>
    </row>
    <row r="1831" spans="1:13" x14ac:dyDescent="0.35">
      <c r="A1831" t="s">
        <v>3174</v>
      </c>
      <c r="B1831" t="s">
        <v>2266</v>
      </c>
      <c r="C1831" t="s">
        <v>815</v>
      </c>
      <c r="D1831" t="s">
        <v>15</v>
      </c>
      <c r="E1831" t="s">
        <v>25</v>
      </c>
      <c r="F1831" t="s">
        <v>26</v>
      </c>
      <c r="G1831" t="s">
        <v>27</v>
      </c>
      <c r="H1831">
        <v>-2</v>
      </c>
      <c r="I1831" t="s">
        <v>19</v>
      </c>
      <c r="J1831" t="s">
        <v>148</v>
      </c>
      <c r="K1831" t="s">
        <v>29</v>
      </c>
      <c r="L1831" t="s">
        <v>21</v>
      </c>
      <c r="M1831" t="s">
        <v>22</v>
      </c>
    </row>
    <row r="1832" spans="1:13" x14ac:dyDescent="0.35">
      <c r="A1832" t="s">
        <v>3175</v>
      </c>
      <c r="B1832" s="9">
        <v>46161</v>
      </c>
      <c r="C1832" t="s">
        <v>3176</v>
      </c>
      <c r="D1832" t="s">
        <v>99</v>
      </c>
      <c r="E1832" t="s">
        <v>16</v>
      </c>
      <c r="F1832" t="s">
        <v>35</v>
      </c>
      <c r="G1832" t="s">
        <v>36</v>
      </c>
      <c r="H1832">
        <v>2</v>
      </c>
      <c r="I1832" t="s">
        <v>220</v>
      </c>
      <c r="J1832" t="s">
        <v>221</v>
      </c>
      <c r="K1832" t="s">
        <v>37</v>
      </c>
      <c r="L1832" t="s">
        <v>21</v>
      </c>
      <c r="M1832" t="s">
        <v>22</v>
      </c>
    </row>
    <row r="1833" spans="1:13" x14ac:dyDescent="0.35">
      <c r="A1833" t="s">
        <v>3177</v>
      </c>
      <c r="B1833" s="9">
        <v>46124</v>
      </c>
      <c r="C1833" t="s">
        <v>3178</v>
      </c>
      <c r="D1833" t="s">
        <v>33</v>
      </c>
      <c r="E1833" t="s">
        <v>41</v>
      </c>
      <c r="F1833" t="s">
        <v>74</v>
      </c>
      <c r="G1833" t="s">
        <v>75</v>
      </c>
      <c r="H1833">
        <v>1</v>
      </c>
      <c r="I1833" t="s">
        <v>106</v>
      </c>
      <c r="J1833" t="s">
        <v>106</v>
      </c>
      <c r="K1833">
        <v>410</v>
      </c>
      <c r="L1833" t="s">
        <v>30</v>
      </c>
      <c r="M1833" t="s">
        <v>58</v>
      </c>
    </row>
    <row r="1834" spans="1:13" x14ac:dyDescent="0.35">
      <c r="A1834" t="s">
        <v>3179</v>
      </c>
      <c r="B1834" s="9">
        <v>46092</v>
      </c>
      <c r="C1834" t="s">
        <v>2706</v>
      </c>
      <c r="D1834" t="s">
        <v>46</v>
      </c>
      <c r="E1834" t="s">
        <v>34</v>
      </c>
      <c r="F1834" t="s">
        <v>89</v>
      </c>
      <c r="G1834" t="s">
        <v>90</v>
      </c>
      <c r="H1834">
        <v>1</v>
      </c>
      <c r="I1834" t="s">
        <v>56</v>
      </c>
      <c r="J1834" t="s">
        <v>56</v>
      </c>
      <c r="K1834">
        <v>640</v>
      </c>
      <c r="L1834" t="s">
        <v>30</v>
      </c>
      <c r="M1834" t="s">
        <v>22</v>
      </c>
    </row>
    <row r="1835" spans="1:13" x14ac:dyDescent="0.35">
      <c r="A1835" t="s">
        <v>3180</v>
      </c>
      <c r="B1835" s="9">
        <v>46112</v>
      </c>
      <c r="C1835" t="s">
        <v>1119</v>
      </c>
      <c r="D1835" t="s">
        <v>33</v>
      </c>
      <c r="E1835" t="s">
        <v>67</v>
      </c>
      <c r="F1835" t="s">
        <v>42</v>
      </c>
      <c r="G1835" t="s">
        <v>43</v>
      </c>
      <c r="H1835">
        <v>1</v>
      </c>
      <c r="I1835" t="s">
        <v>102</v>
      </c>
      <c r="J1835" t="s">
        <v>102</v>
      </c>
      <c r="K1835">
        <v>190</v>
      </c>
      <c r="L1835" t="s">
        <v>30</v>
      </c>
      <c r="M1835" t="s">
        <v>22</v>
      </c>
    </row>
    <row r="1836" spans="1:13" x14ac:dyDescent="0.35">
      <c r="A1836" t="s">
        <v>2620</v>
      </c>
      <c r="B1836" s="9">
        <v>46149</v>
      </c>
      <c r="C1836" t="s">
        <v>177</v>
      </c>
      <c r="D1836" t="s">
        <v>66</v>
      </c>
      <c r="E1836" t="s">
        <v>67</v>
      </c>
      <c r="F1836" t="s">
        <v>74</v>
      </c>
      <c r="G1836" t="s">
        <v>75</v>
      </c>
      <c r="H1836">
        <v>2</v>
      </c>
      <c r="I1836" t="s">
        <v>136</v>
      </c>
      <c r="J1836" t="s">
        <v>164</v>
      </c>
      <c r="K1836" t="s">
        <v>76</v>
      </c>
      <c r="L1836" t="s">
        <v>30</v>
      </c>
      <c r="M1836" t="s">
        <v>22</v>
      </c>
    </row>
    <row r="1837" spans="1:13" x14ac:dyDescent="0.35">
      <c r="A1837" t="s">
        <v>3181</v>
      </c>
      <c r="B1837" s="9">
        <v>46068</v>
      </c>
      <c r="C1837" t="s">
        <v>2269</v>
      </c>
      <c r="D1837" t="s">
        <v>40</v>
      </c>
      <c r="E1837" t="s">
        <v>41</v>
      </c>
      <c r="F1837" t="s">
        <v>89</v>
      </c>
      <c r="G1837" t="s">
        <v>90</v>
      </c>
      <c r="H1837">
        <v>2</v>
      </c>
      <c r="I1837" t="s">
        <v>220</v>
      </c>
      <c r="J1837" t="s">
        <v>221</v>
      </c>
      <c r="K1837">
        <v>640</v>
      </c>
      <c r="L1837" t="s">
        <v>30</v>
      </c>
      <c r="M1837" t="s">
        <v>22</v>
      </c>
    </row>
    <row r="1838" spans="1:13" x14ac:dyDescent="0.35">
      <c r="A1838" t="s">
        <v>3182</v>
      </c>
      <c r="B1838" s="9">
        <v>46091</v>
      </c>
      <c r="C1838" t="s">
        <v>397</v>
      </c>
      <c r="D1838" t="s">
        <v>116</v>
      </c>
      <c r="E1838" t="s">
        <v>34</v>
      </c>
      <c r="F1838" t="s">
        <v>26</v>
      </c>
      <c r="G1838" t="s">
        <v>27</v>
      </c>
      <c r="H1838">
        <v>1</v>
      </c>
      <c r="I1838" t="s">
        <v>71</v>
      </c>
      <c r="J1838" t="s">
        <v>71</v>
      </c>
      <c r="K1838">
        <v>520</v>
      </c>
      <c r="L1838" t="s">
        <v>30</v>
      </c>
      <c r="M1838" t="s">
        <v>58</v>
      </c>
    </row>
    <row r="1839" spans="1:13" x14ac:dyDescent="0.35">
      <c r="A1839" t="s">
        <v>3183</v>
      </c>
      <c r="B1839" s="9">
        <v>46270</v>
      </c>
      <c r="C1839" t="s">
        <v>1583</v>
      </c>
      <c r="D1839" t="s">
        <v>40</v>
      </c>
      <c r="E1839" t="s">
        <v>16</v>
      </c>
      <c r="F1839" t="s">
        <v>26</v>
      </c>
      <c r="G1839" t="s">
        <v>27</v>
      </c>
      <c r="H1839">
        <v>1</v>
      </c>
      <c r="I1839" t="s">
        <v>71</v>
      </c>
      <c r="J1839" t="s">
        <v>71</v>
      </c>
      <c r="K1839" t="s">
        <v>29</v>
      </c>
      <c r="L1839" t="s">
        <v>30</v>
      </c>
      <c r="M1839" t="s">
        <v>22</v>
      </c>
    </row>
    <row r="1840" spans="1:13" x14ac:dyDescent="0.35">
      <c r="A1840" t="s">
        <v>3184</v>
      </c>
      <c r="B1840" s="9">
        <v>46037</v>
      </c>
      <c r="C1840" t="s">
        <v>599</v>
      </c>
      <c r="D1840" t="s">
        <v>61</v>
      </c>
      <c r="E1840" t="s">
        <v>34</v>
      </c>
      <c r="F1840" t="s">
        <v>83</v>
      </c>
      <c r="G1840" t="s">
        <v>84</v>
      </c>
      <c r="H1840">
        <v>1</v>
      </c>
      <c r="I1840" t="s">
        <v>102</v>
      </c>
      <c r="J1840" t="s">
        <v>170</v>
      </c>
      <c r="K1840">
        <v>340</v>
      </c>
      <c r="L1840" t="s">
        <v>30</v>
      </c>
      <c r="M1840" t="s">
        <v>22</v>
      </c>
    </row>
    <row r="1841" spans="1:13" x14ac:dyDescent="0.35">
      <c r="A1841" t="s">
        <v>3185</v>
      </c>
      <c r="B1841" s="9">
        <v>46028</v>
      </c>
      <c r="C1841" t="s">
        <v>3186</v>
      </c>
      <c r="D1841" t="s">
        <v>40</v>
      </c>
      <c r="E1841" t="s">
        <v>41</v>
      </c>
      <c r="F1841" t="s">
        <v>83</v>
      </c>
      <c r="G1841" t="s">
        <v>84</v>
      </c>
      <c r="H1841">
        <v>3</v>
      </c>
      <c r="I1841" t="s">
        <v>28</v>
      </c>
      <c r="J1841" t="s">
        <v>2756</v>
      </c>
      <c r="K1841">
        <v>340</v>
      </c>
      <c r="L1841" t="s">
        <v>30</v>
      </c>
      <c r="M1841" t="s">
        <v>58</v>
      </c>
    </row>
    <row r="1842" spans="1:13" x14ac:dyDescent="0.35">
      <c r="A1842" t="s">
        <v>3187</v>
      </c>
      <c r="B1842" s="9">
        <v>46205</v>
      </c>
      <c r="C1842" t="s">
        <v>1152</v>
      </c>
      <c r="D1842" t="s">
        <v>116</v>
      </c>
      <c r="E1842" t="s">
        <v>25</v>
      </c>
      <c r="F1842" t="s">
        <v>83</v>
      </c>
      <c r="G1842" t="s">
        <v>84</v>
      </c>
      <c r="H1842">
        <v>2</v>
      </c>
      <c r="I1842" t="s">
        <v>28</v>
      </c>
      <c r="J1842" t="s">
        <v>3188</v>
      </c>
      <c r="K1842" t="s">
        <v>103</v>
      </c>
      <c r="L1842" t="s">
        <v>30</v>
      </c>
      <c r="M1842" t="s">
        <v>22</v>
      </c>
    </row>
    <row r="1843" spans="1:13" x14ac:dyDescent="0.35">
      <c r="A1843" t="s">
        <v>3189</v>
      </c>
      <c r="B1843" s="9">
        <v>46166</v>
      </c>
      <c r="C1843" t="s">
        <v>703</v>
      </c>
      <c r="D1843" t="s">
        <v>94</v>
      </c>
      <c r="E1843" t="s">
        <v>41</v>
      </c>
      <c r="F1843" t="s">
        <v>83</v>
      </c>
      <c r="G1843" t="s">
        <v>84</v>
      </c>
      <c r="H1843">
        <v>1</v>
      </c>
      <c r="I1843" t="s">
        <v>68</v>
      </c>
      <c r="J1843" t="s">
        <v>68</v>
      </c>
      <c r="K1843" t="s">
        <v>103</v>
      </c>
      <c r="L1843" t="s">
        <v>30</v>
      </c>
      <c r="M1843" t="s">
        <v>22</v>
      </c>
    </row>
    <row r="1844" spans="1:13" x14ac:dyDescent="0.35">
      <c r="A1844" t="s">
        <v>3190</v>
      </c>
      <c r="B1844" s="9">
        <v>46058</v>
      </c>
      <c r="C1844" t="s">
        <v>2322</v>
      </c>
      <c r="D1844" t="s">
        <v>99</v>
      </c>
      <c r="E1844" t="s">
        <v>16</v>
      </c>
      <c r="F1844" t="s">
        <v>42</v>
      </c>
      <c r="G1844" t="s">
        <v>43</v>
      </c>
      <c r="H1844">
        <v>1</v>
      </c>
      <c r="I1844" t="s">
        <v>132</v>
      </c>
      <c r="J1844" t="s">
        <v>132</v>
      </c>
      <c r="K1844">
        <v>190</v>
      </c>
      <c r="L1844" t="s">
        <v>30</v>
      </c>
      <c r="M1844" t="s">
        <v>58</v>
      </c>
    </row>
    <row r="1845" spans="1:13" x14ac:dyDescent="0.35">
      <c r="A1845" t="s">
        <v>3191</v>
      </c>
      <c r="B1845" s="9">
        <v>46134</v>
      </c>
      <c r="C1845" t="s">
        <v>2126</v>
      </c>
      <c r="D1845" t="s">
        <v>94</v>
      </c>
      <c r="E1845" t="s">
        <v>34</v>
      </c>
      <c r="F1845" t="s">
        <v>83</v>
      </c>
      <c r="G1845" t="s">
        <v>84</v>
      </c>
      <c r="H1845">
        <v>1</v>
      </c>
      <c r="I1845" t="s">
        <v>49</v>
      </c>
      <c r="J1845" t="s">
        <v>49</v>
      </c>
      <c r="K1845" t="s">
        <v>103</v>
      </c>
      <c r="L1845" t="s">
        <v>30</v>
      </c>
      <c r="M1845" t="s">
        <v>22</v>
      </c>
    </row>
    <row r="1846" spans="1:13" x14ac:dyDescent="0.35">
      <c r="A1846" t="s">
        <v>3192</v>
      </c>
      <c r="B1846" s="9">
        <v>46045</v>
      </c>
      <c r="C1846" t="s">
        <v>1731</v>
      </c>
      <c r="D1846" t="s">
        <v>94</v>
      </c>
      <c r="E1846" t="s">
        <v>16</v>
      </c>
      <c r="F1846" t="s">
        <v>17</v>
      </c>
      <c r="G1846" t="s">
        <v>18</v>
      </c>
      <c r="H1846">
        <v>1</v>
      </c>
      <c r="I1846" t="s">
        <v>220</v>
      </c>
      <c r="J1846" t="s">
        <v>220</v>
      </c>
      <c r="K1846">
        <v>520</v>
      </c>
      <c r="L1846" t="s">
        <v>30</v>
      </c>
      <c r="M1846" t="s">
        <v>22</v>
      </c>
    </row>
    <row r="1847" spans="1:13" x14ac:dyDescent="0.35">
      <c r="A1847" t="s">
        <v>3193</v>
      </c>
      <c r="B1847" s="9">
        <v>46167</v>
      </c>
      <c r="C1847" t="s">
        <v>1640</v>
      </c>
      <c r="D1847" t="s">
        <v>40</v>
      </c>
      <c r="E1847" t="s">
        <v>67</v>
      </c>
      <c r="F1847" t="s">
        <v>26</v>
      </c>
      <c r="G1847" t="s">
        <v>27</v>
      </c>
      <c r="H1847">
        <v>1</v>
      </c>
      <c r="I1847" t="s">
        <v>68</v>
      </c>
      <c r="J1847" t="s">
        <v>68</v>
      </c>
      <c r="K1847" t="s">
        <v>29</v>
      </c>
      <c r="L1847" t="s">
        <v>30</v>
      </c>
      <c r="M1847" t="s">
        <v>22</v>
      </c>
    </row>
    <row r="1848" spans="1:13" x14ac:dyDescent="0.35">
      <c r="A1848" t="s">
        <v>3194</v>
      </c>
      <c r="B1848" s="9">
        <v>46153</v>
      </c>
      <c r="C1848" t="s">
        <v>858</v>
      </c>
      <c r="D1848" t="s">
        <v>53</v>
      </c>
      <c r="E1848" t="s">
        <v>41</v>
      </c>
      <c r="F1848" t="s">
        <v>74</v>
      </c>
      <c r="G1848" t="s">
        <v>75</v>
      </c>
      <c r="H1848">
        <v>2</v>
      </c>
      <c r="I1848" t="s">
        <v>220</v>
      </c>
      <c r="J1848" t="s">
        <v>221</v>
      </c>
      <c r="K1848" t="s">
        <v>76</v>
      </c>
      <c r="L1848" t="s">
        <v>30</v>
      </c>
      <c r="M1848" t="s">
        <v>22</v>
      </c>
    </row>
    <row r="1849" spans="1:13" x14ac:dyDescent="0.35">
      <c r="A1849" t="s">
        <v>3195</v>
      </c>
      <c r="B1849" s="9">
        <v>46076</v>
      </c>
      <c r="C1849" t="s">
        <v>1358</v>
      </c>
      <c r="D1849" t="s">
        <v>94</v>
      </c>
      <c r="E1849" t="s">
        <v>25</v>
      </c>
      <c r="F1849" t="s">
        <v>83</v>
      </c>
      <c r="G1849" t="s">
        <v>84</v>
      </c>
      <c r="H1849">
        <v>2</v>
      </c>
      <c r="I1849" t="s">
        <v>71</v>
      </c>
      <c r="J1849" t="s">
        <v>286</v>
      </c>
      <c r="K1849">
        <v>340</v>
      </c>
      <c r="L1849" t="s">
        <v>30</v>
      </c>
      <c r="M1849" t="s">
        <v>58</v>
      </c>
    </row>
    <row r="1850" spans="1:13" x14ac:dyDescent="0.35">
      <c r="A1850" t="s">
        <v>3196</v>
      </c>
      <c r="B1850" s="9">
        <v>46165</v>
      </c>
      <c r="C1850" t="s">
        <v>3197</v>
      </c>
      <c r="D1850" t="s">
        <v>99</v>
      </c>
      <c r="E1850" t="s">
        <v>41</v>
      </c>
      <c r="F1850" t="s">
        <v>35</v>
      </c>
      <c r="G1850" t="s">
        <v>36</v>
      </c>
      <c r="H1850">
        <v>1</v>
      </c>
      <c r="I1850" t="s">
        <v>79</v>
      </c>
      <c r="J1850" t="s">
        <v>79</v>
      </c>
      <c r="K1850" t="s">
        <v>37</v>
      </c>
      <c r="L1850" t="s">
        <v>30</v>
      </c>
      <c r="M1850" t="s">
        <v>22</v>
      </c>
    </row>
    <row r="1851" spans="1:13" x14ac:dyDescent="0.35">
      <c r="A1851" t="s">
        <v>3198</v>
      </c>
      <c r="B1851" s="9">
        <v>46079</v>
      </c>
      <c r="C1851" t="s">
        <v>2791</v>
      </c>
      <c r="D1851" t="s">
        <v>15</v>
      </c>
      <c r="E1851" t="s">
        <v>34</v>
      </c>
      <c r="F1851" t="s">
        <v>42</v>
      </c>
      <c r="G1851" t="s">
        <v>43</v>
      </c>
      <c r="H1851">
        <v>3</v>
      </c>
      <c r="I1851" t="s">
        <v>106</v>
      </c>
      <c r="J1851" t="s">
        <v>160</v>
      </c>
      <c r="K1851">
        <v>190</v>
      </c>
      <c r="L1851" t="s">
        <v>30</v>
      </c>
      <c r="M1851" t="s">
        <v>22</v>
      </c>
    </row>
    <row r="1852" spans="1:13" x14ac:dyDescent="0.35">
      <c r="A1852" t="s">
        <v>3199</v>
      </c>
      <c r="B1852" s="9">
        <v>46174</v>
      </c>
      <c r="C1852" t="s">
        <v>3200</v>
      </c>
      <c r="D1852" t="s">
        <v>61</v>
      </c>
      <c r="E1852" t="s">
        <v>41</v>
      </c>
      <c r="F1852" t="s">
        <v>47</v>
      </c>
      <c r="G1852" t="s">
        <v>48</v>
      </c>
      <c r="H1852">
        <v>2</v>
      </c>
      <c r="I1852" t="s">
        <v>102</v>
      </c>
      <c r="J1852" t="s">
        <v>181</v>
      </c>
      <c r="K1852" t="s">
        <v>50</v>
      </c>
      <c r="L1852" t="s">
        <v>30</v>
      </c>
      <c r="M1852" t="s">
        <v>22</v>
      </c>
    </row>
    <row r="1853" spans="1:13" x14ac:dyDescent="0.35">
      <c r="A1853" t="s">
        <v>3201</v>
      </c>
      <c r="B1853" s="9">
        <v>46133</v>
      </c>
      <c r="C1853" t="s">
        <v>1758</v>
      </c>
      <c r="D1853" t="s">
        <v>66</v>
      </c>
      <c r="E1853" t="s">
        <v>34</v>
      </c>
      <c r="F1853" t="s">
        <v>89</v>
      </c>
      <c r="G1853" t="s">
        <v>90</v>
      </c>
      <c r="H1853">
        <v>2</v>
      </c>
      <c r="I1853" t="s">
        <v>28</v>
      </c>
      <c r="J1853" t="s">
        <v>3188</v>
      </c>
      <c r="K1853" t="s">
        <v>108</v>
      </c>
      <c r="L1853" t="s">
        <v>21</v>
      </c>
      <c r="M1853" t="s">
        <v>22</v>
      </c>
    </row>
    <row r="1854" spans="1:13" x14ac:dyDescent="0.35">
      <c r="A1854" t="s">
        <v>3202</v>
      </c>
      <c r="B1854" s="9">
        <v>46053</v>
      </c>
      <c r="C1854" t="s">
        <v>1546</v>
      </c>
      <c r="D1854" t="s">
        <v>116</v>
      </c>
      <c r="E1854" t="s">
        <v>34</v>
      </c>
      <c r="F1854" t="s">
        <v>47</v>
      </c>
      <c r="G1854" t="s">
        <v>48</v>
      </c>
      <c r="H1854">
        <v>1</v>
      </c>
      <c r="I1854" t="s">
        <v>132</v>
      </c>
      <c r="J1854" t="s">
        <v>132</v>
      </c>
      <c r="K1854">
        <v>380</v>
      </c>
      <c r="L1854" t="s">
        <v>30</v>
      </c>
      <c r="M1854" t="s">
        <v>22</v>
      </c>
    </row>
    <row r="1855" spans="1:13" x14ac:dyDescent="0.35">
      <c r="A1855" t="s">
        <v>3203</v>
      </c>
      <c r="B1855" s="9">
        <v>46042</v>
      </c>
      <c r="C1855" t="s">
        <v>3204</v>
      </c>
      <c r="D1855" t="s">
        <v>61</v>
      </c>
      <c r="E1855" t="s">
        <v>34</v>
      </c>
      <c r="F1855" t="s">
        <v>74</v>
      </c>
      <c r="G1855" t="s">
        <v>75</v>
      </c>
      <c r="H1855">
        <v>2</v>
      </c>
      <c r="I1855" t="s">
        <v>79</v>
      </c>
      <c r="J1855" t="s">
        <v>143</v>
      </c>
      <c r="K1855">
        <v>410</v>
      </c>
      <c r="L1855" t="s">
        <v>21</v>
      </c>
      <c r="M1855" t="s">
        <v>22</v>
      </c>
    </row>
    <row r="1856" spans="1:13" x14ac:dyDescent="0.35">
      <c r="A1856" t="s">
        <v>1238</v>
      </c>
      <c r="B1856" s="9">
        <v>46170</v>
      </c>
      <c r="C1856" t="s">
        <v>1239</v>
      </c>
      <c r="D1856" t="s">
        <v>15</v>
      </c>
      <c r="E1856" t="s">
        <v>16</v>
      </c>
      <c r="F1856" t="s">
        <v>47</v>
      </c>
      <c r="G1856" t="s">
        <v>48</v>
      </c>
      <c r="H1856">
        <v>2</v>
      </c>
      <c r="I1856" t="s">
        <v>588</v>
      </c>
      <c r="J1856" t="s">
        <v>63</v>
      </c>
      <c r="K1856" t="s">
        <v>50</v>
      </c>
      <c r="L1856" t="s">
        <v>30</v>
      </c>
      <c r="M1856" t="s">
        <v>22</v>
      </c>
    </row>
    <row r="1857" spans="1:13" x14ac:dyDescent="0.35">
      <c r="A1857" t="s">
        <v>3205</v>
      </c>
      <c r="B1857" s="9">
        <v>46197</v>
      </c>
      <c r="C1857" t="s">
        <v>2912</v>
      </c>
      <c r="D1857" t="s">
        <v>99</v>
      </c>
      <c r="E1857" t="s">
        <v>34</v>
      </c>
      <c r="F1857" t="s">
        <v>83</v>
      </c>
      <c r="G1857" t="s">
        <v>84</v>
      </c>
      <c r="H1857">
        <v>2</v>
      </c>
      <c r="I1857" t="s">
        <v>136</v>
      </c>
      <c r="J1857" t="s">
        <v>164</v>
      </c>
      <c r="K1857" t="s">
        <v>103</v>
      </c>
      <c r="L1857" t="s">
        <v>30</v>
      </c>
      <c r="M1857" t="s">
        <v>22</v>
      </c>
    </row>
    <row r="1858" spans="1:13" x14ac:dyDescent="0.35">
      <c r="A1858" t="s">
        <v>3206</v>
      </c>
      <c r="B1858" s="9">
        <v>46208</v>
      </c>
      <c r="C1858" t="s">
        <v>3207</v>
      </c>
      <c r="D1858" t="s">
        <v>66</v>
      </c>
      <c r="E1858" t="s">
        <v>67</v>
      </c>
      <c r="F1858" t="s">
        <v>26</v>
      </c>
      <c r="G1858" t="s">
        <v>27</v>
      </c>
      <c r="H1858">
        <v>1</v>
      </c>
      <c r="I1858" t="s">
        <v>71</v>
      </c>
      <c r="J1858" t="s">
        <v>71</v>
      </c>
      <c r="K1858" t="s">
        <v>29</v>
      </c>
      <c r="L1858" t="s">
        <v>30</v>
      </c>
      <c r="M1858" t="s">
        <v>22</v>
      </c>
    </row>
    <row r="1859" spans="1:13" x14ac:dyDescent="0.35">
      <c r="A1859" t="s">
        <v>3208</v>
      </c>
      <c r="B1859" s="9">
        <v>46073</v>
      </c>
      <c r="C1859" t="s">
        <v>574</v>
      </c>
      <c r="D1859" t="s">
        <v>53</v>
      </c>
      <c r="E1859" t="s">
        <v>41</v>
      </c>
      <c r="F1859" t="s">
        <v>89</v>
      </c>
      <c r="G1859" t="s">
        <v>90</v>
      </c>
      <c r="H1859">
        <v>2</v>
      </c>
      <c r="I1859" t="s">
        <v>254</v>
      </c>
      <c r="J1859" t="s">
        <v>625</v>
      </c>
      <c r="K1859">
        <v>640</v>
      </c>
      <c r="L1859" t="s">
        <v>30</v>
      </c>
      <c r="M1859" t="s">
        <v>22</v>
      </c>
    </row>
    <row r="1860" spans="1:13" x14ac:dyDescent="0.35">
      <c r="A1860" t="s">
        <v>3209</v>
      </c>
      <c r="B1860" s="9">
        <v>46196</v>
      </c>
      <c r="C1860" t="s">
        <v>870</v>
      </c>
      <c r="D1860" t="s">
        <v>53</v>
      </c>
      <c r="E1860" t="s">
        <v>41</v>
      </c>
      <c r="F1860" t="s">
        <v>83</v>
      </c>
      <c r="G1860" t="s">
        <v>84</v>
      </c>
      <c r="H1860">
        <v>1</v>
      </c>
      <c r="I1860" t="s">
        <v>106</v>
      </c>
      <c r="J1860" t="s">
        <v>106</v>
      </c>
      <c r="K1860" t="s">
        <v>103</v>
      </c>
      <c r="L1860" t="s">
        <v>30</v>
      </c>
      <c r="M1860" t="s">
        <v>22</v>
      </c>
    </row>
    <row r="1861" spans="1:13" x14ac:dyDescent="0.35">
      <c r="A1861" t="s">
        <v>3210</v>
      </c>
      <c r="B1861" s="9">
        <v>46044</v>
      </c>
      <c r="C1861" t="s">
        <v>2464</v>
      </c>
      <c r="D1861" t="s">
        <v>33</v>
      </c>
      <c r="E1861" t="s">
        <v>41</v>
      </c>
      <c r="F1861" t="s">
        <v>26</v>
      </c>
      <c r="G1861" t="s">
        <v>27</v>
      </c>
      <c r="H1861">
        <v>1</v>
      </c>
      <c r="I1861" t="s">
        <v>62</v>
      </c>
      <c r="J1861" t="s">
        <v>62</v>
      </c>
      <c r="K1861">
        <v>520</v>
      </c>
      <c r="L1861" t="s">
        <v>21</v>
      </c>
      <c r="M1861" t="s">
        <v>58</v>
      </c>
    </row>
    <row r="1862" spans="1:13" x14ac:dyDescent="0.35">
      <c r="A1862" t="s">
        <v>869</v>
      </c>
      <c r="B1862" s="9">
        <v>46151</v>
      </c>
      <c r="C1862" t="s">
        <v>870</v>
      </c>
      <c r="D1862" t="s">
        <v>116</v>
      </c>
      <c r="E1862" t="s">
        <v>16</v>
      </c>
      <c r="F1862" t="s">
        <v>17</v>
      </c>
      <c r="G1862" t="s">
        <v>18</v>
      </c>
      <c r="H1862">
        <v>3</v>
      </c>
      <c r="I1862" t="s">
        <v>62</v>
      </c>
      <c r="J1862" t="s">
        <v>871</v>
      </c>
      <c r="K1862" t="s">
        <v>29</v>
      </c>
      <c r="L1862" t="s">
        <v>21</v>
      </c>
      <c r="M1862" t="s">
        <v>22</v>
      </c>
    </row>
    <row r="1863" spans="1:13" x14ac:dyDescent="0.35">
      <c r="A1863" t="s">
        <v>3211</v>
      </c>
      <c r="B1863" s="9">
        <v>46045</v>
      </c>
      <c r="C1863" t="s">
        <v>3212</v>
      </c>
      <c r="D1863" t="s">
        <v>94</v>
      </c>
      <c r="E1863" t="s">
        <v>34</v>
      </c>
      <c r="F1863" t="s">
        <v>17</v>
      </c>
      <c r="G1863" t="s">
        <v>18</v>
      </c>
      <c r="H1863">
        <v>2</v>
      </c>
      <c r="I1863" t="s">
        <v>102</v>
      </c>
      <c r="J1863" t="s">
        <v>181</v>
      </c>
      <c r="K1863">
        <v>520</v>
      </c>
      <c r="L1863" t="s">
        <v>30</v>
      </c>
      <c r="M1863" t="s">
        <v>22</v>
      </c>
    </row>
    <row r="1864" spans="1:13" x14ac:dyDescent="0.35">
      <c r="A1864" t="s">
        <v>3213</v>
      </c>
      <c r="B1864" s="9">
        <v>46120</v>
      </c>
      <c r="C1864" t="s">
        <v>1362</v>
      </c>
      <c r="D1864" t="s">
        <v>116</v>
      </c>
      <c r="E1864" t="s">
        <v>41</v>
      </c>
      <c r="F1864" t="s">
        <v>83</v>
      </c>
      <c r="G1864" t="s">
        <v>84</v>
      </c>
      <c r="H1864">
        <v>2</v>
      </c>
      <c r="I1864" t="s">
        <v>19</v>
      </c>
      <c r="J1864" t="s">
        <v>238</v>
      </c>
      <c r="K1864">
        <v>340</v>
      </c>
      <c r="L1864" t="s">
        <v>30</v>
      </c>
      <c r="M1864" t="s">
        <v>22</v>
      </c>
    </row>
    <row r="1865" spans="1:13" x14ac:dyDescent="0.35">
      <c r="A1865" t="s">
        <v>3214</v>
      </c>
      <c r="B1865" s="9">
        <v>46267</v>
      </c>
      <c r="C1865" t="s">
        <v>142</v>
      </c>
      <c r="D1865" t="s">
        <v>33</v>
      </c>
      <c r="E1865" t="s">
        <v>25</v>
      </c>
      <c r="F1865" t="s">
        <v>17</v>
      </c>
      <c r="G1865" t="s">
        <v>18</v>
      </c>
      <c r="H1865">
        <v>2</v>
      </c>
      <c r="I1865" t="s">
        <v>19</v>
      </c>
      <c r="J1865" t="s">
        <v>238</v>
      </c>
      <c r="K1865">
        <v>520</v>
      </c>
      <c r="L1865" t="s">
        <v>30</v>
      </c>
      <c r="M1865" t="s">
        <v>22</v>
      </c>
    </row>
    <row r="1866" spans="1:13" x14ac:dyDescent="0.35">
      <c r="A1866" t="s">
        <v>3215</v>
      </c>
      <c r="B1866" s="9">
        <v>46078</v>
      </c>
      <c r="C1866" t="s">
        <v>2995</v>
      </c>
      <c r="D1866" t="s">
        <v>94</v>
      </c>
      <c r="E1866" t="s">
        <v>25</v>
      </c>
      <c r="F1866" t="s">
        <v>42</v>
      </c>
      <c r="G1866" t="s">
        <v>43</v>
      </c>
      <c r="H1866">
        <v>2</v>
      </c>
      <c r="I1866" t="s">
        <v>56</v>
      </c>
      <c r="J1866" t="s">
        <v>193</v>
      </c>
      <c r="K1866">
        <v>190</v>
      </c>
      <c r="L1866" t="s">
        <v>30</v>
      </c>
      <c r="M1866" t="s">
        <v>22</v>
      </c>
    </row>
    <row r="1867" spans="1:13" x14ac:dyDescent="0.35">
      <c r="A1867" t="s">
        <v>3216</v>
      </c>
      <c r="B1867" s="9">
        <v>46150</v>
      </c>
      <c r="C1867" t="s">
        <v>1093</v>
      </c>
      <c r="D1867" t="s">
        <v>66</v>
      </c>
      <c r="E1867" t="s">
        <v>34</v>
      </c>
      <c r="F1867" t="s">
        <v>42</v>
      </c>
      <c r="G1867" t="s">
        <v>43</v>
      </c>
      <c r="H1867">
        <v>-1</v>
      </c>
      <c r="I1867" t="s">
        <v>68</v>
      </c>
      <c r="J1867" t="s">
        <v>1726</v>
      </c>
      <c r="K1867" t="s">
        <v>111</v>
      </c>
      <c r="L1867" t="s">
        <v>30</v>
      </c>
      <c r="M1867" t="s">
        <v>22</v>
      </c>
    </row>
    <row r="1868" spans="1:13" x14ac:dyDescent="0.35">
      <c r="A1868" t="s">
        <v>3217</v>
      </c>
      <c r="B1868" s="9">
        <v>46044</v>
      </c>
      <c r="C1868" t="s">
        <v>712</v>
      </c>
      <c r="D1868" t="s">
        <v>33</v>
      </c>
      <c r="E1868" t="s">
        <v>41</v>
      </c>
      <c r="F1868" t="s">
        <v>42</v>
      </c>
      <c r="G1868" t="s">
        <v>43</v>
      </c>
      <c r="H1868">
        <v>1</v>
      </c>
      <c r="I1868" t="s">
        <v>19</v>
      </c>
      <c r="J1868" t="s">
        <v>19</v>
      </c>
      <c r="K1868">
        <v>190</v>
      </c>
      <c r="L1868" t="s">
        <v>30</v>
      </c>
      <c r="M1868" t="s">
        <v>22</v>
      </c>
    </row>
    <row r="1869" spans="1:13" x14ac:dyDescent="0.35">
      <c r="A1869" t="s">
        <v>3218</v>
      </c>
      <c r="B1869" s="9">
        <v>46083</v>
      </c>
      <c r="C1869" t="s">
        <v>615</v>
      </c>
      <c r="D1869" t="s">
        <v>99</v>
      </c>
      <c r="E1869" t="s">
        <v>67</v>
      </c>
      <c r="F1869" t="s">
        <v>26</v>
      </c>
      <c r="G1869" t="s">
        <v>27</v>
      </c>
      <c r="H1869">
        <v>1</v>
      </c>
      <c r="I1869" t="s">
        <v>254</v>
      </c>
      <c r="J1869" t="s">
        <v>254</v>
      </c>
      <c r="K1869">
        <v>520</v>
      </c>
      <c r="L1869" t="s">
        <v>30</v>
      </c>
      <c r="M1869" t="s">
        <v>22</v>
      </c>
    </row>
    <row r="1870" spans="1:13" x14ac:dyDescent="0.35">
      <c r="A1870" t="s">
        <v>3219</v>
      </c>
      <c r="B1870" s="9">
        <v>46040</v>
      </c>
      <c r="C1870" t="s">
        <v>2126</v>
      </c>
      <c r="D1870" t="s">
        <v>66</v>
      </c>
      <c r="E1870" t="s">
        <v>67</v>
      </c>
      <c r="F1870" t="s">
        <v>42</v>
      </c>
      <c r="G1870" t="s">
        <v>43</v>
      </c>
      <c r="H1870">
        <v>2</v>
      </c>
      <c r="I1870" t="s">
        <v>56</v>
      </c>
      <c r="J1870" t="s">
        <v>193</v>
      </c>
      <c r="K1870">
        <v>190</v>
      </c>
      <c r="L1870" t="s">
        <v>30</v>
      </c>
      <c r="M1870" t="s">
        <v>58</v>
      </c>
    </row>
    <row r="1871" spans="1:13" x14ac:dyDescent="0.35">
      <c r="A1871" t="s">
        <v>3220</v>
      </c>
      <c r="B1871" s="9">
        <v>46083</v>
      </c>
      <c r="C1871" t="s">
        <v>3221</v>
      </c>
      <c r="D1871" t="s">
        <v>99</v>
      </c>
      <c r="E1871" t="s">
        <v>25</v>
      </c>
      <c r="F1871" t="s">
        <v>83</v>
      </c>
      <c r="G1871" t="s">
        <v>84</v>
      </c>
      <c r="H1871">
        <v>2</v>
      </c>
      <c r="I1871" t="s">
        <v>68</v>
      </c>
      <c r="J1871" t="s">
        <v>248</v>
      </c>
      <c r="K1871">
        <v>340</v>
      </c>
      <c r="L1871" t="s">
        <v>30</v>
      </c>
      <c r="M1871" t="s">
        <v>22</v>
      </c>
    </row>
    <row r="1872" spans="1:13" x14ac:dyDescent="0.35">
      <c r="A1872" t="s">
        <v>3222</v>
      </c>
      <c r="B1872" s="9">
        <v>46079</v>
      </c>
      <c r="C1872" t="s">
        <v>3223</v>
      </c>
      <c r="D1872" t="s">
        <v>99</v>
      </c>
      <c r="E1872" t="s">
        <v>34</v>
      </c>
      <c r="F1872" t="s">
        <v>35</v>
      </c>
      <c r="G1872" t="s">
        <v>36</v>
      </c>
      <c r="H1872">
        <v>1</v>
      </c>
      <c r="I1872" t="s">
        <v>62</v>
      </c>
      <c r="J1872" t="s">
        <v>62</v>
      </c>
      <c r="K1872">
        <v>85</v>
      </c>
      <c r="L1872" t="s">
        <v>30</v>
      </c>
      <c r="M1872" t="s">
        <v>22</v>
      </c>
    </row>
    <row r="1873" spans="1:13" x14ac:dyDescent="0.35">
      <c r="A1873" t="s">
        <v>3224</v>
      </c>
      <c r="B1873" s="9">
        <v>46071</v>
      </c>
      <c r="C1873" t="s">
        <v>2456</v>
      </c>
      <c r="D1873" t="s">
        <v>33</v>
      </c>
      <c r="E1873" t="s">
        <v>25</v>
      </c>
      <c r="F1873" t="s">
        <v>26</v>
      </c>
      <c r="G1873" t="s">
        <v>27</v>
      </c>
      <c r="H1873">
        <v>2</v>
      </c>
      <c r="I1873" t="s">
        <v>19</v>
      </c>
      <c r="J1873" t="s">
        <v>238</v>
      </c>
      <c r="K1873">
        <v>520</v>
      </c>
      <c r="L1873" t="s">
        <v>21</v>
      </c>
      <c r="M1873" t="s">
        <v>22</v>
      </c>
    </row>
    <row r="1874" spans="1:13" x14ac:dyDescent="0.35">
      <c r="A1874" t="s">
        <v>3225</v>
      </c>
      <c r="B1874" t="s">
        <v>168</v>
      </c>
      <c r="C1874" t="s">
        <v>2341</v>
      </c>
      <c r="D1874" t="s">
        <v>66</v>
      </c>
      <c r="E1874" t="s">
        <v>34</v>
      </c>
      <c r="F1874" t="s">
        <v>83</v>
      </c>
      <c r="G1874" t="s">
        <v>84</v>
      </c>
      <c r="H1874">
        <v>2</v>
      </c>
      <c r="I1874" t="s">
        <v>102</v>
      </c>
      <c r="J1874" t="s">
        <v>181</v>
      </c>
      <c r="K1874">
        <v>340</v>
      </c>
      <c r="L1874" t="s">
        <v>30</v>
      </c>
      <c r="M1874" t="s">
        <v>22</v>
      </c>
    </row>
    <row r="1875" spans="1:13" x14ac:dyDescent="0.35">
      <c r="A1875" t="s">
        <v>3226</v>
      </c>
      <c r="B1875" s="9">
        <v>46070</v>
      </c>
      <c r="C1875" t="s">
        <v>334</v>
      </c>
      <c r="D1875" t="s">
        <v>99</v>
      </c>
      <c r="E1875" t="s">
        <v>16</v>
      </c>
      <c r="F1875" t="s">
        <v>35</v>
      </c>
      <c r="G1875" t="s">
        <v>36</v>
      </c>
      <c r="H1875">
        <v>1</v>
      </c>
      <c r="I1875" t="s">
        <v>362</v>
      </c>
      <c r="J1875" t="s">
        <v>68</v>
      </c>
      <c r="K1875">
        <v>85</v>
      </c>
      <c r="L1875" t="s">
        <v>21</v>
      </c>
      <c r="M1875" t="s">
        <v>58</v>
      </c>
    </row>
    <row r="1876" spans="1:13" x14ac:dyDescent="0.35">
      <c r="A1876" t="s">
        <v>3227</v>
      </c>
      <c r="B1876" s="9">
        <v>46148</v>
      </c>
      <c r="C1876" t="s">
        <v>139</v>
      </c>
      <c r="D1876" t="s">
        <v>40</v>
      </c>
      <c r="E1876" t="s">
        <v>34</v>
      </c>
      <c r="F1876" t="s">
        <v>42</v>
      </c>
      <c r="G1876" t="s">
        <v>43</v>
      </c>
      <c r="H1876">
        <v>1</v>
      </c>
      <c r="I1876" t="s">
        <v>132</v>
      </c>
      <c r="J1876" t="s">
        <v>132</v>
      </c>
      <c r="K1876" t="s">
        <v>111</v>
      </c>
      <c r="L1876" t="s">
        <v>30</v>
      </c>
      <c r="M1876" t="s">
        <v>58</v>
      </c>
    </row>
    <row r="1877" spans="1:13" x14ac:dyDescent="0.35">
      <c r="A1877" t="s">
        <v>3228</v>
      </c>
      <c r="B1877" s="9">
        <v>46111</v>
      </c>
      <c r="C1877" t="s">
        <v>3229</v>
      </c>
      <c r="D1877" t="s">
        <v>40</v>
      </c>
      <c r="E1877" t="s">
        <v>25</v>
      </c>
      <c r="F1877" t="s">
        <v>89</v>
      </c>
      <c r="G1877" t="s">
        <v>90</v>
      </c>
      <c r="H1877">
        <v>2</v>
      </c>
      <c r="I1877" t="s">
        <v>102</v>
      </c>
      <c r="J1877" t="s">
        <v>181</v>
      </c>
      <c r="K1877">
        <v>640</v>
      </c>
      <c r="L1877" t="s">
        <v>21</v>
      </c>
      <c r="M1877" t="s">
        <v>22</v>
      </c>
    </row>
    <row r="1878" spans="1:13" x14ac:dyDescent="0.35">
      <c r="A1878" t="s">
        <v>3230</v>
      </c>
      <c r="B1878" t="s">
        <v>1268</v>
      </c>
      <c r="C1878" t="s">
        <v>455</v>
      </c>
      <c r="D1878" t="s">
        <v>66</v>
      </c>
      <c r="E1878" t="s">
        <v>16</v>
      </c>
      <c r="F1878" t="s">
        <v>83</v>
      </c>
      <c r="G1878" t="s">
        <v>84</v>
      </c>
      <c r="H1878">
        <v>2</v>
      </c>
      <c r="I1878" t="s">
        <v>106</v>
      </c>
      <c r="J1878" t="s">
        <v>107</v>
      </c>
      <c r="K1878">
        <v>340</v>
      </c>
      <c r="L1878" t="s">
        <v>30</v>
      </c>
      <c r="M1878" t="s">
        <v>22</v>
      </c>
    </row>
    <row r="1879" spans="1:13" x14ac:dyDescent="0.35">
      <c r="A1879" t="s">
        <v>3231</v>
      </c>
      <c r="B1879" s="9">
        <v>46190</v>
      </c>
      <c r="C1879" t="s">
        <v>1702</v>
      </c>
      <c r="D1879" t="s">
        <v>99</v>
      </c>
      <c r="E1879" t="s">
        <v>25</v>
      </c>
      <c r="F1879" t="s">
        <v>17</v>
      </c>
      <c r="G1879" t="s">
        <v>18</v>
      </c>
      <c r="H1879">
        <v>2</v>
      </c>
      <c r="I1879" t="s">
        <v>56</v>
      </c>
      <c r="J1879" t="s">
        <v>193</v>
      </c>
      <c r="K1879" t="s">
        <v>29</v>
      </c>
      <c r="L1879" t="s">
        <v>30</v>
      </c>
      <c r="M1879" t="s">
        <v>22</v>
      </c>
    </row>
    <row r="1880" spans="1:13" x14ac:dyDescent="0.35">
      <c r="A1880" t="s">
        <v>3232</v>
      </c>
      <c r="B1880" s="9">
        <v>46117</v>
      </c>
      <c r="C1880" t="s">
        <v>3233</v>
      </c>
      <c r="D1880" t="s">
        <v>53</v>
      </c>
      <c r="E1880" t="s">
        <v>41</v>
      </c>
      <c r="F1880" t="s">
        <v>17</v>
      </c>
      <c r="G1880" t="s">
        <v>18</v>
      </c>
      <c r="H1880">
        <v>1</v>
      </c>
      <c r="I1880" t="s">
        <v>170</v>
      </c>
      <c r="J1880" t="s">
        <v>170</v>
      </c>
      <c r="K1880">
        <v>520</v>
      </c>
      <c r="L1880" t="s">
        <v>30</v>
      </c>
      <c r="M1880" t="s">
        <v>22</v>
      </c>
    </row>
    <row r="1881" spans="1:13" x14ac:dyDescent="0.35">
      <c r="A1881" t="s">
        <v>3234</v>
      </c>
      <c r="B1881" s="9">
        <v>46072</v>
      </c>
      <c r="C1881" t="s">
        <v>1021</v>
      </c>
      <c r="D1881" t="s">
        <v>40</v>
      </c>
      <c r="E1881" t="s">
        <v>41</v>
      </c>
      <c r="F1881" t="s">
        <v>83</v>
      </c>
      <c r="G1881" t="s">
        <v>84</v>
      </c>
      <c r="H1881">
        <v>1</v>
      </c>
      <c r="I1881" t="s">
        <v>170</v>
      </c>
      <c r="J1881" t="s">
        <v>1704</v>
      </c>
      <c r="K1881">
        <v>340</v>
      </c>
      <c r="L1881" t="s">
        <v>30</v>
      </c>
      <c r="M1881" t="s">
        <v>22</v>
      </c>
    </row>
    <row r="1882" spans="1:13" x14ac:dyDescent="0.35">
      <c r="A1882" t="s">
        <v>3235</v>
      </c>
      <c r="B1882" s="9">
        <v>46041</v>
      </c>
      <c r="C1882" t="s">
        <v>2556</v>
      </c>
      <c r="D1882" t="s">
        <v>94</v>
      </c>
      <c r="E1882" t="s">
        <v>41</v>
      </c>
      <c r="F1882" t="s">
        <v>47</v>
      </c>
      <c r="G1882" t="s">
        <v>48</v>
      </c>
      <c r="H1882">
        <v>3</v>
      </c>
      <c r="I1882" t="s">
        <v>106</v>
      </c>
      <c r="J1882" t="s">
        <v>160</v>
      </c>
      <c r="K1882">
        <v>380</v>
      </c>
      <c r="L1882" t="s">
        <v>30</v>
      </c>
      <c r="M1882" t="s">
        <v>22</v>
      </c>
    </row>
    <row r="1883" spans="1:13" x14ac:dyDescent="0.35">
      <c r="A1883" t="s">
        <v>3236</v>
      </c>
      <c r="B1883" s="9">
        <v>46115</v>
      </c>
      <c r="C1883" t="s">
        <v>2715</v>
      </c>
      <c r="D1883" t="s">
        <v>116</v>
      </c>
      <c r="E1883" t="s">
        <v>25</v>
      </c>
      <c r="F1883" t="s">
        <v>83</v>
      </c>
      <c r="G1883" t="s">
        <v>84</v>
      </c>
      <c r="H1883">
        <v>1</v>
      </c>
      <c r="I1883" t="s">
        <v>19</v>
      </c>
      <c r="J1883" t="s">
        <v>19</v>
      </c>
      <c r="K1883">
        <v>340</v>
      </c>
      <c r="L1883" t="s">
        <v>30</v>
      </c>
      <c r="M1883" t="s">
        <v>22</v>
      </c>
    </row>
    <row r="1884" spans="1:13" x14ac:dyDescent="0.35">
      <c r="A1884" t="s">
        <v>3237</v>
      </c>
      <c r="B1884" s="9">
        <v>46327</v>
      </c>
      <c r="C1884" t="s">
        <v>2160</v>
      </c>
      <c r="D1884" t="s">
        <v>40</v>
      </c>
      <c r="E1884" t="s">
        <v>67</v>
      </c>
      <c r="F1884" t="s">
        <v>17</v>
      </c>
      <c r="G1884" t="s">
        <v>18</v>
      </c>
      <c r="H1884">
        <v>1</v>
      </c>
      <c r="I1884" t="s">
        <v>68</v>
      </c>
      <c r="J1884" t="s">
        <v>68</v>
      </c>
      <c r="K1884">
        <v>520</v>
      </c>
      <c r="L1884" t="s">
        <v>30</v>
      </c>
      <c r="M1884" t="s">
        <v>58</v>
      </c>
    </row>
    <row r="1885" spans="1:13" x14ac:dyDescent="0.35">
      <c r="A1885" t="s">
        <v>3238</v>
      </c>
      <c r="B1885" s="9">
        <v>46104</v>
      </c>
      <c r="C1885" t="s">
        <v>877</v>
      </c>
      <c r="D1885" t="s">
        <v>66</v>
      </c>
      <c r="E1885" t="s">
        <v>16</v>
      </c>
      <c r="F1885" t="s">
        <v>35</v>
      </c>
      <c r="G1885" t="s">
        <v>36</v>
      </c>
      <c r="H1885">
        <v>3</v>
      </c>
      <c r="I1885" t="s">
        <v>102</v>
      </c>
      <c r="J1885" t="s">
        <v>127</v>
      </c>
      <c r="K1885">
        <v>85</v>
      </c>
      <c r="L1885" t="s">
        <v>21</v>
      </c>
      <c r="M1885" t="s">
        <v>58</v>
      </c>
    </row>
    <row r="1886" spans="1:13" x14ac:dyDescent="0.35">
      <c r="A1886" t="s">
        <v>3239</v>
      </c>
      <c r="B1886" t="s">
        <v>236</v>
      </c>
      <c r="C1886" t="s">
        <v>3018</v>
      </c>
      <c r="D1886" t="s">
        <v>66</v>
      </c>
      <c r="E1886" t="s">
        <v>16</v>
      </c>
      <c r="F1886" t="s">
        <v>83</v>
      </c>
      <c r="G1886" t="s">
        <v>84</v>
      </c>
      <c r="H1886">
        <v>1</v>
      </c>
      <c r="I1886" t="s">
        <v>19</v>
      </c>
      <c r="J1886" t="s">
        <v>19</v>
      </c>
      <c r="K1886">
        <v>340</v>
      </c>
      <c r="L1886" t="s">
        <v>30</v>
      </c>
      <c r="M1886" t="s">
        <v>58</v>
      </c>
    </row>
    <row r="1887" spans="1:13" x14ac:dyDescent="0.35">
      <c r="A1887" t="s">
        <v>3240</v>
      </c>
      <c r="B1887" s="9">
        <v>46113</v>
      </c>
      <c r="C1887" t="s">
        <v>2730</v>
      </c>
      <c r="D1887" t="s">
        <v>116</v>
      </c>
      <c r="E1887" t="s">
        <v>41</v>
      </c>
      <c r="F1887" t="s">
        <v>47</v>
      </c>
      <c r="G1887" t="s">
        <v>48</v>
      </c>
      <c r="H1887">
        <v>-1</v>
      </c>
      <c r="I1887" t="s">
        <v>588</v>
      </c>
      <c r="J1887" t="s">
        <v>3241</v>
      </c>
      <c r="K1887">
        <v>380</v>
      </c>
      <c r="L1887" t="s">
        <v>30</v>
      </c>
      <c r="M1887" t="s">
        <v>22</v>
      </c>
    </row>
    <row r="1888" spans="1:13" x14ac:dyDescent="0.35">
      <c r="A1888" t="s">
        <v>3242</v>
      </c>
      <c r="B1888" s="9">
        <v>46172</v>
      </c>
      <c r="C1888" t="s">
        <v>2983</v>
      </c>
      <c r="D1888" t="s">
        <v>99</v>
      </c>
      <c r="E1888" t="s">
        <v>67</v>
      </c>
      <c r="F1888" t="s">
        <v>89</v>
      </c>
      <c r="G1888" t="s">
        <v>90</v>
      </c>
      <c r="H1888">
        <v>1</v>
      </c>
      <c r="I1888" t="s">
        <v>28</v>
      </c>
      <c r="J1888" t="s">
        <v>28</v>
      </c>
      <c r="K1888" t="s">
        <v>108</v>
      </c>
      <c r="L1888" t="s">
        <v>30</v>
      </c>
      <c r="M1888" t="s">
        <v>58</v>
      </c>
    </row>
    <row r="1889" spans="1:13" x14ac:dyDescent="0.35">
      <c r="A1889" t="s">
        <v>3243</v>
      </c>
      <c r="B1889" s="9">
        <v>46182</v>
      </c>
      <c r="C1889" t="s">
        <v>3244</v>
      </c>
      <c r="D1889" t="s">
        <v>46</v>
      </c>
      <c r="E1889" t="s">
        <v>25</v>
      </c>
      <c r="F1889" t="s">
        <v>89</v>
      </c>
      <c r="G1889" t="s">
        <v>90</v>
      </c>
      <c r="H1889">
        <v>1</v>
      </c>
      <c r="I1889" t="s">
        <v>79</v>
      </c>
      <c r="J1889" t="s">
        <v>1171</v>
      </c>
      <c r="K1889" t="s">
        <v>108</v>
      </c>
      <c r="L1889" t="s">
        <v>30</v>
      </c>
      <c r="M1889" t="s">
        <v>22</v>
      </c>
    </row>
    <row r="1890" spans="1:13" x14ac:dyDescent="0.35">
      <c r="A1890" t="s">
        <v>3245</v>
      </c>
      <c r="B1890" s="9">
        <v>46081</v>
      </c>
      <c r="C1890" t="s">
        <v>291</v>
      </c>
      <c r="D1890" t="s">
        <v>94</v>
      </c>
      <c r="E1890" t="s">
        <v>41</v>
      </c>
      <c r="F1890" t="s">
        <v>47</v>
      </c>
      <c r="G1890" t="s">
        <v>48</v>
      </c>
      <c r="H1890">
        <v>1</v>
      </c>
      <c r="I1890" t="s">
        <v>132</v>
      </c>
      <c r="J1890" t="s">
        <v>132</v>
      </c>
      <c r="K1890">
        <v>380</v>
      </c>
      <c r="L1890" t="s">
        <v>30</v>
      </c>
      <c r="M1890" t="s">
        <v>22</v>
      </c>
    </row>
    <row r="1891" spans="1:13" x14ac:dyDescent="0.35">
      <c r="A1891" t="s">
        <v>3246</v>
      </c>
      <c r="B1891" t="s">
        <v>2018</v>
      </c>
      <c r="C1891" t="s">
        <v>3247</v>
      </c>
      <c r="D1891" t="s">
        <v>61</v>
      </c>
      <c r="E1891" t="s">
        <v>41</v>
      </c>
      <c r="F1891" t="s">
        <v>42</v>
      </c>
      <c r="G1891" t="s">
        <v>43</v>
      </c>
      <c r="H1891">
        <v>1</v>
      </c>
      <c r="I1891" t="s">
        <v>85</v>
      </c>
      <c r="J1891" t="s">
        <v>85</v>
      </c>
      <c r="K1891">
        <v>190</v>
      </c>
      <c r="L1891" t="s">
        <v>21</v>
      </c>
      <c r="M1891" t="s">
        <v>22</v>
      </c>
    </row>
    <row r="1892" spans="1:13" x14ac:dyDescent="0.35">
      <c r="A1892" t="s">
        <v>3248</v>
      </c>
      <c r="B1892" s="9">
        <v>46093</v>
      </c>
      <c r="C1892" t="s">
        <v>3249</v>
      </c>
      <c r="D1892" t="s">
        <v>94</v>
      </c>
      <c r="E1892" t="s">
        <v>16</v>
      </c>
      <c r="F1892" t="s">
        <v>89</v>
      </c>
      <c r="G1892" t="s">
        <v>90</v>
      </c>
      <c r="H1892">
        <v>1</v>
      </c>
      <c r="I1892" t="s">
        <v>993</v>
      </c>
      <c r="J1892" t="s">
        <v>254</v>
      </c>
      <c r="K1892">
        <v>640</v>
      </c>
      <c r="L1892" t="s">
        <v>30</v>
      </c>
      <c r="M1892" t="s">
        <v>22</v>
      </c>
    </row>
    <row r="1893" spans="1:13" x14ac:dyDescent="0.35">
      <c r="A1893" t="s">
        <v>3250</v>
      </c>
      <c r="B1893" s="9">
        <v>46188</v>
      </c>
      <c r="C1893" t="s">
        <v>3251</v>
      </c>
      <c r="D1893" t="s">
        <v>33</v>
      </c>
      <c r="E1893" t="s">
        <v>67</v>
      </c>
      <c r="F1893" t="s">
        <v>89</v>
      </c>
      <c r="G1893" t="s">
        <v>90</v>
      </c>
      <c r="H1893">
        <v>1</v>
      </c>
      <c r="I1893" t="s">
        <v>254</v>
      </c>
      <c r="J1893" t="s">
        <v>254</v>
      </c>
      <c r="K1893" t="s">
        <v>108</v>
      </c>
      <c r="L1893" t="s">
        <v>30</v>
      </c>
      <c r="M1893" t="s">
        <v>22</v>
      </c>
    </row>
    <row r="1894" spans="1:13" x14ac:dyDescent="0.35">
      <c r="A1894" t="s">
        <v>3252</v>
      </c>
      <c r="B1894" s="9">
        <v>46172</v>
      </c>
      <c r="C1894" t="s">
        <v>1351</v>
      </c>
      <c r="D1894" t="s">
        <v>116</v>
      </c>
      <c r="E1894" t="s">
        <v>41</v>
      </c>
      <c r="F1894" t="s">
        <v>17</v>
      </c>
      <c r="G1894" t="s">
        <v>18</v>
      </c>
      <c r="H1894">
        <v>2</v>
      </c>
      <c r="I1894" t="s">
        <v>56</v>
      </c>
      <c r="J1894" t="s">
        <v>697</v>
      </c>
      <c r="K1894" t="s">
        <v>29</v>
      </c>
      <c r="L1894" t="s">
        <v>21</v>
      </c>
      <c r="M1894" t="s">
        <v>22</v>
      </c>
    </row>
    <row r="1895" spans="1:13" x14ac:dyDescent="0.35">
      <c r="A1895" t="s">
        <v>3253</v>
      </c>
      <c r="B1895" s="9">
        <v>46122</v>
      </c>
      <c r="C1895" t="s">
        <v>2160</v>
      </c>
      <c r="D1895" t="s">
        <v>53</v>
      </c>
      <c r="E1895" t="s">
        <v>34</v>
      </c>
      <c r="F1895" t="s">
        <v>26</v>
      </c>
      <c r="G1895" t="s">
        <v>27</v>
      </c>
      <c r="H1895">
        <v>1</v>
      </c>
      <c r="I1895" t="s">
        <v>132</v>
      </c>
      <c r="J1895" t="s">
        <v>132</v>
      </c>
      <c r="K1895">
        <v>520</v>
      </c>
      <c r="L1895" t="s">
        <v>30</v>
      </c>
      <c r="M1895" t="s">
        <v>22</v>
      </c>
    </row>
    <row r="1896" spans="1:13" x14ac:dyDescent="0.35">
      <c r="A1896" t="s">
        <v>3254</v>
      </c>
      <c r="B1896" s="9">
        <v>46138</v>
      </c>
      <c r="C1896" t="s">
        <v>2660</v>
      </c>
      <c r="D1896" t="s">
        <v>116</v>
      </c>
      <c r="E1896" t="s">
        <v>41</v>
      </c>
      <c r="F1896" t="s">
        <v>42</v>
      </c>
      <c r="G1896" t="s">
        <v>43</v>
      </c>
      <c r="H1896">
        <v>2</v>
      </c>
      <c r="I1896" t="s">
        <v>2655</v>
      </c>
      <c r="J1896" t="s">
        <v>193</v>
      </c>
      <c r="K1896" t="s">
        <v>111</v>
      </c>
      <c r="L1896" t="s">
        <v>30</v>
      </c>
      <c r="M1896" t="s">
        <v>22</v>
      </c>
    </row>
    <row r="1897" spans="1:13" x14ac:dyDescent="0.35">
      <c r="A1897" t="s">
        <v>3255</v>
      </c>
      <c r="B1897" s="9">
        <v>46149</v>
      </c>
      <c r="C1897" t="s">
        <v>1528</v>
      </c>
      <c r="D1897" t="s">
        <v>94</v>
      </c>
      <c r="E1897" t="s">
        <v>34</v>
      </c>
      <c r="F1897" t="s">
        <v>47</v>
      </c>
      <c r="G1897" t="s">
        <v>48</v>
      </c>
      <c r="H1897">
        <v>3</v>
      </c>
      <c r="I1897" t="s">
        <v>220</v>
      </c>
      <c r="J1897" t="s">
        <v>494</v>
      </c>
      <c r="K1897" t="s">
        <v>50</v>
      </c>
      <c r="L1897" t="s">
        <v>30</v>
      </c>
      <c r="M1897" t="s">
        <v>22</v>
      </c>
    </row>
    <row r="1898" spans="1:13" x14ac:dyDescent="0.35">
      <c r="A1898" t="s">
        <v>3256</v>
      </c>
      <c r="B1898" s="9">
        <v>46199</v>
      </c>
      <c r="C1898" t="s">
        <v>3257</v>
      </c>
      <c r="D1898" t="s">
        <v>15</v>
      </c>
      <c r="E1898" t="s">
        <v>67</v>
      </c>
      <c r="F1898" t="s">
        <v>74</v>
      </c>
      <c r="G1898" t="s">
        <v>75</v>
      </c>
      <c r="H1898">
        <v>1</v>
      </c>
      <c r="I1898" t="s">
        <v>68</v>
      </c>
      <c r="J1898" t="s">
        <v>68</v>
      </c>
      <c r="K1898" t="s">
        <v>76</v>
      </c>
      <c r="L1898" t="s">
        <v>30</v>
      </c>
      <c r="M1898" t="s">
        <v>58</v>
      </c>
    </row>
    <row r="1899" spans="1:13" x14ac:dyDescent="0.35">
      <c r="A1899" t="s">
        <v>3258</v>
      </c>
      <c r="B1899" s="9">
        <v>46144</v>
      </c>
      <c r="C1899" t="s">
        <v>1204</v>
      </c>
      <c r="D1899" t="s">
        <v>61</v>
      </c>
      <c r="E1899" t="s">
        <v>34</v>
      </c>
      <c r="F1899" t="s">
        <v>47</v>
      </c>
      <c r="G1899" t="s">
        <v>48</v>
      </c>
      <c r="H1899">
        <v>1</v>
      </c>
      <c r="I1899" t="s">
        <v>102</v>
      </c>
      <c r="J1899" t="s">
        <v>102</v>
      </c>
      <c r="K1899" t="s">
        <v>50</v>
      </c>
      <c r="L1899" t="s">
        <v>21</v>
      </c>
      <c r="M1899" t="s">
        <v>22</v>
      </c>
    </row>
    <row r="1900" spans="1:13" x14ac:dyDescent="0.35">
      <c r="A1900" t="s">
        <v>3259</v>
      </c>
      <c r="B1900" s="9">
        <v>46056</v>
      </c>
      <c r="C1900" t="s">
        <v>1379</v>
      </c>
      <c r="D1900" t="s">
        <v>15</v>
      </c>
      <c r="E1900" t="s">
        <v>25</v>
      </c>
      <c r="F1900" t="s">
        <v>74</v>
      </c>
      <c r="G1900" t="s">
        <v>75</v>
      </c>
      <c r="H1900">
        <v>1</v>
      </c>
      <c r="I1900" t="s">
        <v>68</v>
      </c>
      <c r="J1900" t="s">
        <v>68</v>
      </c>
      <c r="K1900">
        <v>410</v>
      </c>
      <c r="L1900" t="s">
        <v>30</v>
      </c>
      <c r="M1900" t="s">
        <v>22</v>
      </c>
    </row>
    <row r="1901" spans="1:13" x14ac:dyDescent="0.35">
      <c r="A1901" t="s">
        <v>3260</v>
      </c>
      <c r="B1901" s="9">
        <v>46041</v>
      </c>
      <c r="C1901" t="s">
        <v>2850</v>
      </c>
      <c r="D1901" t="s">
        <v>66</v>
      </c>
      <c r="E1901" t="s">
        <v>34</v>
      </c>
      <c r="F1901" t="s">
        <v>35</v>
      </c>
      <c r="G1901" t="s">
        <v>36</v>
      </c>
      <c r="H1901">
        <v>1</v>
      </c>
      <c r="I1901" t="s">
        <v>56</v>
      </c>
      <c r="J1901" t="s">
        <v>56</v>
      </c>
      <c r="K1901">
        <v>85</v>
      </c>
      <c r="L1901" t="s">
        <v>30</v>
      </c>
      <c r="M1901" t="s">
        <v>22</v>
      </c>
    </row>
    <row r="1902" spans="1:13" x14ac:dyDescent="0.35">
      <c r="A1902" t="s">
        <v>3261</v>
      </c>
      <c r="B1902" s="9">
        <v>46065</v>
      </c>
      <c r="C1902" t="s">
        <v>2110</v>
      </c>
      <c r="D1902" t="s">
        <v>94</v>
      </c>
      <c r="E1902" t="s">
        <v>41</v>
      </c>
      <c r="F1902" t="s">
        <v>74</v>
      </c>
      <c r="G1902" t="s">
        <v>75</v>
      </c>
      <c r="H1902">
        <v>1</v>
      </c>
      <c r="I1902" t="s">
        <v>56</v>
      </c>
      <c r="J1902" t="s">
        <v>56</v>
      </c>
      <c r="K1902">
        <v>410</v>
      </c>
      <c r="L1902" t="s">
        <v>21</v>
      </c>
      <c r="M1902" t="s">
        <v>22</v>
      </c>
    </row>
    <row r="1903" spans="1:13" x14ac:dyDescent="0.35">
      <c r="A1903" t="s">
        <v>3262</v>
      </c>
      <c r="B1903" s="9">
        <v>46059</v>
      </c>
      <c r="C1903" t="s">
        <v>3024</v>
      </c>
      <c r="D1903" t="s">
        <v>116</v>
      </c>
      <c r="E1903" t="s">
        <v>16</v>
      </c>
      <c r="F1903" t="s">
        <v>26</v>
      </c>
      <c r="G1903" t="s">
        <v>27</v>
      </c>
      <c r="H1903">
        <v>1</v>
      </c>
      <c r="I1903" t="s">
        <v>220</v>
      </c>
      <c r="J1903" t="s">
        <v>220</v>
      </c>
      <c r="K1903">
        <v>520</v>
      </c>
      <c r="L1903" t="s">
        <v>30</v>
      </c>
      <c r="M1903" t="s">
        <v>22</v>
      </c>
    </row>
    <row r="1904" spans="1:13" x14ac:dyDescent="0.35">
      <c r="A1904" t="s">
        <v>3263</v>
      </c>
      <c r="B1904" s="9">
        <v>46047</v>
      </c>
      <c r="C1904" t="s">
        <v>1914</v>
      </c>
      <c r="D1904" t="s">
        <v>94</v>
      </c>
      <c r="E1904" t="s">
        <v>34</v>
      </c>
      <c r="F1904" t="s">
        <v>47</v>
      </c>
      <c r="G1904" t="s">
        <v>48</v>
      </c>
      <c r="H1904">
        <v>1</v>
      </c>
      <c r="I1904" t="s">
        <v>220</v>
      </c>
      <c r="J1904" t="s">
        <v>220</v>
      </c>
      <c r="K1904">
        <v>380</v>
      </c>
      <c r="L1904" t="s">
        <v>30</v>
      </c>
      <c r="M1904" t="s">
        <v>22</v>
      </c>
    </row>
    <row r="1905" spans="1:13" x14ac:dyDescent="0.35">
      <c r="A1905" t="s">
        <v>3264</v>
      </c>
      <c r="B1905" s="9">
        <v>46207</v>
      </c>
      <c r="C1905" t="s">
        <v>3149</v>
      </c>
      <c r="D1905" t="s">
        <v>61</v>
      </c>
      <c r="E1905" t="s">
        <v>34</v>
      </c>
      <c r="F1905" t="s">
        <v>89</v>
      </c>
      <c r="G1905" t="s">
        <v>90</v>
      </c>
      <c r="H1905">
        <v>-2</v>
      </c>
      <c r="I1905" t="s">
        <v>71</v>
      </c>
      <c r="J1905" t="s">
        <v>605</v>
      </c>
      <c r="K1905">
        <v>640</v>
      </c>
      <c r="L1905" t="s">
        <v>30</v>
      </c>
      <c r="M1905" t="s">
        <v>22</v>
      </c>
    </row>
    <row r="1906" spans="1:13" x14ac:dyDescent="0.35">
      <c r="A1906" t="s">
        <v>3265</v>
      </c>
      <c r="B1906" s="9">
        <v>46127</v>
      </c>
      <c r="C1906" t="s">
        <v>1128</v>
      </c>
      <c r="D1906" t="s">
        <v>61</v>
      </c>
      <c r="E1906" t="s">
        <v>16</v>
      </c>
      <c r="F1906" t="s">
        <v>47</v>
      </c>
      <c r="G1906" t="s">
        <v>48</v>
      </c>
      <c r="H1906">
        <v>2</v>
      </c>
      <c r="I1906" t="s">
        <v>254</v>
      </c>
      <c r="J1906" t="s">
        <v>156</v>
      </c>
      <c r="K1906">
        <v>380</v>
      </c>
      <c r="L1906" t="s">
        <v>30</v>
      </c>
      <c r="M1906" t="s">
        <v>22</v>
      </c>
    </row>
    <row r="1907" spans="1:13" x14ac:dyDescent="0.35">
      <c r="A1907" t="s">
        <v>3266</v>
      </c>
      <c r="B1907" s="9">
        <v>46078</v>
      </c>
      <c r="C1907" t="s">
        <v>2054</v>
      </c>
      <c r="D1907" t="s">
        <v>116</v>
      </c>
      <c r="E1907" t="s">
        <v>25</v>
      </c>
      <c r="F1907" t="s">
        <v>89</v>
      </c>
      <c r="G1907" t="s">
        <v>90</v>
      </c>
      <c r="H1907">
        <v>1</v>
      </c>
      <c r="I1907" t="s">
        <v>79</v>
      </c>
      <c r="J1907" t="s">
        <v>79</v>
      </c>
      <c r="K1907">
        <v>640</v>
      </c>
      <c r="L1907" t="s">
        <v>30</v>
      </c>
      <c r="M1907" t="s">
        <v>22</v>
      </c>
    </row>
    <row r="1908" spans="1:13" x14ac:dyDescent="0.35">
      <c r="A1908" t="s">
        <v>3267</v>
      </c>
      <c r="B1908" s="9">
        <v>46083</v>
      </c>
      <c r="C1908" t="s">
        <v>2269</v>
      </c>
      <c r="D1908" t="s">
        <v>15</v>
      </c>
      <c r="E1908" t="s">
        <v>67</v>
      </c>
      <c r="F1908" t="s">
        <v>74</v>
      </c>
      <c r="G1908" t="s">
        <v>75</v>
      </c>
      <c r="H1908">
        <v>1</v>
      </c>
      <c r="I1908" t="s">
        <v>106</v>
      </c>
      <c r="J1908" t="s">
        <v>1270</v>
      </c>
      <c r="K1908">
        <v>410</v>
      </c>
      <c r="L1908" t="s">
        <v>30</v>
      </c>
      <c r="M1908" t="s">
        <v>58</v>
      </c>
    </row>
    <row r="1909" spans="1:13" x14ac:dyDescent="0.35">
      <c r="A1909" t="s">
        <v>3268</v>
      </c>
      <c r="B1909" s="9">
        <v>46053</v>
      </c>
      <c r="C1909" t="s">
        <v>1764</v>
      </c>
      <c r="D1909" t="s">
        <v>99</v>
      </c>
      <c r="E1909" t="s">
        <v>34</v>
      </c>
      <c r="F1909" t="s">
        <v>74</v>
      </c>
      <c r="G1909" t="s">
        <v>75</v>
      </c>
      <c r="H1909">
        <v>1</v>
      </c>
      <c r="I1909" t="s">
        <v>136</v>
      </c>
      <c r="J1909" t="s">
        <v>2353</v>
      </c>
      <c r="K1909">
        <v>410</v>
      </c>
      <c r="L1909" t="s">
        <v>30</v>
      </c>
      <c r="M1909" t="s">
        <v>22</v>
      </c>
    </row>
    <row r="1910" spans="1:13" x14ac:dyDescent="0.35">
      <c r="A1910" t="s">
        <v>3269</v>
      </c>
      <c r="B1910" s="9">
        <v>46206</v>
      </c>
      <c r="C1910" t="s">
        <v>3270</v>
      </c>
      <c r="D1910" t="s">
        <v>94</v>
      </c>
      <c r="E1910" t="s">
        <v>25</v>
      </c>
      <c r="F1910" t="s">
        <v>35</v>
      </c>
      <c r="G1910" t="s">
        <v>36</v>
      </c>
      <c r="H1910">
        <v>1</v>
      </c>
      <c r="I1910" t="s">
        <v>62</v>
      </c>
      <c r="J1910" t="s">
        <v>62</v>
      </c>
      <c r="K1910" t="s">
        <v>37</v>
      </c>
      <c r="L1910" t="s">
        <v>30</v>
      </c>
      <c r="M1910" t="s">
        <v>58</v>
      </c>
    </row>
    <row r="1911" spans="1:13" x14ac:dyDescent="0.35">
      <c r="A1911" t="s">
        <v>3271</v>
      </c>
      <c r="B1911" s="9">
        <v>46157</v>
      </c>
      <c r="C1911" t="s">
        <v>3186</v>
      </c>
      <c r="D1911" t="s">
        <v>33</v>
      </c>
      <c r="E1911" t="s">
        <v>16</v>
      </c>
      <c r="F1911" t="s">
        <v>89</v>
      </c>
      <c r="G1911" t="s">
        <v>90</v>
      </c>
      <c r="H1911">
        <v>2</v>
      </c>
      <c r="I1911" t="s">
        <v>102</v>
      </c>
      <c r="J1911" t="s">
        <v>181</v>
      </c>
      <c r="K1911" t="s">
        <v>108</v>
      </c>
      <c r="L1911" t="s">
        <v>30</v>
      </c>
      <c r="M1911" t="s">
        <v>22</v>
      </c>
    </row>
    <row r="1912" spans="1:13" x14ac:dyDescent="0.35">
      <c r="A1912" t="s">
        <v>3272</v>
      </c>
      <c r="B1912" s="9">
        <v>46145</v>
      </c>
      <c r="C1912" t="s">
        <v>3082</v>
      </c>
      <c r="D1912" t="s">
        <v>40</v>
      </c>
      <c r="E1912" t="s">
        <v>16</v>
      </c>
      <c r="F1912" t="s">
        <v>42</v>
      </c>
      <c r="G1912" t="s">
        <v>43</v>
      </c>
      <c r="H1912">
        <v>3</v>
      </c>
      <c r="I1912" t="s">
        <v>102</v>
      </c>
      <c r="J1912" t="s">
        <v>127</v>
      </c>
      <c r="K1912" t="s">
        <v>111</v>
      </c>
      <c r="L1912" t="s">
        <v>30</v>
      </c>
      <c r="M1912" t="s">
        <v>22</v>
      </c>
    </row>
    <row r="1913" spans="1:13" x14ac:dyDescent="0.35">
      <c r="A1913" t="s">
        <v>3273</v>
      </c>
      <c r="B1913" s="9">
        <v>46157</v>
      </c>
      <c r="C1913" t="s">
        <v>1784</v>
      </c>
      <c r="D1913" t="s">
        <v>15</v>
      </c>
      <c r="E1913" t="s">
        <v>67</v>
      </c>
      <c r="F1913" t="s">
        <v>89</v>
      </c>
      <c r="G1913" t="s">
        <v>90</v>
      </c>
      <c r="H1913">
        <v>1</v>
      </c>
      <c r="I1913" t="s">
        <v>132</v>
      </c>
      <c r="J1913" t="s">
        <v>132</v>
      </c>
      <c r="K1913" t="s">
        <v>108</v>
      </c>
      <c r="L1913" t="s">
        <v>30</v>
      </c>
      <c r="M1913" t="s">
        <v>22</v>
      </c>
    </row>
    <row r="1914" spans="1:13" x14ac:dyDescent="0.35">
      <c r="A1914" t="s">
        <v>3274</v>
      </c>
      <c r="B1914" s="9">
        <v>46054</v>
      </c>
      <c r="C1914" t="s">
        <v>2269</v>
      </c>
      <c r="D1914" t="s">
        <v>61</v>
      </c>
      <c r="E1914" t="s">
        <v>41</v>
      </c>
      <c r="F1914" t="s">
        <v>74</v>
      </c>
      <c r="G1914" t="s">
        <v>75</v>
      </c>
      <c r="H1914">
        <v>3</v>
      </c>
      <c r="I1914" t="s">
        <v>136</v>
      </c>
      <c r="J1914" t="s">
        <v>137</v>
      </c>
      <c r="K1914">
        <v>410</v>
      </c>
      <c r="L1914" t="s">
        <v>30</v>
      </c>
      <c r="M1914" t="s">
        <v>58</v>
      </c>
    </row>
    <row r="1915" spans="1:13" x14ac:dyDescent="0.35">
      <c r="A1915" t="s">
        <v>3275</v>
      </c>
      <c r="B1915" s="9">
        <v>46166</v>
      </c>
      <c r="C1915" t="s">
        <v>142</v>
      </c>
      <c r="D1915" t="s">
        <v>99</v>
      </c>
      <c r="E1915" t="s">
        <v>67</v>
      </c>
      <c r="F1915" t="s">
        <v>42</v>
      </c>
      <c r="G1915" t="s">
        <v>43</v>
      </c>
      <c r="H1915">
        <v>3</v>
      </c>
      <c r="I1915" t="s">
        <v>254</v>
      </c>
      <c r="J1915" t="s">
        <v>390</v>
      </c>
      <c r="K1915" t="s">
        <v>111</v>
      </c>
      <c r="L1915" t="s">
        <v>21</v>
      </c>
      <c r="M1915" t="s">
        <v>22</v>
      </c>
    </row>
    <row r="1916" spans="1:13" x14ac:dyDescent="0.35">
      <c r="A1916" t="s">
        <v>3276</v>
      </c>
      <c r="B1916" s="9">
        <v>46107</v>
      </c>
      <c r="C1916" t="s">
        <v>3277</v>
      </c>
      <c r="D1916" t="s">
        <v>116</v>
      </c>
      <c r="E1916" t="s">
        <v>67</v>
      </c>
      <c r="F1916" t="s">
        <v>89</v>
      </c>
      <c r="G1916" t="s">
        <v>90</v>
      </c>
      <c r="H1916">
        <v>1</v>
      </c>
      <c r="I1916" t="s">
        <v>56</v>
      </c>
      <c r="J1916" t="s">
        <v>56</v>
      </c>
      <c r="K1916">
        <v>640</v>
      </c>
      <c r="L1916" t="s">
        <v>30</v>
      </c>
      <c r="M1916" t="s">
        <v>22</v>
      </c>
    </row>
    <row r="1917" spans="1:13" x14ac:dyDescent="0.35">
      <c r="A1917" t="s">
        <v>3278</v>
      </c>
      <c r="B1917" t="s">
        <v>914</v>
      </c>
      <c r="C1917" t="s">
        <v>401</v>
      </c>
      <c r="D1917" t="s">
        <v>40</v>
      </c>
      <c r="E1917" t="s">
        <v>16</v>
      </c>
      <c r="F1917" t="s">
        <v>47</v>
      </c>
      <c r="G1917" t="s">
        <v>48</v>
      </c>
      <c r="H1917">
        <v>2</v>
      </c>
      <c r="I1917" t="s">
        <v>170</v>
      </c>
      <c r="J1917" t="s">
        <v>152</v>
      </c>
      <c r="K1917" t="s">
        <v>50</v>
      </c>
      <c r="L1917" t="s">
        <v>30</v>
      </c>
      <c r="M1917" t="s">
        <v>58</v>
      </c>
    </row>
    <row r="1918" spans="1:13" x14ac:dyDescent="0.35">
      <c r="A1918" t="s">
        <v>3279</v>
      </c>
      <c r="B1918" s="9">
        <v>46126</v>
      </c>
      <c r="C1918" t="s">
        <v>3170</v>
      </c>
      <c r="D1918" t="s">
        <v>15</v>
      </c>
      <c r="E1918" t="s">
        <v>34</v>
      </c>
      <c r="F1918" t="s">
        <v>17</v>
      </c>
      <c r="G1918" t="s">
        <v>18</v>
      </c>
      <c r="H1918">
        <v>2</v>
      </c>
      <c r="I1918" t="s">
        <v>254</v>
      </c>
      <c r="J1918" t="s">
        <v>156</v>
      </c>
      <c r="K1918">
        <v>520</v>
      </c>
      <c r="L1918" t="s">
        <v>30</v>
      </c>
      <c r="M1918" t="s">
        <v>22</v>
      </c>
    </row>
    <row r="1919" spans="1:13" x14ac:dyDescent="0.35">
      <c r="A1919" t="s">
        <v>3280</v>
      </c>
      <c r="B1919" s="9">
        <v>46134</v>
      </c>
      <c r="C1919" t="s">
        <v>2115</v>
      </c>
      <c r="D1919" t="s">
        <v>66</v>
      </c>
      <c r="E1919" t="s">
        <v>25</v>
      </c>
      <c r="F1919" t="s">
        <v>89</v>
      </c>
      <c r="G1919" t="s">
        <v>90</v>
      </c>
      <c r="H1919">
        <v>1</v>
      </c>
      <c r="I1919" t="s">
        <v>49</v>
      </c>
      <c r="J1919" t="s">
        <v>49</v>
      </c>
      <c r="K1919" t="s">
        <v>108</v>
      </c>
      <c r="L1919" t="s">
        <v>30</v>
      </c>
      <c r="M1919" t="s">
        <v>22</v>
      </c>
    </row>
    <row r="1920" spans="1:13" x14ac:dyDescent="0.35">
      <c r="A1920" t="s">
        <v>3281</v>
      </c>
      <c r="B1920" s="9">
        <v>46056</v>
      </c>
      <c r="C1920" t="s">
        <v>3282</v>
      </c>
      <c r="D1920" t="s">
        <v>53</v>
      </c>
      <c r="E1920" t="s">
        <v>25</v>
      </c>
      <c r="F1920" t="s">
        <v>26</v>
      </c>
      <c r="G1920" t="s">
        <v>27</v>
      </c>
      <c r="H1920">
        <v>-3</v>
      </c>
      <c r="I1920" t="s">
        <v>220</v>
      </c>
      <c r="J1920" t="s">
        <v>3283</v>
      </c>
      <c r="K1920">
        <v>520</v>
      </c>
      <c r="L1920" t="s">
        <v>30</v>
      </c>
      <c r="M1920" t="s">
        <v>22</v>
      </c>
    </row>
    <row r="1921" spans="1:13" x14ac:dyDescent="0.35">
      <c r="A1921" t="s">
        <v>3284</v>
      </c>
      <c r="B1921" s="9">
        <v>46053</v>
      </c>
      <c r="C1921" t="s">
        <v>750</v>
      </c>
      <c r="D1921" t="s">
        <v>40</v>
      </c>
      <c r="E1921" t="s">
        <v>25</v>
      </c>
      <c r="F1921" t="s">
        <v>89</v>
      </c>
      <c r="G1921" t="s">
        <v>90</v>
      </c>
      <c r="H1921">
        <v>3</v>
      </c>
      <c r="I1921" t="s">
        <v>132</v>
      </c>
      <c r="J1921" t="s">
        <v>232</v>
      </c>
      <c r="K1921">
        <v>640</v>
      </c>
      <c r="L1921" t="s">
        <v>30</v>
      </c>
      <c r="M1921" t="s">
        <v>58</v>
      </c>
    </row>
    <row r="1922" spans="1:13" x14ac:dyDescent="0.35">
      <c r="A1922" t="s">
        <v>3285</v>
      </c>
      <c r="B1922" s="9">
        <v>46091</v>
      </c>
      <c r="C1922" t="s">
        <v>862</v>
      </c>
      <c r="D1922" t="s">
        <v>94</v>
      </c>
      <c r="E1922" t="s">
        <v>34</v>
      </c>
      <c r="F1922" t="s">
        <v>42</v>
      </c>
      <c r="G1922" t="s">
        <v>43</v>
      </c>
      <c r="H1922">
        <v>1</v>
      </c>
      <c r="I1922" t="s">
        <v>132</v>
      </c>
      <c r="J1922" t="s">
        <v>132</v>
      </c>
      <c r="K1922">
        <v>190</v>
      </c>
      <c r="L1922" t="s">
        <v>30</v>
      </c>
      <c r="M1922" t="s">
        <v>22</v>
      </c>
    </row>
    <row r="1923" spans="1:13" x14ac:dyDescent="0.35">
      <c r="A1923" t="s">
        <v>3286</v>
      </c>
      <c r="B1923" s="9">
        <v>46050</v>
      </c>
      <c r="C1923" t="s">
        <v>2523</v>
      </c>
      <c r="D1923" t="s">
        <v>94</v>
      </c>
      <c r="E1923" t="s">
        <v>41</v>
      </c>
      <c r="F1923" t="s">
        <v>42</v>
      </c>
      <c r="G1923" t="s">
        <v>43</v>
      </c>
      <c r="H1923">
        <v>1</v>
      </c>
      <c r="I1923" t="s">
        <v>102</v>
      </c>
      <c r="J1923" t="s">
        <v>102</v>
      </c>
      <c r="K1923">
        <v>190</v>
      </c>
      <c r="L1923" t="s">
        <v>30</v>
      </c>
      <c r="M1923" t="s">
        <v>22</v>
      </c>
    </row>
    <row r="1924" spans="1:13" x14ac:dyDescent="0.35">
      <c r="A1924" t="s">
        <v>3287</v>
      </c>
      <c r="B1924" s="9">
        <v>46051</v>
      </c>
      <c r="C1924" t="s">
        <v>3288</v>
      </c>
      <c r="D1924" t="s">
        <v>66</v>
      </c>
      <c r="E1924" t="s">
        <v>67</v>
      </c>
      <c r="F1924" t="s">
        <v>17</v>
      </c>
      <c r="G1924" t="s">
        <v>18</v>
      </c>
      <c r="H1924">
        <v>1</v>
      </c>
      <c r="I1924" t="s">
        <v>102</v>
      </c>
      <c r="J1924" t="s">
        <v>102</v>
      </c>
      <c r="K1924">
        <v>520</v>
      </c>
      <c r="L1924" t="s">
        <v>30</v>
      </c>
      <c r="M1924" t="s">
        <v>22</v>
      </c>
    </row>
    <row r="1925" spans="1:13" x14ac:dyDescent="0.35">
      <c r="A1925" t="s">
        <v>3289</v>
      </c>
      <c r="B1925" s="9">
        <v>46175</v>
      </c>
      <c r="C1925" t="s">
        <v>2236</v>
      </c>
      <c r="D1925" t="s">
        <v>116</v>
      </c>
      <c r="E1925" t="s">
        <v>25</v>
      </c>
      <c r="F1925" t="s">
        <v>26</v>
      </c>
      <c r="G1925" t="s">
        <v>27</v>
      </c>
      <c r="H1925">
        <v>1</v>
      </c>
      <c r="I1925" t="s">
        <v>106</v>
      </c>
      <c r="J1925" t="s">
        <v>106</v>
      </c>
      <c r="K1925" t="s">
        <v>29</v>
      </c>
      <c r="L1925" t="s">
        <v>30</v>
      </c>
      <c r="M1925" t="s">
        <v>22</v>
      </c>
    </row>
    <row r="1926" spans="1:13" x14ac:dyDescent="0.35">
      <c r="A1926" t="s">
        <v>3290</v>
      </c>
      <c r="B1926" t="s">
        <v>3291</v>
      </c>
      <c r="C1926" t="s">
        <v>927</v>
      </c>
      <c r="D1926" t="s">
        <v>46</v>
      </c>
      <c r="E1926" t="s">
        <v>25</v>
      </c>
      <c r="F1926" t="s">
        <v>83</v>
      </c>
      <c r="G1926" t="s">
        <v>84</v>
      </c>
      <c r="H1926">
        <v>1</v>
      </c>
      <c r="I1926" t="s">
        <v>62</v>
      </c>
      <c r="J1926" t="s">
        <v>62</v>
      </c>
      <c r="K1926" t="s">
        <v>103</v>
      </c>
      <c r="L1926" t="s">
        <v>30</v>
      </c>
      <c r="M1926" t="s">
        <v>22</v>
      </c>
    </row>
    <row r="1927" spans="1:13" x14ac:dyDescent="0.35">
      <c r="A1927" t="s">
        <v>3292</v>
      </c>
      <c r="B1927" s="9">
        <v>46059</v>
      </c>
      <c r="C1927" t="s">
        <v>3293</v>
      </c>
      <c r="D1927" t="s">
        <v>46</v>
      </c>
      <c r="E1927" t="s">
        <v>41</v>
      </c>
      <c r="F1927" t="s">
        <v>17</v>
      </c>
      <c r="G1927" t="s">
        <v>18</v>
      </c>
      <c r="H1927">
        <v>1</v>
      </c>
      <c r="I1927" t="s">
        <v>79</v>
      </c>
      <c r="J1927" t="s">
        <v>79</v>
      </c>
      <c r="K1927">
        <v>520</v>
      </c>
      <c r="L1927" t="s">
        <v>21</v>
      </c>
      <c r="M1927" t="s">
        <v>22</v>
      </c>
    </row>
    <row r="1928" spans="1:13" x14ac:dyDescent="0.35">
      <c r="A1928" t="s">
        <v>3294</v>
      </c>
      <c r="B1928" s="9">
        <v>46118</v>
      </c>
      <c r="C1928" t="s">
        <v>180</v>
      </c>
      <c r="D1928" t="s">
        <v>15</v>
      </c>
      <c r="E1928" t="s">
        <v>16</v>
      </c>
      <c r="F1928" t="s">
        <v>26</v>
      </c>
      <c r="G1928" t="s">
        <v>27</v>
      </c>
      <c r="H1928">
        <v>2</v>
      </c>
      <c r="I1928" t="s">
        <v>132</v>
      </c>
      <c r="J1928" t="s">
        <v>133</v>
      </c>
      <c r="K1928">
        <v>520</v>
      </c>
      <c r="L1928" t="s">
        <v>21</v>
      </c>
      <c r="M1928" t="s">
        <v>22</v>
      </c>
    </row>
    <row r="1929" spans="1:13" x14ac:dyDescent="0.35">
      <c r="A1929" t="s">
        <v>3295</v>
      </c>
      <c r="B1929" s="9">
        <v>46125</v>
      </c>
      <c r="C1929" t="s">
        <v>175</v>
      </c>
      <c r="D1929" t="s">
        <v>99</v>
      </c>
      <c r="E1929" t="s">
        <v>34</v>
      </c>
      <c r="F1929" t="s">
        <v>83</v>
      </c>
      <c r="G1929" t="s">
        <v>84</v>
      </c>
      <c r="H1929">
        <v>1</v>
      </c>
      <c r="I1929" t="s">
        <v>254</v>
      </c>
      <c r="J1929" t="s">
        <v>254</v>
      </c>
      <c r="K1929">
        <v>340</v>
      </c>
      <c r="L1929" t="s">
        <v>30</v>
      </c>
      <c r="M1929" t="s">
        <v>22</v>
      </c>
    </row>
    <row r="1930" spans="1:13" x14ac:dyDescent="0.35">
      <c r="A1930" t="s">
        <v>3296</v>
      </c>
      <c r="B1930" s="9">
        <v>46194</v>
      </c>
      <c r="C1930" t="s">
        <v>685</v>
      </c>
      <c r="D1930" t="s">
        <v>94</v>
      </c>
      <c r="E1930" t="s">
        <v>16</v>
      </c>
      <c r="F1930" t="s">
        <v>74</v>
      </c>
      <c r="G1930" t="s">
        <v>75</v>
      </c>
      <c r="H1930">
        <v>1</v>
      </c>
      <c r="I1930" t="s">
        <v>49</v>
      </c>
      <c r="J1930" t="s">
        <v>49</v>
      </c>
      <c r="K1930" t="s">
        <v>76</v>
      </c>
      <c r="L1930" t="s">
        <v>30</v>
      </c>
      <c r="M1930" t="s">
        <v>22</v>
      </c>
    </row>
    <row r="1931" spans="1:13" x14ac:dyDescent="0.35">
      <c r="A1931" t="s">
        <v>3297</v>
      </c>
      <c r="B1931" s="9">
        <v>46174</v>
      </c>
      <c r="C1931" t="s">
        <v>2005</v>
      </c>
      <c r="D1931" t="s">
        <v>99</v>
      </c>
      <c r="E1931" t="s">
        <v>67</v>
      </c>
      <c r="F1931" t="s">
        <v>26</v>
      </c>
      <c r="G1931" t="s">
        <v>27</v>
      </c>
      <c r="H1931">
        <v>1</v>
      </c>
      <c r="I1931" t="s">
        <v>68</v>
      </c>
      <c r="J1931" t="s">
        <v>68</v>
      </c>
      <c r="K1931" t="s">
        <v>29</v>
      </c>
      <c r="L1931" t="s">
        <v>21</v>
      </c>
      <c r="M1931" t="s">
        <v>22</v>
      </c>
    </row>
    <row r="1932" spans="1:13" x14ac:dyDescent="0.35">
      <c r="A1932" t="s">
        <v>3298</v>
      </c>
      <c r="B1932" t="s">
        <v>470</v>
      </c>
      <c r="C1932" t="s">
        <v>724</v>
      </c>
      <c r="D1932" t="s">
        <v>61</v>
      </c>
      <c r="E1932" t="s">
        <v>16</v>
      </c>
      <c r="F1932" t="s">
        <v>42</v>
      </c>
      <c r="G1932" t="s">
        <v>43</v>
      </c>
      <c r="H1932">
        <v>2</v>
      </c>
      <c r="I1932" t="s">
        <v>132</v>
      </c>
      <c r="J1932" t="s">
        <v>133</v>
      </c>
      <c r="K1932">
        <v>190</v>
      </c>
      <c r="L1932" t="s">
        <v>30</v>
      </c>
      <c r="M1932" t="s">
        <v>58</v>
      </c>
    </row>
    <row r="1933" spans="1:13" x14ac:dyDescent="0.35">
      <c r="A1933" t="s">
        <v>3299</v>
      </c>
      <c r="B1933" s="9">
        <v>46043</v>
      </c>
      <c r="C1933" t="s">
        <v>1878</v>
      </c>
      <c r="D1933" t="s">
        <v>33</v>
      </c>
      <c r="E1933" t="s">
        <v>67</v>
      </c>
      <c r="F1933" t="s">
        <v>17</v>
      </c>
      <c r="G1933" t="s">
        <v>18</v>
      </c>
      <c r="H1933">
        <v>1</v>
      </c>
      <c r="I1933" t="s">
        <v>62</v>
      </c>
      <c r="J1933" t="s">
        <v>62</v>
      </c>
      <c r="K1933">
        <v>520</v>
      </c>
      <c r="L1933" t="s">
        <v>30</v>
      </c>
      <c r="M1933" t="s">
        <v>22</v>
      </c>
    </row>
    <row r="1934" spans="1:13" x14ac:dyDescent="0.35">
      <c r="A1934" t="s">
        <v>3300</v>
      </c>
      <c r="B1934" s="9">
        <v>46150</v>
      </c>
      <c r="C1934" t="s">
        <v>3301</v>
      </c>
      <c r="D1934" t="s">
        <v>116</v>
      </c>
      <c r="E1934" t="s">
        <v>67</v>
      </c>
      <c r="F1934" t="s">
        <v>35</v>
      </c>
      <c r="G1934" t="s">
        <v>36</v>
      </c>
      <c r="H1934">
        <v>1</v>
      </c>
      <c r="I1934" t="s">
        <v>68</v>
      </c>
      <c r="J1934" t="s">
        <v>68</v>
      </c>
      <c r="K1934" t="s">
        <v>37</v>
      </c>
      <c r="L1934" t="s">
        <v>30</v>
      </c>
      <c r="M1934" t="s">
        <v>58</v>
      </c>
    </row>
    <row r="1935" spans="1:13" x14ac:dyDescent="0.35">
      <c r="A1935" t="s">
        <v>3302</v>
      </c>
      <c r="B1935" s="9">
        <v>46119</v>
      </c>
      <c r="C1935" t="s">
        <v>3303</v>
      </c>
      <c r="D1935" t="s">
        <v>99</v>
      </c>
      <c r="E1935" t="s">
        <v>67</v>
      </c>
      <c r="F1935" t="s">
        <v>89</v>
      </c>
      <c r="G1935" t="s">
        <v>90</v>
      </c>
      <c r="H1935">
        <v>1</v>
      </c>
      <c r="I1935" t="s">
        <v>56</v>
      </c>
      <c r="J1935" t="s">
        <v>56</v>
      </c>
      <c r="K1935">
        <v>640</v>
      </c>
      <c r="L1935" t="s">
        <v>30</v>
      </c>
      <c r="M1935" t="s">
        <v>58</v>
      </c>
    </row>
    <row r="1936" spans="1:13" x14ac:dyDescent="0.35">
      <c r="A1936" t="s">
        <v>3304</v>
      </c>
      <c r="B1936" s="9">
        <v>46102</v>
      </c>
      <c r="C1936" t="s">
        <v>3305</v>
      </c>
      <c r="D1936" t="s">
        <v>33</v>
      </c>
      <c r="E1936" t="s">
        <v>41</v>
      </c>
      <c r="F1936" t="s">
        <v>17</v>
      </c>
      <c r="G1936" t="s">
        <v>18</v>
      </c>
      <c r="H1936">
        <v>3</v>
      </c>
      <c r="I1936" t="s">
        <v>106</v>
      </c>
      <c r="J1936" t="s">
        <v>160</v>
      </c>
      <c r="K1936">
        <v>520</v>
      </c>
      <c r="L1936" t="s">
        <v>30</v>
      </c>
      <c r="M1936" t="s">
        <v>22</v>
      </c>
    </row>
    <row r="1937" spans="1:13" x14ac:dyDescent="0.35">
      <c r="A1937" t="s">
        <v>3306</v>
      </c>
      <c r="B1937" s="9">
        <v>46080</v>
      </c>
      <c r="C1937" t="s">
        <v>562</v>
      </c>
      <c r="D1937" t="s">
        <v>33</v>
      </c>
      <c r="E1937" t="s">
        <v>41</v>
      </c>
      <c r="F1937" t="s">
        <v>74</v>
      </c>
      <c r="G1937" t="s">
        <v>75</v>
      </c>
      <c r="H1937">
        <v>3</v>
      </c>
      <c r="I1937" t="s">
        <v>68</v>
      </c>
      <c r="J1937" t="s">
        <v>205</v>
      </c>
      <c r="K1937">
        <v>410</v>
      </c>
      <c r="L1937" t="s">
        <v>30</v>
      </c>
      <c r="M1937" t="s">
        <v>22</v>
      </c>
    </row>
    <row r="1938" spans="1:13" x14ac:dyDescent="0.35">
      <c r="A1938" t="s">
        <v>3307</v>
      </c>
      <c r="B1938" s="9">
        <v>46064</v>
      </c>
      <c r="C1938" t="s">
        <v>208</v>
      </c>
      <c r="D1938" t="s">
        <v>94</v>
      </c>
      <c r="E1938" t="s">
        <v>41</v>
      </c>
      <c r="F1938" t="s">
        <v>83</v>
      </c>
      <c r="G1938" t="s">
        <v>84</v>
      </c>
      <c r="H1938">
        <v>1</v>
      </c>
      <c r="I1938" t="s">
        <v>71</v>
      </c>
      <c r="J1938" t="s">
        <v>71</v>
      </c>
      <c r="K1938">
        <v>340</v>
      </c>
      <c r="L1938" t="s">
        <v>30</v>
      </c>
      <c r="M1938" t="s">
        <v>22</v>
      </c>
    </row>
    <row r="1939" spans="1:13" x14ac:dyDescent="0.35">
      <c r="A1939" t="s">
        <v>3308</v>
      </c>
      <c r="B1939" s="9">
        <v>46054</v>
      </c>
      <c r="C1939" t="s">
        <v>1543</v>
      </c>
      <c r="D1939" t="s">
        <v>116</v>
      </c>
      <c r="E1939" t="s">
        <v>16</v>
      </c>
      <c r="F1939" t="s">
        <v>17</v>
      </c>
      <c r="G1939" t="s">
        <v>18</v>
      </c>
      <c r="H1939">
        <v>3</v>
      </c>
      <c r="I1939" t="s">
        <v>28</v>
      </c>
      <c r="J1939" t="s">
        <v>568</v>
      </c>
      <c r="K1939">
        <v>520</v>
      </c>
      <c r="L1939" t="s">
        <v>30</v>
      </c>
      <c r="M1939" t="s">
        <v>58</v>
      </c>
    </row>
    <row r="1940" spans="1:13" x14ac:dyDescent="0.35">
      <c r="A1940" t="s">
        <v>3309</v>
      </c>
      <c r="B1940" s="9">
        <v>46077</v>
      </c>
      <c r="C1940" t="s">
        <v>1655</v>
      </c>
      <c r="D1940" t="s">
        <v>33</v>
      </c>
      <c r="E1940" t="s">
        <v>41</v>
      </c>
      <c r="F1940" t="s">
        <v>89</v>
      </c>
      <c r="G1940" t="s">
        <v>90</v>
      </c>
      <c r="H1940">
        <v>3</v>
      </c>
      <c r="I1940" t="s">
        <v>79</v>
      </c>
      <c r="J1940" t="s">
        <v>2510</v>
      </c>
      <c r="K1940">
        <v>640</v>
      </c>
      <c r="L1940" t="s">
        <v>30</v>
      </c>
      <c r="M1940" t="s">
        <v>22</v>
      </c>
    </row>
    <row r="1941" spans="1:13" x14ac:dyDescent="0.35">
      <c r="A1941" t="s">
        <v>3310</v>
      </c>
      <c r="B1941" s="9">
        <v>46187</v>
      </c>
      <c r="C1941" t="s">
        <v>2060</v>
      </c>
      <c r="D1941" t="s">
        <v>66</v>
      </c>
      <c r="E1941" t="s">
        <v>16</v>
      </c>
      <c r="F1941" t="s">
        <v>42</v>
      </c>
      <c r="G1941" t="s">
        <v>43</v>
      </c>
      <c r="H1941">
        <v>3</v>
      </c>
      <c r="I1941" t="s">
        <v>220</v>
      </c>
      <c r="J1941" t="s">
        <v>494</v>
      </c>
      <c r="K1941" t="s">
        <v>111</v>
      </c>
      <c r="L1941" t="s">
        <v>30</v>
      </c>
      <c r="M1941" t="s">
        <v>22</v>
      </c>
    </row>
    <row r="1942" spans="1:13" x14ac:dyDescent="0.35">
      <c r="A1942" t="s">
        <v>3311</v>
      </c>
      <c r="B1942" s="9">
        <v>46146</v>
      </c>
      <c r="C1942" t="s">
        <v>173</v>
      </c>
      <c r="D1942" t="s">
        <v>99</v>
      </c>
      <c r="E1942" t="s">
        <v>41</v>
      </c>
      <c r="F1942" t="s">
        <v>42</v>
      </c>
      <c r="G1942" t="s">
        <v>43</v>
      </c>
      <c r="H1942">
        <v>2</v>
      </c>
      <c r="I1942" t="s">
        <v>220</v>
      </c>
      <c r="J1942" t="s">
        <v>257</v>
      </c>
      <c r="K1942">
        <v>190</v>
      </c>
      <c r="L1942" t="s">
        <v>21</v>
      </c>
      <c r="M1942" t="s">
        <v>22</v>
      </c>
    </row>
    <row r="1943" spans="1:13" x14ac:dyDescent="0.35">
      <c r="A1943" t="s">
        <v>3312</v>
      </c>
      <c r="B1943" s="9">
        <v>46178</v>
      </c>
      <c r="C1943" t="s">
        <v>464</v>
      </c>
      <c r="D1943" t="s">
        <v>33</v>
      </c>
      <c r="E1943" t="s">
        <v>25</v>
      </c>
      <c r="F1943" t="s">
        <v>42</v>
      </c>
      <c r="G1943" t="s">
        <v>43</v>
      </c>
      <c r="H1943">
        <v>1</v>
      </c>
      <c r="I1943" t="s">
        <v>500</v>
      </c>
      <c r="J1943" t="s">
        <v>220</v>
      </c>
      <c r="K1943" t="s">
        <v>111</v>
      </c>
      <c r="L1943" t="s">
        <v>30</v>
      </c>
      <c r="M1943" t="s">
        <v>58</v>
      </c>
    </row>
    <row r="1944" spans="1:13" x14ac:dyDescent="0.35">
      <c r="A1944" t="s">
        <v>3313</v>
      </c>
      <c r="B1944" s="9">
        <v>46038</v>
      </c>
      <c r="C1944" t="s">
        <v>135</v>
      </c>
      <c r="D1944" t="s">
        <v>53</v>
      </c>
      <c r="E1944" t="s">
        <v>25</v>
      </c>
      <c r="F1944" t="s">
        <v>89</v>
      </c>
      <c r="G1944" t="s">
        <v>90</v>
      </c>
      <c r="H1944">
        <v>2</v>
      </c>
      <c r="I1944" t="s">
        <v>28</v>
      </c>
      <c r="J1944" t="s">
        <v>316</v>
      </c>
      <c r="K1944">
        <v>640</v>
      </c>
      <c r="L1944" t="s">
        <v>30</v>
      </c>
      <c r="M1944" t="s">
        <v>22</v>
      </c>
    </row>
    <row r="1945" spans="1:13" x14ac:dyDescent="0.35">
      <c r="A1945" t="s">
        <v>3314</v>
      </c>
      <c r="B1945" s="9">
        <v>46093</v>
      </c>
      <c r="C1945" t="s">
        <v>892</v>
      </c>
      <c r="D1945" t="s">
        <v>15</v>
      </c>
      <c r="E1945" t="s">
        <v>16</v>
      </c>
      <c r="F1945" t="s">
        <v>35</v>
      </c>
      <c r="G1945" t="s">
        <v>36</v>
      </c>
      <c r="H1945">
        <v>1</v>
      </c>
      <c r="I1945" t="s">
        <v>71</v>
      </c>
      <c r="J1945" t="s">
        <v>71</v>
      </c>
      <c r="K1945">
        <v>85</v>
      </c>
      <c r="L1945" t="s">
        <v>30</v>
      </c>
      <c r="M1945" t="s">
        <v>22</v>
      </c>
    </row>
    <row r="1946" spans="1:13" x14ac:dyDescent="0.35">
      <c r="A1946" t="s">
        <v>3315</v>
      </c>
      <c r="B1946" s="9">
        <v>46165</v>
      </c>
      <c r="C1946" t="s">
        <v>637</v>
      </c>
      <c r="D1946" t="s">
        <v>116</v>
      </c>
      <c r="E1946" t="s">
        <v>67</v>
      </c>
      <c r="F1946" t="s">
        <v>26</v>
      </c>
      <c r="G1946" t="s">
        <v>27</v>
      </c>
      <c r="H1946">
        <v>1</v>
      </c>
      <c r="I1946" t="s">
        <v>132</v>
      </c>
      <c r="J1946" t="s">
        <v>132</v>
      </c>
      <c r="K1946" t="s">
        <v>29</v>
      </c>
      <c r="L1946" t="s">
        <v>21</v>
      </c>
      <c r="M1946" t="s">
        <v>58</v>
      </c>
    </row>
    <row r="1947" spans="1:13" x14ac:dyDescent="0.35">
      <c r="A1947" t="s">
        <v>3316</v>
      </c>
      <c r="B1947" s="9">
        <v>46110</v>
      </c>
      <c r="C1947" t="s">
        <v>443</v>
      </c>
      <c r="D1947" t="s">
        <v>116</v>
      </c>
      <c r="E1947" t="s">
        <v>34</v>
      </c>
      <c r="F1947" t="s">
        <v>74</v>
      </c>
      <c r="G1947" t="s">
        <v>75</v>
      </c>
      <c r="H1947">
        <v>1</v>
      </c>
      <c r="I1947" t="s">
        <v>79</v>
      </c>
      <c r="J1947" t="s">
        <v>79</v>
      </c>
      <c r="K1947">
        <v>410</v>
      </c>
      <c r="L1947" t="s">
        <v>30</v>
      </c>
      <c r="M1947" t="s">
        <v>22</v>
      </c>
    </row>
    <row r="1948" spans="1:13" x14ac:dyDescent="0.35">
      <c r="A1948" t="s">
        <v>3317</v>
      </c>
      <c r="B1948" s="9">
        <v>46147</v>
      </c>
      <c r="C1948" t="s">
        <v>1848</v>
      </c>
      <c r="D1948" t="s">
        <v>40</v>
      </c>
      <c r="E1948" t="s">
        <v>25</v>
      </c>
      <c r="F1948" t="s">
        <v>74</v>
      </c>
      <c r="G1948" t="s">
        <v>75</v>
      </c>
      <c r="H1948">
        <v>1</v>
      </c>
      <c r="I1948" t="s">
        <v>68</v>
      </c>
      <c r="J1948" t="s">
        <v>68</v>
      </c>
      <c r="K1948" t="s">
        <v>76</v>
      </c>
      <c r="L1948" t="s">
        <v>30</v>
      </c>
      <c r="M1948" t="s">
        <v>22</v>
      </c>
    </row>
    <row r="1949" spans="1:13" x14ac:dyDescent="0.35">
      <c r="A1949" t="s">
        <v>3318</v>
      </c>
      <c r="B1949" s="9">
        <v>46171</v>
      </c>
      <c r="C1949" t="s">
        <v>3319</v>
      </c>
      <c r="D1949" t="s">
        <v>40</v>
      </c>
      <c r="E1949" t="s">
        <v>25</v>
      </c>
      <c r="F1949" t="s">
        <v>35</v>
      </c>
      <c r="G1949" t="s">
        <v>36</v>
      </c>
      <c r="H1949">
        <v>1</v>
      </c>
      <c r="I1949" t="s">
        <v>136</v>
      </c>
      <c r="J1949" t="s">
        <v>136</v>
      </c>
      <c r="K1949" t="s">
        <v>37</v>
      </c>
      <c r="L1949" t="s">
        <v>21</v>
      </c>
      <c r="M1949" t="s">
        <v>22</v>
      </c>
    </row>
    <row r="1950" spans="1:13" x14ac:dyDescent="0.35">
      <c r="A1950" t="s">
        <v>211</v>
      </c>
      <c r="B1950" s="9">
        <v>46119</v>
      </c>
      <c r="C1950" t="s">
        <v>212</v>
      </c>
      <c r="D1950" t="s">
        <v>40</v>
      </c>
      <c r="E1950" t="s">
        <v>67</v>
      </c>
      <c r="F1950" t="s">
        <v>26</v>
      </c>
      <c r="G1950" t="s">
        <v>27</v>
      </c>
      <c r="H1950">
        <v>2</v>
      </c>
      <c r="I1950" t="s">
        <v>136</v>
      </c>
      <c r="J1950" t="s">
        <v>164</v>
      </c>
      <c r="K1950">
        <v>520</v>
      </c>
      <c r="L1950" t="s">
        <v>30</v>
      </c>
      <c r="M1950" t="s">
        <v>22</v>
      </c>
    </row>
    <row r="1951" spans="1:13" x14ac:dyDescent="0.35">
      <c r="A1951" t="s">
        <v>3320</v>
      </c>
      <c r="B1951" s="9">
        <v>46045</v>
      </c>
      <c r="C1951" t="s">
        <v>3321</v>
      </c>
      <c r="D1951" t="s">
        <v>15</v>
      </c>
      <c r="E1951" t="s">
        <v>16</v>
      </c>
      <c r="F1951" t="s">
        <v>26</v>
      </c>
      <c r="G1951" t="s">
        <v>27</v>
      </c>
      <c r="H1951">
        <v>3</v>
      </c>
      <c r="I1951" t="s">
        <v>19</v>
      </c>
      <c r="J1951" t="s">
        <v>326</v>
      </c>
      <c r="K1951">
        <v>520</v>
      </c>
      <c r="L1951" t="s">
        <v>30</v>
      </c>
      <c r="M1951" t="s">
        <v>22</v>
      </c>
    </row>
    <row r="1952" spans="1:13" x14ac:dyDescent="0.35">
      <c r="A1952" t="s">
        <v>3322</v>
      </c>
      <c r="B1952" s="9">
        <v>46195</v>
      </c>
      <c r="C1952" t="s">
        <v>3323</v>
      </c>
      <c r="D1952" t="s">
        <v>40</v>
      </c>
      <c r="E1952" t="s">
        <v>67</v>
      </c>
      <c r="F1952" t="s">
        <v>17</v>
      </c>
      <c r="G1952" t="s">
        <v>18</v>
      </c>
      <c r="H1952">
        <v>1</v>
      </c>
      <c r="I1952" t="s">
        <v>49</v>
      </c>
      <c r="J1952" t="s">
        <v>49</v>
      </c>
      <c r="K1952" t="s">
        <v>29</v>
      </c>
      <c r="L1952" t="s">
        <v>21</v>
      </c>
      <c r="M1952" t="s">
        <v>22</v>
      </c>
    </row>
    <row r="1953" spans="1:13" x14ac:dyDescent="0.35">
      <c r="A1953" t="s">
        <v>3324</v>
      </c>
      <c r="B1953" s="9">
        <v>46086</v>
      </c>
      <c r="C1953" t="s">
        <v>3288</v>
      </c>
      <c r="D1953" t="s">
        <v>61</v>
      </c>
      <c r="E1953" t="s">
        <v>16</v>
      </c>
      <c r="F1953" t="s">
        <v>26</v>
      </c>
      <c r="G1953" t="s">
        <v>27</v>
      </c>
      <c r="H1953">
        <v>3</v>
      </c>
      <c r="I1953" t="s">
        <v>56</v>
      </c>
      <c r="J1953" t="s">
        <v>57</v>
      </c>
      <c r="K1953">
        <v>520</v>
      </c>
      <c r="L1953" t="s">
        <v>30</v>
      </c>
      <c r="M1953" t="s">
        <v>58</v>
      </c>
    </row>
    <row r="1954" spans="1:13" x14ac:dyDescent="0.35">
      <c r="A1954" t="s">
        <v>3325</v>
      </c>
      <c r="B1954" s="9">
        <v>46043</v>
      </c>
      <c r="C1954" t="s">
        <v>2277</v>
      </c>
      <c r="D1954" t="s">
        <v>40</v>
      </c>
      <c r="E1954" t="s">
        <v>25</v>
      </c>
      <c r="F1954" t="s">
        <v>89</v>
      </c>
      <c r="G1954" t="s">
        <v>90</v>
      </c>
      <c r="H1954">
        <v>1</v>
      </c>
      <c r="I1954" t="s">
        <v>62</v>
      </c>
      <c r="J1954" t="s">
        <v>62</v>
      </c>
      <c r="K1954">
        <v>640</v>
      </c>
      <c r="L1954" t="s">
        <v>30</v>
      </c>
      <c r="M1954" t="s">
        <v>58</v>
      </c>
    </row>
    <row r="1955" spans="1:13" x14ac:dyDescent="0.35">
      <c r="A1955" t="s">
        <v>3326</v>
      </c>
      <c r="B1955" s="9">
        <v>46192</v>
      </c>
      <c r="C1955" t="s">
        <v>2044</v>
      </c>
      <c r="D1955" t="s">
        <v>33</v>
      </c>
      <c r="E1955" t="s">
        <v>41</v>
      </c>
      <c r="F1955" t="s">
        <v>89</v>
      </c>
      <c r="G1955" t="s">
        <v>90</v>
      </c>
      <c r="H1955">
        <v>2</v>
      </c>
      <c r="I1955" t="s">
        <v>68</v>
      </c>
      <c r="J1955" t="s">
        <v>248</v>
      </c>
      <c r="K1955" t="s">
        <v>108</v>
      </c>
      <c r="L1955" t="s">
        <v>30</v>
      </c>
      <c r="M1955" t="s">
        <v>22</v>
      </c>
    </row>
    <row r="1956" spans="1:13" x14ac:dyDescent="0.35">
      <c r="A1956" t="s">
        <v>3327</v>
      </c>
      <c r="B1956" s="9">
        <v>46205</v>
      </c>
      <c r="C1956" t="s">
        <v>2011</v>
      </c>
      <c r="D1956" t="s">
        <v>99</v>
      </c>
      <c r="E1956" t="s">
        <v>67</v>
      </c>
      <c r="F1956" t="s">
        <v>47</v>
      </c>
      <c r="G1956" t="s">
        <v>48</v>
      </c>
      <c r="H1956">
        <v>3</v>
      </c>
      <c r="I1956" t="s">
        <v>106</v>
      </c>
      <c r="J1956" t="s">
        <v>160</v>
      </c>
      <c r="K1956" t="s">
        <v>50</v>
      </c>
      <c r="L1956" t="s">
        <v>30</v>
      </c>
      <c r="M1956" t="s">
        <v>22</v>
      </c>
    </row>
    <row r="1957" spans="1:13" x14ac:dyDescent="0.35">
      <c r="A1957" t="s">
        <v>3328</v>
      </c>
      <c r="B1957" t="s">
        <v>1807</v>
      </c>
      <c r="C1957" t="s">
        <v>3329</v>
      </c>
      <c r="D1957" t="s">
        <v>46</v>
      </c>
      <c r="E1957" t="s">
        <v>16</v>
      </c>
      <c r="F1957" t="s">
        <v>74</v>
      </c>
      <c r="G1957" t="s">
        <v>75</v>
      </c>
      <c r="H1957">
        <v>2</v>
      </c>
      <c r="I1957" t="s">
        <v>170</v>
      </c>
      <c r="J1957" t="s">
        <v>152</v>
      </c>
      <c r="K1957" t="s">
        <v>76</v>
      </c>
      <c r="L1957" t="s">
        <v>30</v>
      </c>
      <c r="M1957" t="s">
        <v>22</v>
      </c>
    </row>
    <row r="1958" spans="1:13" x14ac:dyDescent="0.35">
      <c r="A1958" t="s">
        <v>3330</v>
      </c>
      <c r="B1958" s="9">
        <v>46031</v>
      </c>
      <c r="C1958" t="s">
        <v>3331</v>
      </c>
      <c r="D1958" t="s">
        <v>40</v>
      </c>
      <c r="E1958" t="s">
        <v>25</v>
      </c>
      <c r="F1958" t="s">
        <v>26</v>
      </c>
      <c r="G1958" t="s">
        <v>27</v>
      </c>
      <c r="H1958">
        <v>2</v>
      </c>
      <c r="I1958" t="s">
        <v>49</v>
      </c>
      <c r="J1958" t="s">
        <v>178</v>
      </c>
      <c r="K1958">
        <v>520</v>
      </c>
      <c r="L1958" t="s">
        <v>21</v>
      </c>
      <c r="M1958" t="s">
        <v>22</v>
      </c>
    </row>
    <row r="1959" spans="1:13" x14ac:dyDescent="0.35">
      <c r="A1959" t="s">
        <v>3332</v>
      </c>
      <c r="B1959" t="s">
        <v>1907</v>
      </c>
      <c r="C1959" t="s">
        <v>3333</v>
      </c>
      <c r="D1959" t="s">
        <v>66</v>
      </c>
      <c r="E1959" t="s">
        <v>25</v>
      </c>
      <c r="F1959" t="s">
        <v>35</v>
      </c>
      <c r="G1959" t="s">
        <v>36</v>
      </c>
      <c r="H1959">
        <v>1</v>
      </c>
      <c r="I1959" t="s">
        <v>56</v>
      </c>
      <c r="J1959" t="s">
        <v>56</v>
      </c>
      <c r="K1959">
        <v>85</v>
      </c>
      <c r="L1959" t="s">
        <v>30</v>
      </c>
      <c r="M1959" t="s">
        <v>22</v>
      </c>
    </row>
    <row r="1960" spans="1:13" x14ac:dyDescent="0.35">
      <c r="A1960" t="s">
        <v>3334</v>
      </c>
      <c r="B1960" s="9">
        <v>46153</v>
      </c>
      <c r="C1960" t="s">
        <v>2868</v>
      </c>
      <c r="D1960" t="s">
        <v>46</v>
      </c>
      <c r="E1960" t="s">
        <v>16</v>
      </c>
      <c r="F1960" t="s">
        <v>47</v>
      </c>
      <c r="G1960" t="s">
        <v>48</v>
      </c>
      <c r="H1960">
        <v>1</v>
      </c>
      <c r="I1960" t="s">
        <v>71</v>
      </c>
      <c r="J1960" t="s">
        <v>71</v>
      </c>
      <c r="K1960" t="s">
        <v>50</v>
      </c>
      <c r="L1960" t="s">
        <v>30</v>
      </c>
      <c r="M1960" t="s">
        <v>58</v>
      </c>
    </row>
    <row r="1961" spans="1:13" x14ac:dyDescent="0.35">
      <c r="A1961" t="s">
        <v>3335</v>
      </c>
      <c r="B1961" s="9">
        <v>46208</v>
      </c>
      <c r="C1961" t="s">
        <v>783</v>
      </c>
      <c r="D1961" t="s">
        <v>46</v>
      </c>
      <c r="E1961" t="s">
        <v>34</v>
      </c>
      <c r="F1961" t="s">
        <v>42</v>
      </c>
      <c r="G1961" t="s">
        <v>43</v>
      </c>
      <c r="H1961">
        <v>1</v>
      </c>
      <c r="I1961" t="s">
        <v>28</v>
      </c>
      <c r="J1961" t="s">
        <v>28</v>
      </c>
      <c r="K1961" t="s">
        <v>111</v>
      </c>
      <c r="L1961" t="s">
        <v>21</v>
      </c>
      <c r="M1961" t="s">
        <v>58</v>
      </c>
    </row>
    <row r="1962" spans="1:13" x14ac:dyDescent="0.35">
      <c r="A1962" t="s">
        <v>3336</v>
      </c>
      <c r="B1962" s="9">
        <v>46050</v>
      </c>
      <c r="C1962" t="s">
        <v>990</v>
      </c>
      <c r="D1962" t="s">
        <v>99</v>
      </c>
      <c r="E1962" t="s">
        <v>41</v>
      </c>
      <c r="F1962" t="s">
        <v>47</v>
      </c>
      <c r="G1962" t="s">
        <v>48</v>
      </c>
      <c r="H1962">
        <v>1</v>
      </c>
      <c r="I1962" t="s">
        <v>49</v>
      </c>
      <c r="J1962" t="s">
        <v>49</v>
      </c>
      <c r="K1962">
        <v>380</v>
      </c>
      <c r="L1962" t="s">
        <v>21</v>
      </c>
      <c r="M1962" t="s">
        <v>22</v>
      </c>
    </row>
    <row r="1963" spans="1:13" x14ac:dyDescent="0.35">
      <c r="A1963" t="s">
        <v>3337</v>
      </c>
      <c r="B1963" s="9">
        <v>46038</v>
      </c>
      <c r="C1963" t="s">
        <v>3338</v>
      </c>
      <c r="D1963" t="s">
        <v>116</v>
      </c>
      <c r="E1963" t="s">
        <v>34</v>
      </c>
      <c r="F1963" t="s">
        <v>26</v>
      </c>
      <c r="G1963" t="s">
        <v>27</v>
      </c>
      <c r="H1963">
        <v>3</v>
      </c>
      <c r="I1963" t="s">
        <v>28</v>
      </c>
      <c r="J1963" t="s">
        <v>568</v>
      </c>
      <c r="K1963">
        <v>520</v>
      </c>
      <c r="L1963" t="s">
        <v>30</v>
      </c>
      <c r="M1963" t="s">
        <v>22</v>
      </c>
    </row>
    <row r="1964" spans="1:13" x14ac:dyDescent="0.35">
      <c r="A1964" t="s">
        <v>3339</v>
      </c>
      <c r="B1964" s="9">
        <v>46165</v>
      </c>
      <c r="C1964" t="s">
        <v>240</v>
      </c>
      <c r="D1964" t="s">
        <v>116</v>
      </c>
      <c r="E1964" t="s">
        <v>41</v>
      </c>
      <c r="F1964" t="s">
        <v>83</v>
      </c>
      <c r="G1964" t="s">
        <v>84</v>
      </c>
      <c r="H1964">
        <v>2</v>
      </c>
      <c r="I1964" t="s">
        <v>254</v>
      </c>
      <c r="J1964" t="s">
        <v>3340</v>
      </c>
      <c r="K1964" t="s">
        <v>103</v>
      </c>
      <c r="L1964" t="s">
        <v>30</v>
      </c>
      <c r="M1964" t="s">
        <v>58</v>
      </c>
    </row>
    <row r="1965" spans="1:13" x14ac:dyDescent="0.35">
      <c r="A1965" t="s">
        <v>3341</v>
      </c>
      <c r="B1965" s="9">
        <v>46164</v>
      </c>
      <c r="C1965" t="s">
        <v>836</v>
      </c>
      <c r="D1965" t="s">
        <v>46</v>
      </c>
      <c r="E1965" t="s">
        <v>34</v>
      </c>
      <c r="F1965" t="s">
        <v>74</v>
      </c>
      <c r="G1965" t="s">
        <v>75</v>
      </c>
      <c r="H1965">
        <v>1</v>
      </c>
      <c r="I1965" t="s">
        <v>170</v>
      </c>
      <c r="J1965" t="s">
        <v>170</v>
      </c>
      <c r="K1965" t="s">
        <v>76</v>
      </c>
      <c r="L1965" t="s">
        <v>30</v>
      </c>
      <c r="M1965" t="s">
        <v>58</v>
      </c>
    </row>
    <row r="1966" spans="1:13" x14ac:dyDescent="0.35">
      <c r="A1966" t="s">
        <v>3342</v>
      </c>
      <c r="B1966" s="9">
        <v>46200</v>
      </c>
      <c r="C1966" t="s">
        <v>549</v>
      </c>
      <c r="D1966" t="s">
        <v>15</v>
      </c>
      <c r="E1966" t="s">
        <v>41</v>
      </c>
      <c r="F1966" t="s">
        <v>26</v>
      </c>
      <c r="G1966" t="s">
        <v>27</v>
      </c>
      <c r="H1966">
        <v>1</v>
      </c>
      <c r="I1966" t="s">
        <v>106</v>
      </c>
      <c r="J1966" t="s">
        <v>62</v>
      </c>
      <c r="K1966" t="s">
        <v>29</v>
      </c>
      <c r="L1966" t="s">
        <v>30</v>
      </c>
      <c r="M1966" t="s">
        <v>58</v>
      </c>
    </row>
    <row r="1967" spans="1:13" x14ac:dyDescent="0.35">
      <c r="A1967" t="s">
        <v>3343</v>
      </c>
      <c r="B1967" s="9">
        <v>46112</v>
      </c>
      <c r="C1967" t="s">
        <v>3344</v>
      </c>
      <c r="D1967" t="s">
        <v>116</v>
      </c>
      <c r="E1967" t="s">
        <v>67</v>
      </c>
      <c r="F1967" t="s">
        <v>26</v>
      </c>
      <c r="G1967" t="s">
        <v>27</v>
      </c>
      <c r="H1967">
        <v>1</v>
      </c>
      <c r="I1967" t="s">
        <v>68</v>
      </c>
      <c r="J1967" t="s">
        <v>68</v>
      </c>
      <c r="K1967">
        <v>520</v>
      </c>
      <c r="L1967" t="s">
        <v>21</v>
      </c>
      <c r="M1967" t="s">
        <v>22</v>
      </c>
    </row>
    <row r="1968" spans="1:13" x14ac:dyDescent="0.35">
      <c r="A1968" t="s">
        <v>3345</v>
      </c>
      <c r="B1968" s="9">
        <v>46146</v>
      </c>
      <c r="C1968" t="s">
        <v>2933</v>
      </c>
      <c r="D1968" t="s">
        <v>94</v>
      </c>
      <c r="E1968" t="s">
        <v>25</v>
      </c>
      <c r="F1968" t="s">
        <v>74</v>
      </c>
      <c r="G1968" t="s">
        <v>75</v>
      </c>
      <c r="H1968">
        <v>1</v>
      </c>
      <c r="I1968" t="s">
        <v>71</v>
      </c>
      <c r="J1968" t="s">
        <v>71</v>
      </c>
      <c r="K1968" t="s">
        <v>76</v>
      </c>
      <c r="L1968" t="s">
        <v>30</v>
      </c>
      <c r="M1968" t="s">
        <v>58</v>
      </c>
    </row>
    <row r="1969" spans="1:13" x14ac:dyDescent="0.35">
      <c r="A1969" t="s">
        <v>3346</v>
      </c>
      <c r="B1969" s="9">
        <v>46184</v>
      </c>
      <c r="C1969" t="s">
        <v>231</v>
      </c>
      <c r="D1969" t="s">
        <v>15</v>
      </c>
      <c r="E1969" t="s">
        <v>34</v>
      </c>
      <c r="F1969" t="s">
        <v>89</v>
      </c>
      <c r="G1969" t="s">
        <v>90</v>
      </c>
      <c r="H1969">
        <v>1</v>
      </c>
      <c r="I1969" t="s">
        <v>79</v>
      </c>
      <c r="J1969" t="s">
        <v>79</v>
      </c>
      <c r="K1969" t="s">
        <v>108</v>
      </c>
      <c r="L1969" t="s">
        <v>30</v>
      </c>
      <c r="M1969" t="s">
        <v>22</v>
      </c>
    </row>
    <row r="1970" spans="1:13" x14ac:dyDescent="0.35">
      <c r="A1970" t="s">
        <v>3347</v>
      </c>
      <c r="B1970" s="9">
        <v>46204</v>
      </c>
      <c r="C1970" t="s">
        <v>376</v>
      </c>
      <c r="D1970" t="s">
        <v>61</v>
      </c>
      <c r="E1970" t="s">
        <v>41</v>
      </c>
      <c r="F1970" t="s">
        <v>83</v>
      </c>
      <c r="G1970" t="s">
        <v>84</v>
      </c>
      <c r="H1970">
        <v>3</v>
      </c>
      <c r="I1970" t="s">
        <v>132</v>
      </c>
      <c r="J1970" t="s">
        <v>232</v>
      </c>
      <c r="K1970" t="s">
        <v>103</v>
      </c>
      <c r="L1970" t="s">
        <v>30</v>
      </c>
      <c r="M1970" t="s">
        <v>58</v>
      </c>
    </row>
    <row r="1971" spans="1:13" x14ac:dyDescent="0.35">
      <c r="A1971" t="s">
        <v>3348</v>
      </c>
      <c r="B1971" s="9">
        <v>46071</v>
      </c>
      <c r="C1971" t="s">
        <v>247</v>
      </c>
      <c r="D1971" t="s">
        <v>40</v>
      </c>
      <c r="E1971" t="s">
        <v>67</v>
      </c>
      <c r="F1971" t="s">
        <v>89</v>
      </c>
      <c r="G1971" t="s">
        <v>90</v>
      </c>
      <c r="H1971">
        <v>1</v>
      </c>
      <c r="I1971" t="s">
        <v>106</v>
      </c>
      <c r="J1971" t="s">
        <v>106</v>
      </c>
      <c r="K1971">
        <v>640</v>
      </c>
      <c r="L1971" t="s">
        <v>30</v>
      </c>
      <c r="M1971" t="s">
        <v>22</v>
      </c>
    </row>
    <row r="1972" spans="1:13" x14ac:dyDescent="0.35">
      <c r="A1972" t="s">
        <v>3349</v>
      </c>
      <c r="B1972" s="9">
        <v>46202</v>
      </c>
      <c r="C1972" t="s">
        <v>766</v>
      </c>
      <c r="D1972" t="s">
        <v>61</v>
      </c>
      <c r="E1972" t="s">
        <v>16</v>
      </c>
      <c r="F1972" t="s">
        <v>89</v>
      </c>
      <c r="G1972" t="s">
        <v>90</v>
      </c>
      <c r="H1972">
        <v>2</v>
      </c>
      <c r="I1972" t="s">
        <v>132</v>
      </c>
      <c r="J1972" t="s">
        <v>133</v>
      </c>
      <c r="K1972" t="s">
        <v>108</v>
      </c>
      <c r="L1972" t="s">
        <v>21</v>
      </c>
      <c r="M1972" t="s">
        <v>22</v>
      </c>
    </row>
    <row r="1973" spans="1:13" x14ac:dyDescent="0.35">
      <c r="A1973" t="s">
        <v>3350</v>
      </c>
      <c r="B1973" s="9">
        <v>46201</v>
      </c>
      <c r="C1973" t="s">
        <v>3099</v>
      </c>
      <c r="D1973" t="s">
        <v>66</v>
      </c>
      <c r="E1973" t="s">
        <v>41</v>
      </c>
      <c r="F1973" t="s">
        <v>89</v>
      </c>
      <c r="G1973" t="s">
        <v>90</v>
      </c>
      <c r="H1973">
        <v>1</v>
      </c>
      <c r="I1973" t="s">
        <v>71</v>
      </c>
      <c r="J1973" t="s">
        <v>71</v>
      </c>
      <c r="K1973" t="s">
        <v>108</v>
      </c>
      <c r="L1973" t="s">
        <v>30</v>
      </c>
      <c r="M1973" t="s">
        <v>22</v>
      </c>
    </row>
    <row r="1974" spans="1:13" x14ac:dyDescent="0.35">
      <c r="A1974" t="s">
        <v>3351</v>
      </c>
      <c r="B1974" s="9">
        <v>46085</v>
      </c>
      <c r="C1974" t="s">
        <v>804</v>
      </c>
      <c r="D1974" t="s">
        <v>53</v>
      </c>
      <c r="E1974" t="s">
        <v>67</v>
      </c>
      <c r="F1974" t="s">
        <v>26</v>
      </c>
      <c r="G1974" t="s">
        <v>27</v>
      </c>
      <c r="H1974">
        <v>1</v>
      </c>
      <c r="I1974" t="s">
        <v>49</v>
      </c>
      <c r="J1974" t="s">
        <v>49</v>
      </c>
      <c r="K1974">
        <v>520</v>
      </c>
      <c r="L1974" t="s">
        <v>30</v>
      </c>
      <c r="M1974" t="s">
        <v>22</v>
      </c>
    </row>
    <row r="1975" spans="1:13" x14ac:dyDescent="0.35">
      <c r="A1975" t="s">
        <v>3352</v>
      </c>
      <c r="B1975" t="s">
        <v>3353</v>
      </c>
      <c r="C1975" t="s">
        <v>445</v>
      </c>
      <c r="D1975" t="s">
        <v>40</v>
      </c>
      <c r="E1975" t="s">
        <v>67</v>
      </c>
      <c r="F1975" t="s">
        <v>89</v>
      </c>
      <c r="G1975" t="s">
        <v>90</v>
      </c>
      <c r="H1975">
        <v>1</v>
      </c>
      <c r="I1975" t="s">
        <v>68</v>
      </c>
      <c r="J1975" t="s">
        <v>68</v>
      </c>
      <c r="K1975">
        <v>640</v>
      </c>
      <c r="L1975" t="s">
        <v>30</v>
      </c>
      <c r="M1975" t="s">
        <v>22</v>
      </c>
    </row>
    <row r="1976" spans="1:13" x14ac:dyDescent="0.35">
      <c r="A1976" t="s">
        <v>3354</v>
      </c>
      <c r="B1976" t="s">
        <v>2018</v>
      </c>
      <c r="C1976" t="s">
        <v>368</v>
      </c>
      <c r="D1976" t="s">
        <v>99</v>
      </c>
      <c r="E1976" t="s">
        <v>67</v>
      </c>
      <c r="F1976" t="s">
        <v>17</v>
      </c>
      <c r="G1976" t="s">
        <v>18</v>
      </c>
      <c r="H1976">
        <v>3</v>
      </c>
      <c r="I1976" t="s">
        <v>85</v>
      </c>
      <c r="J1976" t="s">
        <v>2057</v>
      </c>
      <c r="K1976">
        <v>520</v>
      </c>
      <c r="L1976" t="s">
        <v>30</v>
      </c>
      <c r="M1976" t="s">
        <v>58</v>
      </c>
    </row>
    <row r="1977" spans="1:13" x14ac:dyDescent="0.35">
      <c r="A1977" t="s">
        <v>3355</v>
      </c>
      <c r="B1977" s="9">
        <v>46057</v>
      </c>
      <c r="C1977" t="s">
        <v>2657</v>
      </c>
      <c r="D1977" t="s">
        <v>116</v>
      </c>
      <c r="E1977" t="s">
        <v>41</v>
      </c>
      <c r="F1977" t="s">
        <v>47</v>
      </c>
      <c r="G1977" t="s">
        <v>48</v>
      </c>
      <c r="H1977">
        <v>1</v>
      </c>
      <c r="I1977" t="s">
        <v>136</v>
      </c>
      <c r="J1977" t="s">
        <v>136</v>
      </c>
      <c r="K1977">
        <v>380</v>
      </c>
      <c r="L1977" t="s">
        <v>21</v>
      </c>
      <c r="M1977" t="s">
        <v>22</v>
      </c>
    </row>
    <row r="1978" spans="1:13" x14ac:dyDescent="0.35">
      <c r="A1978" t="s">
        <v>3356</v>
      </c>
      <c r="B1978" t="s">
        <v>2301</v>
      </c>
      <c r="C1978" t="s">
        <v>225</v>
      </c>
      <c r="D1978" t="s">
        <v>99</v>
      </c>
      <c r="E1978" t="s">
        <v>67</v>
      </c>
      <c r="F1978" t="s">
        <v>26</v>
      </c>
      <c r="G1978" t="s">
        <v>27</v>
      </c>
      <c r="H1978">
        <v>2</v>
      </c>
      <c r="I1978" t="s">
        <v>19</v>
      </c>
      <c r="J1978" t="s">
        <v>238</v>
      </c>
      <c r="K1978" t="s">
        <v>29</v>
      </c>
      <c r="L1978" t="s">
        <v>21</v>
      </c>
      <c r="M1978" t="s">
        <v>22</v>
      </c>
    </row>
    <row r="1979" spans="1:13" x14ac:dyDescent="0.35">
      <c r="A1979" t="s">
        <v>3357</v>
      </c>
      <c r="B1979" s="9">
        <v>46191</v>
      </c>
      <c r="C1979" t="s">
        <v>3358</v>
      </c>
      <c r="D1979" t="s">
        <v>94</v>
      </c>
      <c r="E1979" t="s">
        <v>67</v>
      </c>
      <c r="F1979" t="s">
        <v>42</v>
      </c>
      <c r="G1979" t="s">
        <v>43</v>
      </c>
      <c r="H1979">
        <v>1</v>
      </c>
      <c r="I1979" t="s">
        <v>254</v>
      </c>
      <c r="J1979" t="s">
        <v>254</v>
      </c>
      <c r="K1979" t="s">
        <v>111</v>
      </c>
      <c r="L1979" t="s">
        <v>30</v>
      </c>
      <c r="M1979" t="s">
        <v>22</v>
      </c>
    </row>
    <row r="1980" spans="1:13" x14ac:dyDescent="0.35">
      <c r="A1980" t="s">
        <v>3359</v>
      </c>
      <c r="B1980" t="s">
        <v>3360</v>
      </c>
      <c r="C1980" t="s">
        <v>504</v>
      </c>
      <c r="D1980" t="s">
        <v>40</v>
      </c>
      <c r="E1980" t="s">
        <v>41</v>
      </c>
      <c r="F1980" t="s">
        <v>89</v>
      </c>
      <c r="G1980" t="s">
        <v>90</v>
      </c>
      <c r="H1980">
        <v>-1</v>
      </c>
      <c r="I1980" t="s">
        <v>71</v>
      </c>
      <c r="J1980" t="s">
        <v>1404</v>
      </c>
      <c r="K1980" t="s">
        <v>108</v>
      </c>
      <c r="L1980" t="s">
        <v>30</v>
      </c>
      <c r="M1980" t="s">
        <v>22</v>
      </c>
    </row>
    <row r="1981" spans="1:13" x14ac:dyDescent="0.35">
      <c r="A1981" t="s">
        <v>3361</v>
      </c>
      <c r="B1981" s="9">
        <v>46199</v>
      </c>
      <c r="C1981" t="s">
        <v>1372</v>
      </c>
      <c r="D1981" t="s">
        <v>53</v>
      </c>
      <c r="E1981" t="s">
        <v>16</v>
      </c>
      <c r="F1981" t="s">
        <v>74</v>
      </c>
      <c r="G1981" t="s">
        <v>75</v>
      </c>
      <c r="H1981">
        <v>2</v>
      </c>
      <c r="I1981" t="s">
        <v>28</v>
      </c>
      <c r="J1981" t="s">
        <v>316</v>
      </c>
      <c r="K1981" t="s">
        <v>76</v>
      </c>
      <c r="L1981" t="s">
        <v>30</v>
      </c>
      <c r="M1981" t="s">
        <v>58</v>
      </c>
    </row>
    <row r="1982" spans="1:13" x14ac:dyDescent="0.35">
      <c r="A1982" t="s">
        <v>3362</v>
      </c>
      <c r="B1982" s="9">
        <v>46132</v>
      </c>
      <c r="C1982" t="s">
        <v>2456</v>
      </c>
      <c r="D1982" t="s">
        <v>46</v>
      </c>
      <c r="E1982" t="s">
        <v>25</v>
      </c>
      <c r="F1982" t="s">
        <v>47</v>
      </c>
      <c r="G1982" t="s">
        <v>48</v>
      </c>
      <c r="H1982">
        <v>3</v>
      </c>
      <c r="I1982" t="s">
        <v>49</v>
      </c>
      <c r="J1982" t="s">
        <v>257</v>
      </c>
      <c r="K1982" t="s">
        <v>50</v>
      </c>
      <c r="L1982" t="s">
        <v>30</v>
      </c>
      <c r="M1982" t="s">
        <v>58</v>
      </c>
    </row>
    <row r="1983" spans="1:13" x14ac:dyDescent="0.35">
      <c r="A1983" t="s">
        <v>3363</v>
      </c>
      <c r="B1983" t="s">
        <v>1080</v>
      </c>
      <c r="C1983" t="s">
        <v>2005</v>
      </c>
      <c r="D1983" t="s">
        <v>46</v>
      </c>
      <c r="E1983" t="s">
        <v>67</v>
      </c>
      <c r="F1983" t="s">
        <v>74</v>
      </c>
      <c r="G1983" t="s">
        <v>75</v>
      </c>
      <c r="H1983">
        <v>1</v>
      </c>
      <c r="I1983" t="s">
        <v>254</v>
      </c>
      <c r="J1983" t="s">
        <v>254</v>
      </c>
      <c r="K1983" t="s">
        <v>76</v>
      </c>
      <c r="L1983" t="s">
        <v>30</v>
      </c>
      <c r="M1983" t="s">
        <v>22</v>
      </c>
    </row>
    <row r="1984" spans="1:13" x14ac:dyDescent="0.35">
      <c r="A1984" t="s">
        <v>3364</v>
      </c>
      <c r="B1984" t="s">
        <v>1063</v>
      </c>
      <c r="C1984" t="s">
        <v>1124</v>
      </c>
      <c r="D1984" t="s">
        <v>116</v>
      </c>
      <c r="E1984" t="s">
        <v>25</v>
      </c>
      <c r="F1984" t="s">
        <v>26</v>
      </c>
      <c r="G1984" t="s">
        <v>27</v>
      </c>
      <c r="H1984">
        <v>2</v>
      </c>
      <c r="I1984" t="s">
        <v>106</v>
      </c>
      <c r="J1984" t="s">
        <v>107</v>
      </c>
      <c r="K1984">
        <v>520</v>
      </c>
      <c r="L1984" t="s">
        <v>30</v>
      </c>
      <c r="M1984" t="s">
        <v>58</v>
      </c>
    </row>
    <row r="1985" spans="1:13" x14ac:dyDescent="0.35">
      <c r="A1985" t="s">
        <v>3365</v>
      </c>
      <c r="B1985" s="9">
        <v>46031</v>
      </c>
      <c r="C1985" t="s">
        <v>435</v>
      </c>
      <c r="D1985" t="s">
        <v>40</v>
      </c>
      <c r="E1985" t="s">
        <v>16</v>
      </c>
      <c r="F1985" t="s">
        <v>74</v>
      </c>
      <c r="G1985" t="s">
        <v>75</v>
      </c>
      <c r="H1985">
        <v>1</v>
      </c>
      <c r="I1985" t="s">
        <v>106</v>
      </c>
      <c r="J1985" t="s">
        <v>106</v>
      </c>
      <c r="K1985">
        <v>410</v>
      </c>
      <c r="L1985" t="s">
        <v>30</v>
      </c>
      <c r="M1985" t="s">
        <v>22</v>
      </c>
    </row>
    <row r="1986" spans="1:13" x14ac:dyDescent="0.35">
      <c r="A1986" t="s">
        <v>3366</v>
      </c>
      <c r="B1986" s="9">
        <v>46327</v>
      </c>
      <c r="C1986" t="s">
        <v>3367</v>
      </c>
      <c r="D1986" t="s">
        <v>53</v>
      </c>
      <c r="E1986" t="s">
        <v>34</v>
      </c>
      <c r="F1986" t="s">
        <v>47</v>
      </c>
      <c r="G1986" t="s">
        <v>48</v>
      </c>
      <c r="H1986">
        <v>2</v>
      </c>
      <c r="I1986" t="s">
        <v>106</v>
      </c>
      <c r="J1986" t="s">
        <v>107</v>
      </c>
      <c r="K1986">
        <v>380</v>
      </c>
      <c r="L1986" t="s">
        <v>30</v>
      </c>
      <c r="M1986" t="s">
        <v>22</v>
      </c>
    </row>
    <row r="1987" spans="1:13" x14ac:dyDescent="0.35">
      <c r="A1987" t="s">
        <v>3368</v>
      </c>
      <c r="B1987" s="9">
        <v>46128</v>
      </c>
      <c r="C1987" t="s">
        <v>3369</v>
      </c>
      <c r="D1987" t="s">
        <v>46</v>
      </c>
      <c r="E1987" t="s">
        <v>67</v>
      </c>
      <c r="F1987" t="s">
        <v>35</v>
      </c>
      <c r="G1987" t="s">
        <v>36</v>
      </c>
      <c r="H1987">
        <v>2</v>
      </c>
      <c r="I1987" t="s">
        <v>106</v>
      </c>
      <c r="J1987" t="s">
        <v>107</v>
      </c>
      <c r="K1987">
        <v>85</v>
      </c>
      <c r="L1987" t="s">
        <v>30</v>
      </c>
      <c r="M1987" t="s">
        <v>22</v>
      </c>
    </row>
    <row r="1988" spans="1:13" x14ac:dyDescent="0.35">
      <c r="A1988" t="s">
        <v>3370</v>
      </c>
      <c r="B1988" s="9">
        <v>46075</v>
      </c>
      <c r="C1988" t="s">
        <v>3371</v>
      </c>
      <c r="D1988" t="s">
        <v>53</v>
      </c>
      <c r="E1988" t="s">
        <v>25</v>
      </c>
      <c r="F1988" t="s">
        <v>89</v>
      </c>
      <c r="G1988" t="s">
        <v>90</v>
      </c>
      <c r="H1988">
        <v>1</v>
      </c>
      <c r="I1988" t="s">
        <v>132</v>
      </c>
      <c r="J1988" t="s">
        <v>132</v>
      </c>
      <c r="K1988">
        <v>640</v>
      </c>
      <c r="L1988" t="s">
        <v>21</v>
      </c>
      <c r="M1988" t="s">
        <v>22</v>
      </c>
    </row>
    <row r="1989" spans="1:13" x14ac:dyDescent="0.35">
      <c r="A1989" t="s">
        <v>3372</v>
      </c>
      <c r="B1989" s="9">
        <v>46194</v>
      </c>
      <c r="C1989" t="s">
        <v>1484</v>
      </c>
      <c r="D1989" t="s">
        <v>46</v>
      </c>
      <c r="E1989" t="s">
        <v>16</v>
      </c>
      <c r="F1989" t="s">
        <v>35</v>
      </c>
      <c r="G1989" t="s">
        <v>36</v>
      </c>
      <c r="H1989">
        <v>2</v>
      </c>
      <c r="I1989" t="s">
        <v>170</v>
      </c>
      <c r="J1989" t="s">
        <v>152</v>
      </c>
      <c r="K1989" t="s">
        <v>37</v>
      </c>
      <c r="L1989" t="s">
        <v>30</v>
      </c>
      <c r="M1989" t="s">
        <v>22</v>
      </c>
    </row>
    <row r="1990" spans="1:13" x14ac:dyDescent="0.35">
      <c r="A1990" t="s">
        <v>3373</v>
      </c>
      <c r="B1990" t="s">
        <v>186</v>
      </c>
      <c r="C1990" t="s">
        <v>1019</v>
      </c>
      <c r="D1990" t="s">
        <v>99</v>
      </c>
      <c r="E1990" t="s">
        <v>25</v>
      </c>
      <c r="F1990" t="s">
        <v>35</v>
      </c>
      <c r="G1990" t="s">
        <v>36</v>
      </c>
      <c r="H1990">
        <v>1</v>
      </c>
      <c r="I1990" t="s">
        <v>1419</v>
      </c>
      <c r="J1990" t="s">
        <v>132</v>
      </c>
      <c r="K1990" t="s">
        <v>37</v>
      </c>
      <c r="L1990" t="s">
        <v>30</v>
      </c>
      <c r="M1990" t="s">
        <v>58</v>
      </c>
    </row>
    <row r="1991" spans="1:13" x14ac:dyDescent="0.35">
      <c r="A1991" t="s">
        <v>3374</v>
      </c>
      <c r="B1991" s="9">
        <v>46157</v>
      </c>
      <c r="C1991" t="s">
        <v>139</v>
      </c>
      <c r="D1991" t="s">
        <v>53</v>
      </c>
      <c r="E1991" t="s">
        <v>16</v>
      </c>
      <c r="F1991" t="s">
        <v>74</v>
      </c>
      <c r="G1991" t="s">
        <v>75</v>
      </c>
      <c r="H1991">
        <v>2</v>
      </c>
      <c r="I1991" t="s">
        <v>758</v>
      </c>
      <c r="J1991" t="s">
        <v>178</v>
      </c>
      <c r="K1991" t="s">
        <v>76</v>
      </c>
      <c r="L1991" t="s">
        <v>30</v>
      </c>
      <c r="M1991" t="s">
        <v>22</v>
      </c>
    </row>
    <row r="1992" spans="1:13" x14ac:dyDescent="0.35">
      <c r="A1992" t="s">
        <v>3375</v>
      </c>
      <c r="B1992" s="9">
        <v>46197</v>
      </c>
      <c r="C1992" t="s">
        <v>1504</v>
      </c>
      <c r="D1992" t="s">
        <v>33</v>
      </c>
      <c r="E1992" t="s">
        <v>67</v>
      </c>
      <c r="F1992" t="s">
        <v>89</v>
      </c>
      <c r="G1992" t="s">
        <v>90</v>
      </c>
      <c r="H1992">
        <v>2</v>
      </c>
      <c r="I1992" t="s">
        <v>85</v>
      </c>
      <c r="J1992" t="s">
        <v>267</v>
      </c>
      <c r="K1992" t="s">
        <v>108</v>
      </c>
      <c r="L1992" t="s">
        <v>30</v>
      </c>
      <c r="M1992" t="s">
        <v>22</v>
      </c>
    </row>
    <row r="1993" spans="1:13" x14ac:dyDescent="0.35">
      <c r="A1993" t="s">
        <v>3376</v>
      </c>
      <c r="B1993" s="9">
        <v>46116</v>
      </c>
      <c r="C1993" t="s">
        <v>3377</v>
      </c>
      <c r="D1993" t="s">
        <v>99</v>
      </c>
      <c r="E1993" t="s">
        <v>25</v>
      </c>
      <c r="F1993" t="s">
        <v>17</v>
      </c>
      <c r="G1993" t="s">
        <v>18</v>
      </c>
      <c r="H1993">
        <v>3</v>
      </c>
      <c r="I1993" t="s">
        <v>49</v>
      </c>
      <c r="J1993" t="s">
        <v>257</v>
      </c>
      <c r="K1993">
        <v>520</v>
      </c>
      <c r="L1993" t="s">
        <v>21</v>
      </c>
      <c r="M1993" t="s">
        <v>22</v>
      </c>
    </row>
    <row r="1994" spans="1:13" x14ac:dyDescent="0.35">
      <c r="A1994" t="s">
        <v>3378</v>
      </c>
      <c r="B1994" s="9">
        <v>46142</v>
      </c>
      <c r="C1994" t="s">
        <v>2489</v>
      </c>
      <c r="D1994" t="s">
        <v>116</v>
      </c>
      <c r="E1994" t="s">
        <v>67</v>
      </c>
      <c r="F1994" t="s">
        <v>35</v>
      </c>
      <c r="G1994" t="s">
        <v>36</v>
      </c>
      <c r="H1994">
        <v>2</v>
      </c>
      <c r="I1994" t="s">
        <v>132</v>
      </c>
      <c r="J1994" t="s">
        <v>133</v>
      </c>
      <c r="K1994" t="s">
        <v>37</v>
      </c>
      <c r="L1994" t="s">
        <v>21</v>
      </c>
      <c r="M1994" t="s">
        <v>58</v>
      </c>
    </row>
    <row r="1995" spans="1:13" x14ac:dyDescent="0.35">
      <c r="A1995" t="s">
        <v>3379</v>
      </c>
      <c r="B1995" s="9">
        <v>46187</v>
      </c>
      <c r="C1995" t="s">
        <v>3380</v>
      </c>
      <c r="D1995" t="s">
        <v>116</v>
      </c>
      <c r="E1995" t="s">
        <v>25</v>
      </c>
      <c r="F1995" t="s">
        <v>26</v>
      </c>
      <c r="G1995" t="s">
        <v>27</v>
      </c>
      <c r="H1995">
        <v>2</v>
      </c>
      <c r="I1995" t="s">
        <v>102</v>
      </c>
      <c r="J1995" t="s">
        <v>181</v>
      </c>
      <c r="K1995" t="s">
        <v>29</v>
      </c>
      <c r="L1995" t="s">
        <v>30</v>
      </c>
      <c r="M1995" t="s">
        <v>22</v>
      </c>
    </row>
    <row r="1996" spans="1:13" x14ac:dyDescent="0.35">
      <c r="A1996" t="s">
        <v>3381</v>
      </c>
      <c r="B1996" s="9">
        <v>46055</v>
      </c>
      <c r="C1996" t="s">
        <v>2574</v>
      </c>
      <c r="D1996" t="s">
        <v>94</v>
      </c>
      <c r="E1996" t="s">
        <v>25</v>
      </c>
      <c r="F1996" t="s">
        <v>47</v>
      </c>
      <c r="G1996" t="s">
        <v>48</v>
      </c>
      <c r="H1996">
        <v>2</v>
      </c>
      <c r="I1996" t="s">
        <v>170</v>
      </c>
      <c r="J1996" t="s">
        <v>152</v>
      </c>
      <c r="K1996">
        <v>380</v>
      </c>
      <c r="L1996" t="s">
        <v>30</v>
      </c>
      <c r="M1996" t="s">
        <v>58</v>
      </c>
    </row>
    <row r="1997" spans="1:13" x14ac:dyDescent="0.35">
      <c r="A1997" t="s">
        <v>3382</v>
      </c>
      <c r="B1997" s="9">
        <v>46087</v>
      </c>
      <c r="C1997" t="s">
        <v>3383</v>
      </c>
      <c r="D1997" t="s">
        <v>33</v>
      </c>
      <c r="E1997" t="s">
        <v>16</v>
      </c>
      <c r="F1997" t="s">
        <v>47</v>
      </c>
      <c r="G1997" t="s">
        <v>48</v>
      </c>
      <c r="H1997">
        <v>1</v>
      </c>
      <c r="I1997" t="s">
        <v>62</v>
      </c>
      <c r="J1997" t="s">
        <v>62</v>
      </c>
      <c r="K1997">
        <v>380</v>
      </c>
      <c r="L1997" t="s">
        <v>30</v>
      </c>
      <c r="M1997" t="s">
        <v>22</v>
      </c>
    </row>
    <row r="1998" spans="1:13" x14ac:dyDescent="0.35">
      <c r="A1998" t="s">
        <v>3384</v>
      </c>
      <c r="B1998" s="9">
        <v>46065</v>
      </c>
      <c r="C1998" t="s">
        <v>2459</v>
      </c>
      <c r="D1998" t="s">
        <v>40</v>
      </c>
      <c r="E1998" t="s">
        <v>67</v>
      </c>
      <c r="F1998" t="s">
        <v>47</v>
      </c>
      <c r="G1998" t="s">
        <v>48</v>
      </c>
      <c r="H1998">
        <v>1</v>
      </c>
      <c r="I1998" t="s">
        <v>85</v>
      </c>
      <c r="J1998" t="s">
        <v>85</v>
      </c>
      <c r="K1998">
        <v>380</v>
      </c>
      <c r="L1998" t="s">
        <v>30</v>
      </c>
      <c r="M1998" t="s">
        <v>22</v>
      </c>
    </row>
    <row r="1999" spans="1:13" x14ac:dyDescent="0.35">
      <c r="A1999" t="s">
        <v>3385</v>
      </c>
      <c r="B1999" s="9">
        <v>46061</v>
      </c>
      <c r="C1999" t="s">
        <v>2977</v>
      </c>
      <c r="D1999" t="s">
        <v>66</v>
      </c>
      <c r="E1999" t="s">
        <v>34</v>
      </c>
      <c r="F1999" t="s">
        <v>89</v>
      </c>
      <c r="G1999" t="s">
        <v>90</v>
      </c>
      <c r="H1999">
        <v>1</v>
      </c>
      <c r="I1999" t="s">
        <v>19</v>
      </c>
      <c r="J1999" t="s">
        <v>19</v>
      </c>
      <c r="K1999">
        <v>640</v>
      </c>
      <c r="L1999" t="s">
        <v>30</v>
      </c>
      <c r="M1999" t="s">
        <v>58</v>
      </c>
    </row>
    <row r="2000" spans="1:13" x14ac:dyDescent="0.35">
      <c r="A2000" t="s">
        <v>3386</v>
      </c>
      <c r="B2000" s="9">
        <v>46093</v>
      </c>
      <c r="C2000" t="s">
        <v>378</v>
      </c>
      <c r="D2000" t="s">
        <v>99</v>
      </c>
      <c r="E2000" t="s">
        <v>25</v>
      </c>
      <c r="F2000" t="s">
        <v>17</v>
      </c>
      <c r="G2000" t="s">
        <v>18</v>
      </c>
      <c r="H2000">
        <v>3</v>
      </c>
      <c r="I2000" t="s">
        <v>254</v>
      </c>
      <c r="J2000" t="s">
        <v>390</v>
      </c>
      <c r="K2000">
        <v>520</v>
      </c>
      <c r="L2000" t="s">
        <v>30</v>
      </c>
      <c r="M2000" t="s">
        <v>22</v>
      </c>
    </row>
    <row r="2001" spans="1:13" x14ac:dyDescent="0.35">
      <c r="A2001" t="s">
        <v>2123</v>
      </c>
      <c r="B2001" s="9">
        <v>46160</v>
      </c>
      <c r="C2001" t="s">
        <v>1369</v>
      </c>
      <c r="D2001" t="s">
        <v>66</v>
      </c>
      <c r="E2001" t="s">
        <v>67</v>
      </c>
      <c r="F2001" t="s">
        <v>17</v>
      </c>
      <c r="G2001" t="s">
        <v>18</v>
      </c>
      <c r="H2001">
        <v>3</v>
      </c>
      <c r="I2001" t="s">
        <v>132</v>
      </c>
      <c r="J2001" t="s">
        <v>232</v>
      </c>
      <c r="K2001" t="s">
        <v>29</v>
      </c>
      <c r="L2001" t="s">
        <v>21</v>
      </c>
      <c r="M2001" t="s">
        <v>58</v>
      </c>
    </row>
    <row r="2002" spans="1:13" x14ac:dyDescent="0.35">
      <c r="A2002" t="s">
        <v>3387</v>
      </c>
      <c r="B2002" s="9">
        <v>46144</v>
      </c>
      <c r="C2002" t="s">
        <v>1338</v>
      </c>
      <c r="D2002" t="s">
        <v>15</v>
      </c>
      <c r="E2002" t="s">
        <v>34</v>
      </c>
      <c r="F2002" t="s">
        <v>83</v>
      </c>
      <c r="G2002" t="s">
        <v>84</v>
      </c>
      <c r="H2002">
        <v>2</v>
      </c>
      <c r="I2002" t="s">
        <v>19</v>
      </c>
      <c r="J2002" t="s">
        <v>238</v>
      </c>
      <c r="K2002" t="s">
        <v>103</v>
      </c>
      <c r="L2002" t="s">
        <v>21</v>
      </c>
      <c r="M2002" t="s">
        <v>22</v>
      </c>
    </row>
    <row r="2003" spans="1:13" x14ac:dyDescent="0.35">
      <c r="A2003" t="s">
        <v>3388</v>
      </c>
      <c r="B2003" s="9">
        <v>46133</v>
      </c>
      <c r="C2003" t="s">
        <v>3389</v>
      </c>
      <c r="D2003" t="s">
        <v>61</v>
      </c>
      <c r="E2003" t="s">
        <v>41</v>
      </c>
      <c r="F2003" t="s">
        <v>89</v>
      </c>
      <c r="G2003" t="s">
        <v>90</v>
      </c>
      <c r="H2003">
        <v>2</v>
      </c>
      <c r="I2003" t="s">
        <v>132</v>
      </c>
      <c r="J2003" t="s">
        <v>3390</v>
      </c>
      <c r="K2003" t="s">
        <v>108</v>
      </c>
      <c r="L2003" t="s">
        <v>30</v>
      </c>
      <c r="M2003" t="s">
        <v>22</v>
      </c>
    </row>
    <row r="2004" spans="1:13" x14ac:dyDescent="0.35">
      <c r="A2004" t="s">
        <v>3391</v>
      </c>
      <c r="B2004" s="9">
        <v>46131</v>
      </c>
      <c r="C2004" t="s">
        <v>3392</v>
      </c>
      <c r="D2004" t="s">
        <v>33</v>
      </c>
      <c r="E2004" t="s">
        <v>16</v>
      </c>
      <c r="F2004" t="s">
        <v>47</v>
      </c>
      <c r="G2004" t="s">
        <v>48</v>
      </c>
      <c r="H2004">
        <v>1</v>
      </c>
      <c r="I2004" t="s">
        <v>79</v>
      </c>
      <c r="J2004" t="s">
        <v>79</v>
      </c>
      <c r="K2004">
        <v>380</v>
      </c>
      <c r="L2004" t="s">
        <v>30</v>
      </c>
      <c r="M2004" t="s">
        <v>58</v>
      </c>
    </row>
    <row r="2005" spans="1:13" x14ac:dyDescent="0.35">
      <c r="A2005" t="s">
        <v>3393</v>
      </c>
      <c r="B2005" s="9">
        <v>46071</v>
      </c>
      <c r="C2005" t="s">
        <v>1782</v>
      </c>
      <c r="D2005" t="s">
        <v>53</v>
      </c>
      <c r="E2005" t="s">
        <v>25</v>
      </c>
      <c r="F2005" t="s">
        <v>42</v>
      </c>
      <c r="G2005" t="s">
        <v>43</v>
      </c>
      <c r="H2005">
        <v>1</v>
      </c>
      <c r="I2005" t="s">
        <v>85</v>
      </c>
      <c r="J2005" t="s">
        <v>85</v>
      </c>
      <c r="K2005">
        <v>190</v>
      </c>
      <c r="L2005" t="s">
        <v>30</v>
      </c>
      <c r="M2005" t="s">
        <v>22</v>
      </c>
    </row>
    <row r="2006" spans="1:13" x14ac:dyDescent="0.35">
      <c r="A2006" t="s">
        <v>3394</v>
      </c>
      <c r="B2006" s="9">
        <v>46080</v>
      </c>
      <c r="C2006" t="s">
        <v>2602</v>
      </c>
      <c r="D2006" t="s">
        <v>33</v>
      </c>
      <c r="E2006" t="s">
        <v>41</v>
      </c>
      <c r="F2006" t="s">
        <v>74</v>
      </c>
      <c r="G2006" t="s">
        <v>75</v>
      </c>
      <c r="H2006">
        <v>1</v>
      </c>
      <c r="I2006" t="s">
        <v>62</v>
      </c>
      <c r="J2006" t="s">
        <v>62</v>
      </c>
      <c r="K2006">
        <v>410</v>
      </c>
      <c r="L2006" t="s">
        <v>30</v>
      </c>
      <c r="M2006" t="s">
        <v>58</v>
      </c>
    </row>
    <row r="2007" spans="1:13" x14ac:dyDescent="0.35">
      <c r="A2007" t="s">
        <v>3395</v>
      </c>
      <c r="B2007" s="9">
        <v>46066</v>
      </c>
      <c r="C2007" t="s">
        <v>3338</v>
      </c>
      <c r="D2007" t="s">
        <v>46</v>
      </c>
      <c r="E2007" t="s">
        <v>67</v>
      </c>
      <c r="F2007" t="s">
        <v>47</v>
      </c>
      <c r="G2007" t="s">
        <v>48</v>
      </c>
      <c r="H2007">
        <v>-1</v>
      </c>
      <c r="I2007" t="s">
        <v>85</v>
      </c>
      <c r="J2007" t="s">
        <v>3396</v>
      </c>
      <c r="K2007">
        <v>380</v>
      </c>
      <c r="L2007" t="s">
        <v>30</v>
      </c>
      <c r="M2007" t="s">
        <v>22</v>
      </c>
    </row>
    <row r="2008" spans="1:13" x14ac:dyDescent="0.35">
      <c r="A2008" t="s">
        <v>3397</v>
      </c>
      <c r="B2008" s="9">
        <v>46205</v>
      </c>
      <c r="C2008" t="s">
        <v>3398</v>
      </c>
      <c r="D2008" t="s">
        <v>66</v>
      </c>
      <c r="E2008" t="s">
        <v>41</v>
      </c>
      <c r="F2008" t="s">
        <v>83</v>
      </c>
      <c r="G2008" t="s">
        <v>84</v>
      </c>
      <c r="H2008">
        <v>3</v>
      </c>
      <c r="I2008" t="s">
        <v>79</v>
      </c>
      <c r="J2008" t="s">
        <v>91</v>
      </c>
      <c r="K2008" t="s">
        <v>103</v>
      </c>
      <c r="L2008" t="s">
        <v>30</v>
      </c>
      <c r="M2008" t="s">
        <v>22</v>
      </c>
    </row>
    <row r="2009" spans="1:13" x14ac:dyDescent="0.35">
      <c r="A2009" t="s">
        <v>3399</v>
      </c>
      <c r="B2009" s="9">
        <v>46150</v>
      </c>
      <c r="C2009" t="s">
        <v>1360</v>
      </c>
      <c r="D2009" t="s">
        <v>99</v>
      </c>
      <c r="E2009" t="s">
        <v>25</v>
      </c>
      <c r="F2009" t="s">
        <v>89</v>
      </c>
      <c r="G2009" t="s">
        <v>90</v>
      </c>
      <c r="H2009">
        <v>2</v>
      </c>
      <c r="I2009" t="s">
        <v>220</v>
      </c>
      <c r="J2009" t="s">
        <v>221</v>
      </c>
      <c r="K2009" t="s">
        <v>108</v>
      </c>
      <c r="L2009" t="s">
        <v>30</v>
      </c>
      <c r="M2009" t="s">
        <v>22</v>
      </c>
    </row>
    <row r="2010" spans="1:13" x14ac:dyDescent="0.35">
      <c r="A2010" t="s">
        <v>3400</v>
      </c>
      <c r="B2010" s="9">
        <v>46194</v>
      </c>
      <c r="C2010" t="s">
        <v>1089</v>
      </c>
      <c r="D2010" t="s">
        <v>46</v>
      </c>
      <c r="E2010" t="s">
        <v>25</v>
      </c>
      <c r="F2010" t="s">
        <v>26</v>
      </c>
      <c r="G2010" t="s">
        <v>27</v>
      </c>
      <c r="H2010">
        <v>3</v>
      </c>
      <c r="I2010" t="s">
        <v>102</v>
      </c>
      <c r="J2010" t="s">
        <v>127</v>
      </c>
      <c r="K2010" t="s">
        <v>29</v>
      </c>
      <c r="L2010" t="s">
        <v>30</v>
      </c>
      <c r="M2010" t="s">
        <v>22</v>
      </c>
    </row>
    <row r="2011" spans="1:13" x14ac:dyDescent="0.35">
      <c r="A2011" t="s">
        <v>3401</v>
      </c>
      <c r="B2011" t="s">
        <v>989</v>
      </c>
      <c r="C2011" t="s">
        <v>1254</v>
      </c>
      <c r="D2011" t="s">
        <v>33</v>
      </c>
      <c r="E2011" t="s">
        <v>34</v>
      </c>
      <c r="F2011" t="s">
        <v>42</v>
      </c>
      <c r="G2011" t="s">
        <v>43</v>
      </c>
      <c r="H2011">
        <v>2</v>
      </c>
      <c r="I2011" t="s">
        <v>68</v>
      </c>
      <c r="J2011" t="s">
        <v>248</v>
      </c>
      <c r="K2011" t="s">
        <v>111</v>
      </c>
      <c r="L2011" t="s">
        <v>30</v>
      </c>
      <c r="M2011" t="s">
        <v>22</v>
      </c>
    </row>
    <row r="2012" spans="1:13" x14ac:dyDescent="0.35">
      <c r="A2012" t="s">
        <v>3402</v>
      </c>
      <c r="B2012" s="9">
        <v>46070</v>
      </c>
      <c r="C2012" t="s">
        <v>2650</v>
      </c>
      <c r="D2012" t="s">
        <v>99</v>
      </c>
      <c r="E2012" t="s">
        <v>16</v>
      </c>
      <c r="F2012" t="s">
        <v>47</v>
      </c>
      <c r="G2012" t="s">
        <v>48</v>
      </c>
      <c r="H2012">
        <v>1</v>
      </c>
      <c r="I2012" t="s">
        <v>68</v>
      </c>
      <c r="J2012" t="s">
        <v>3403</v>
      </c>
      <c r="K2012">
        <v>380</v>
      </c>
      <c r="L2012" t="s">
        <v>30</v>
      </c>
      <c r="M2012" t="s">
        <v>22</v>
      </c>
    </row>
    <row r="2013" spans="1:13" x14ac:dyDescent="0.35">
      <c r="A2013" t="s">
        <v>3404</v>
      </c>
      <c r="B2013" s="9">
        <v>46188</v>
      </c>
      <c r="C2013" t="s">
        <v>3405</v>
      </c>
      <c r="D2013" t="s">
        <v>116</v>
      </c>
      <c r="E2013" t="s">
        <v>25</v>
      </c>
      <c r="F2013" t="s">
        <v>89</v>
      </c>
      <c r="G2013" t="s">
        <v>90</v>
      </c>
      <c r="H2013">
        <v>2</v>
      </c>
      <c r="I2013" t="s">
        <v>68</v>
      </c>
      <c r="J2013" t="s">
        <v>248</v>
      </c>
      <c r="K2013" t="s">
        <v>108</v>
      </c>
      <c r="L2013" t="s">
        <v>30</v>
      </c>
      <c r="M2013" t="s">
        <v>22</v>
      </c>
    </row>
    <row r="2014" spans="1:13" x14ac:dyDescent="0.35">
      <c r="A2014" t="s">
        <v>3406</v>
      </c>
      <c r="B2014" s="9">
        <v>46128</v>
      </c>
      <c r="C2014" t="s">
        <v>3407</v>
      </c>
      <c r="D2014" t="s">
        <v>61</v>
      </c>
      <c r="E2014" t="s">
        <v>25</v>
      </c>
      <c r="F2014" t="s">
        <v>42</v>
      </c>
      <c r="G2014" t="s">
        <v>43</v>
      </c>
      <c r="H2014">
        <v>1</v>
      </c>
      <c r="I2014" t="s">
        <v>136</v>
      </c>
      <c r="J2014" t="s">
        <v>136</v>
      </c>
      <c r="K2014">
        <v>190</v>
      </c>
      <c r="L2014" t="s">
        <v>21</v>
      </c>
      <c r="M2014" t="s">
        <v>58</v>
      </c>
    </row>
    <row r="2015" spans="1:13" x14ac:dyDescent="0.35">
      <c r="A2015" t="s">
        <v>3408</v>
      </c>
      <c r="B2015" s="9">
        <v>46207</v>
      </c>
      <c r="C2015" t="s">
        <v>2112</v>
      </c>
      <c r="D2015" t="s">
        <v>94</v>
      </c>
      <c r="E2015" t="s">
        <v>16</v>
      </c>
      <c r="F2015" t="s">
        <v>42</v>
      </c>
      <c r="G2015" t="s">
        <v>43</v>
      </c>
      <c r="H2015">
        <v>3</v>
      </c>
      <c r="I2015" t="s">
        <v>19</v>
      </c>
      <c r="J2015" t="s">
        <v>326</v>
      </c>
      <c r="K2015" t="s">
        <v>111</v>
      </c>
      <c r="L2015" t="s">
        <v>21</v>
      </c>
      <c r="M2015" t="s">
        <v>22</v>
      </c>
    </row>
    <row r="2016" spans="1:13" x14ac:dyDescent="0.35">
      <c r="A2016" t="s">
        <v>3409</v>
      </c>
      <c r="B2016" s="9">
        <v>46148</v>
      </c>
      <c r="C2016" t="s">
        <v>1375</v>
      </c>
      <c r="D2016" t="s">
        <v>15</v>
      </c>
      <c r="E2016" t="s">
        <v>41</v>
      </c>
      <c r="F2016" t="s">
        <v>83</v>
      </c>
      <c r="G2016" t="s">
        <v>84</v>
      </c>
      <c r="H2016">
        <v>2</v>
      </c>
      <c r="I2016" t="s">
        <v>62</v>
      </c>
      <c r="J2016" t="s">
        <v>63</v>
      </c>
      <c r="K2016" t="s">
        <v>103</v>
      </c>
      <c r="L2016" t="s">
        <v>30</v>
      </c>
      <c r="M2016" t="s">
        <v>22</v>
      </c>
    </row>
    <row r="2017" spans="1:13" x14ac:dyDescent="0.35">
      <c r="A2017" t="s">
        <v>3410</v>
      </c>
      <c r="B2017" s="9">
        <v>46088</v>
      </c>
      <c r="C2017" t="s">
        <v>2364</v>
      </c>
      <c r="D2017" t="s">
        <v>99</v>
      </c>
      <c r="E2017" t="s">
        <v>16</v>
      </c>
      <c r="F2017" t="s">
        <v>74</v>
      </c>
      <c r="G2017" t="s">
        <v>75</v>
      </c>
      <c r="H2017">
        <v>1</v>
      </c>
      <c r="I2017" t="s">
        <v>56</v>
      </c>
      <c r="J2017" t="s">
        <v>56</v>
      </c>
      <c r="K2017">
        <v>410</v>
      </c>
      <c r="L2017" t="s">
        <v>30</v>
      </c>
      <c r="M2017" t="s">
        <v>22</v>
      </c>
    </row>
    <row r="2018" spans="1:13" x14ac:dyDescent="0.35">
      <c r="A2018" t="s">
        <v>3411</v>
      </c>
      <c r="B2018" s="9">
        <v>46176</v>
      </c>
      <c r="C2018" t="s">
        <v>191</v>
      </c>
      <c r="D2018" t="s">
        <v>99</v>
      </c>
      <c r="E2018" t="s">
        <v>67</v>
      </c>
      <c r="F2018" t="s">
        <v>17</v>
      </c>
      <c r="G2018" t="s">
        <v>18</v>
      </c>
      <c r="H2018">
        <v>2</v>
      </c>
      <c r="I2018" t="s">
        <v>68</v>
      </c>
      <c r="J2018" t="s">
        <v>248</v>
      </c>
      <c r="K2018" t="s">
        <v>29</v>
      </c>
      <c r="L2018" t="s">
        <v>30</v>
      </c>
      <c r="M2018" t="s">
        <v>22</v>
      </c>
    </row>
    <row r="2019" spans="1:13" x14ac:dyDescent="0.35">
      <c r="A2019" t="s">
        <v>3412</v>
      </c>
      <c r="B2019" s="9">
        <v>46116</v>
      </c>
      <c r="C2019" t="s">
        <v>1375</v>
      </c>
      <c r="D2019" t="s">
        <v>46</v>
      </c>
      <c r="E2019" t="s">
        <v>41</v>
      </c>
      <c r="F2019" t="s">
        <v>83</v>
      </c>
      <c r="G2019" t="s">
        <v>84</v>
      </c>
      <c r="H2019">
        <v>3</v>
      </c>
      <c r="I2019" t="s">
        <v>436</v>
      </c>
      <c r="J2019" t="s">
        <v>91</v>
      </c>
      <c r="K2019">
        <v>340</v>
      </c>
      <c r="L2019" t="s">
        <v>21</v>
      </c>
      <c r="M2019" t="s">
        <v>22</v>
      </c>
    </row>
    <row r="2020" spans="1:13" x14ac:dyDescent="0.35">
      <c r="A2020" t="s">
        <v>3413</v>
      </c>
      <c r="B2020" t="s">
        <v>775</v>
      </c>
      <c r="C2020" t="s">
        <v>1960</v>
      </c>
      <c r="D2020" t="s">
        <v>61</v>
      </c>
      <c r="E2020" t="s">
        <v>34</v>
      </c>
      <c r="F2020" t="s">
        <v>17</v>
      </c>
      <c r="G2020" t="s">
        <v>18</v>
      </c>
      <c r="H2020">
        <v>1</v>
      </c>
      <c r="I2020" t="s">
        <v>220</v>
      </c>
      <c r="J2020" t="s">
        <v>220</v>
      </c>
      <c r="K2020">
        <v>520</v>
      </c>
      <c r="L2020" t="s">
        <v>21</v>
      </c>
      <c r="M2020" t="s">
        <v>22</v>
      </c>
    </row>
    <row r="2021" spans="1:13" x14ac:dyDescent="0.35">
      <c r="A2021" t="s">
        <v>3414</v>
      </c>
      <c r="B2021" s="9">
        <v>46054</v>
      </c>
      <c r="C2021" t="s">
        <v>2908</v>
      </c>
      <c r="D2021" t="s">
        <v>40</v>
      </c>
      <c r="E2021" t="s">
        <v>41</v>
      </c>
      <c r="F2021" t="s">
        <v>47</v>
      </c>
      <c r="G2021" t="s">
        <v>48</v>
      </c>
      <c r="H2021">
        <v>2</v>
      </c>
      <c r="I2021" t="s">
        <v>19</v>
      </c>
      <c r="J2021" t="s">
        <v>238</v>
      </c>
      <c r="K2021">
        <v>380</v>
      </c>
      <c r="L2021" t="s">
        <v>30</v>
      </c>
      <c r="M2021" t="s">
        <v>22</v>
      </c>
    </row>
    <row r="2022" spans="1:13" x14ac:dyDescent="0.35">
      <c r="A2022" t="s">
        <v>3415</v>
      </c>
      <c r="B2022" s="9">
        <v>46081</v>
      </c>
      <c r="C2022" t="s">
        <v>1128</v>
      </c>
      <c r="D2022" t="s">
        <v>15</v>
      </c>
      <c r="E2022" t="s">
        <v>41</v>
      </c>
      <c r="F2022" t="s">
        <v>47</v>
      </c>
      <c r="G2022" t="s">
        <v>48</v>
      </c>
      <c r="H2022">
        <v>2</v>
      </c>
      <c r="I2022" t="s">
        <v>19</v>
      </c>
      <c r="J2022" t="s">
        <v>238</v>
      </c>
      <c r="K2022">
        <v>380</v>
      </c>
      <c r="L2022" t="s">
        <v>30</v>
      </c>
      <c r="M2022" t="s">
        <v>58</v>
      </c>
    </row>
    <row r="2023" spans="1:13" x14ac:dyDescent="0.35">
      <c r="A2023" t="s">
        <v>3416</v>
      </c>
      <c r="B2023" s="9">
        <v>46029</v>
      </c>
      <c r="C2023" t="s">
        <v>2827</v>
      </c>
      <c r="D2023" t="s">
        <v>40</v>
      </c>
      <c r="E2023" t="s">
        <v>67</v>
      </c>
      <c r="F2023" t="s">
        <v>17</v>
      </c>
      <c r="G2023" t="s">
        <v>18</v>
      </c>
      <c r="H2023">
        <v>2</v>
      </c>
      <c r="I2023" t="s">
        <v>102</v>
      </c>
      <c r="J2023" t="s">
        <v>181</v>
      </c>
      <c r="K2023">
        <v>520</v>
      </c>
      <c r="L2023" t="s">
        <v>30</v>
      </c>
      <c r="M2023" t="s">
        <v>22</v>
      </c>
    </row>
    <row r="2024" spans="1:13" x14ac:dyDescent="0.35">
      <c r="A2024" t="s">
        <v>3417</v>
      </c>
      <c r="B2024" s="9">
        <v>46167</v>
      </c>
      <c r="C2024" t="s">
        <v>2191</v>
      </c>
      <c r="D2024" t="s">
        <v>99</v>
      </c>
      <c r="E2024" t="s">
        <v>25</v>
      </c>
      <c r="F2024" t="s">
        <v>26</v>
      </c>
      <c r="G2024" t="s">
        <v>27</v>
      </c>
      <c r="H2024">
        <v>2</v>
      </c>
      <c r="I2024" t="s">
        <v>673</v>
      </c>
      <c r="J2024" t="s">
        <v>3418</v>
      </c>
      <c r="K2024" t="s">
        <v>29</v>
      </c>
      <c r="L2024" t="s">
        <v>30</v>
      </c>
      <c r="M2024" t="s">
        <v>22</v>
      </c>
    </row>
    <row r="2025" spans="1:13" x14ac:dyDescent="0.35">
      <c r="A2025" t="s">
        <v>3419</v>
      </c>
      <c r="B2025" s="9">
        <v>46055</v>
      </c>
      <c r="C2025" t="s">
        <v>3420</v>
      </c>
      <c r="D2025" t="s">
        <v>99</v>
      </c>
      <c r="E2025" t="s">
        <v>34</v>
      </c>
      <c r="F2025" t="s">
        <v>47</v>
      </c>
      <c r="G2025" t="s">
        <v>48</v>
      </c>
      <c r="H2025">
        <v>1</v>
      </c>
      <c r="I2025" t="s">
        <v>102</v>
      </c>
      <c r="J2025" t="s">
        <v>102</v>
      </c>
      <c r="K2025">
        <v>380</v>
      </c>
      <c r="L2025" t="s">
        <v>21</v>
      </c>
      <c r="M2025" t="s">
        <v>22</v>
      </c>
    </row>
    <row r="2026" spans="1:13" x14ac:dyDescent="0.35">
      <c r="A2026" t="s">
        <v>3421</v>
      </c>
      <c r="B2026" s="9">
        <v>46096</v>
      </c>
      <c r="C2026" t="s">
        <v>3422</v>
      </c>
      <c r="D2026" t="s">
        <v>46</v>
      </c>
      <c r="E2026" t="s">
        <v>25</v>
      </c>
      <c r="F2026" t="s">
        <v>89</v>
      </c>
      <c r="G2026" t="s">
        <v>90</v>
      </c>
      <c r="H2026">
        <v>3</v>
      </c>
      <c r="I2026" t="s">
        <v>79</v>
      </c>
      <c r="J2026" t="s">
        <v>437</v>
      </c>
      <c r="K2026">
        <v>640</v>
      </c>
      <c r="L2026" t="s">
        <v>21</v>
      </c>
      <c r="M2026" t="s">
        <v>22</v>
      </c>
    </row>
    <row r="2027" spans="1:13" x14ac:dyDescent="0.35">
      <c r="A2027" t="s">
        <v>3423</v>
      </c>
      <c r="B2027" s="9">
        <v>46101</v>
      </c>
      <c r="C2027" t="s">
        <v>1802</v>
      </c>
      <c r="D2027" t="s">
        <v>61</v>
      </c>
      <c r="E2027" t="s">
        <v>34</v>
      </c>
      <c r="F2027" t="s">
        <v>74</v>
      </c>
      <c r="G2027" t="s">
        <v>75</v>
      </c>
      <c r="H2027">
        <v>3</v>
      </c>
      <c r="I2027" t="s">
        <v>68</v>
      </c>
      <c r="J2027" t="s">
        <v>205</v>
      </c>
      <c r="K2027">
        <v>410</v>
      </c>
      <c r="L2027" t="s">
        <v>30</v>
      </c>
      <c r="M2027" t="s">
        <v>22</v>
      </c>
    </row>
    <row r="2028" spans="1:13" x14ac:dyDescent="0.35">
      <c r="A2028" t="s">
        <v>3424</v>
      </c>
      <c r="B2028" s="9">
        <v>46126</v>
      </c>
      <c r="C2028" t="s">
        <v>3425</v>
      </c>
      <c r="D2028" t="s">
        <v>99</v>
      </c>
      <c r="E2028" t="s">
        <v>16</v>
      </c>
      <c r="F2028" t="s">
        <v>74</v>
      </c>
      <c r="G2028" t="s">
        <v>75</v>
      </c>
      <c r="H2028">
        <v>1</v>
      </c>
      <c r="I2028" t="s">
        <v>28</v>
      </c>
      <c r="J2028" t="s">
        <v>28</v>
      </c>
      <c r="K2028">
        <v>410</v>
      </c>
      <c r="L2028" t="s">
        <v>30</v>
      </c>
      <c r="M2028" t="s">
        <v>22</v>
      </c>
    </row>
    <row r="2029" spans="1:13" x14ac:dyDescent="0.35">
      <c r="A2029" t="s">
        <v>3426</v>
      </c>
      <c r="B2029" s="9">
        <v>46080</v>
      </c>
      <c r="C2029" t="s">
        <v>3427</v>
      </c>
      <c r="D2029" t="s">
        <v>116</v>
      </c>
      <c r="E2029" t="s">
        <v>41</v>
      </c>
      <c r="F2029" t="s">
        <v>89</v>
      </c>
      <c r="G2029" t="s">
        <v>90</v>
      </c>
      <c r="H2029">
        <v>2</v>
      </c>
      <c r="I2029" t="s">
        <v>71</v>
      </c>
      <c r="J2029" t="s">
        <v>286</v>
      </c>
      <c r="K2029">
        <v>640</v>
      </c>
      <c r="L2029" t="s">
        <v>30</v>
      </c>
      <c r="M2029" t="s">
        <v>58</v>
      </c>
    </row>
    <row r="2030" spans="1:13" x14ac:dyDescent="0.35">
      <c r="A2030" t="s">
        <v>3428</v>
      </c>
      <c r="B2030" s="9">
        <v>46032</v>
      </c>
      <c r="C2030" t="s">
        <v>3429</v>
      </c>
      <c r="D2030" t="s">
        <v>46</v>
      </c>
      <c r="E2030" t="s">
        <v>34</v>
      </c>
      <c r="F2030" t="s">
        <v>89</v>
      </c>
      <c r="G2030" t="s">
        <v>90</v>
      </c>
      <c r="H2030">
        <v>1</v>
      </c>
      <c r="I2030" t="s">
        <v>56</v>
      </c>
      <c r="J2030" t="s">
        <v>56</v>
      </c>
      <c r="K2030">
        <v>640</v>
      </c>
      <c r="L2030" t="s">
        <v>30</v>
      </c>
      <c r="M2030" t="s">
        <v>58</v>
      </c>
    </row>
    <row r="2031" spans="1:13" x14ac:dyDescent="0.35">
      <c r="A2031" t="s">
        <v>3430</v>
      </c>
      <c r="B2031" s="9">
        <v>46044</v>
      </c>
      <c r="C2031" t="s">
        <v>389</v>
      </c>
      <c r="D2031" t="s">
        <v>15</v>
      </c>
      <c r="E2031" t="s">
        <v>16</v>
      </c>
      <c r="F2031" t="s">
        <v>17</v>
      </c>
      <c r="G2031" t="s">
        <v>18</v>
      </c>
      <c r="H2031">
        <v>1</v>
      </c>
      <c r="I2031" t="s">
        <v>85</v>
      </c>
      <c r="J2031" t="s">
        <v>85</v>
      </c>
      <c r="K2031">
        <v>520</v>
      </c>
      <c r="L2031" t="s">
        <v>30</v>
      </c>
      <c r="M2031" t="s">
        <v>22</v>
      </c>
    </row>
    <row r="2032" spans="1:13" x14ac:dyDescent="0.35">
      <c r="A2032" t="s">
        <v>3431</v>
      </c>
      <c r="B2032" s="9">
        <v>46202</v>
      </c>
      <c r="C2032" t="s">
        <v>2371</v>
      </c>
      <c r="D2032" t="s">
        <v>33</v>
      </c>
      <c r="E2032" t="s">
        <v>41</v>
      </c>
      <c r="F2032" t="s">
        <v>26</v>
      </c>
      <c r="G2032" t="s">
        <v>27</v>
      </c>
      <c r="H2032">
        <v>1</v>
      </c>
      <c r="I2032" t="s">
        <v>19</v>
      </c>
      <c r="J2032" t="s">
        <v>19</v>
      </c>
      <c r="K2032" t="s">
        <v>29</v>
      </c>
      <c r="L2032" t="s">
        <v>30</v>
      </c>
      <c r="M2032" t="s">
        <v>22</v>
      </c>
    </row>
    <row r="2033" spans="1:13" x14ac:dyDescent="0.35">
      <c r="A2033" t="s">
        <v>3432</v>
      </c>
      <c r="B2033" s="9">
        <v>46085</v>
      </c>
      <c r="C2033" t="s">
        <v>2281</v>
      </c>
      <c r="D2033" t="s">
        <v>99</v>
      </c>
      <c r="E2033" t="s">
        <v>34</v>
      </c>
      <c r="F2033" t="s">
        <v>74</v>
      </c>
      <c r="G2033" t="s">
        <v>75</v>
      </c>
      <c r="H2033">
        <v>1</v>
      </c>
      <c r="I2033" t="s">
        <v>220</v>
      </c>
      <c r="J2033" t="s">
        <v>220</v>
      </c>
      <c r="K2033">
        <v>410</v>
      </c>
      <c r="L2033" t="s">
        <v>30</v>
      </c>
      <c r="M2033" t="s">
        <v>22</v>
      </c>
    </row>
    <row r="2034" spans="1:13" x14ac:dyDescent="0.35">
      <c r="A2034" t="s">
        <v>3433</v>
      </c>
      <c r="B2034" s="9">
        <v>46100</v>
      </c>
      <c r="C2034" t="s">
        <v>3434</v>
      </c>
      <c r="D2034" t="s">
        <v>61</v>
      </c>
      <c r="E2034" t="s">
        <v>34</v>
      </c>
      <c r="F2034" t="s">
        <v>17</v>
      </c>
      <c r="G2034" t="s">
        <v>18</v>
      </c>
      <c r="H2034">
        <v>2</v>
      </c>
      <c r="I2034" t="s">
        <v>71</v>
      </c>
      <c r="J2034" t="s">
        <v>286</v>
      </c>
      <c r="K2034">
        <v>520</v>
      </c>
      <c r="L2034" t="s">
        <v>30</v>
      </c>
      <c r="M2034" t="s">
        <v>58</v>
      </c>
    </row>
    <row r="2035" spans="1:13" x14ac:dyDescent="0.35">
      <c r="A2035" t="s">
        <v>3435</v>
      </c>
      <c r="B2035" s="9">
        <v>46030</v>
      </c>
      <c r="C2035" t="s">
        <v>724</v>
      </c>
      <c r="D2035" t="s">
        <v>53</v>
      </c>
      <c r="E2035" t="s">
        <v>67</v>
      </c>
      <c r="F2035" t="s">
        <v>17</v>
      </c>
      <c r="G2035" t="s">
        <v>18</v>
      </c>
      <c r="H2035">
        <v>1</v>
      </c>
      <c r="I2035" t="s">
        <v>102</v>
      </c>
      <c r="J2035" t="s">
        <v>102</v>
      </c>
      <c r="K2035">
        <v>520</v>
      </c>
      <c r="L2035" t="s">
        <v>30</v>
      </c>
      <c r="M2035" t="s">
        <v>58</v>
      </c>
    </row>
    <row r="2036" spans="1:13" x14ac:dyDescent="0.35">
      <c r="A2036" t="s">
        <v>3436</v>
      </c>
      <c r="B2036" s="9">
        <v>46100</v>
      </c>
      <c r="C2036" t="s">
        <v>1946</v>
      </c>
      <c r="D2036" t="s">
        <v>46</v>
      </c>
      <c r="E2036" t="s">
        <v>67</v>
      </c>
      <c r="F2036" t="s">
        <v>83</v>
      </c>
      <c r="G2036" t="s">
        <v>84</v>
      </c>
      <c r="H2036">
        <v>3</v>
      </c>
      <c r="I2036" t="s">
        <v>132</v>
      </c>
      <c r="J2036" t="s">
        <v>232</v>
      </c>
      <c r="K2036">
        <v>340</v>
      </c>
      <c r="L2036" t="s">
        <v>30</v>
      </c>
      <c r="M2036" t="s">
        <v>22</v>
      </c>
    </row>
    <row r="2037" spans="1:13" x14ac:dyDescent="0.35">
      <c r="A2037" t="s">
        <v>3437</v>
      </c>
      <c r="B2037" s="9">
        <v>46152</v>
      </c>
      <c r="C2037" t="s">
        <v>624</v>
      </c>
      <c r="D2037" t="s">
        <v>94</v>
      </c>
      <c r="E2037" t="s">
        <v>25</v>
      </c>
      <c r="F2037" t="s">
        <v>42</v>
      </c>
      <c r="G2037" t="s">
        <v>43</v>
      </c>
      <c r="H2037">
        <v>2</v>
      </c>
      <c r="I2037" t="s">
        <v>220</v>
      </c>
      <c r="J2037" t="s">
        <v>221</v>
      </c>
      <c r="K2037" t="s">
        <v>111</v>
      </c>
      <c r="L2037" t="s">
        <v>30</v>
      </c>
      <c r="M2037" t="s">
        <v>58</v>
      </c>
    </row>
    <row r="2038" spans="1:13" x14ac:dyDescent="0.35">
      <c r="A2038" t="s">
        <v>3438</v>
      </c>
      <c r="B2038" s="9">
        <v>46055</v>
      </c>
      <c r="C2038" t="s">
        <v>2728</v>
      </c>
      <c r="D2038" t="s">
        <v>99</v>
      </c>
      <c r="E2038" t="s">
        <v>67</v>
      </c>
      <c r="F2038" t="s">
        <v>42</v>
      </c>
      <c r="G2038" t="s">
        <v>43</v>
      </c>
      <c r="H2038">
        <v>1</v>
      </c>
      <c r="I2038" t="s">
        <v>136</v>
      </c>
      <c r="J2038" t="s">
        <v>136</v>
      </c>
      <c r="K2038">
        <v>190</v>
      </c>
      <c r="L2038" t="s">
        <v>30</v>
      </c>
      <c r="M2038" t="s">
        <v>58</v>
      </c>
    </row>
    <row r="2039" spans="1:13" x14ac:dyDescent="0.35">
      <c r="A2039" t="s">
        <v>3439</v>
      </c>
      <c r="B2039" s="9">
        <v>46146</v>
      </c>
      <c r="C2039" t="s">
        <v>3084</v>
      </c>
      <c r="D2039" t="s">
        <v>61</v>
      </c>
      <c r="E2039" t="s">
        <v>34</v>
      </c>
      <c r="F2039" t="s">
        <v>35</v>
      </c>
      <c r="G2039" t="s">
        <v>36</v>
      </c>
      <c r="H2039">
        <v>2</v>
      </c>
      <c r="I2039" t="s">
        <v>132</v>
      </c>
      <c r="J2039" t="s">
        <v>133</v>
      </c>
      <c r="K2039" t="s">
        <v>37</v>
      </c>
      <c r="L2039" t="s">
        <v>21</v>
      </c>
      <c r="M2039" t="s">
        <v>22</v>
      </c>
    </row>
    <row r="2040" spans="1:13" x14ac:dyDescent="0.35">
      <c r="A2040" t="s">
        <v>3440</v>
      </c>
      <c r="B2040" s="9">
        <v>46098</v>
      </c>
      <c r="C2040" t="s">
        <v>3441</v>
      </c>
      <c r="D2040" t="s">
        <v>61</v>
      </c>
      <c r="E2040" t="s">
        <v>25</v>
      </c>
      <c r="F2040" t="s">
        <v>89</v>
      </c>
      <c r="G2040" t="s">
        <v>90</v>
      </c>
      <c r="H2040">
        <v>1</v>
      </c>
      <c r="I2040" t="s">
        <v>85</v>
      </c>
      <c r="J2040" t="s">
        <v>85</v>
      </c>
      <c r="K2040">
        <v>640</v>
      </c>
      <c r="L2040" t="s">
        <v>30</v>
      </c>
      <c r="M2040" t="s">
        <v>22</v>
      </c>
    </row>
    <row r="2041" spans="1:13" x14ac:dyDescent="0.35">
      <c r="A2041" t="s">
        <v>3442</v>
      </c>
      <c r="B2041" s="9">
        <v>46156</v>
      </c>
      <c r="C2041" t="s">
        <v>1896</v>
      </c>
      <c r="D2041" t="s">
        <v>116</v>
      </c>
      <c r="E2041" t="s">
        <v>41</v>
      </c>
      <c r="F2041" t="s">
        <v>83</v>
      </c>
      <c r="G2041" t="s">
        <v>84</v>
      </c>
      <c r="H2041">
        <v>1</v>
      </c>
      <c r="I2041" t="s">
        <v>85</v>
      </c>
      <c r="J2041" t="s">
        <v>85</v>
      </c>
      <c r="K2041" t="s">
        <v>103</v>
      </c>
      <c r="L2041" t="s">
        <v>30</v>
      </c>
      <c r="M2041" t="s">
        <v>22</v>
      </c>
    </row>
    <row r="2042" spans="1:13" x14ac:dyDescent="0.35">
      <c r="A2042" t="s">
        <v>3443</v>
      </c>
      <c r="B2042" s="9">
        <v>46113</v>
      </c>
      <c r="C2042" t="s">
        <v>3444</v>
      </c>
      <c r="D2042" t="s">
        <v>94</v>
      </c>
      <c r="E2042" t="s">
        <v>16</v>
      </c>
      <c r="F2042" t="s">
        <v>26</v>
      </c>
      <c r="G2042" t="s">
        <v>27</v>
      </c>
      <c r="H2042">
        <v>1</v>
      </c>
      <c r="I2042" t="s">
        <v>71</v>
      </c>
      <c r="J2042" t="s">
        <v>71</v>
      </c>
      <c r="K2042">
        <v>520</v>
      </c>
      <c r="L2042" t="s">
        <v>30</v>
      </c>
      <c r="M2042" t="s">
        <v>22</v>
      </c>
    </row>
    <row r="2043" spans="1:13" x14ac:dyDescent="0.35">
      <c r="A2043" t="s">
        <v>3445</v>
      </c>
      <c r="B2043" s="9">
        <v>46175</v>
      </c>
      <c r="C2043" t="s">
        <v>309</v>
      </c>
      <c r="D2043" t="s">
        <v>66</v>
      </c>
      <c r="E2043" t="s">
        <v>25</v>
      </c>
      <c r="F2043" t="s">
        <v>26</v>
      </c>
      <c r="G2043" t="s">
        <v>27</v>
      </c>
      <c r="H2043">
        <v>1</v>
      </c>
      <c r="I2043" t="s">
        <v>102</v>
      </c>
      <c r="J2043" t="s">
        <v>102</v>
      </c>
      <c r="K2043">
        <v>520</v>
      </c>
      <c r="L2043" t="s">
        <v>30</v>
      </c>
      <c r="M2043" t="s">
        <v>22</v>
      </c>
    </row>
    <row r="2044" spans="1:13" x14ac:dyDescent="0.35">
      <c r="A2044" t="s">
        <v>3446</v>
      </c>
      <c r="B2044" s="9">
        <v>46160</v>
      </c>
      <c r="C2044" t="s">
        <v>2657</v>
      </c>
      <c r="D2044" t="s">
        <v>33</v>
      </c>
      <c r="E2044" t="s">
        <v>34</v>
      </c>
      <c r="F2044" t="s">
        <v>47</v>
      </c>
      <c r="G2044" t="s">
        <v>48</v>
      </c>
      <c r="H2044">
        <v>-3</v>
      </c>
      <c r="I2044" t="s">
        <v>254</v>
      </c>
      <c r="J2044" t="s">
        <v>3447</v>
      </c>
      <c r="K2044" t="s">
        <v>50</v>
      </c>
      <c r="L2044" t="s">
        <v>30</v>
      </c>
      <c r="M2044" t="s">
        <v>22</v>
      </c>
    </row>
    <row r="2045" spans="1:13" x14ac:dyDescent="0.35">
      <c r="A2045" t="s">
        <v>3448</v>
      </c>
      <c r="B2045" s="9">
        <v>46203</v>
      </c>
      <c r="C2045" t="s">
        <v>3444</v>
      </c>
      <c r="D2045" t="s">
        <v>53</v>
      </c>
      <c r="E2045" t="s">
        <v>41</v>
      </c>
      <c r="F2045" t="s">
        <v>17</v>
      </c>
      <c r="G2045" t="s">
        <v>18</v>
      </c>
      <c r="H2045">
        <v>2</v>
      </c>
      <c r="I2045" t="s">
        <v>608</v>
      </c>
      <c r="J2045" t="s">
        <v>133</v>
      </c>
      <c r="K2045" t="s">
        <v>29</v>
      </c>
      <c r="L2045" t="s">
        <v>30</v>
      </c>
      <c r="M2045" t="s">
        <v>22</v>
      </c>
    </row>
    <row r="2046" spans="1:13" x14ac:dyDescent="0.35">
      <c r="A2046" t="s">
        <v>3449</v>
      </c>
      <c r="B2046" s="9">
        <v>46136</v>
      </c>
      <c r="C2046" t="s">
        <v>572</v>
      </c>
      <c r="D2046" t="s">
        <v>15</v>
      </c>
      <c r="E2046" t="s">
        <v>41</v>
      </c>
      <c r="F2046" t="s">
        <v>35</v>
      </c>
      <c r="G2046" t="s">
        <v>36</v>
      </c>
      <c r="H2046">
        <v>3</v>
      </c>
      <c r="I2046" t="s">
        <v>254</v>
      </c>
      <c r="J2046" t="s">
        <v>390</v>
      </c>
      <c r="K2046" t="s">
        <v>37</v>
      </c>
      <c r="L2046" t="s">
        <v>30</v>
      </c>
      <c r="M2046" t="s">
        <v>58</v>
      </c>
    </row>
    <row r="2047" spans="1:13" x14ac:dyDescent="0.35">
      <c r="A2047" t="s">
        <v>3450</v>
      </c>
      <c r="B2047" s="9">
        <v>46095</v>
      </c>
      <c r="C2047" t="s">
        <v>273</v>
      </c>
      <c r="D2047" t="s">
        <v>66</v>
      </c>
      <c r="E2047" t="s">
        <v>34</v>
      </c>
      <c r="F2047" t="s">
        <v>42</v>
      </c>
      <c r="G2047" t="s">
        <v>43</v>
      </c>
      <c r="H2047">
        <v>1</v>
      </c>
      <c r="I2047" t="s">
        <v>102</v>
      </c>
      <c r="J2047" t="s">
        <v>102</v>
      </c>
      <c r="K2047">
        <v>190</v>
      </c>
      <c r="L2047" t="s">
        <v>30</v>
      </c>
      <c r="M2047" t="s">
        <v>58</v>
      </c>
    </row>
    <row r="2048" spans="1:13" x14ac:dyDescent="0.35">
      <c r="A2048" t="s">
        <v>3451</v>
      </c>
      <c r="B2048" s="9">
        <v>46147</v>
      </c>
      <c r="C2048" t="s">
        <v>1644</v>
      </c>
      <c r="D2048" t="s">
        <v>94</v>
      </c>
      <c r="E2048" t="s">
        <v>41</v>
      </c>
      <c r="F2048" t="s">
        <v>35</v>
      </c>
      <c r="G2048" t="s">
        <v>36</v>
      </c>
      <c r="H2048">
        <v>1</v>
      </c>
      <c r="I2048" t="s">
        <v>49</v>
      </c>
      <c r="J2048" t="s">
        <v>49</v>
      </c>
      <c r="K2048" t="s">
        <v>37</v>
      </c>
      <c r="L2048" t="s">
        <v>30</v>
      </c>
      <c r="M2048" t="s">
        <v>22</v>
      </c>
    </row>
    <row r="2049" spans="1:13" x14ac:dyDescent="0.35">
      <c r="A2049" t="s">
        <v>3452</v>
      </c>
      <c r="B2049" s="9">
        <v>46094</v>
      </c>
      <c r="C2049" t="s">
        <v>285</v>
      </c>
      <c r="D2049" t="s">
        <v>99</v>
      </c>
      <c r="E2049" t="s">
        <v>25</v>
      </c>
      <c r="F2049" t="s">
        <v>35</v>
      </c>
      <c r="G2049" t="s">
        <v>36</v>
      </c>
      <c r="H2049">
        <v>3</v>
      </c>
      <c r="I2049" t="s">
        <v>136</v>
      </c>
      <c r="J2049" t="s">
        <v>137</v>
      </c>
      <c r="K2049">
        <v>85</v>
      </c>
      <c r="L2049" t="s">
        <v>21</v>
      </c>
      <c r="M2049" t="s">
        <v>22</v>
      </c>
    </row>
    <row r="2050" spans="1:13" x14ac:dyDescent="0.35">
      <c r="A2050" t="s">
        <v>3453</v>
      </c>
      <c r="B2050" s="9">
        <v>46060</v>
      </c>
      <c r="C2050" t="s">
        <v>3454</v>
      </c>
      <c r="D2050" t="s">
        <v>33</v>
      </c>
      <c r="E2050" t="s">
        <v>67</v>
      </c>
      <c r="F2050" t="s">
        <v>26</v>
      </c>
      <c r="G2050" t="s">
        <v>27</v>
      </c>
      <c r="H2050">
        <v>1</v>
      </c>
      <c r="I2050" t="s">
        <v>132</v>
      </c>
      <c r="J2050" t="s">
        <v>132</v>
      </c>
      <c r="K2050">
        <v>520</v>
      </c>
      <c r="L2050" t="s">
        <v>30</v>
      </c>
      <c r="M2050" t="s">
        <v>22</v>
      </c>
    </row>
    <row r="2051" spans="1:13" x14ac:dyDescent="0.35">
      <c r="A2051" t="s">
        <v>3455</v>
      </c>
      <c r="B2051" s="9">
        <v>46099</v>
      </c>
      <c r="C2051" t="s">
        <v>637</v>
      </c>
      <c r="D2051" t="s">
        <v>53</v>
      </c>
      <c r="E2051" t="s">
        <v>41</v>
      </c>
      <c r="F2051" t="s">
        <v>47</v>
      </c>
      <c r="G2051" t="s">
        <v>48</v>
      </c>
      <c r="H2051">
        <v>1</v>
      </c>
      <c r="I2051" t="s">
        <v>608</v>
      </c>
      <c r="J2051" t="s">
        <v>132</v>
      </c>
      <c r="K2051">
        <v>380</v>
      </c>
      <c r="L2051" t="s">
        <v>30</v>
      </c>
      <c r="M2051" t="s">
        <v>22</v>
      </c>
    </row>
    <row r="2052" spans="1:13" x14ac:dyDescent="0.35">
      <c r="A2052" t="s">
        <v>3456</v>
      </c>
      <c r="B2052" s="9">
        <v>46042</v>
      </c>
      <c r="C2052" t="s">
        <v>378</v>
      </c>
      <c r="D2052" t="s">
        <v>61</v>
      </c>
      <c r="E2052" t="s">
        <v>25</v>
      </c>
      <c r="F2052" t="s">
        <v>35</v>
      </c>
      <c r="G2052" t="s">
        <v>36</v>
      </c>
      <c r="H2052">
        <v>1</v>
      </c>
      <c r="I2052" t="s">
        <v>71</v>
      </c>
      <c r="J2052" t="s">
        <v>71</v>
      </c>
      <c r="K2052">
        <v>85</v>
      </c>
      <c r="L2052" t="s">
        <v>30</v>
      </c>
      <c r="M2052" t="s">
        <v>22</v>
      </c>
    </row>
    <row r="2053" spans="1:13" x14ac:dyDescent="0.35">
      <c r="A2053" t="s">
        <v>3457</v>
      </c>
      <c r="B2053" s="9">
        <v>46105</v>
      </c>
      <c r="C2053" t="s">
        <v>1459</v>
      </c>
      <c r="D2053" t="s">
        <v>46</v>
      </c>
      <c r="E2053" t="s">
        <v>25</v>
      </c>
      <c r="F2053" t="s">
        <v>26</v>
      </c>
      <c r="G2053" t="s">
        <v>27</v>
      </c>
      <c r="H2053">
        <v>2</v>
      </c>
      <c r="I2053" t="s">
        <v>49</v>
      </c>
      <c r="J2053" t="s">
        <v>178</v>
      </c>
      <c r="K2053">
        <v>520</v>
      </c>
      <c r="L2053" t="s">
        <v>30</v>
      </c>
      <c r="M2053" t="s">
        <v>22</v>
      </c>
    </row>
    <row r="2054" spans="1:13" x14ac:dyDescent="0.35">
      <c r="A2054" t="s">
        <v>3458</v>
      </c>
      <c r="B2054" t="s">
        <v>2312</v>
      </c>
      <c r="C2054" t="s">
        <v>921</v>
      </c>
      <c r="D2054" t="s">
        <v>40</v>
      </c>
      <c r="E2054" t="s">
        <v>34</v>
      </c>
      <c r="F2054" t="s">
        <v>42</v>
      </c>
      <c r="G2054" t="s">
        <v>43</v>
      </c>
      <c r="H2054">
        <v>1</v>
      </c>
      <c r="I2054" t="s">
        <v>19</v>
      </c>
      <c r="J2054" t="s">
        <v>19</v>
      </c>
      <c r="K2054">
        <v>190</v>
      </c>
      <c r="L2054" t="s">
        <v>30</v>
      </c>
      <c r="M2054" t="s">
        <v>22</v>
      </c>
    </row>
    <row r="2055" spans="1:13" x14ac:dyDescent="0.35">
      <c r="A2055" t="s">
        <v>3459</v>
      </c>
      <c r="B2055" s="9">
        <v>46070</v>
      </c>
      <c r="C2055" t="s">
        <v>3460</v>
      </c>
      <c r="D2055" t="s">
        <v>66</v>
      </c>
      <c r="E2055" t="s">
        <v>25</v>
      </c>
      <c r="F2055" t="s">
        <v>42</v>
      </c>
      <c r="G2055" t="s">
        <v>43</v>
      </c>
      <c r="H2055">
        <v>2</v>
      </c>
      <c r="I2055" t="s">
        <v>28</v>
      </c>
      <c r="J2055" t="s">
        <v>3461</v>
      </c>
      <c r="K2055">
        <v>190</v>
      </c>
      <c r="L2055" t="s">
        <v>21</v>
      </c>
      <c r="M2055" t="s">
        <v>22</v>
      </c>
    </row>
    <row r="2056" spans="1:13" x14ac:dyDescent="0.35">
      <c r="A2056" t="s">
        <v>3462</v>
      </c>
      <c r="B2056" s="9">
        <v>46125</v>
      </c>
      <c r="C2056" t="s">
        <v>665</v>
      </c>
      <c r="D2056" t="s">
        <v>116</v>
      </c>
      <c r="E2056" t="s">
        <v>41</v>
      </c>
      <c r="F2056" t="s">
        <v>35</v>
      </c>
      <c r="G2056" t="s">
        <v>36</v>
      </c>
      <c r="H2056">
        <v>1</v>
      </c>
      <c r="I2056" t="s">
        <v>71</v>
      </c>
      <c r="J2056" t="s">
        <v>71</v>
      </c>
      <c r="K2056">
        <v>85</v>
      </c>
      <c r="L2056" t="s">
        <v>30</v>
      </c>
      <c r="M2056" t="s">
        <v>58</v>
      </c>
    </row>
    <row r="2057" spans="1:13" x14ac:dyDescent="0.35">
      <c r="A2057" t="s">
        <v>3463</v>
      </c>
      <c r="B2057" s="9">
        <v>46150</v>
      </c>
      <c r="C2057" t="s">
        <v>825</v>
      </c>
      <c r="D2057" t="s">
        <v>99</v>
      </c>
      <c r="E2057" t="s">
        <v>67</v>
      </c>
      <c r="F2057" t="s">
        <v>35</v>
      </c>
      <c r="G2057" t="s">
        <v>36</v>
      </c>
      <c r="H2057">
        <v>1</v>
      </c>
      <c r="I2057" t="s">
        <v>71</v>
      </c>
      <c r="J2057" t="s">
        <v>71</v>
      </c>
      <c r="K2057" t="s">
        <v>37</v>
      </c>
      <c r="L2057" t="s">
        <v>30</v>
      </c>
      <c r="M2057" t="s">
        <v>22</v>
      </c>
    </row>
    <row r="2058" spans="1:13" x14ac:dyDescent="0.35">
      <c r="A2058" t="s">
        <v>3464</v>
      </c>
      <c r="B2058" s="9">
        <v>46198</v>
      </c>
      <c r="C2058" t="s">
        <v>1990</v>
      </c>
      <c r="D2058" t="s">
        <v>99</v>
      </c>
      <c r="E2058" t="s">
        <v>25</v>
      </c>
      <c r="F2058" t="s">
        <v>26</v>
      </c>
      <c r="G2058" t="s">
        <v>27</v>
      </c>
      <c r="H2058">
        <v>1</v>
      </c>
      <c r="I2058" t="s">
        <v>79</v>
      </c>
      <c r="J2058" t="s">
        <v>79</v>
      </c>
      <c r="K2058" t="s">
        <v>29</v>
      </c>
      <c r="L2058" t="s">
        <v>30</v>
      </c>
      <c r="M2058" t="s">
        <v>22</v>
      </c>
    </row>
    <row r="2059" spans="1:13" x14ac:dyDescent="0.35">
      <c r="A2059" t="s">
        <v>3465</v>
      </c>
      <c r="B2059" s="9">
        <v>46070</v>
      </c>
      <c r="C2059" t="s">
        <v>2236</v>
      </c>
      <c r="D2059" t="s">
        <v>46</v>
      </c>
      <c r="E2059" t="s">
        <v>41</v>
      </c>
      <c r="F2059" t="s">
        <v>17</v>
      </c>
      <c r="G2059" t="s">
        <v>18</v>
      </c>
      <c r="H2059">
        <v>1</v>
      </c>
      <c r="I2059" t="s">
        <v>19</v>
      </c>
      <c r="J2059" t="s">
        <v>19</v>
      </c>
      <c r="K2059">
        <v>520</v>
      </c>
      <c r="L2059" t="s">
        <v>30</v>
      </c>
      <c r="M2059" t="s">
        <v>22</v>
      </c>
    </row>
    <row r="2060" spans="1:13" x14ac:dyDescent="0.35">
      <c r="A2060" t="s">
        <v>3466</v>
      </c>
      <c r="B2060" s="9">
        <v>46101</v>
      </c>
      <c r="C2060" t="s">
        <v>3467</v>
      </c>
      <c r="D2060" t="s">
        <v>15</v>
      </c>
      <c r="E2060" t="s">
        <v>16</v>
      </c>
      <c r="F2060" t="s">
        <v>26</v>
      </c>
      <c r="G2060" t="s">
        <v>27</v>
      </c>
      <c r="H2060">
        <v>1</v>
      </c>
      <c r="I2060" t="s">
        <v>102</v>
      </c>
      <c r="J2060" t="s">
        <v>102</v>
      </c>
      <c r="K2060">
        <v>520</v>
      </c>
      <c r="L2060" t="s">
        <v>30</v>
      </c>
      <c r="M2060" t="s">
        <v>22</v>
      </c>
    </row>
    <row r="2061" spans="1:13" x14ac:dyDescent="0.35">
      <c r="A2061" t="s">
        <v>3468</v>
      </c>
      <c r="B2061" s="9">
        <v>46067</v>
      </c>
      <c r="C2061" t="s">
        <v>263</v>
      </c>
      <c r="D2061" t="s">
        <v>15</v>
      </c>
      <c r="E2061" t="s">
        <v>41</v>
      </c>
      <c r="F2061" t="s">
        <v>26</v>
      </c>
      <c r="G2061" t="s">
        <v>27</v>
      </c>
      <c r="H2061">
        <v>1</v>
      </c>
      <c r="I2061" t="s">
        <v>132</v>
      </c>
      <c r="J2061" t="s">
        <v>132</v>
      </c>
      <c r="K2061">
        <v>520</v>
      </c>
      <c r="L2061" t="s">
        <v>30</v>
      </c>
      <c r="M2061" t="s">
        <v>22</v>
      </c>
    </row>
    <row r="2062" spans="1:13" x14ac:dyDescent="0.35">
      <c r="A2062" t="s">
        <v>3469</v>
      </c>
      <c r="B2062" s="9">
        <v>46330</v>
      </c>
      <c r="C2062" t="s">
        <v>830</v>
      </c>
      <c r="D2062" t="s">
        <v>66</v>
      </c>
      <c r="E2062" t="s">
        <v>67</v>
      </c>
      <c r="F2062" t="s">
        <v>47</v>
      </c>
      <c r="G2062" t="s">
        <v>48</v>
      </c>
      <c r="H2062">
        <v>2</v>
      </c>
      <c r="I2062" t="s">
        <v>102</v>
      </c>
      <c r="J2062" t="s">
        <v>181</v>
      </c>
      <c r="K2062">
        <v>380</v>
      </c>
      <c r="L2062" t="s">
        <v>30</v>
      </c>
      <c r="M2062" t="s">
        <v>22</v>
      </c>
    </row>
    <row r="2063" spans="1:13" x14ac:dyDescent="0.35">
      <c r="A2063" t="s">
        <v>3470</v>
      </c>
      <c r="B2063" s="9">
        <v>46054</v>
      </c>
      <c r="C2063" t="s">
        <v>214</v>
      </c>
      <c r="D2063" t="s">
        <v>116</v>
      </c>
      <c r="E2063" t="s">
        <v>34</v>
      </c>
      <c r="F2063" t="s">
        <v>74</v>
      </c>
      <c r="G2063" t="s">
        <v>75</v>
      </c>
      <c r="H2063">
        <v>1</v>
      </c>
      <c r="I2063" t="s">
        <v>85</v>
      </c>
      <c r="J2063" t="s">
        <v>85</v>
      </c>
      <c r="K2063">
        <v>410</v>
      </c>
      <c r="L2063" t="s">
        <v>30</v>
      </c>
      <c r="M2063" t="s">
        <v>22</v>
      </c>
    </row>
    <row r="2064" spans="1:13" x14ac:dyDescent="0.35">
      <c r="A2064" t="s">
        <v>3471</v>
      </c>
      <c r="B2064" t="s">
        <v>778</v>
      </c>
      <c r="C2064" t="s">
        <v>766</v>
      </c>
      <c r="D2064" t="s">
        <v>66</v>
      </c>
      <c r="E2064" t="s">
        <v>67</v>
      </c>
      <c r="F2064" t="s">
        <v>74</v>
      </c>
      <c r="G2064" t="s">
        <v>75</v>
      </c>
      <c r="H2064">
        <v>2</v>
      </c>
      <c r="I2064" t="s">
        <v>254</v>
      </c>
      <c r="J2064" t="s">
        <v>156</v>
      </c>
      <c r="K2064" t="s">
        <v>76</v>
      </c>
      <c r="L2064" t="s">
        <v>30</v>
      </c>
      <c r="M2064" t="s">
        <v>22</v>
      </c>
    </row>
    <row r="2065" spans="1:13" x14ac:dyDescent="0.35">
      <c r="A2065" t="s">
        <v>3472</v>
      </c>
      <c r="B2065" s="9">
        <v>46053</v>
      </c>
      <c r="C2065" t="s">
        <v>247</v>
      </c>
      <c r="D2065" t="s">
        <v>46</v>
      </c>
      <c r="E2065" t="s">
        <v>67</v>
      </c>
      <c r="F2065" t="s">
        <v>47</v>
      </c>
      <c r="G2065" t="s">
        <v>48</v>
      </c>
      <c r="H2065">
        <v>1</v>
      </c>
      <c r="I2065" t="s">
        <v>102</v>
      </c>
      <c r="J2065" t="s">
        <v>102</v>
      </c>
      <c r="K2065">
        <v>380</v>
      </c>
      <c r="L2065" t="s">
        <v>30</v>
      </c>
      <c r="M2065" t="s">
        <v>22</v>
      </c>
    </row>
    <row r="2066" spans="1:13" x14ac:dyDescent="0.35">
      <c r="A2066" t="s">
        <v>3473</v>
      </c>
      <c r="B2066" s="9">
        <v>46066</v>
      </c>
      <c r="C2066" t="s">
        <v>1122</v>
      </c>
      <c r="D2066" t="s">
        <v>15</v>
      </c>
      <c r="E2066" t="s">
        <v>16</v>
      </c>
      <c r="F2066" t="s">
        <v>89</v>
      </c>
      <c r="G2066" t="s">
        <v>90</v>
      </c>
      <c r="H2066">
        <v>2</v>
      </c>
      <c r="I2066" t="s">
        <v>170</v>
      </c>
      <c r="J2066" t="s">
        <v>152</v>
      </c>
      <c r="K2066">
        <v>640</v>
      </c>
      <c r="L2066" t="s">
        <v>30</v>
      </c>
      <c r="M2066" t="s">
        <v>58</v>
      </c>
    </row>
    <row r="2067" spans="1:13" x14ac:dyDescent="0.35">
      <c r="A2067" t="s">
        <v>3474</v>
      </c>
      <c r="B2067" s="9">
        <v>46208</v>
      </c>
      <c r="C2067" t="s">
        <v>726</v>
      </c>
      <c r="D2067" t="s">
        <v>61</v>
      </c>
      <c r="E2067" t="s">
        <v>25</v>
      </c>
      <c r="F2067" t="s">
        <v>83</v>
      </c>
      <c r="G2067" t="s">
        <v>84</v>
      </c>
      <c r="H2067">
        <v>1</v>
      </c>
      <c r="I2067" t="s">
        <v>254</v>
      </c>
      <c r="J2067" t="s">
        <v>254</v>
      </c>
      <c r="K2067" t="s">
        <v>103</v>
      </c>
      <c r="L2067" t="s">
        <v>30</v>
      </c>
      <c r="M2067" t="s">
        <v>58</v>
      </c>
    </row>
    <row r="2068" spans="1:13" x14ac:dyDescent="0.35">
      <c r="A2068" t="s">
        <v>3475</v>
      </c>
      <c r="B2068" s="9">
        <v>46028</v>
      </c>
      <c r="C2068" t="s">
        <v>2890</v>
      </c>
      <c r="D2068" t="s">
        <v>116</v>
      </c>
      <c r="E2068" t="s">
        <v>67</v>
      </c>
      <c r="F2068" t="s">
        <v>35</v>
      </c>
      <c r="G2068" t="s">
        <v>36</v>
      </c>
      <c r="H2068">
        <v>2</v>
      </c>
      <c r="I2068" t="s">
        <v>645</v>
      </c>
      <c r="J2068" t="s">
        <v>181</v>
      </c>
      <c r="K2068" t="s">
        <v>37</v>
      </c>
      <c r="L2068" t="s">
        <v>21</v>
      </c>
      <c r="M2068" t="s">
        <v>58</v>
      </c>
    </row>
    <row r="2069" spans="1:13" x14ac:dyDescent="0.35">
      <c r="A2069" t="s">
        <v>3476</v>
      </c>
      <c r="B2069" s="9">
        <v>46170</v>
      </c>
      <c r="C2069" t="s">
        <v>3257</v>
      </c>
      <c r="D2069" t="s">
        <v>15</v>
      </c>
      <c r="E2069" t="s">
        <v>16</v>
      </c>
      <c r="F2069" t="s">
        <v>83</v>
      </c>
      <c r="G2069" t="s">
        <v>84</v>
      </c>
      <c r="H2069">
        <v>3</v>
      </c>
      <c r="I2069" t="s">
        <v>254</v>
      </c>
      <c r="J2069" t="s">
        <v>390</v>
      </c>
      <c r="K2069" t="s">
        <v>103</v>
      </c>
      <c r="L2069" t="s">
        <v>30</v>
      </c>
      <c r="M2069" t="s">
        <v>22</v>
      </c>
    </row>
    <row r="2070" spans="1:13" x14ac:dyDescent="0.35">
      <c r="A2070" t="s">
        <v>3477</v>
      </c>
      <c r="B2070" s="9">
        <v>46160</v>
      </c>
      <c r="C2070" t="s">
        <v>2322</v>
      </c>
      <c r="D2070" t="s">
        <v>46</v>
      </c>
      <c r="E2070" t="s">
        <v>16</v>
      </c>
      <c r="F2070" t="s">
        <v>26</v>
      </c>
      <c r="G2070" t="s">
        <v>27</v>
      </c>
      <c r="H2070">
        <v>1</v>
      </c>
      <c r="I2070" t="s">
        <v>19</v>
      </c>
      <c r="J2070" t="s">
        <v>19</v>
      </c>
      <c r="K2070" t="s">
        <v>29</v>
      </c>
      <c r="L2070" t="s">
        <v>30</v>
      </c>
      <c r="M2070" t="s">
        <v>22</v>
      </c>
    </row>
    <row r="2071" spans="1:13" x14ac:dyDescent="0.35">
      <c r="A2071" t="s">
        <v>3478</v>
      </c>
      <c r="B2071" t="s">
        <v>775</v>
      </c>
      <c r="C2071" t="s">
        <v>3479</v>
      </c>
      <c r="D2071" t="s">
        <v>46</v>
      </c>
      <c r="E2071" t="s">
        <v>67</v>
      </c>
      <c r="F2071" t="s">
        <v>26</v>
      </c>
      <c r="G2071" t="s">
        <v>27</v>
      </c>
      <c r="H2071">
        <v>1</v>
      </c>
      <c r="I2071" t="s">
        <v>170</v>
      </c>
      <c r="J2071" t="s">
        <v>170</v>
      </c>
      <c r="K2071">
        <v>520</v>
      </c>
      <c r="L2071" t="s">
        <v>30</v>
      </c>
      <c r="M2071" t="s">
        <v>22</v>
      </c>
    </row>
    <row r="2072" spans="1:13" x14ac:dyDescent="0.35">
      <c r="A2072" t="s">
        <v>2700</v>
      </c>
      <c r="B2072" s="9">
        <v>46331</v>
      </c>
      <c r="C2072" t="s">
        <v>2701</v>
      </c>
      <c r="D2072" t="s">
        <v>33</v>
      </c>
      <c r="E2072" t="s">
        <v>16</v>
      </c>
      <c r="F2072" t="s">
        <v>74</v>
      </c>
      <c r="G2072" t="s">
        <v>75</v>
      </c>
      <c r="H2072">
        <v>1</v>
      </c>
      <c r="I2072" t="s">
        <v>28</v>
      </c>
      <c r="J2072" t="s">
        <v>28</v>
      </c>
      <c r="K2072" t="s">
        <v>76</v>
      </c>
      <c r="L2072" t="s">
        <v>30</v>
      </c>
      <c r="M2072" t="s">
        <v>22</v>
      </c>
    </row>
    <row r="2073" spans="1:13" x14ac:dyDescent="0.35">
      <c r="A2073" t="s">
        <v>3480</v>
      </c>
      <c r="B2073" s="9">
        <v>46083</v>
      </c>
      <c r="C2073" t="s">
        <v>1486</v>
      </c>
      <c r="D2073" t="s">
        <v>99</v>
      </c>
      <c r="E2073" t="s">
        <v>34</v>
      </c>
      <c r="F2073" t="s">
        <v>42</v>
      </c>
      <c r="G2073" t="s">
        <v>43</v>
      </c>
      <c r="H2073">
        <v>2</v>
      </c>
      <c r="I2073" t="s">
        <v>19</v>
      </c>
      <c r="J2073" t="s">
        <v>238</v>
      </c>
      <c r="K2073">
        <v>190</v>
      </c>
      <c r="L2073" t="s">
        <v>30</v>
      </c>
      <c r="M2073" t="s">
        <v>58</v>
      </c>
    </row>
    <row r="2074" spans="1:13" x14ac:dyDescent="0.35">
      <c r="A2074" t="s">
        <v>3481</v>
      </c>
      <c r="B2074" s="9">
        <v>46195</v>
      </c>
      <c r="C2074" t="s">
        <v>1150</v>
      </c>
      <c r="D2074" t="s">
        <v>40</v>
      </c>
      <c r="E2074" t="s">
        <v>41</v>
      </c>
      <c r="F2074" t="s">
        <v>74</v>
      </c>
      <c r="G2074" t="s">
        <v>75</v>
      </c>
      <c r="H2074">
        <v>3</v>
      </c>
      <c r="I2074" t="s">
        <v>102</v>
      </c>
      <c r="J2074" t="s">
        <v>127</v>
      </c>
      <c r="K2074" t="s">
        <v>76</v>
      </c>
      <c r="L2074" t="s">
        <v>30</v>
      </c>
      <c r="M2074" t="s">
        <v>22</v>
      </c>
    </row>
    <row r="2075" spans="1:13" x14ac:dyDescent="0.35">
      <c r="A2075" t="s">
        <v>3482</v>
      </c>
      <c r="B2075" s="9">
        <v>46054</v>
      </c>
      <c r="C2075" t="s">
        <v>3483</v>
      </c>
      <c r="D2075" t="s">
        <v>46</v>
      </c>
      <c r="E2075" t="s">
        <v>34</v>
      </c>
      <c r="F2075" t="s">
        <v>42</v>
      </c>
      <c r="G2075" t="s">
        <v>43</v>
      </c>
      <c r="H2075">
        <v>1</v>
      </c>
      <c r="I2075" t="s">
        <v>68</v>
      </c>
      <c r="J2075" t="s">
        <v>68</v>
      </c>
      <c r="K2075">
        <v>190</v>
      </c>
      <c r="L2075" t="s">
        <v>21</v>
      </c>
      <c r="M2075" t="s">
        <v>22</v>
      </c>
    </row>
    <row r="2076" spans="1:13" x14ac:dyDescent="0.35">
      <c r="A2076" t="s">
        <v>3484</v>
      </c>
      <c r="B2076" s="9">
        <v>46162</v>
      </c>
      <c r="C2076" t="s">
        <v>3485</v>
      </c>
      <c r="D2076" t="s">
        <v>40</v>
      </c>
      <c r="E2076" t="s">
        <v>41</v>
      </c>
      <c r="F2076" t="s">
        <v>47</v>
      </c>
      <c r="G2076" t="s">
        <v>48</v>
      </c>
      <c r="H2076">
        <v>-1</v>
      </c>
      <c r="I2076" t="s">
        <v>68</v>
      </c>
      <c r="J2076" t="s">
        <v>1726</v>
      </c>
      <c r="K2076" t="s">
        <v>50</v>
      </c>
      <c r="L2076" t="s">
        <v>30</v>
      </c>
      <c r="M2076" t="s">
        <v>22</v>
      </c>
    </row>
    <row r="2077" spans="1:13" x14ac:dyDescent="0.35">
      <c r="A2077" t="s">
        <v>3486</v>
      </c>
      <c r="B2077" s="9">
        <v>46042</v>
      </c>
      <c r="C2077" t="s">
        <v>959</v>
      </c>
      <c r="D2077" t="s">
        <v>33</v>
      </c>
      <c r="E2077" t="s">
        <v>34</v>
      </c>
      <c r="F2077" t="s">
        <v>47</v>
      </c>
      <c r="G2077" t="s">
        <v>48</v>
      </c>
      <c r="H2077">
        <v>1</v>
      </c>
      <c r="I2077" t="s">
        <v>28</v>
      </c>
      <c r="J2077" t="s">
        <v>28</v>
      </c>
      <c r="K2077">
        <v>380</v>
      </c>
      <c r="L2077" t="s">
        <v>30</v>
      </c>
      <c r="M2077" t="s">
        <v>22</v>
      </c>
    </row>
    <row r="2078" spans="1:13" x14ac:dyDescent="0.35">
      <c r="A2078" t="s">
        <v>3487</v>
      </c>
      <c r="B2078" t="s">
        <v>687</v>
      </c>
      <c r="C2078" t="s">
        <v>521</v>
      </c>
      <c r="D2078" t="s">
        <v>66</v>
      </c>
      <c r="E2078" t="s">
        <v>67</v>
      </c>
      <c r="F2078" t="s">
        <v>26</v>
      </c>
      <c r="G2078" t="s">
        <v>27</v>
      </c>
      <c r="H2078">
        <v>3</v>
      </c>
      <c r="I2078" t="s">
        <v>49</v>
      </c>
      <c r="J2078" t="s">
        <v>257</v>
      </c>
      <c r="K2078">
        <v>520</v>
      </c>
      <c r="L2078" t="s">
        <v>21</v>
      </c>
      <c r="M2078" t="s">
        <v>22</v>
      </c>
    </row>
    <row r="2079" spans="1:13" x14ac:dyDescent="0.35">
      <c r="A2079" t="s">
        <v>3488</v>
      </c>
      <c r="B2079" s="9">
        <v>46053</v>
      </c>
      <c r="C2079" t="s">
        <v>2024</v>
      </c>
      <c r="D2079" t="s">
        <v>61</v>
      </c>
      <c r="E2079" t="s">
        <v>41</v>
      </c>
      <c r="F2079" t="s">
        <v>74</v>
      </c>
      <c r="G2079" t="s">
        <v>75</v>
      </c>
      <c r="H2079">
        <v>2</v>
      </c>
      <c r="I2079" t="s">
        <v>79</v>
      </c>
      <c r="J2079" t="s">
        <v>143</v>
      </c>
      <c r="K2079">
        <v>410</v>
      </c>
      <c r="L2079" t="s">
        <v>30</v>
      </c>
      <c r="M2079" t="s">
        <v>58</v>
      </c>
    </row>
    <row r="2080" spans="1:13" x14ac:dyDescent="0.35">
      <c r="A2080" t="s">
        <v>3489</v>
      </c>
      <c r="B2080" s="9">
        <v>46041</v>
      </c>
      <c r="C2080" t="s">
        <v>443</v>
      </c>
      <c r="D2080" t="s">
        <v>116</v>
      </c>
      <c r="E2080" t="s">
        <v>25</v>
      </c>
      <c r="F2080" t="s">
        <v>47</v>
      </c>
      <c r="G2080" t="s">
        <v>48</v>
      </c>
      <c r="H2080">
        <v>1</v>
      </c>
      <c r="I2080" t="s">
        <v>132</v>
      </c>
      <c r="J2080" t="s">
        <v>132</v>
      </c>
      <c r="K2080">
        <v>380</v>
      </c>
      <c r="L2080" t="s">
        <v>30</v>
      </c>
      <c r="M2080" t="s">
        <v>22</v>
      </c>
    </row>
    <row r="2081" spans="1:13" x14ac:dyDescent="0.35">
      <c r="A2081" t="s">
        <v>3490</v>
      </c>
      <c r="B2081" s="9">
        <v>46136</v>
      </c>
      <c r="C2081" t="s">
        <v>502</v>
      </c>
      <c r="D2081" t="s">
        <v>53</v>
      </c>
      <c r="E2081" t="s">
        <v>41</v>
      </c>
      <c r="F2081" t="s">
        <v>89</v>
      </c>
      <c r="G2081" t="s">
        <v>90</v>
      </c>
      <c r="H2081">
        <v>1</v>
      </c>
      <c r="I2081" t="s">
        <v>102</v>
      </c>
      <c r="J2081" t="s">
        <v>102</v>
      </c>
      <c r="K2081" t="s">
        <v>108</v>
      </c>
      <c r="L2081" t="s">
        <v>30</v>
      </c>
      <c r="M2081" t="s">
        <v>22</v>
      </c>
    </row>
    <row r="2082" spans="1:13" x14ac:dyDescent="0.35">
      <c r="A2082" t="s">
        <v>3491</v>
      </c>
      <c r="B2082" s="9">
        <v>46090</v>
      </c>
      <c r="C2082" t="s">
        <v>2676</v>
      </c>
      <c r="D2082" t="s">
        <v>15</v>
      </c>
      <c r="E2082" t="s">
        <v>25</v>
      </c>
      <c r="F2082" t="s">
        <v>47</v>
      </c>
      <c r="G2082" t="s">
        <v>48</v>
      </c>
      <c r="H2082">
        <v>3</v>
      </c>
      <c r="I2082" t="s">
        <v>62</v>
      </c>
      <c r="J2082" t="s">
        <v>488</v>
      </c>
      <c r="K2082">
        <v>380</v>
      </c>
      <c r="L2082" t="s">
        <v>30</v>
      </c>
      <c r="M2082" t="s">
        <v>58</v>
      </c>
    </row>
    <row r="2083" spans="1:13" x14ac:dyDescent="0.35">
      <c r="A2083" t="s">
        <v>3492</v>
      </c>
      <c r="B2083" s="9">
        <v>46136</v>
      </c>
      <c r="C2083" t="s">
        <v>2328</v>
      </c>
      <c r="D2083" t="s">
        <v>99</v>
      </c>
      <c r="E2083" t="s">
        <v>16</v>
      </c>
      <c r="F2083" t="s">
        <v>89</v>
      </c>
      <c r="G2083" t="s">
        <v>90</v>
      </c>
      <c r="H2083">
        <v>1</v>
      </c>
      <c r="I2083" t="s">
        <v>2655</v>
      </c>
      <c r="J2083" t="s">
        <v>56</v>
      </c>
      <c r="K2083" t="s">
        <v>108</v>
      </c>
      <c r="L2083" t="s">
        <v>21</v>
      </c>
      <c r="M2083" t="s">
        <v>22</v>
      </c>
    </row>
    <row r="2084" spans="1:13" x14ac:dyDescent="0.35">
      <c r="A2084" t="s">
        <v>3493</v>
      </c>
      <c r="B2084" s="9">
        <v>46185</v>
      </c>
      <c r="C2084" t="s">
        <v>1076</v>
      </c>
      <c r="D2084" t="s">
        <v>33</v>
      </c>
      <c r="E2084" t="s">
        <v>25</v>
      </c>
      <c r="F2084" t="s">
        <v>26</v>
      </c>
      <c r="G2084" t="s">
        <v>27</v>
      </c>
      <c r="H2084">
        <v>2</v>
      </c>
      <c r="I2084" t="s">
        <v>79</v>
      </c>
      <c r="J2084" t="s">
        <v>143</v>
      </c>
      <c r="K2084" t="s">
        <v>29</v>
      </c>
      <c r="L2084" t="s">
        <v>30</v>
      </c>
      <c r="M2084" t="s">
        <v>22</v>
      </c>
    </row>
    <row r="2085" spans="1:13" x14ac:dyDescent="0.35">
      <c r="A2085" t="s">
        <v>3494</v>
      </c>
      <c r="B2085" t="s">
        <v>2833</v>
      </c>
      <c r="C2085" t="s">
        <v>3166</v>
      </c>
      <c r="D2085" t="s">
        <v>15</v>
      </c>
      <c r="E2085" t="s">
        <v>67</v>
      </c>
      <c r="F2085" t="s">
        <v>35</v>
      </c>
      <c r="G2085" t="s">
        <v>36</v>
      </c>
      <c r="H2085">
        <v>3</v>
      </c>
      <c r="I2085" t="s">
        <v>102</v>
      </c>
      <c r="J2085" t="s">
        <v>127</v>
      </c>
      <c r="K2085">
        <v>85</v>
      </c>
      <c r="L2085" t="s">
        <v>30</v>
      </c>
      <c r="M2085" t="s">
        <v>58</v>
      </c>
    </row>
    <row r="2086" spans="1:13" x14ac:dyDescent="0.35">
      <c r="A2086" t="s">
        <v>3495</v>
      </c>
      <c r="B2086" s="9">
        <v>46065</v>
      </c>
      <c r="C2086" t="s">
        <v>3496</v>
      </c>
      <c r="D2086" t="s">
        <v>94</v>
      </c>
      <c r="E2086" t="s">
        <v>16</v>
      </c>
      <c r="F2086" t="s">
        <v>26</v>
      </c>
      <c r="G2086" t="s">
        <v>27</v>
      </c>
      <c r="H2086">
        <v>1</v>
      </c>
      <c r="I2086" t="s">
        <v>106</v>
      </c>
      <c r="J2086" t="s">
        <v>1049</v>
      </c>
      <c r="K2086">
        <v>520</v>
      </c>
      <c r="L2086" t="s">
        <v>30</v>
      </c>
      <c r="M2086" t="s">
        <v>22</v>
      </c>
    </row>
    <row r="2087" spans="1:13" x14ac:dyDescent="0.35">
      <c r="A2087" t="s">
        <v>3497</v>
      </c>
      <c r="B2087" s="9">
        <v>46116</v>
      </c>
      <c r="C2087" t="s">
        <v>2220</v>
      </c>
      <c r="D2087" t="s">
        <v>116</v>
      </c>
      <c r="E2087" t="s">
        <v>67</v>
      </c>
      <c r="F2087" t="s">
        <v>17</v>
      </c>
      <c r="G2087" t="s">
        <v>18</v>
      </c>
      <c r="H2087">
        <v>1</v>
      </c>
      <c r="I2087" t="s">
        <v>56</v>
      </c>
      <c r="J2087" t="s">
        <v>56</v>
      </c>
      <c r="K2087">
        <v>520</v>
      </c>
      <c r="L2087" t="s">
        <v>30</v>
      </c>
      <c r="M2087" t="s">
        <v>22</v>
      </c>
    </row>
    <row r="2088" spans="1:13" x14ac:dyDescent="0.35">
      <c r="A2088" t="s">
        <v>3498</v>
      </c>
      <c r="B2088" s="9">
        <v>46208</v>
      </c>
      <c r="C2088" t="s">
        <v>1385</v>
      </c>
      <c r="D2088" t="s">
        <v>94</v>
      </c>
      <c r="E2088" t="s">
        <v>67</v>
      </c>
      <c r="F2088" t="s">
        <v>74</v>
      </c>
      <c r="G2088" t="s">
        <v>75</v>
      </c>
      <c r="H2088">
        <v>2</v>
      </c>
      <c r="I2088" t="s">
        <v>608</v>
      </c>
      <c r="J2088" t="s">
        <v>133</v>
      </c>
      <c r="K2088" t="s">
        <v>76</v>
      </c>
      <c r="L2088" t="s">
        <v>30</v>
      </c>
      <c r="M2088" t="s">
        <v>22</v>
      </c>
    </row>
    <row r="2089" spans="1:13" x14ac:dyDescent="0.35">
      <c r="A2089" t="s">
        <v>3499</v>
      </c>
      <c r="B2089" s="9">
        <v>46113</v>
      </c>
      <c r="C2089" t="s">
        <v>498</v>
      </c>
      <c r="D2089" t="s">
        <v>99</v>
      </c>
      <c r="E2089" t="s">
        <v>34</v>
      </c>
      <c r="F2089" t="s">
        <v>74</v>
      </c>
      <c r="G2089" t="s">
        <v>75</v>
      </c>
      <c r="H2089">
        <v>1</v>
      </c>
      <c r="I2089" t="s">
        <v>254</v>
      </c>
      <c r="J2089" t="s">
        <v>254</v>
      </c>
      <c r="K2089">
        <v>410</v>
      </c>
      <c r="L2089" t="s">
        <v>30</v>
      </c>
      <c r="M2089" t="s">
        <v>22</v>
      </c>
    </row>
    <row r="2090" spans="1:13" x14ac:dyDescent="0.35">
      <c r="A2090" t="s">
        <v>3500</v>
      </c>
      <c r="B2090" s="9">
        <v>46141</v>
      </c>
      <c r="C2090" t="s">
        <v>3046</v>
      </c>
      <c r="D2090" t="s">
        <v>15</v>
      </c>
      <c r="E2090" t="s">
        <v>67</v>
      </c>
      <c r="F2090" t="s">
        <v>26</v>
      </c>
      <c r="G2090" t="s">
        <v>27</v>
      </c>
      <c r="H2090">
        <v>1</v>
      </c>
      <c r="I2090" t="s">
        <v>19</v>
      </c>
      <c r="J2090" t="s">
        <v>19</v>
      </c>
      <c r="K2090" t="s">
        <v>29</v>
      </c>
      <c r="L2090" t="s">
        <v>30</v>
      </c>
      <c r="M2090" t="s">
        <v>22</v>
      </c>
    </row>
    <row r="2091" spans="1:13" x14ac:dyDescent="0.35">
      <c r="A2091" t="s">
        <v>3501</v>
      </c>
      <c r="B2091" s="9">
        <v>46031</v>
      </c>
      <c r="C2091" t="s">
        <v>1708</v>
      </c>
      <c r="D2091" t="s">
        <v>33</v>
      </c>
      <c r="E2091" t="s">
        <v>34</v>
      </c>
      <c r="F2091" t="s">
        <v>17</v>
      </c>
      <c r="G2091" t="s">
        <v>18</v>
      </c>
      <c r="H2091">
        <v>2</v>
      </c>
      <c r="I2091" t="s">
        <v>649</v>
      </c>
      <c r="J2091" t="s">
        <v>248</v>
      </c>
      <c r="K2091">
        <v>520</v>
      </c>
      <c r="L2091" t="s">
        <v>21</v>
      </c>
      <c r="M2091" t="s">
        <v>22</v>
      </c>
    </row>
    <row r="2092" spans="1:13" x14ac:dyDescent="0.35">
      <c r="A2092" t="s">
        <v>3502</v>
      </c>
      <c r="B2092" s="9">
        <v>46100</v>
      </c>
      <c r="C2092" t="s">
        <v>3503</v>
      </c>
      <c r="D2092" t="s">
        <v>94</v>
      </c>
      <c r="E2092" t="s">
        <v>25</v>
      </c>
      <c r="F2092" t="s">
        <v>26</v>
      </c>
      <c r="G2092" t="s">
        <v>27</v>
      </c>
      <c r="H2092">
        <v>1</v>
      </c>
      <c r="I2092" t="s">
        <v>56</v>
      </c>
      <c r="J2092" t="s">
        <v>56</v>
      </c>
      <c r="K2092">
        <v>520</v>
      </c>
      <c r="L2092" t="s">
        <v>30</v>
      </c>
      <c r="M2092" t="s">
        <v>22</v>
      </c>
    </row>
    <row r="2093" spans="1:13" x14ac:dyDescent="0.35">
      <c r="A2093" t="s">
        <v>3504</v>
      </c>
      <c r="B2093" s="9">
        <v>46040</v>
      </c>
      <c r="C2093" t="s">
        <v>1093</v>
      </c>
      <c r="D2093" t="s">
        <v>46</v>
      </c>
      <c r="E2093" t="s">
        <v>16</v>
      </c>
      <c r="F2093" t="s">
        <v>26</v>
      </c>
      <c r="G2093" t="s">
        <v>27</v>
      </c>
      <c r="H2093">
        <v>2</v>
      </c>
      <c r="I2093" t="s">
        <v>68</v>
      </c>
      <c r="J2093" t="s">
        <v>248</v>
      </c>
      <c r="K2093">
        <v>520</v>
      </c>
      <c r="L2093" t="s">
        <v>30</v>
      </c>
      <c r="M2093" t="s">
        <v>22</v>
      </c>
    </row>
    <row r="2094" spans="1:13" x14ac:dyDescent="0.35">
      <c r="A2094" t="s">
        <v>3505</v>
      </c>
      <c r="B2094" s="9">
        <v>46028</v>
      </c>
      <c r="C2094" t="s">
        <v>1070</v>
      </c>
      <c r="D2094" t="s">
        <v>94</v>
      </c>
      <c r="E2094" t="s">
        <v>67</v>
      </c>
      <c r="F2094" t="s">
        <v>47</v>
      </c>
      <c r="G2094" t="s">
        <v>48</v>
      </c>
      <c r="H2094">
        <v>1</v>
      </c>
      <c r="I2094" t="s">
        <v>79</v>
      </c>
      <c r="J2094" t="s">
        <v>251</v>
      </c>
      <c r="K2094">
        <v>380</v>
      </c>
      <c r="L2094" t="s">
        <v>30</v>
      </c>
      <c r="M2094" t="s">
        <v>58</v>
      </c>
    </row>
    <row r="2095" spans="1:13" x14ac:dyDescent="0.35">
      <c r="A2095" t="s">
        <v>3506</v>
      </c>
      <c r="B2095" s="9">
        <v>46094</v>
      </c>
      <c r="C2095" t="s">
        <v>2890</v>
      </c>
      <c r="D2095" t="s">
        <v>53</v>
      </c>
      <c r="E2095" t="s">
        <v>41</v>
      </c>
      <c r="F2095" t="s">
        <v>47</v>
      </c>
      <c r="G2095" t="s">
        <v>48</v>
      </c>
      <c r="H2095">
        <v>1</v>
      </c>
      <c r="I2095" t="s">
        <v>71</v>
      </c>
      <c r="J2095" t="s">
        <v>71</v>
      </c>
      <c r="K2095">
        <v>380</v>
      </c>
      <c r="L2095" t="s">
        <v>30</v>
      </c>
      <c r="M2095" t="s">
        <v>22</v>
      </c>
    </row>
    <row r="2096" spans="1:13" x14ac:dyDescent="0.35">
      <c r="A2096" t="s">
        <v>3507</v>
      </c>
      <c r="B2096" s="9">
        <v>46150</v>
      </c>
      <c r="C2096" t="s">
        <v>1107</v>
      </c>
      <c r="D2096" t="s">
        <v>33</v>
      </c>
      <c r="E2096" t="s">
        <v>34</v>
      </c>
      <c r="F2096" t="s">
        <v>35</v>
      </c>
      <c r="G2096" t="s">
        <v>36</v>
      </c>
      <c r="H2096">
        <v>1</v>
      </c>
      <c r="I2096" t="s">
        <v>254</v>
      </c>
      <c r="J2096" t="s">
        <v>254</v>
      </c>
      <c r="K2096" t="s">
        <v>37</v>
      </c>
      <c r="L2096" t="s">
        <v>30</v>
      </c>
      <c r="M2096" t="s">
        <v>22</v>
      </c>
    </row>
    <row r="2097" spans="1:13" x14ac:dyDescent="0.35">
      <c r="A2097" t="s">
        <v>3508</v>
      </c>
      <c r="B2097" s="9">
        <v>46026</v>
      </c>
      <c r="C2097" t="s">
        <v>418</v>
      </c>
      <c r="D2097" t="s">
        <v>66</v>
      </c>
      <c r="E2097" t="s">
        <v>67</v>
      </c>
      <c r="F2097" t="s">
        <v>26</v>
      </c>
      <c r="G2097" t="s">
        <v>27</v>
      </c>
      <c r="H2097">
        <v>1</v>
      </c>
      <c r="I2097" t="s">
        <v>254</v>
      </c>
      <c r="J2097" t="s">
        <v>254</v>
      </c>
      <c r="K2097">
        <v>520</v>
      </c>
      <c r="L2097" t="s">
        <v>30</v>
      </c>
      <c r="M2097" t="s">
        <v>22</v>
      </c>
    </row>
    <row r="2098" spans="1:13" x14ac:dyDescent="0.35">
      <c r="A2098" t="s">
        <v>3509</v>
      </c>
      <c r="B2098" s="9">
        <v>46116</v>
      </c>
      <c r="C2098" t="s">
        <v>3510</v>
      </c>
      <c r="D2098" t="s">
        <v>46</v>
      </c>
      <c r="E2098" t="s">
        <v>25</v>
      </c>
      <c r="F2098" t="s">
        <v>89</v>
      </c>
      <c r="G2098" t="s">
        <v>90</v>
      </c>
      <c r="H2098">
        <v>1</v>
      </c>
      <c r="I2098" t="s">
        <v>28</v>
      </c>
      <c r="J2098" t="s">
        <v>28</v>
      </c>
      <c r="K2098">
        <v>640</v>
      </c>
      <c r="L2098" t="s">
        <v>30</v>
      </c>
      <c r="M2098" t="s">
        <v>22</v>
      </c>
    </row>
    <row r="2099" spans="1:13" x14ac:dyDescent="0.35">
      <c r="A2099" t="s">
        <v>3511</v>
      </c>
      <c r="B2099" t="s">
        <v>582</v>
      </c>
      <c r="C2099" t="s">
        <v>253</v>
      </c>
      <c r="D2099" t="s">
        <v>15</v>
      </c>
      <c r="E2099" t="s">
        <v>16</v>
      </c>
      <c r="F2099" t="s">
        <v>42</v>
      </c>
      <c r="G2099" t="s">
        <v>43</v>
      </c>
      <c r="H2099">
        <v>1</v>
      </c>
      <c r="I2099" t="s">
        <v>49</v>
      </c>
      <c r="J2099" t="s">
        <v>49</v>
      </c>
      <c r="K2099" t="s">
        <v>111</v>
      </c>
      <c r="L2099" t="s">
        <v>30</v>
      </c>
      <c r="M2099" t="s">
        <v>22</v>
      </c>
    </row>
    <row r="2100" spans="1:13" x14ac:dyDescent="0.35">
      <c r="A2100" t="s">
        <v>3512</v>
      </c>
      <c r="B2100" s="9">
        <v>46153</v>
      </c>
      <c r="C2100" t="s">
        <v>2063</v>
      </c>
      <c r="D2100" t="s">
        <v>33</v>
      </c>
      <c r="E2100" t="s">
        <v>41</v>
      </c>
      <c r="F2100" t="s">
        <v>89</v>
      </c>
      <c r="G2100" t="s">
        <v>90</v>
      </c>
      <c r="H2100">
        <v>3</v>
      </c>
      <c r="I2100" t="s">
        <v>49</v>
      </c>
      <c r="J2100" t="s">
        <v>257</v>
      </c>
      <c r="K2100" t="s">
        <v>108</v>
      </c>
      <c r="L2100" t="s">
        <v>21</v>
      </c>
      <c r="M2100" t="s">
        <v>22</v>
      </c>
    </row>
    <row r="2101" spans="1:13" x14ac:dyDescent="0.35">
      <c r="A2101" t="s">
        <v>3513</v>
      </c>
      <c r="B2101" s="9">
        <v>46173</v>
      </c>
      <c r="C2101" t="s">
        <v>1789</v>
      </c>
      <c r="D2101" t="s">
        <v>53</v>
      </c>
      <c r="E2101" t="s">
        <v>16</v>
      </c>
      <c r="F2101" t="s">
        <v>35</v>
      </c>
      <c r="G2101" t="s">
        <v>36</v>
      </c>
      <c r="H2101">
        <v>2</v>
      </c>
      <c r="I2101" t="s">
        <v>68</v>
      </c>
      <c r="J2101" t="s">
        <v>248</v>
      </c>
      <c r="K2101" t="s">
        <v>37</v>
      </c>
      <c r="L2101" t="s">
        <v>30</v>
      </c>
      <c r="M2101" t="s">
        <v>22</v>
      </c>
    </row>
    <row r="2102" spans="1:13" x14ac:dyDescent="0.35">
      <c r="A2102" t="s">
        <v>3514</v>
      </c>
      <c r="B2102" s="9">
        <v>46051</v>
      </c>
      <c r="C2102" t="s">
        <v>3099</v>
      </c>
      <c r="D2102" t="s">
        <v>46</v>
      </c>
      <c r="E2102" t="s">
        <v>34</v>
      </c>
      <c r="F2102" t="s">
        <v>17</v>
      </c>
      <c r="G2102" t="s">
        <v>18</v>
      </c>
      <c r="H2102">
        <v>3</v>
      </c>
      <c r="I2102" t="s">
        <v>151</v>
      </c>
      <c r="J2102" t="s">
        <v>856</v>
      </c>
      <c r="K2102">
        <v>520</v>
      </c>
      <c r="L2102" t="s">
        <v>30</v>
      </c>
      <c r="M2102" t="s">
        <v>22</v>
      </c>
    </row>
    <row r="2103" spans="1:13" x14ac:dyDescent="0.35">
      <c r="A2103" t="s">
        <v>3515</v>
      </c>
      <c r="B2103" s="9">
        <v>46111</v>
      </c>
      <c r="C2103" t="s">
        <v>344</v>
      </c>
      <c r="D2103" t="s">
        <v>61</v>
      </c>
      <c r="E2103" t="s">
        <v>16</v>
      </c>
      <c r="F2103" t="s">
        <v>35</v>
      </c>
      <c r="G2103" t="s">
        <v>36</v>
      </c>
      <c r="H2103">
        <v>1</v>
      </c>
      <c r="I2103" t="s">
        <v>56</v>
      </c>
      <c r="J2103" t="s">
        <v>56</v>
      </c>
      <c r="K2103">
        <v>85</v>
      </c>
      <c r="L2103" t="s">
        <v>30</v>
      </c>
      <c r="M2103" t="s">
        <v>58</v>
      </c>
    </row>
    <row r="2104" spans="1:13" x14ac:dyDescent="0.35">
      <c r="A2104" t="s">
        <v>3516</v>
      </c>
      <c r="B2104" s="9">
        <v>46073</v>
      </c>
      <c r="C2104" t="s">
        <v>3517</v>
      </c>
      <c r="D2104" t="s">
        <v>53</v>
      </c>
      <c r="E2104" t="s">
        <v>16</v>
      </c>
      <c r="F2104" t="s">
        <v>83</v>
      </c>
      <c r="G2104" t="s">
        <v>84</v>
      </c>
      <c r="H2104">
        <v>2</v>
      </c>
      <c r="I2104" t="s">
        <v>102</v>
      </c>
      <c r="J2104" t="s">
        <v>181</v>
      </c>
      <c r="K2104">
        <v>340</v>
      </c>
      <c r="L2104" t="s">
        <v>30</v>
      </c>
      <c r="M2104" t="s">
        <v>22</v>
      </c>
    </row>
    <row r="2105" spans="1:13" x14ac:dyDescent="0.35">
      <c r="A2105" t="s">
        <v>3518</v>
      </c>
      <c r="B2105" s="9">
        <v>46195</v>
      </c>
      <c r="C2105" t="s">
        <v>455</v>
      </c>
      <c r="D2105" t="s">
        <v>40</v>
      </c>
      <c r="E2105" t="s">
        <v>16</v>
      </c>
      <c r="F2105" t="s">
        <v>47</v>
      </c>
      <c r="G2105" t="s">
        <v>48</v>
      </c>
      <c r="H2105">
        <v>3</v>
      </c>
      <c r="I2105" t="s">
        <v>19</v>
      </c>
      <c r="J2105" t="s">
        <v>326</v>
      </c>
      <c r="K2105" t="s">
        <v>50</v>
      </c>
      <c r="L2105" t="s">
        <v>21</v>
      </c>
      <c r="M2105" t="s">
        <v>58</v>
      </c>
    </row>
    <row r="2106" spans="1:13" x14ac:dyDescent="0.35">
      <c r="A2106" t="s">
        <v>3519</v>
      </c>
      <c r="B2106" t="s">
        <v>3058</v>
      </c>
      <c r="C2106" t="s">
        <v>2983</v>
      </c>
      <c r="D2106" t="s">
        <v>116</v>
      </c>
      <c r="E2106" t="s">
        <v>25</v>
      </c>
      <c r="F2106" t="s">
        <v>74</v>
      </c>
      <c r="G2106" t="s">
        <v>75</v>
      </c>
      <c r="H2106">
        <v>2</v>
      </c>
      <c r="I2106" t="s">
        <v>649</v>
      </c>
      <c r="J2106" t="s">
        <v>248</v>
      </c>
      <c r="K2106">
        <v>410</v>
      </c>
      <c r="L2106" t="s">
        <v>30</v>
      </c>
      <c r="M2106" t="s">
        <v>22</v>
      </c>
    </row>
    <row r="2107" spans="1:13" x14ac:dyDescent="0.35">
      <c r="A2107" t="s">
        <v>3520</v>
      </c>
      <c r="B2107" s="9">
        <v>46051</v>
      </c>
      <c r="C2107" t="s">
        <v>320</v>
      </c>
      <c r="D2107" t="s">
        <v>116</v>
      </c>
      <c r="E2107" t="s">
        <v>34</v>
      </c>
      <c r="F2107" t="s">
        <v>89</v>
      </c>
      <c r="G2107" t="s">
        <v>90</v>
      </c>
      <c r="H2107">
        <v>1</v>
      </c>
      <c r="I2107" t="s">
        <v>170</v>
      </c>
      <c r="J2107" t="s">
        <v>170</v>
      </c>
      <c r="K2107">
        <v>640</v>
      </c>
      <c r="L2107" t="s">
        <v>30</v>
      </c>
      <c r="M2107" t="s">
        <v>58</v>
      </c>
    </row>
    <row r="2108" spans="1:13" x14ac:dyDescent="0.35">
      <c r="A2108" t="s">
        <v>3521</v>
      </c>
      <c r="B2108" s="9">
        <v>46143</v>
      </c>
      <c r="C2108" t="s">
        <v>3099</v>
      </c>
      <c r="D2108" t="s">
        <v>46</v>
      </c>
      <c r="E2108" t="s">
        <v>41</v>
      </c>
      <c r="F2108" t="s">
        <v>83</v>
      </c>
      <c r="G2108" t="s">
        <v>84</v>
      </c>
      <c r="H2108">
        <v>2</v>
      </c>
      <c r="I2108" t="s">
        <v>56</v>
      </c>
      <c r="J2108" t="s">
        <v>193</v>
      </c>
      <c r="K2108" t="s">
        <v>103</v>
      </c>
      <c r="L2108" t="s">
        <v>21</v>
      </c>
      <c r="M2108" t="s">
        <v>22</v>
      </c>
    </row>
    <row r="2109" spans="1:13" x14ac:dyDescent="0.35">
      <c r="A2109" t="s">
        <v>3522</v>
      </c>
      <c r="B2109" s="9">
        <v>46174</v>
      </c>
      <c r="C2109" t="s">
        <v>1583</v>
      </c>
      <c r="D2109" t="s">
        <v>46</v>
      </c>
      <c r="E2109" t="s">
        <v>16</v>
      </c>
      <c r="F2109" t="s">
        <v>89</v>
      </c>
      <c r="G2109" t="s">
        <v>90</v>
      </c>
      <c r="H2109">
        <v>1</v>
      </c>
      <c r="I2109" t="s">
        <v>102</v>
      </c>
      <c r="J2109" t="s">
        <v>102</v>
      </c>
      <c r="K2109">
        <v>640</v>
      </c>
      <c r="L2109" t="s">
        <v>30</v>
      </c>
      <c r="M2109" t="s">
        <v>58</v>
      </c>
    </row>
    <row r="2110" spans="1:13" x14ac:dyDescent="0.35">
      <c r="A2110" t="s">
        <v>3523</v>
      </c>
      <c r="B2110" s="9">
        <v>46029</v>
      </c>
      <c r="C2110" t="s">
        <v>1502</v>
      </c>
      <c r="D2110" t="s">
        <v>33</v>
      </c>
      <c r="E2110" t="s">
        <v>67</v>
      </c>
      <c r="F2110" t="s">
        <v>42</v>
      </c>
      <c r="G2110" t="s">
        <v>43</v>
      </c>
      <c r="H2110">
        <v>1</v>
      </c>
      <c r="I2110" t="s">
        <v>170</v>
      </c>
      <c r="J2110" t="s">
        <v>170</v>
      </c>
      <c r="K2110">
        <v>190</v>
      </c>
      <c r="L2110" t="s">
        <v>30</v>
      </c>
      <c r="M2110" t="s">
        <v>22</v>
      </c>
    </row>
    <row r="2111" spans="1:13" x14ac:dyDescent="0.35">
      <c r="A2111" t="s">
        <v>3524</v>
      </c>
      <c r="B2111" s="9">
        <v>46205</v>
      </c>
      <c r="C2111" t="s">
        <v>173</v>
      </c>
      <c r="D2111" t="s">
        <v>99</v>
      </c>
      <c r="E2111" t="s">
        <v>67</v>
      </c>
      <c r="F2111" t="s">
        <v>42</v>
      </c>
      <c r="G2111" t="s">
        <v>43</v>
      </c>
      <c r="H2111">
        <v>2</v>
      </c>
      <c r="I2111" t="s">
        <v>68</v>
      </c>
      <c r="J2111" t="s">
        <v>248</v>
      </c>
      <c r="K2111" t="s">
        <v>111</v>
      </c>
      <c r="L2111" t="s">
        <v>30</v>
      </c>
      <c r="M2111" t="s">
        <v>22</v>
      </c>
    </row>
    <row r="2112" spans="1:13" x14ac:dyDescent="0.35">
      <c r="A2112" t="s">
        <v>3525</v>
      </c>
      <c r="B2112" t="s">
        <v>1820</v>
      </c>
      <c r="C2112" t="s">
        <v>352</v>
      </c>
      <c r="D2112" t="s">
        <v>33</v>
      </c>
      <c r="E2112" t="s">
        <v>16</v>
      </c>
      <c r="F2112" t="s">
        <v>47</v>
      </c>
      <c r="G2112" t="s">
        <v>48</v>
      </c>
      <c r="H2112">
        <v>1</v>
      </c>
      <c r="I2112" t="s">
        <v>645</v>
      </c>
      <c r="J2112" t="s">
        <v>102</v>
      </c>
      <c r="K2112">
        <v>380</v>
      </c>
      <c r="L2112" t="s">
        <v>30</v>
      </c>
      <c r="M2112" t="s">
        <v>22</v>
      </c>
    </row>
    <row r="2113" spans="1:13" x14ac:dyDescent="0.35">
      <c r="A2113" t="s">
        <v>3526</v>
      </c>
      <c r="B2113" s="9">
        <v>46114</v>
      </c>
      <c r="C2113" t="s">
        <v>2525</v>
      </c>
      <c r="D2113" t="s">
        <v>40</v>
      </c>
      <c r="E2113" t="s">
        <v>34</v>
      </c>
      <c r="F2113" t="s">
        <v>74</v>
      </c>
      <c r="G2113" t="s">
        <v>75</v>
      </c>
      <c r="H2113">
        <v>1</v>
      </c>
      <c r="I2113" t="s">
        <v>49</v>
      </c>
      <c r="J2113" t="s">
        <v>49</v>
      </c>
      <c r="K2113">
        <v>410</v>
      </c>
      <c r="L2113" t="s">
        <v>30</v>
      </c>
      <c r="M2113" t="s">
        <v>22</v>
      </c>
    </row>
    <row r="2114" spans="1:13" x14ac:dyDescent="0.35">
      <c r="A2114" t="s">
        <v>3527</v>
      </c>
      <c r="B2114" s="9">
        <v>46115</v>
      </c>
      <c r="C2114" t="s">
        <v>245</v>
      </c>
      <c r="D2114" t="s">
        <v>94</v>
      </c>
      <c r="E2114" t="s">
        <v>67</v>
      </c>
      <c r="F2114" t="s">
        <v>47</v>
      </c>
      <c r="G2114" t="s">
        <v>48</v>
      </c>
      <c r="H2114">
        <v>2</v>
      </c>
      <c r="I2114" t="s">
        <v>132</v>
      </c>
      <c r="J2114" t="s">
        <v>133</v>
      </c>
      <c r="K2114">
        <v>380</v>
      </c>
      <c r="L2114" t="s">
        <v>30</v>
      </c>
      <c r="M2114" t="s">
        <v>22</v>
      </c>
    </row>
    <row r="2115" spans="1:13" x14ac:dyDescent="0.35">
      <c r="A2115" t="s">
        <v>3528</v>
      </c>
      <c r="B2115" t="s">
        <v>754</v>
      </c>
      <c r="C2115" t="s">
        <v>1777</v>
      </c>
      <c r="D2115" t="s">
        <v>33</v>
      </c>
      <c r="E2115" t="s">
        <v>41</v>
      </c>
      <c r="F2115" t="s">
        <v>17</v>
      </c>
      <c r="G2115" t="s">
        <v>18</v>
      </c>
      <c r="H2115">
        <v>1</v>
      </c>
      <c r="I2115" t="s">
        <v>132</v>
      </c>
      <c r="J2115" t="s">
        <v>132</v>
      </c>
      <c r="K2115">
        <v>520</v>
      </c>
      <c r="L2115" t="s">
        <v>30</v>
      </c>
      <c r="M2115" t="s">
        <v>58</v>
      </c>
    </row>
    <row r="2116" spans="1:13" x14ac:dyDescent="0.35">
      <c r="A2116" t="s">
        <v>3529</v>
      </c>
      <c r="B2116" s="9">
        <v>46026</v>
      </c>
      <c r="C2116" t="s">
        <v>2346</v>
      </c>
      <c r="D2116" t="s">
        <v>46</v>
      </c>
      <c r="E2116" t="s">
        <v>25</v>
      </c>
      <c r="F2116" t="s">
        <v>26</v>
      </c>
      <c r="G2116" t="s">
        <v>27</v>
      </c>
      <c r="H2116">
        <v>1</v>
      </c>
      <c r="I2116" t="s">
        <v>71</v>
      </c>
      <c r="J2116" t="s">
        <v>71</v>
      </c>
      <c r="K2116">
        <v>520</v>
      </c>
      <c r="L2116" t="s">
        <v>21</v>
      </c>
      <c r="M2116" t="s">
        <v>22</v>
      </c>
    </row>
    <row r="2117" spans="1:13" x14ac:dyDescent="0.35">
      <c r="A2117" t="s">
        <v>3530</v>
      </c>
      <c r="B2117" s="9">
        <v>46104</v>
      </c>
      <c r="C2117" t="s">
        <v>1868</v>
      </c>
      <c r="D2117" t="s">
        <v>53</v>
      </c>
      <c r="E2117" t="s">
        <v>16</v>
      </c>
      <c r="F2117" t="s">
        <v>42</v>
      </c>
      <c r="G2117" t="s">
        <v>43</v>
      </c>
      <c r="H2117">
        <v>1</v>
      </c>
      <c r="I2117" t="s">
        <v>132</v>
      </c>
      <c r="J2117" t="s">
        <v>132</v>
      </c>
      <c r="K2117">
        <v>190</v>
      </c>
      <c r="L2117" t="s">
        <v>21</v>
      </c>
      <c r="M2117" t="s">
        <v>58</v>
      </c>
    </row>
    <row r="2118" spans="1:13" x14ac:dyDescent="0.35">
      <c r="A2118" t="s">
        <v>3531</v>
      </c>
      <c r="B2118" s="9">
        <v>46144</v>
      </c>
      <c r="C2118" t="s">
        <v>3532</v>
      </c>
      <c r="D2118" t="s">
        <v>66</v>
      </c>
      <c r="E2118" t="s">
        <v>41</v>
      </c>
      <c r="F2118" t="s">
        <v>42</v>
      </c>
      <c r="G2118" t="s">
        <v>43</v>
      </c>
      <c r="H2118">
        <v>1</v>
      </c>
      <c r="I2118" t="s">
        <v>132</v>
      </c>
      <c r="J2118" t="s">
        <v>132</v>
      </c>
      <c r="K2118" t="s">
        <v>111</v>
      </c>
      <c r="L2118" t="s">
        <v>30</v>
      </c>
      <c r="M2118" t="s">
        <v>22</v>
      </c>
    </row>
    <row r="2119" spans="1:13" x14ac:dyDescent="0.35">
      <c r="A2119" t="s">
        <v>3533</v>
      </c>
      <c r="B2119" s="9">
        <v>46098</v>
      </c>
      <c r="C2119" t="s">
        <v>1349</v>
      </c>
      <c r="D2119" t="s">
        <v>46</v>
      </c>
      <c r="E2119" t="s">
        <v>34</v>
      </c>
      <c r="F2119" t="s">
        <v>17</v>
      </c>
      <c r="G2119" t="s">
        <v>18</v>
      </c>
      <c r="H2119">
        <v>2</v>
      </c>
      <c r="I2119" t="s">
        <v>102</v>
      </c>
      <c r="J2119" t="s">
        <v>181</v>
      </c>
      <c r="K2119">
        <v>520</v>
      </c>
      <c r="L2119" t="s">
        <v>21</v>
      </c>
      <c r="M2119" t="s">
        <v>58</v>
      </c>
    </row>
    <row r="2120" spans="1:13" x14ac:dyDescent="0.35">
      <c r="A2120" t="s">
        <v>3534</v>
      </c>
      <c r="B2120" s="9">
        <v>46063</v>
      </c>
      <c r="C2120" t="s">
        <v>1502</v>
      </c>
      <c r="D2120" t="s">
        <v>61</v>
      </c>
      <c r="E2120" t="s">
        <v>34</v>
      </c>
      <c r="F2120" t="s">
        <v>83</v>
      </c>
      <c r="G2120" t="s">
        <v>84</v>
      </c>
      <c r="H2120">
        <v>2</v>
      </c>
      <c r="I2120" t="s">
        <v>136</v>
      </c>
      <c r="J2120" t="s">
        <v>164</v>
      </c>
      <c r="K2120">
        <v>340</v>
      </c>
      <c r="L2120" t="s">
        <v>21</v>
      </c>
      <c r="M2120" t="s">
        <v>22</v>
      </c>
    </row>
    <row r="2121" spans="1:13" x14ac:dyDescent="0.35">
      <c r="A2121" t="s">
        <v>3535</v>
      </c>
      <c r="B2121" s="9">
        <v>46057</v>
      </c>
      <c r="C2121" t="s">
        <v>2380</v>
      </c>
      <c r="D2121" t="s">
        <v>94</v>
      </c>
      <c r="E2121" t="s">
        <v>25</v>
      </c>
      <c r="F2121" t="s">
        <v>47</v>
      </c>
      <c r="G2121" t="s">
        <v>48</v>
      </c>
      <c r="H2121">
        <v>1</v>
      </c>
      <c r="I2121" t="s">
        <v>102</v>
      </c>
      <c r="J2121" t="s">
        <v>102</v>
      </c>
      <c r="K2121">
        <v>380</v>
      </c>
      <c r="L2121" t="s">
        <v>30</v>
      </c>
      <c r="M2121" t="s">
        <v>22</v>
      </c>
    </row>
    <row r="2122" spans="1:13" x14ac:dyDescent="0.35">
      <c r="A2122" t="s">
        <v>3536</v>
      </c>
      <c r="B2122" s="9">
        <v>46043</v>
      </c>
      <c r="C2122" t="s">
        <v>283</v>
      </c>
      <c r="D2122" t="s">
        <v>116</v>
      </c>
      <c r="E2122" t="s">
        <v>16</v>
      </c>
      <c r="F2122" t="s">
        <v>17</v>
      </c>
      <c r="G2122" t="s">
        <v>18</v>
      </c>
      <c r="H2122">
        <v>2</v>
      </c>
      <c r="I2122" t="s">
        <v>132</v>
      </c>
      <c r="J2122" t="s">
        <v>133</v>
      </c>
      <c r="K2122">
        <v>520</v>
      </c>
      <c r="L2122" t="s">
        <v>21</v>
      </c>
      <c r="M2122" t="s">
        <v>22</v>
      </c>
    </row>
    <row r="2123" spans="1:13" x14ac:dyDescent="0.35">
      <c r="A2123" t="s">
        <v>3537</v>
      </c>
      <c r="B2123" s="9">
        <v>46151</v>
      </c>
      <c r="C2123" t="s">
        <v>3538</v>
      </c>
      <c r="D2123" t="s">
        <v>40</v>
      </c>
      <c r="E2123" t="s">
        <v>67</v>
      </c>
      <c r="F2123" t="s">
        <v>47</v>
      </c>
      <c r="G2123" t="s">
        <v>48</v>
      </c>
      <c r="H2123">
        <v>1</v>
      </c>
      <c r="I2123" t="s">
        <v>49</v>
      </c>
      <c r="J2123" t="s">
        <v>49</v>
      </c>
      <c r="K2123" t="s">
        <v>50</v>
      </c>
      <c r="L2123" t="s">
        <v>30</v>
      </c>
      <c r="M2123" t="s">
        <v>58</v>
      </c>
    </row>
    <row r="2124" spans="1:13" x14ac:dyDescent="0.35">
      <c r="A2124" t="s">
        <v>3539</v>
      </c>
      <c r="B2124" s="9">
        <v>46097</v>
      </c>
      <c r="C2124" t="s">
        <v>443</v>
      </c>
      <c r="D2124" t="s">
        <v>53</v>
      </c>
      <c r="E2124" t="s">
        <v>25</v>
      </c>
      <c r="F2124" t="s">
        <v>35</v>
      </c>
      <c r="G2124" t="s">
        <v>36</v>
      </c>
      <c r="H2124">
        <v>-1</v>
      </c>
      <c r="I2124" t="s">
        <v>170</v>
      </c>
      <c r="J2124" t="s">
        <v>303</v>
      </c>
      <c r="K2124">
        <v>85</v>
      </c>
      <c r="L2124" t="s">
        <v>30</v>
      </c>
      <c r="M2124" t="s">
        <v>22</v>
      </c>
    </row>
    <row r="2125" spans="1:13" x14ac:dyDescent="0.35">
      <c r="A2125" t="s">
        <v>3540</v>
      </c>
      <c r="B2125" s="9">
        <v>46049</v>
      </c>
      <c r="C2125" t="s">
        <v>3270</v>
      </c>
      <c r="D2125" t="s">
        <v>33</v>
      </c>
      <c r="E2125" t="s">
        <v>41</v>
      </c>
      <c r="F2125" t="s">
        <v>47</v>
      </c>
      <c r="G2125" t="s">
        <v>48</v>
      </c>
      <c r="H2125">
        <v>2</v>
      </c>
      <c r="I2125" t="s">
        <v>71</v>
      </c>
      <c r="J2125" t="s">
        <v>286</v>
      </c>
      <c r="K2125">
        <v>380</v>
      </c>
      <c r="L2125" t="s">
        <v>21</v>
      </c>
      <c r="M2125" t="s">
        <v>58</v>
      </c>
    </row>
    <row r="2126" spans="1:13" x14ac:dyDescent="0.35">
      <c r="A2126" t="s">
        <v>3541</v>
      </c>
      <c r="B2126" s="9">
        <v>46189</v>
      </c>
      <c r="C2126" t="s">
        <v>3542</v>
      </c>
      <c r="D2126" t="s">
        <v>94</v>
      </c>
      <c r="E2126" t="s">
        <v>16</v>
      </c>
      <c r="F2126" t="s">
        <v>74</v>
      </c>
      <c r="G2126" t="s">
        <v>75</v>
      </c>
      <c r="H2126">
        <v>1</v>
      </c>
      <c r="I2126" t="s">
        <v>170</v>
      </c>
      <c r="J2126" t="s">
        <v>170</v>
      </c>
      <c r="K2126" t="s">
        <v>76</v>
      </c>
      <c r="L2126" t="s">
        <v>30</v>
      </c>
      <c r="M2126" t="s">
        <v>22</v>
      </c>
    </row>
    <row r="2127" spans="1:13" x14ac:dyDescent="0.35">
      <c r="A2127" t="s">
        <v>3543</v>
      </c>
      <c r="B2127" s="9">
        <v>46204</v>
      </c>
      <c r="C2127" t="s">
        <v>2464</v>
      </c>
      <c r="D2127" t="s">
        <v>53</v>
      </c>
      <c r="E2127" t="s">
        <v>25</v>
      </c>
      <c r="F2127" t="s">
        <v>17</v>
      </c>
      <c r="G2127" t="s">
        <v>18</v>
      </c>
      <c r="H2127">
        <v>1</v>
      </c>
      <c r="I2127" t="s">
        <v>19</v>
      </c>
      <c r="J2127" t="s">
        <v>19</v>
      </c>
      <c r="K2127">
        <v>520</v>
      </c>
      <c r="L2127" t="s">
        <v>30</v>
      </c>
      <c r="M2127" t="s">
        <v>22</v>
      </c>
    </row>
    <row r="2128" spans="1:13" x14ac:dyDescent="0.35">
      <c r="A2128" t="s">
        <v>3544</v>
      </c>
      <c r="B2128" s="9">
        <v>46146</v>
      </c>
      <c r="C2128" t="s">
        <v>2523</v>
      </c>
      <c r="D2128" t="s">
        <v>15</v>
      </c>
      <c r="E2128" t="s">
        <v>67</v>
      </c>
      <c r="F2128" t="s">
        <v>89</v>
      </c>
      <c r="G2128" t="s">
        <v>90</v>
      </c>
      <c r="H2128">
        <v>1</v>
      </c>
      <c r="I2128" t="s">
        <v>19</v>
      </c>
      <c r="J2128" t="s">
        <v>19</v>
      </c>
      <c r="K2128" t="s">
        <v>108</v>
      </c>
      <c r="L2128" t="s">
        <v>21</v>
      </c>
      <c r="M2128" t="s">
        <v>22</v>
      </c>
    </row>
    <row r="2129" spans="1:13" x14ac:dyDescent="0.35">
      <c r="A2129" t="s">
        <v>3545</v>
      </c>
      <c r="B2129" s="9">
        <v>46074</v>
      </c>
      <c r="C2129" t="s">
        <v>3546</v>
      </c>
      <c r="D2129" t="s">
        <v>15</v>
      </c>
      <c r="E2129" t="s">
        <v>16</v>
      </c>
      <c r="F2129" t="s">
        <v>17</v>
      </c>
      <c r="G2129" t="s">
        <v>18</v>
      </c>
      <c r="H2129">
        <v>2</v>
      </c>
      <c r="I2129" t="s">
        <v>136</v>
      </c>
      <c r="J2129" t="s">
        <v>164</v>
      </c>
      <c r="K2129">
        <v>520</v>
      </c>
      <c r="L2129" t="s">
        <v>30</v>
      </c>
      <c r="M2129" t="s">
        <v>22</v>
      </c>
    </row>
    <row r="2130" spans="1:13" x14ac:dyDescent="0.35">
      <c r="A2130" t="s">
        <v>3547</v>
      </c>
      <c r="B2130" s="9">
        <v>46177</v>
      </c>
      <c r="C2130" t="s">
        <v>599</v>
      </c>
      <c r="D2130" t="s">
        <v>99</v>
      </c>
      <c r="E2130" t="s">
        <v>16</v>
      </c>
      <c r="F2130" t="s">
        <v>35</v>
      </c>
      <c r="G2130" t="s">
        <v>36</v>
      </c>
      <c r="H2130">
        <v>2</v>
      </c>
      <c r="I2130" t="s">
        <v>170</v>
      </c>
      <c r="J2130" t="s">
        <v>152</v>
      </c>
      <c r="K2130" t="s">
        <v>37</v>
      </c>
      <c r="L2130" t="s">
        <v>30</v>
      </c>
      <c r="M2130" t="s">
        <v>22</v>
      </c>
    </row>
    <row r="2131" spans="1:13" x14ac:dyDescent="0.35">
      <c r="A2131" t="s">
        <v>3548</v>
      </c>
      <c r="B2131" s="9">
        <v>46070</v>
      </c>
      <c r="C2131" t="s">
        <v>55</v>
      </c>
      <c r="D2131" t="s">
        <v>15</v>
      </c>
      <c r="E2131" t="s">
        <v>25</v>
      </c>
      <c r="F2131" t="s">
        <v>47</v>
      </c>
      <c r="G2131" t="s">
        <v>48</v>
      </c>
      <c r="H2131">
        <v>1</v>
      </c>
      <c r="I2131" t="s">
        <v>106</v>
      </c>
      <c r="J2131" t="s">
        <v>106</v>
      </c>
      <c r="K2131">
        <v>380</v>
      </c>
      <c r="L2131" t="s">
        <v>30</v>
      </c>
      <c r="M2131" t="s">
        <v>22</v>
      </c>
    </row>
    <row r="2132" spans="1:13" x14ac:dyDescent="0.35">
      <c r="A2132" t="s">
        <v>3549</v>
      </c>
      <c r="B2132" s="9">
        <v>46142</v>
      </c>
      <c r="C2132" t="s">
        <v>890</v>
      </c>
      <c r="D2132" t="s">
        <v>66</v>
      </c>
      <c r="E2132" t="s">
        <v>67</v>
      </c>
      <c r="F2132" t="s">
        <v>42</v>
      </c>
      <c r="G2132" t="s">
        <v>43</v>
      </c>
      <c r="H2132">
        <v>2</v>
      </c>
      <c r="I2132" t="s">
        <v>254</v>
      </c>
      <c r="J2132" t="s">
        <v>625</v>
      </c>
      <c r="K2132" t="s">
        <v>111</v>
      </c>
      <c r="L2132" t="s">
        <v>30</v>
      </c>
      <c r="M2132" t="s">
        <v>22</v>
      </c>
    </row>
    <row r="2133" spans="1:13" x14ac:dyDescent="0.35">
      <c r="A2133" t="s">
        <v>3550</v>
      </c>
      <c r="B2133" s="9">
        <v>46142</v>
      </c>
      <c r="C2133" t="s">
        <v>870</v>
      </c>
      <c r="D2133" t="s">
        <v>15</v>
      </c>
      <c r="E2133" t="s">
        <v>41</v>
      </c>
      <c r="F2133" t="s">
        <v>17</v>
      </c>
      <c r="G2133" t="s">
        <v>18</v>
      </c>
      <c r="H2133">
        <v>1</v>
      </c>
      <c r="I2133" t="s">
        <v>71</v>
      </c>
      <c r="J2133" t="s">
        <v>71</v>
      </c>
      <c r="K2133" t="s">
        <v>29</v>
      </c>
      <c r="L2133" t="s">
        <v>30</v>
      </c>
      <c r="M2133" t="s">
        <v>22</v>
      </c>
    </row>
    <row r="2134" spans="1:13" x14ac:dyDescent="0.35">
      <c r="A2134" t="s">
        <v>3551</v>
      </c>
      <c r="B2134" s="9">
        <v>46154</v>
      </c>
      <c r="C2134" t="s">
        <v>1072</v>
      </c>
      <c r="D2134" t="s">
        <v>53</v>
      </c>
      <c r="E2134" t="s">
        <v>25</v>
      </c>
      <c r="F2134" t="s">
        <v>17</v>
      </c>
      <c r="G2134" t="s">
        <v>18</v>
      </c>
      <c r="H2134">
        <v>3</v>
      </c>
      <c r="I2134" t="s">
        <v>220</v>
      </c>
      <c r="J2134" t="s">
        <v>494</v>
      </c>
      <c r="K2134" t="s">
        <v>29</v>
      </c>
      <c r="L2134" t="s">
        <v>30</v>
      </c>
      <c r="M2134" t="s">
        <v>22</v>
      </c>
    </row>
    <row r="2135" spans="1:13" x14ac:dyDescent="0.35">
      <c r="A2135" t="s">
        <v>3552</v>
      </c>
      <c r="B2135" s="9">
        <v>46090</v>
      </c>
      <c r="C2135" t="s">
        <v>966</v>
      </c>
      <c r="D2135" t="s">
        <v>66</v>
      </c>
      <c r="E2135" t="s">
        <v>34</v>
      </c>
      <c r="F2135" t="s">
        <v>42</v>
      </c>
      <c r="G2135" t="s">
        <v>43</v>
      </c>
      <c r="H2135">
        <v>3</v>
      </c>
      <c r="I2135" t="s">
        <v>254</v>
      </c>
      <c r="J2135" t="s">
        <v>390</v>
      </c>
      <c r="K2135">
        <v>190</v>
      </c>
      <c r="L2135" t="s">
        <v>30</v>
      </c>
      <c r="M2135" t="s">
        <v>58</v>
      </c>
    </row>
    <row r="2136" spans="1:13" x14ac:dyDescent="0.35">
      <c r="A2136" t="s">
        <v>3553</v>
      </c>
      <c r="B2136" s="9">
        <v>46200</v>
      </c>
      <c r="C2136" t="s">
        <v>1488</v>
      </c>
      <c r="D2136" t="s">
        <v>61</v>
      </c>
      <c r="E2136" t="s">
        <v>67</v>
      </c>
      <c r="F2136" t="s">
        <v>42</v>
      </c>
      <c r="G2136" t="s">
        <v>43</v>
      </c>
      <c r="H2136">
        <v>1</v>
      </c>
      <c r="I2136" t="s">
        <v>220</v>
      </c>
      <c r="J2136" t="s">
        <v>220</v>
      </c>
      <c r="K2136" t="s">
        <v>111</v>
      </c>
      <c r="L2136" t="s">
        <v>30</v>
      </c>
      <c r="M2136" t="s">
        <v>22</v>
      </c>
    </row>
    <row r="2137" spans="1:13" x14ac:dyDescent="0.35">
      <c r="A2137" t="s">
        <v>3554</v>
      </c>
      <c r="B2137" s="9">
        <v>46207</v>
      </c>
      <c r="C2137" t="s">
        <v>1215</v>
      </c>
      <c r="D2137" t="s">
        <v>66</v>
      </c>
      <c r="E2137" t="s">
        <v>34</v>
      </c>
      <c r="F2137" t="s">
        <v>89</v>
      </c>
      <c r="G2137" t="s">
        <v>90</v>
      </c>
      <c r="H2137">
        <v>2</v>
      </c>
      <c r="I2137" t="s">
        <v>49</v>
      </c>
      <c r="J2137" t="s">
        <v>178</v>
      </c>
      <c r="K2137" t="s">
        <v>108</v>
      </c>
      <c r="L2137" t="s">
        <v>21</v>
      </c>
      <c r="M2137" t="s">
        <v>22</v>
      </c>
    </row>
    <row r="2138" spans="1:13" x14ac:dyDescent="0.35">
      <c r="A2138" t="s">
        <v>3555</v>
      </c>
      <c r="B2138" s="9">
        <v>46139</v>
      </c>
      <c r="C2138" t="s">
        <v>2574</v>
      </c>
      <c r="D2138" t="s">
        <v>46</v>
      </c>
      <c r="E2138" t="s">
        <v>16</v>
      </c>
      <c r="F2138" t="s">
        <v>35</v>
      </c>
      <c r="G2138" t="s">
        <v>36</v>
      </c>
      <c r="H2138">
        <v>1</v>
      </c>
      <c r="I2138" t="s">
        <v>106</v>
      </c>
      <c r="J2138" t="s">
        <v>106</v>
      </c>
      <c r="K2138" t="s">
        <v>37</v>
      </c>
      <c r="L2138" t="s">
        <v>30</v>
      </c>
      <c r="M2138" t="s">
        <v>22</v>
      </c>
    </row>
    <row r="2139" spans="1:13" x14ac:dyDescent="0.35">
      <c r="A2139" t="s">
        <v>3556</v>
      </c>
      <c r="B2139" s="9">
        <v>46112</v>
      </c>
      <c r="C2139" t="s">
        <v>1335</v>
      </c>
      <c r="D2139" t="s">
        <v>99</v>
      </c>
      <c r="E2139" t="s">
        <v>67</v>
      </c>
      <c r="F2139" t="s">
        <v>74</v>
      </c>
      <c r="G2139" t="s">
        <v>75</v>
      </c>
      <c r="H2139">
        <v>1</v>
      </c>
      <c r="I2139" t="s">
        <v>132</v>
      </c>
      <c r="J2139" t="s">
        <v>132</v>
      </c>
      <c r="K2139">
        <v>410</v>
      </c>
      <c r="L2139" t="s">
        <v>30</v>
      </c>
      <c r="M2139" t="s">
        <v>58</v>
      </c>
    </row>
    <row r="2140" spans="1:13" x14ac:dyDescent="0.35">
      <c r="A2140" t="s">
        <v>3557</v>
      </c>
      <c r="B2140" s="9">
        <v>46114</v>
      </c>
      <c r="C2140" t="s">
        <v>358</v>
      </c>
      <c r="D2140" t="s">
        <v>46</v>
      </c>
      <c r="E2140" t="s">
        <v>25</v>
      </c>
      <c r="F2140" t="s">
        <v>89</v>
      </c>
      <c r="G2140" t="s">
        <v>90</v>
      </c>
      <c r="H2140">
        <v>1</v>
      </c>
      <c r="I2140" t="s">
        <v>170</v>
      </c>
      <c r="J2140" t="s">
        <v>170</v>
      </c>
      <c r="K2140">
        <v>640</v>
      </c>
      <c r="L2140" t="s">
        <v>30</v>
      </c>
      <c r="M2140" t="s">
        <v>22</v>
      </c>
    </row>
    <row r="2141" spans="1:13" x14ac:dyDescent="0.35">
      <c r="A2141" t="s">
        <v>3558</v>
      </c>
      <c r="B2141" s="9">
        <v>46035</v>
      </c>
      <c r="C2141" t="s">
        <v>794</v>
      </c>
      <c r="D2141" t="s">
        <v>53</v>
      </c>
      <c r="E2141" t="s">
        <v>34</v>
      </c>
      <c r="F2141" t="s">
        <v>42</v>
      </c>
      <c r="G2141" t="s">
        <v>43</v>
      </c>
      <c r="H2141">
        <v>3</v>
      </c>
      <c r="I2141" t="s">
        <v>56</v>
      </c>
      <c r="J2141" t="s">
        <v>57</v>
      </c>
      <c r="K2141">
        <v>190</v>
      </c>
      <c r="L2141" t="s">
        <v>30</v>
      </c>
      <c r="M2141" t="s">
        <v>58</v>
      </c>
    </row>
    <row r="2142" spans="1:13" x14ac:dyDescent="0.35">
      <c r="A2142" t="s">
        <v>3559</v>
      </c>
      <c r="B2142" s="9">
        <v>46147</v>
      </c>
      <c r="C2142" t="s">
        <v>3560</v>
      </c>
      <c r="D2142" t="s">
        <v>15</v>
      </c>
      <c r="E2142" t="s">
        <v>34</v>
      </c>
      <c r="F2142" t="s">
        <v>17</v>
      </c>
      <c r="G2142" t="s">
        <v>18</v>
      </c>
      <c r="H2142">
        <v>2</v>
      </c>
      <c r="I2142" t="s">
        <v>85</v>
      </c>
      <c r="J2142" t="s">
        <v>267</v>
      </c>
      <c r="K2142" t="s">
        <v>29</v>
      </c>
      <c r="L2142" t="s">
        <v>21</v>
      </c>
      <c r="M2142" t="s">
        <v>22</v>
      </c>
    </row>
    <row r="2143" spans="1:13" x14ac:dyDescent="0.35">
      <c r="A2143" t="s">
        <v>3561</v>
      </c>
      <c r="B2143" s="9">
        <v>46169</v>
      </c>
      <c r="C2143" t="s">
        <v>952</v>
      </c>
      <c r="D2143" t="s">
        <v>99</v>
      </c>
      <c r="E2143" t="s">
        <v>34</v>
      </c>
      <c r="F2143" t="s">
        <v>47</v>
      </c>
      <c r="G2143" t="s">
        <v>48</v>
      </c>
      <c r="H2143">
        <v>1</v>
      </c>
      <c r="I2143" t="s">
        <v>106</v>
      </c>
      <c r="J2143" t="s">
        <v>106</v>
      </c>
      <c r="K2143" t="s">
        <v>50</v>
      </c>
      <c r="L2143" t="s">
        <v>30</v>
      </c>
      <c r="M2143" t="s">
        <v>22</v>
      </c>
    </row>
    <row r="2144" spans="1:13" x14ac:dyDescent="0.35">
      <c r="A2144" t="s">
        <v>3562</v>
      </c>
      <c r="B2144" t="s">
        <v>259</v>
      </c>
      <c r="C2144" t="s">
        <v>1415</v>
      </c>
      <c r="D2144" t="s">
        <v>46</v>
      </c>
      <c r="E2144" t="s">
        <v>25</v>
      </c>
      <c r="F2144" t="s">
        <v>42</v>
      </c>
      <c r="G2144" t="s">
        <v>43</v>
      </c>
      <c r="H2144">
        <v>3</v>
      </c>
      <c r="I2144" t="s">
        <v>170</v>
      </c>
      <c r="J2144" t="s">
        <v>856</v>
      </c>
      <c r="K2144" t="s">
        <v>111</v>
      </c>
      <c r="L2144" t="s">
        <v>21</v>
      </c>
      <c r="M2144" t="s">
        <v>58</v>
      </c>
    </row>
    <row r="2145" spans="1:13" x14ac:dyDescent="0.35">
      <c r="A2145" t="s">
        <v>3563</v>
      </c>
      <c r="B2145" s="9">
        <v>46165</v>
      </c>
      <c r="C2145" t="s">
        <v>3564</v>
      </c>
      <c r="D2145" t="s">
        <v>61</v>
      </c>
      <c r="E2145" t="s">
        <v>25</v>
      </c>
      <c r="F2145" t="s">
        <v>89</v>
      </c>
      <c r="G2145" t="s">
        <v>90</v>
      </c>
      <c r="H2145">
        <v>1</v>
      </c>
      <c r="I2145" t="s">
        <v>19</v>
      </c>
      <c r="J2145" t="s">
        <v>19</v>
      </c>
      <c r="K2145" t="s">
        <v>108</v>
      </c>
      <c r="L2145" t="s">
        <v>30</v>
      </c>
      <c r="M2145" t="s">
        <v>22</v>
      </c>
    </row>
    <row r="2146" spans="1:13" x14ac:dyDescent="0.35">
      <c r="A2146" t="s">
        <v>3565</v>
      </c>
      <c r="B2146" s="9">
        <v>46144</v>
      </c>
      <c r="C2146" t="s">
        <v>356</v>
      </c>
      <c r="D2146" t="s">
        <v>40</v>
      </c>
      <c r="E2146" t="s">
        <v>25</v>
      </c>
      <c r="F2146" t="s">
        <v>42</v>
      </c>
      <c r="G2146" t="s">
        <v>43</v>
      </c>
      <c r="H2146">
        <v>2</v>
      </c>
      <c r="I2146" t="s">
        <v>220</v>
      </c>
      <c r="J2146" t="s">
        <v>221</v>
      </c>
      <c r="K2146" t="s">
        <v>111</v>
      </c>
      <c r="L2146" t="s">
        <v>21</v>
      </c>
      <c r="M2146" t="s">
        <v>22</v>
      </c>
    </row>
    <row r="2147" spans="1:13" x14ac:dyDescent="0.35">
      <c r="A2147" t="s">
        <v>3566</v>
      </c>
      <c r="B2147" s="9">
        <v>46122</v>
      </c>
      <c r="C2147" t="s">
        <v>2007</v>
      </c>
      <c r="D2147" t="s">
        <v>61</v>
      </c>
      <c r="E2147" t="s">
        <v>34</v>
      </c>
      <c r="F2147" t="s">
        <v>47</v>
      </c>
      <c r="G2147" t="s">
        <v>48</v>
      </c>
      <c r="H2147">
        <v>1</v>
      </c>
      <c r="I2147" t="s">
        <v>102</v>
      </c>
      <c r="J2147" t="s">
        <v>102</v>
      </c>
      <c r="K2147">
        <v>380</v>
      </c>
      <c r="L2147" t="s">
        <v>21</v>
      </c>
      <c r="M2147" t="s">
        <v>22</v>
      </c>
    </row>
    <row r="2148" spans="1:13" x14ac:dyDescent="0.35">
      <c r="A2148" t="s">
        <v>2227</v>
      </c>
      <c r="B2148" s="9">
        <v>46066</v>
      </c>
      <c r="C2148" t="s">
        <v>2228</v>
      </c>
      <c r="D2148" t="s">
        <v>94</v>
      </c>
      <c r="E2148" t="s">
        <v>16</v>
      </c>
      <c r="F2148" t="s">
        <v>17</v>
      </c>
      <c r="G2148" t="s">
        <v>18</v>
      </c>
      <c r="H2148">
        <v>1</v>
      </c>
      <c r="I2148" t="s">
        <v>479</v>
      </c>
      <c r="J2148" t="s">
        <v>71</v>
      </c>
      <c r="K2148">
        <v>520</v>
      </c>
      <c r="L2148" t="s">
        <v>30</v>
      </c>
      <c r="M2148" t="s">
        <v>22</v>
      </c>
    </row>
    <row r="2149" spans="1:13" x14ac:dyDescent="0.35">
      <c r="A2149" t="s">
        <v>3567</v>
      </c>
      <c r="B2149" s="9">
        <v>46088</v>
      </c>
      <c r="C2149" t="s">
        <v>2225</v>
      </c>
      <c r="D2149" t="s">
        <v>94</v>
      </c>
      <c r="E2149" t="s">
        <v>41</v>
      </c>
      <c r="F2149" t="s">
        <v>47</v>
      </c>
      <c r="G2149" t="s">
        <v>48</v>
      </c>
      <c r="H2149">
        <v>1</v>
      </c>
      <c r="I2149" t="s">
        <v>79</v>
      </c>
      <c r="J2149" t="s">
        <v>79</v>
      </c>
      <c r="K2149">
        <v>380</v>
      </c>
      <c r="L2149" t="s">
        <v>30</v>
      </c>
      <c r="M2149" t="s">
        <v>58</v>
      </c>
    </row>
    <row r="2150" spans="1:13" x14ac:dyDescent="0.35">
      <c r="A2150" t="s">
        <v>3568</v>
      </c>
      <c r="B2150" s="9">
        <v>46181</v>
      </c>
      <c r="C2150" t="s">
        <v>2065</v>
      </c>
      <c r="D2150" t="s">
        <v>46</v>
      </c>
      <c r="E2150" t="s">
        <v>67</v>
      </c>
      <c r="F2150" t="s">
        <v>26</v>
      </c>
      <c r="G2150" t="s">
        <v>27</v>
      </c>
      <c r="H2150">
        <v>1</v>
      </c>
      <c r="I2150" t="s">
        <v>68</v>
      </c>
      <c r="J2150" t="s">
        <v>68</v>
      </c>
      <c r="K2150" t="s">
        <v>29</v>
      </c>
      <c r="L2150" t="s">
        <v>30</v>
      </c>
      <c r="M2150" t="s">
        <v>22</v>
      </c>
    </row>
    <row r="2151" spans="1:13" x14ac:dyDescent="0.35">
      <c r="A2151" t="s">
        <v>3569</v>
      </c>
      <c r="B2151" s="9">
        <v>46297</v>
      </c>
      <c r="C2151" t="s">
        <v>1349</v>
      </c>
      <c r="D2151" t="s">
        <v>61</v>
      </c>
      <c r="E2151" t="s">
        <v>67</v>
      </c>
      <c r="F2151" t="s">
        <v>26</v>
      </c>
      <c r="G2151" t="s">
        <v>27</v>
      </c>
      <c r="H2151">
        <v>1</v>
      </c>
      <c r="I2151" t="s">
        <v>500</v>
      </c>
      <c r="J2151" t="s">
        <v>220</v>
      </c>
      <c r="K2151">
        <v>520</v>
      </c>
      <c r="L2151" t="s">
        <v>30</v>
      </c>
      <c r="M2151" t="s">
        <v>58</v>
      </c>
    </row>
    <row r="2152" spans="1:13" x14ac:dyDescent="0.35">
      <c r="A2152" t="s">
        <v>3421</v>
      </c>
      <c r="B2152" s="9">
        <v>46096</v>
      </c>
      <c r="C2152" t="s">
        <v>3422</v>
      </c>
      <c r="D2152" t="s">
        <v>46</v>
      </c>
      <c r="E2152" t="s">
        <v>25</v>
      </c>
      <c r="F2152" t="s">
        <v>89</v>
      </c>
      <c r="G2152" t="s">
        <v>90</v>
      </c>
      <c r="H2152">
        <v>3</v>
      </c>
      <c r="I2152" t="s">
        <v>79</v>
      </c>
      <c r="J2152" t="s">
        <v>437</v>
      </c>
      <c r="K2152">
        <v>640</v>
      </c>
      <c r="L2152" t="s">
        <v>21</v>
      </c>
      <c r="M2152" t="s">
        <v>22</v>
      </c>
    </row>
    <row r="2153" spans="1:13" x14ac:dyDescent="0.35">
      <c r="A2153" t="s">
        <v>3570</v>
      </c>
      <c r="B2153" s="9">
        <v>46138</v>
      </c>
      <c r="C2153" t="s">
        <v>3571</v>
      </c>
      <c r="D2153" t="s">
        <v>94</v>
      </c>
      <c r="E2153" t="s">
        <v>25</v>
      </c>
      <c r="F2153" t="s">
        <v>89</v>
      </c>
      <c r="G2153" t="s">
        <v>90</v>
      </c>
      <c r="H2153">
        <v>1</v>
      </c>
      <c r="I2153" t="s">
        <v>71</v>
      </c>
      <c r="J2153" t="s">
        <v>71</v>
      </c>
      <c r="K2153" t="s">
        <v>108</v>
      </c>
      <c r="L2153" t="s">
        <v>21</v>
      </c>
      <c r="M2153" t="s">
        <v>58</v>
      </c>
    </row>
    <row r="2154" spans="1:13" x14ac:dyDescent="0.35">
      <c r="A2154" t="s">
        <v>3572</v>
      </c>
      <c r="B2154" s="9">
        <v>46060</v>
      </c>
      <c r="C2154" t="s">
        <v>615</v>
      </c>
      <c r="D2154" t="s">
        <v>61</v>
      </c>
      <c r="E2154" t="s">
        <v>16</v>
      </c>
      <c r="F2154" t="s">
        <v>17</v>
      </c>
      <c r="G2154" t="s">
        <v>18</v>
      </c>
      <c r="H2154">
        <v>3</v>
      </c>
      <c r="I2154" t="s">
        <v>71</v>
      </c>
      <c r="J2154" t="s">
        <v>379</v>
      </c>
      <c r="K2154">
        <v>520</v>
      </c>
      <c r="L2154" t="s">
        <v>21</v>
      </c>
      <c r="M2154" t="s">
        <v>22</v>
      </c>
    </row>
    <row r="2155" spans="1:13" x14ac:dyDescent="0.35">
      <c r="A2155" t="s">
        <v>3573</v>
      </c>
      <c r="B2155" s="9">
        <v>46129</v>
      </c>
      <c r="C2155" t="s">
        <v>3574</v>
      </c>
      <c r="D2155" t="s">
        <v>53</v>
      </c>
      <c r="E2155" t="s">
        <v>67</v>
      </c>
      <c r="F2155" t="s">
        <v>47</v>
      </c>
      <c r="G2155" t="s">
        <v>48</v>
      </c>
      <c r="H2155">
        <v>3</v>
      </c>
      <c r="I2155" t="s">
        <v>68</v>
      </c>
      <c r="J2155" t="s">
        <v>205</v>
      </c>
      <c r="K2155">
        <v>380</v>
      </c>
      <c r="L2155" t="s">
        <v>21</v>
      </c>
      <c r="M2155" t="s">
        <v>22</v>
      </c>
    </row>
    <row r="2156" spans="1:13" x14ac:dyDescent="0.35">
      <c r="A2156" t="s">
        <v>3575</v>
      </c>
      <c r="B2156" s="9">
        <v>46090</v>
      </c>
      <c r="C2156" t="s">
        <v>2625</v>
      </c>
      <c r="D2156" t="s">
        <v>66</v>
      </c>
      <c r="E2156" t="s">
        <v>41</v>
      </c>
      <c r="F2156" t="s">
        <v>47</v>
      </c>
      <c r="G2156" t="s">
        <v>48</v>
      </c>
      <c r="H2156">
        <v>2</v>
      </c>
      <c r="I2156" t="s">
        <v>132</v>
      </c>
      <c r="J2156" t="s">
        <v>133</v>
      </c>
      <c r="K2156">
        <v>380</v>
      </c>
      <c r="L2156" t="s">
        <v>30</v>
      </c>
      <c r="M2156" t="s">
        <v>22</v>
      </c>
    </row>
    <row r="2157" spans="1:13" x14ac:dyDescent="0.35">
      <c r="A2157" t="s">
        <v>3576</v>
      </c>
      <c r="B2157" s="9">
        <v>46327</v>
      </c>
      <c r="C2157" t="s">
        <v>714</v>
      </c>
      <c r="D2157" t="s">
        <v>33</v>
      </c>
      <c r="E2157" t="s">
        <v>25</v>
      </c>
      <c r="F2157" t="s">
        <v>89</v>
      </c>
      <c r="G2157" t="s">
        <v>90</v>
      </c>
      <c r="H2157">
        <v>2</v>
      </c>
      <c r="I2157" t="s">
        <v>71</v>
      </c>
      <c r="J2157" t="s">
        <v>286</v>
      </c>
      <c r="K2157">
        <v>640</v>
      </c>
      <c r="L2157" t="s">
        <v>30</v>
      </c>
      <c r="M2157" t="s">
        <v>22</v>
      </c>
    </row>
    <row r="2158" spans="1:13" x14ac:dyDescent="0.35">
      <c r="A2158" t="s">
        <v>3577</v>
      </c>
      <c r="B2158" s="9">
        <v>46104</v>
      </c>
      <c r="C2158" t="s">
        <v>1175</v>
      </c>
      <c r="D2158" t="s">
        <v>66</v>
      </c>
      <c r="E2158" t="s">
        <v>34</v>
      </c>
      <c r="F2158" t="s">
        <v>83</v>
      </c>
      <c r="G2158" t="s">
        <v>84</v>
      </c>
      <c r="H2158">
        <v>2</v>
      </c>
      <c r="I2158" t="s">
        <v>436</v>
      </c>
      <c r="J2158" t="s">
        <v>143</v>
      </c>
      <c r="K2158">
        <v>340</v>
      </c>
      <c r="L2158" t="s">
        <v>30</v>
      </c>
      <c r="M2158" t="s">
        <v>22</v>
      </c>
    </row>
    <row r="2159" spans="1:13" x14ac:dyDescent="0.35">
      <c r="A2159" t="s">
        <v>3578</v>
      </c>
      <c r="B2159" s="9">
        <v>46041</v>
      </c>
      <c r="C2159" t="s">
        <v>1428</v>
      </c>
      <c r="D2159" t="s">
        <v>94</v>
      </c>
      <c r="E2159" t="s">
        <v>67</v>
      </c>
      <c r="F2159" t="s">
        <v>89</v>
      </c>
      <c r="G2159" t="s">
        <v>90</v>
      </c>
      <c r="H2159">
        <v>3</v>
      </c>
      <c r="I2159" t="s">
        <v>19</v>
      </c>
      <c r="J2159" t="s">
        <v>326</v>
      </c>
      <c r="K2159">
        <v>640</v>
      </c>
      <c r="L2159" t="s">
        <v>30</v>
      </c>
      <c r="M2159" t="s">
        <v>22</v>
      </c>
    </row>
    <row r="2160" spans="1:13" x14ac:dyDescent="0.35">
      <c r="A2160" t="s">
        <v>3579</v>
      </c>
      <c r="B2160" s="9">
        <v>46206</v>
      </c>
      <c r="C2160" t="s">
        <v>842</v>
      </c>
      <c r="D2160" t="s">
        <v>99</v>
      </c>
      <c r="E2160" t="s">
        <v>67</v>
      </c>
      <c r="F2160" t="s">
        <v>83</v>
      </c>
      <c r="G2160" t="s">
        <v>84</v>
      </c>
      <c r="H2160">
        <v>3</v>
      </c>
      <c r="I2160" t="s">
        <v>68</v>
      </c>
      <c r="J2160" t="s">
        <v>205</v>
      </c>
      <c r="K2160">
        <v>340</v>
      </c>
      <c r="L2160" t="s">
        <v>30</v>
      </c>
      <c r="M2160" t="s">
        <v>22</v>
      </c>
    </row>
    <row r="2161" spans="1:13" x14ac:dyDescent="0.35">
      <c r="A2161" t="s">
        <v>3580</v>
      </c>
      <c r="B2161" s="9">
        <v>46061</v>
      </c>
      <c r="C2161" t="s">
        <v>741</v>
      </c>
      <c r="D2161" t="s">
        <v>40</v>
      </c>
      <c r="E2161" t="s">
        <v>67</v>
      </c>
      <c r="F2161" t="s">
        <v>26</v>
      </c>
      <c r="G2161" t="s">
        <v>27</v>
      </c>
      <c r="H2161">
        <v>1</v>
      </c>
      <c r="I2161" t="s">
        <v>79</v>
      </c>
      <c r="J2161" t="s">
        <v>79</v>
      </c>
      <c r="K2161">
        <v>520</v>
      </c>
      <c r="L2161" t="s">
        <v>21</v>
      </c>
      <c r="M2161" t="s">
        <v>58</v>
      </c>
    </row>
    <row r="2162" spans="1:13" x14ac:dyDescent="0.35">
      <c r="A2162" t="s">
        <v>3581</v>
      </c>
      <c r="B2162" s="9">
        <v>46146</v>
      </c>
      <c r="C2162" t="s">
        <v>1310</v>
      </c>
      <c r="D2162" t="s">
        <v>33</v>
      </c>
      <c r="E2162" t="s">
        <v>67</v>
      </c>
      <c r="F2162" t="s">
        <v>83</v>
      </c>
      <c r="G2162" t="s">
        <v>84</v>
      </c>
      <c r="H2162">
        <v>1</v>
      </c>
      <c r="I2162" t="s">
        <v>19</v>
      </c>
      <c r="J2162" t="s">
        <v>19</v>
      </c>
      <c r="K2162" t="s">
        <v>103</v>
      </c>
      <c r="L2162" t="s">
        <v>30</v>
      </c>
      <c r="M2162" t="s">
        <v>22</v>
      </c>
    </row>
    <row r="2163" spans="1:13" x14ac:dyDescent="0.35">
      <c r="A2163" t="s">
        <v>3582</v>
      </c>
      <c r="B2163" s="9">
        <v>46186</v>
      </c>
      <c r="C2163" t="s">
        <v>2163</v>
      </c>
      <c r="D2163" t="s">
        <v>99</v>
      </c>
      <c r="E2163" t="s">
        <v>16</v>
      </c>
      <c r="F2163" t="s">
        <v>47</v>
      </c>
      <c r="G2163" t="s">
        <v>48</v>
      </c>
      <c r="H2163">
        <v>1</v>
      </c>
      <c r="I2163" t="s">
        <v>68</v>
      </c>
      <c r="J2163" t="s">
        <v>68</v>
      </c>
      <c r="K2163" t="s">
        <v>50</v>
      </c>
      <c r="L2163" t="s">
        <v>21</v>
      </c>
      <c r="M2163" t="s">
        <v>22</v>
      </c>
    </row>
    <row r="2164" spans="1:13" x14ac:dyDescent="0.35">
      <c r="A2164" t="s">
        <v>3583</v>
      </c>
      <c r="B2164" s="9">
        <v>46067</v>
      </c>
      <c r="C2164" t="s">
        <v>1866</v>
      </c>
      <c r="D2164" t="s">
        <v>94</v>
      </c>
      <c r="E2164" t="s">
        <v>41</v>
      </c>
      <c r="F2164" t="s">
        <v>83</v>
      </c>
      <c r="G2164" t="s">
        <v>84</v>
      </c>
      <c r="H2164">
        <v>2</v>
      </c>
      <c r="I2164" t="s">
        <v>71</v>
      </c>
      <c r="J2164" t="s">
        <v>286</v>
      </c>
      <c r="K2164">
        <v>340</v>
      </c>
      <c r="L2164" t="s">
        <v>30</v>
      </c>
      <c r="M2164" t="s">
        <v>58</v>
      </c>
    </row>
    <row r="2165" spans="1:13" x14ac:dyDescent="0.35">
      <c r="A2165" t="s">
        <v>3584</v>
      </c>
      <c r="B2165" s="9">
        <v>46150</v>
      </c>
      <c r="C2165" t="s">
        <v>225</v>
      </c>
      <c r="D2165" t="s">
        <v>53</v>
      </c>
      <c r="E2165" t="s">
        <v>16</v>
      </c>
      <c r="F2165" t="s">
        <v>83</v>
      </c>
      <c r="G2165" t="s">
        <v>84</v>
      </c>
      <c r="H2165">
        <v>1</v>
      </c>
      <c r="I2165" t="s">
        <v>28</v>
      </c>
      <c r="J2165" t="s">
        <v>28</v>
      </c>
      <c r="K2165" t="s">
        <v>103</v>
      </c>
      <c r="L2165" t="s">
        <v>21</v>
      </c>
      <c r="M2165" t="s">
        <v>58</v>
      </c>
    </row>
    <row r="2166" spans="1:13" x14ac:dyDescent="0.35">
      <c r="A2166" t="s">
        <v>3585</v>
      </c>
      <c r="B2166" s="9">
        <v>46198</v>
      </c>
      <c r="C2166" t="s">
        <v>1758</v>
      </c>
      <c r="D2166" t="s">
        <v>61</v>
      </c>
      <c r="E2166" t="s">
        <v>34</v>
      </c>
      <c r="F2166" t="s">
        <v>83</v>
      </c>
      <c r="G2166" t="s">
        <v>84</v>
      </c>
      <c r="H2166">
        <v>2</v>
      </c>
      <c r="I2166" t="s">
        <v>106</v>
      </c>
      <c r="J2166" t="s">
        <v>107</v>
      </c>
      <c r="K2166" t="s">
        <v>103</v>
      </c>
      <c r="L2166" t="s">
        <v>30</v>
      </c>
      <c r="M2166" t="s">
        <v>22</v>
      </c>
    </row>
    <row r="2167" spans="1:13" x14ac:dyDescent="0.35">
      <c r="A2167" t="s">
        <v>3586</v>
      </c>
      <c r="B2167" s="9">
        <v>46180</v>
      </c>
      <c r="C2167" t="s">
        <v>557</v>
      </c>
      <c r="D2167" t="s">
        <v>94</v>
      </c>
      <c r="E2167" t="s">
        <v>34</v>
      </c>
      <c r="F2167" t="s">
        <v>74</v>
      </c>
      <c r="G2167" t="s">
        <v>75</v>
      </c>
      <c r="H2167">
        <v>1</v>
      </c>
      <c r="I2167" t="s">
        <v>132</v>
      </c>
      <c r="J2167" t="s">
        <v>132</v>
      </c>
      <c r="K2167" t="s">
        <v>76</v>
      </c>
      <c r="L2167" t="s">
        <v>30</v>
      </c>
      <c r="M2167" t="s">
        <v>22</v>
      </c>
    </row>
    <row r="2168" spans="1:13" x14ac:dyDescent="0.35">
      <c r="A2168" t="s">
        <v>3587</v>
      </c>
      <c r="B2168" s="9">
        <v>46055</v>
      </c>
      <c r="C2168" t="s">
        <v>435</v>
      </c>
      <c r="D2168" t="s">
        <v>15</v>
      </c>
      <c r="E2168" t="s">
        <v>34</v>
      </c>
      <c r="F2168" t="s">
        <v>17</v>
      </c>
      <c r="G2168" t="s">
        <v>18</v>
      </c>
      <c r="H2168">
        <v>3</v>
      </c>
      <c r="I2168" t="s">
        <v>62</v>
      </c>
      <c r="J2168" t="s">
        <v>488</v>
      </c>
      <c r="K2168">
        <v>520</v>
      </c>
      <c r="L2168" t="s">
        <v>30</v>
      </c>
      <c r="M2168" t="s">
        <v>22</v>
      </c>
    </row>
    <row r="2169" spans="1:13" x14ac:dyDescent="0.35">
      <c r="A2169" t="s">
        <v>1952</v>
      </c>
      <c r="B2169" s="9">
        <v>46175</v>
      </c>
      <c r="C2169" t="s">
        <v>1953</v>
      </c>
      <c r="D2169" t="s">
        <v>99</v>
      </c>
      <c r="E2169" t="s">
        <v>41</v>
      </c>
      <c r="F2169" t="s">
        <v>35</v>
      </c>
      <c r="G2169" t="s">
        <v>36</v>
      </c>
      <c r="H2169">
        <v>3</v>
      </c>
      <c r="I2169" t="s">
        <v>254</v>
      </c>
      <c r="J2169" t="s">
        <v>390</v>
      </c>
      <c r="K2169" t="s">
        <v>37</v>
      </c>
      <c r="L2169" t="s">
        <v>30</v>
      </c>
      <c r="M2169" t="s">
        <v>22</v>
      </c>
    </row>
    <row r="2170" spans="1:13" x14ac:dyDescent="0.35">
      <c r="A2170" t="s">
        <v>3588</v>
      </c>
      <c r="B2170" s="9">
        <v>46136</v>
      </c>
      <c r="C2170" t="s">
        <v>3589</v>
      </c>
      <c r="D2170" t="s">
        <v>116</v>
      </c>
      <c r="E2170" t="s">
        <v>67</v>
      </c>
      <c r="F2170" t="s">
        <v>89</v>
      </c>
      <c r="G2170" t="s">
        <v>90</v>
      </c>
      <c r="H2170">
        <v>3</v>
      </c>
      <c r="I2170" t="s">
        <v>106</v>
      </c>
      <c r="J2170" t="s">
        <v>160</v>
      </c>
      <c r="K2170" t="s">
        <v>108</v>
      </c>
      <c r="L2170" t="s">
        <v>30</v>
      </c>
      <c r="M2170" t="s">
        <v>22</v>
      </c>
    </row>
    <row r="2171" spans="1:13" x14ac:dyDescent="0.35">
      <c r="A2171" t="s">
        <v>3590</v>
      </c>
      <c r="B2171" t="s">
        <v>1807</v>
      </c>
      <c r="C2171" t="s">
        <v>1872</v>
      </c>
      <c r="D2171" t="s">
        <v>61</v>
      </c>
      <c r="E2171" t="s">
        <v>34</v>
      </c>
      <c r="F2171" t="s">
        <v>47</v>
      </c>
      <c r="G2171" t="s">
        <v>48</v>
      </c>
      <c r="H2171">
        <v>2</v>
      </c>
      <c r="I2171" t="s">
        <v>102</v>
      </c>
      <c r="J2171" t="s">
        <v>181</v>
      </c>
      <c r="K2171" t="s">
        <v>50</v>
      </c>
      <c r="L2171" t="s">
        <v>30</v>
      </c>
      <c r="M2171" t="s">
        <v>22</v>
      </c>
    </row>
    <row r="2172" spans="1:13" x14ac:dyDescent="0.35">
      <c r="A2172" t="s">
        <v>3591</v>
      </c>
      <c r="B2172" s="9">
        <v>46146</v>
      </c>
      <c r="C2172" t="s">
        <v>1338</v>
      </c>
      <c r="D2172" t="s">
        <v>99</v>
      </c>
      <c r="E2172" t="s">
        <v>34</v>
      </c>
      <c r="F2172" t="s">
        <v>83</v>
      </c>
      <c r="G2172" t="s">
        <v>84</v>
      </c>
      <c r="H2172">
        <v>1</v>
      </c>
      <c r="I2172" t="s">
        <v>85</v>
      </c>
      <c r="J2172" t="s">
        <v>85</v>
      </c>
      <c r="K2172" t="s">
        <v>103</v>
      </c>
      <c r="L2172" t="s">
        <v>30</v>
      </c>
      <c r="M2172" t="s">
        <v>22</v>
      </c>
    </row>
    <row r="2173" spans="1:13" x14ac:dyDescent="0.35">
      <c r="A2173" t="s">
        <v>3592</v>
      </c>
      <c r="B2173" s="9">
        <v>46117</v>
      </c>
      <c r="C2173" t="s">
        <v>288</v>
      </c>
      <c r="D2173" t="s">
        <v>66</v>
      </c>
      <c r="E2173" t="s">
        <v>25</v>
      </c>
      <c r="F2173" t="s">
        <v>83</v>
      </c>
      <c r="G2173" t="s">
        <v>84</v>
      </c>
      <c r="H2173">
        <v>2</v>
      </c>
      <c r="I2173" t="s">
        <v>79</v>
      </c>
      <c r="J2173" t="s">
        <v>143</v>
      </c>
      <c r="K2173">
        <v>340</v>
      </c>
      <c r="L2173" t="s">
        <v>30</v>
      </c>
      <c r="M2173" t="s">
        <v>22</v>
      </c>
    </row>
    <row r="2174" spans="1:13" x14ac:dyDescent="0.35">
      <c r="A2174" t="s">
        <v>3593</v>
      </c>
      <c r="B2174" s="9">
        <v>46146</v>
      </c>
      <c r="C2174" t="s">
        <v>2074</v>
      </c>
      <c r="D2174" t="s">
        <v>99</v>
      </c>
      <c r="E2174" t="s">
        <v>34</v>
      </c>
      <c r="F2174" t="s">
        <v>83</v>
      </c>
      <c r="G2174" t="s">
        <v>84</v>
      </c>
      <c r="H2174">
        <v>2</v>
      </c>
      <c r="I2174" t="s">
        <v>136</v>
      </c>
      <c r="J2174" t="s">
        <v>164</v>
      </c>
      <c r="K2174">
        <v>340</v>
      </c>
      <c r="L2174" t="s">
        <v>30</v>
      </c>
      <c r="M2174" t="s">
        <v>22</v>
      </c>
    </row>
    <row r="2175" spans="1:13" x14ac:dyDescent="0.35">
      <c r="A2175" t="s">
        <v>3594</v>
      </c>
      <c r="B2175" s="9">
        <v>46118</v>
      </c>
      <c r="C2175" t="s">
        <v>55</v>
      </c>
      <c r="D2175" t="s">
        <v>66</v>
      </c>
      <c r="E2175" t="s">
        <v>25</v>
      </c>
      <c r="F2175" t="s">
        <v>47</v>
      </c>
      <c r="G2175" t="s">
        <v>48</v>
      </c>
      <c r="H2175">
        <v>2</v>
      </c>
      <c r="I2175" t="s">
        <v>62</v>
      </c>
      <c r="J2175" t="s">
        <v>63</v>
      </c>
      <c r="K2175">
        <v>380</v>
      </c>
      <c r="L2175" t="s">
        <v>30</v>
      </c>
      <c r="M2175" t="s">
        <v>22</v>
      </c>
    </row>
    <row r="2176" spans="1:13" x14ac:dyDescent="0.35">
      <c r="A2176" t="s">
        <v>3595</v>
      </c>
      <c r="B2176" s="9">
        <v>46113</v>
      </c>
      <c r="C2176" t="s">
        <v>3066</v>
      </c>
      <c r="D2176" t="s">
        <v>40</v>
      </c>
      <c r="E2176" t="s">
        <v>16</v>
      </c>
      <c r="F2176" t="s">
        <v>17</v>
      </c>
      <c r="G2176" t="s">
        <v>18</v>
      </c>
      <c r="H2176">
        <v>3</v>
      </c>
      <c r="I2176" t="s">
        <v>132</v>
      </c>
      <c r="J2176" t="s">
        <v>232</v>
      </c>
      <c r="K2176">
        <v>520</v>
      </c>
      <c r="L2176" t="s">
        <v>30</v>
      </c>
      <c r="M2176" t="s">
        <v>58</v>
      </c>
    </row>
    <row r="2177" spans="1:13" x14ac:dyDescent="0.35">
      <c r="A2177" t="s">
        <v>3596</v>
      </c>
      <c r="B2177" s="9">
        <v>46176</v>
      </c>
      <c r="C2177" t="s">
        <v>842</v>
      </c>
      <c r="D2177" t="s">
        <v>46</v>
      </c>
      <c r="E2177" t="s">
        <v>25</v>
      </c>
      <c r="F2177" t="s">
        <v>83</v>
      </c>
      <c r="G2177" t="s">
        <v>84</v>
      </c>
      <c r="H2177">
        <v>1</v>
      </c>
      <c r="I2177" t="s">
        <v>673</v>
      </c>
      <c r="J2177" t="s">
        <v>62</v>
      </c>
      <c r="K2177" t="s">
        <v>103</v>
      </c>
      <c r="L2177" t="s">
        <v>30</v>
      </c>
      <c r="M2177" t="s">
        <v>22</v>
      </c>
    </row>
    <row r="2178" spans="1:13" x14ac:dyDescent="0.35">
      <c r="A2178" t="s">
        <v>3597</v>
      </c>
      <c r="B2178" s="9">
        <v>46127</v>
      </c>
      <c r="C2178" t="s">
        <v>607</v>
      </c>
      <c r="D2178" t="s">
        <v>46</v>
      </c>
      <c r="E2178" t="s">
        <v>41</v>
      </c>
      <c r="F2178" t="s">
        <v>35</v>
      </c>
      <c r="G2178" t="s">
        <v>36</v>
      </c>
      <c r="H2178">
        <v>2</v>
      </c>
      <c r="I2178" t="s">
        <v>79</v>
      </c>
      <c r="J2178" t="s">
        <v>143</v>
      </c>
      <c r="K2178">
        <v>85</v>
      </c>
      <c r="L2178" t="s">
        <v>30</v>
      </c>
      <c r="M2178" t="s">
        <v>22</v>
      </c>
    </row>
    <row r="2179" spans="1:13" x14ac:dyDescent="0.35">
      <c r="A2179" t="s">
        <v>3598</v>
      </c>
      <c r="B2179" s="9">
        <v>46030</v>
      </c>
      <c r="C2179" t="s">
        <v>1191</v>
      </c>
      <c r="D2179" t="s">
        <v>15</v>
      </c>
      <c r="E2179" t="s">
        <v>34</v>
      </c>
      <c r="F2179" t="s">
        <v>83</v>
      </c>
      <c r="G2179" t="s">
        <v>84</v>
      </c>
      <c r="H2179">
        <v>1</v>
      </c>
      <c r="I2179" t="s">
        <v>62</v>
      </c>
      <c r="J2179" t="s">
        <v>62</v>
      </c>
      <c r="K2179">
        <v>340</v>
      </c>
      <c r="L2179" t="s">
        <v>30</v>
      </c>
      <c r="M2179" t="s">
        <v>22</v>
      </c>
    </row>
    <row r="2180" spans="1:13" x14ac:dyDescent="0.35">
      <c r="A2180" t="s">
        <v>3599</v>
      </c>
      <c r="B2180" s="9">
        <v>46122</v>
      </c>
      <c r="C2180" t="s">
        <v>2782</v>
      </c>
      <c r="D2180" t="s">
        <v>61</v>
      </c>
      <c r="E2180" t="s">
        <v>41</v>
      </c>
      <c r="F2180" t="s">
        <v>89</v>
      </c>
      <c r="G2180" t="s">
        <v>90</v>
      </c>
      <c r="H2180">
        <v>3</v>
      </c>
      <c r="I2180" t="s">
        <v>106</v>
      </c>
      <c r="J2180" t="s">
        <v>160</v>
      </c>
      <c r="K2180">
        <v>640</v>
      </c>
      <c r="L2180" t="s">
        <v>30</v>
      </c>
      <c r="M2180" t="s">
        <v>22</v>
      </c>
    </row>
    <row r="2181" spans="1:13" x14ac:dyDescent="0.35">
      <c r="A2181" t="s">
        <v>3600</v>
      </c>
      <c r="B2181" s="9">
        <v>46067</v>
      </c>
      <c r="C2181" t="s">
        <v>1831</v>
      </c>
      <c r="D2181" t="s">
        <v>33</v>
      </c>
      <c r="E2181" t="s">
        <v>67</v>
      </c>
      <c r="F2181" t="s">
        <v>26</v>
      </c>
      <c r="G2181" t="s">
        <v>27</v>
      </c>
      <c r="H2181">
        <v>1</v>
      </c>
      <c r="I2181" t="s">
        <v>106</v>
      </c>
      <c r="J2181" t="s">
        <v>106</v>
      </c>
      <c r="K2181">
        <v>520</v>
      </c>
      <c r="L2181" t="s">
        <v>30</v>
      </c>
      <c r="M2181" t="s">
        <v>58</v>
      </c>
    </row>
    <row r="2182" spans="1:13" x14ac:dyDescent="0.35">
      <c r="A2182" t="s">
        <v>3601</v>
      </c>
      <c r="B2182" s="9">
        <v>46127</v>
      </c>
      <c r="C2182" t="s">
        <v>3602</v>
      </c>
      <c r="D2182" t="s">
        <v>66</v>
      </c>
      <c r="E2182" t="s">
        <v>34</v>
      </c>
      <c r="F2182" t="s">
        <v>17</v>
      </c>
      <c r="G2182" t="s">
        <v>18</v>
      </c>
      <c r="H2182">
        <v>2</v>
      </c>
      <c r="I2182" t="s">
        <v>254</v>
      </c>
      <c r="J2182" t="s">
        <v>156</v>
      </c>
      <c r="K2182">
        <v>520</v>
      </c>
      <c r="L2182" t="s">
        <v>30</v>
      </c>
      <c r="M2182" t="s">
        <v>22</v>
      </c>
    </row>
    <row r="2183" spans="1:13" x14ac:dyDescent="0.35">
      <c r="A2183" t="s">
        <v>3603</v>
      </c>
      <c r="B2183" s="9">
        <v>46181</v>
      </c>
      <c r="C2183" t="s">
        <v>1667</v>
      </c>
      <c r="D2183" t="s">
        <v>46</v>
      </c>
      <c r="E2183" t="s">
        <v>41</v>
      </c>
      <c r="F2183" t="s">
        <v>17</v>
      </c>
      <c r="G2183" t="s">
        <v>18</v>
      </c>
      <c r="H2183">
        <v>1</v>
      </c>
      <c r="I2183" t="s">
        <v>19</v>
      </c>
      <c r="J2183" t="s">
        <v>19</v>
      </c>
      <c r="K2183" t="s">
        <v>29</v>
      </c>
      <c r="L2183" t="s">
        <v>30</v>
      </c>
      <c r="M2183" t="s">
        <v>22</v>
      </c>
    </row>
    <row r="2184" spans="1:13" x14ac:dyDescent="0.35">
      <c r="A2184" t="s">
        <v>3604</v>
      </c>
      <c r="B2184" s="9">
        <v>46097</v>
      </c>
      <c r="C2184" t="s">
        <v>3605</v>
      </c>
      <c r="D2184" t="s">
        <v>99</v>
      </c>
      <c r="E2184" t="s">
        <v>41</v>
      </c>
      <c r="F2184" t="s">
        <v>17</v>
      </c>
      <c r="G2184" t="s">
        <v>18</v>
      </c>
      <c r="H2184">
        <v>3</v>
      </c>
      <c r="I2184" t="s">
        <v>56</v>
      </c>
      <c r="J2184" t="s">
        <v>57</v>
      </c>
      <c r="K2184">
        <v>520</v>
      </c>
      <c r="L2184" t="s">
        <v>30</v>
      </c>
      <c r="M2184" t="s">
        <v>22</v>
      </c>
    </row>
    <row r="2185" spans="1:13" x14ac:dyDescent="0.35">
      <c r="A2185" t="s">
        <v>3606</v>
      </c>
      <c r="B2185" s="9">
        <v>46155</v>
      </c>
      <c r="C2185" t="s">
        <v>280</v>
      </c>
      <c r="D2185" t="s">
        <v>46</v>
      </c>
      <c r="E2185" t="s">
        <v>16</v>
      </c>
      <c r="F2185" t="s">
        <v>35</v>
      </c>
      <c r="G2185" t="s">
        <v>36</v>
      </c>
      <c r="H2185">
        <v>3</v>
      </c>
      <c r="I2185" t="s">
        <v>71</v>
      </c>
      <c r="J2185" t="s">
        <v>379</v>
      </c>
      <c r="K2185" t="s">
        <v>37</v>
      </c>
      <c r="L2185" t="s">
        <v>30</v>
      </c>
      <c r="M2185" t="s">
        <v>22</v>
      </c>
    </row>
    <row r="2186" spans="1:13" x14ac:dyDescent="0.35">
      <c r="A2186" t="s">
        <v>3607</v>
      </c>
      <c r="B2186" s="9">
        <v>46148</v>
      </c>
      <c r="C2186" t="s">
        <v>3608</v>
      </c>
      <c r="D2186" t="s">
        <v>99</v>
      </c>
      <c r="E2186" t="s">
        <v>34</v>
      </c>
      <c r="F2186" t="s">
        <v>26</v>
      </c>
      <c r="G2186" t="s">
        <v>27</v>
      </c>
      <c r="H2186">
        <v>1</v>
      </c>
      <c r="I2186" t="s">
        <v>28</v>
      </c>
      <c r="J2186" t="s">
        <v>28</v>
      </c>
      <c r="K2186" t="s">
        <v>29</v>
      </c>
      <c r="L2186" t="s">
        <v>30</v>
      </c>
      <c r="M2186" t="s">
        <v>22</v>
      </c>
    </row>
    <row r="2187" spans="1:13" x14ac:dyDescent="0.35">
      <c r="A2187" t="s">
        <v>3609</v>
      </c>
      <c r="B2187" s="9">
        <v>46031</v>
      </c>
      <c r="C2187" t="s">
        <v>2464</v>
      </c>
      <c r="D2187" t="s">
        <v>46</v>
      </c>
      <c r="E2187" t="s">
        <v>67</v>
      </c>
      <c r="F2187" t="s">
        <v>74</v>
      </c>
      <c r="G2187" t="s">
        <v>75</v>
      </c>
      <c r="H2187">
        <v>1</v>
      </c>
      <c r="I2187" t="s">
        <v>71</v>
      </c>
      <c r="J2187" t="s">
        <v>71</v>
      </c>
      <c r="K2187">
        <v>410</v>
      </c>
      <c r="L2187" t="s">
        <v>30</v>
      </c>
      <c r="M2187" t="s">
        <v>22</v>
      </c>
    </row>
    <row r="2188" spans="1:13" x14ac:dyDescent="0.35">
      <c r="A2188" t="s">
        <v>3610</v>
      </c>
      <c r="B2188" s="9">
        <v>46130</v>
      </c>
      <c r="C2188" t="s">
        <v>3510</v>
      </c>
      <c r="D2188" t="s">
        <v>33</v>
      </c>
      <c r="E2188" t="s">
        <v>41</v>
      </c>
      <c r="F2188" t="s">
        <v>17</v>
      </c>
      <c r="G2188" t="s">
        <v>18</v>
      </c>
      <c r="H2188">
        <v>1</v>
      </c>
      <c r="I2188" t="s">
        <v>85</v>
      </c>
      <c r="J2188" t="s">
        <v>85</v>
      </c>
      <c r="K2188">
        <v>520</v>
      </c>
      <c r="L2188" t="s">
        <v>30</v>
      </c>
      <c r="M2188" t="s">
        <v>22</v>
      </c>
    </row>
    <row r="2189" spans="1:13" x14ac:dyDescent="0.35">
      <c r="A2189" t="s">
        <v>3611</v>
      </c>
      <c r="B2189" s="9">
        <v>46113</v>
      </c>
      <c r="C2189" t="s">
        <v>2205</v>
      </c>
      <c r="D2189" t="s">
        <v>94</v>
      </c>
      <c r="E2189" t="s">
        <v>41</v>
      </c>
      <c r="F2189" t="s">
        <v>83</v>
      </c>
      <c r="G2189" t="s">
        <v>84</v>
      </c>
      <c r="H2189">
        <v>2</v>
      </c>
      <c r="I2189" t="s">
        <v>106</v>
      </c>
      <c r="J2189" t="s">
        <v>107</v>
      </c>
      <c r="K2189">
        <v>340</v>
      </c>
      <c r="L2189" t="s">
        <v>21</v>
      </c>
      <c r="M2189" t="s">
        <v>22</v>
      </c>
    </row>
    <row r="2190" spans="1:13" x14ac:dyDescent="0.35">
      <c r="A2190" t="s">
        <v>3612</v>
      </c>
      <c r="B2190" s="9">
        <v>46054</v>
      </c>
      <c r="C2190" t="s">
        <v>1087</v>
      </c>
      <c r="D2190" t="s">
        <v>33</v>
      </c>
      <c r="E2190" t="s">
        <v>41</v>
      </c>
      <c r="F2190" t="s">
        <v>35</v>
      </c>
      <c r="G2190" t="s">
        <v>36</v>
      </c>
      <c r="H2190">
        <v>3</v>
      </c>
      <c r="I2190" t="s">
        <v>19</v>
      </c>
      <c r="J2190" t="s">
        <v>326</v>
      </c>
      <c r="K2190">
        <v>85</v>
      </c>
      <c r="L2190" t="s">
        <v>30</v>
      </c>
      <c r="M2190" t="s">
        <v>22</v>
      </c>
    </row>
    <row r="2191" spans="1:13" x14ac:dyDescent="0.35">
      <c r="A2191" t="s">
        <v>3613</v>
      </c>
      <c r="B2191" s="9">
        <v>46029</v>
      </c>
      <c r="C2191" t="s">
        <v>1442</v>
      </c>
      <c r="D2191" t="s">
        <v>46</v>
      </c>
      <c r="E2191" t="s">
        <v>16</v>
      </c>
      <c r="F2191" t="s">
        <v>74</v>
      </c>
      <c r="G2191" t="s">
        <v>75</v>
      </c>
      <c r="H2191">
        <v>1</v>
      </c>
      <c r="I2191" t="s">
        <v>28</v>
      </c>
      <c r="J2191" t="s">
        <v>28</v>
      </c>
      <c r="K2191">
        <v>410</v>
      </c>
      <c r="L2191" t="s">
        <v>21</v>
      </c>
      <c r="M2191" t="s">
        <v>22</v>
      </c>
    </row>
    <row r="2192" spans="1:13" x14ac:dyDescent="0.35">
      <c r="A2192" t="s">
        <v>3614</v>
      </c>
      <c r="B2192" s="9">
        <v>46071</v>
      </c>
      <c r="C2192" t="s">
        <v>659</v>
      </c>
      <c r="D2192" t="s">
        <v>15</v>
      </c>
      <c r="E2192" t="s">
        <v>41</v>
      </c>
      <c r="F2192" t="s">
        <v>17</v>
      </c>
      <c r="G2192" t="s">
        <v>18</v>
      </c>
      <c r="H2192">
        <v>3</v>
      </c>
      <c r="I2192" t="s">
        <v>220</v>
      </c>
      <c r="J2192" t="s">
        <v>494</v>
      </c>
      <c r="K2192">
        <v>520</v>
      </c>
      <c r="L2192" t="s">
        <v>30</v>
      </c>
      <c r="M2192" t="s">
        <v>58</v>
      </c>
    </row>
    <row r="2193" spans="1:13" x14ac:dyDescent="0.35">
      <c r="A2193" t="s">
        <v>3615</v>
      </c>
      <c r="B2193" s="9">
        <v>46040</v>
      </c>
      <c r="C2193" t="s">
        <v>2672</v>
      </c>
      <c r="D2193" t="s">
        <v>116</v>
      </c>
      <c r="E2193" t="s">
        <v>41</v>
      </c>
      <c r="F2193" t="s">
        <v>47</v>
      </c>
      <c r="G2193" t="s">
        <v>48</v>
      </c>
      <c r="H2193">
        <v>3</v>
      </c>
      <c r="I2193" t="s">
        <v>254</v>
      </c>
      <c r="J2193" t="s">
        <v>390</v>
      </c>
      <c r="K2193">
        <v>380</v>
      </c>
      <c r="L2193" t="s">
        <v>30</v>
      </c>
      <c r="M2193" t="s">
        <v>22</v>
      </c>
    </row>
    <row r="2194" spans="1:13" x14ac:dyDescent="0.35">
      <c r="A2194" t="s">
        <v>3616</v>
      </c>
      <c r="B2194" s="9">
        <v>46164</v>
      </c>
      <c r="C2194" t="s">
        <v>1589</v>
      </c>
      <c r="D2194" t="s">
        <v>33</v>
      </c>
      <c r="E2194" t="s">
        <v>41</v>
      </c>
      <c r="F2194" t="s">
        <v>89</v>
      </c>
      <c r="G2194" t="s">
        <v>90</v>
      </c>
      <c r="H2194">
        <v>2</v>
      </c>
      <c r="I2194" t="s">
        <v>85</v>
      </c>
      <c r="J2194" t="s">
        <v>267</v>
      </c>
      <c r="K2194" t="s">
        <v>108</v>
      </c>
      <c r="L2194" t="s">
        <v>30</v>
      </c>
      <c r="M2194" t="s">
        <v>58</v>
      </c>
    </row>
    <row r="2195" spans="1:13" x14ac:dyDescent="0.35">
      <c r="A2195" t="s">
        <v>3617</v>
      </c>
      <c r="B2195" s="9">
        <v>46142</v>
      </c>
      <c r="C2195" t="s">
        <v>3618</v>
      </c>
      <c r="D2195" t="s">
        <v>61</v>
      </c>
      <c r="E2195" t="s">
        <v>16</v>
      </c>
      <c r="F2195" t="s">
        <v>89</v>
      </c>
      <c r="G2195" t="s">
        <v>90</v>
      </c>
      <c r="H2195">
        <v>1</v>
      </c>
      <c r="I2195" t="s">
        <v>19</v>
      </c>
      <c r="J2195" t="s">
        <v>19</v>
      </c>
      <c r="K2195" t="s">
        <v>108</v>
      </c>
      <c r="L2195" t="s">
        <v>21</v>
      </c>
      <c r="M2195" t="s">
        <v>22</v>
      </c>
    </row>
    <row r="2196" spans="1:13" x14ac:dyDescent="0.35">
      <c r="A2196" t="s">
        <v>3619</v>
      </c>
      <c r="B2196" s="9">
        <v>46144</v>
      </c>
      <c r="C2196" t="s">
        <v>2733</v>
      </c>
      <c r="D2196" t="s">
        <v>33</v>
      </c>
      <c r="E2196" t="s">
        <v>25</v>
      </c>
      <c r="F2196" t="s">
        <v>35</v>
      </c>
      <c r="G2196" t="s">
        <v>36</v>
      </c>
      <c r="H2196">
        <v>1</v>
      </c>
      <c r="I2196" t="s">
        <v>68</v>
      </c>
      <c r="J2196" t="s">
        <v>3403</v>
      </c>
      <c r="K2196" t="s">
        <v>37</v>
      </c>
      <c r="L2196" t="s">
        <v>30</v>
      </c>
      <c r="M2196" t="s">
        <v>22</v>
      </c>
    </row>
    <row r="2197" spans="1:13" x14ac:dyDescent="0.35">
      <c r="A2197" t="s">
        <v>3620</v>
      </c>
      <c r="B2197" s="9">
        <v>46196</v>
      </c>
      <c r="C2197" t="s">
        <v>1482</v>
      </c>
      <c r="D2197" t="s">
        <v>116</v>
      </c>
      <c r="E2197" t="s">
        <v>67</v>
      </c>
      <c r="F2197" t="s">
        <v>17</v>
      </c>
      <c r="G2197" t="s">
        <v>18</v>
      </c>
      <c r="H2197">
        <v>1</v>
      </c>
      <c r="I2197" t="s">
        <v>68</v>
      </c>
      <c r="J2197" t="s">
        <v>68</v>
      </c>
      <c r="K2197" t="s">
        <v>29</v>
      </c>
      <c r="L2197" t="s">
        <v>30</v>
      </c>
      <c r="M2197" t="s">
        <v>22</v>
      </c>
    </row>
    <row r="2198" spans="1:13" x14ac:dyDescent="0.35">
      <c r="A2198" t="s">
        <v>3621</v>
      </c>
      <c r="B2198" s="9">
        <v>46075</v>
      </c>
      <c r="C2198" t="s">
        <v>3005</v>
      </c>
      <c r="D2198" t="s">
        <v>66</v>
      </c>
      <c r="E2198" t="s">
        <v>16</v>
      </c>
      <c r="F2198" t="s">
        <v>42</v>
      </c>
      <c r="G2198" t="s">
        <v>43</v>
      </c>
      <c r="H2198">
        <v>2</v>
      </c>
      <c r="I2198" t="s">
        <v>79</v>
      </c>
      <c r="J2198" t="s">
        <v>143</v>
      </c>
      <c r="K2198">
        <v>190</v>
      </c>
      <c r="L2198" t="s">
        <v>21</v>
      </c>
      <c r="M2198" t="s">
        <v>58</v>
      </c>
    </row>
    <row r="2199" spans="1:13" x14ac:dyDescent="0.35">
      <c r="A2199" t="s">
        <v>3622</v>
      </c>
      <c r="B2199" s="9">
        <v>46128</v>
      </c>
      <c r="C2199" t="s">
        <v>1633</v>
      </c>
      <c r="D2199" t="s">
        <v>53</v>
      </c>
      <c r="E2199" t="s">
        <v>34</v>
      </c>
      <c r="F2199" t="s">
        <v>17</v>
      </c>
      <c r="G2199" t="s">
        <v>18</v>
      </c>
      <c r="H2199">
        <v>2</v>
      </c>
      <c r="I2199" t="s">
        <v>71</v>
      </c>
      <c r="J2199" t="s">
        <v>286</v>
      </c>
      <c r="K2199">
        <v>520</v>
      </c>
      <c r="L2199" t="s">
        <v>21</v>
      </c>
      <c r="M2199" t="s">
        <v>22</v>
      </c>
    </row>
    <row r="2200" spans="1:13" x14ac:dyDescent="0.35">
      <c r="A2200" t="s">
        <v>3623</v>
      </c>
      <c r="B2200" s="9">
        <v>46058</v>
      </c>
      <c r="C2200" t="s">
        <v>1555</v>
      </c>
      <c r="D2200" t="s">
        <v>15</v>
      </c>
      <c r="E2200" t="s">
        <v>16</v>
      </c>
      <c r="F2200" t="s">
        <v>26</v>
      </c>
      <c r="G2200" t="s">
        <v>27</v>
      </c>
      <c r="H2200">
        <v>2</v>
      </c>
      <c r="I2200" t="s">
        <v>62</v>
      </c>
      <c r="J2200" t="s">
        <v>63</v>
      </c>
      <c r="K2200">
        <v>520</v>
      </c>
      <c r="L2200" t="s">
        <v>30</v>
      </c>
      <c r="M2200" t="s">
        <v>22</v>
      </c>
    </row>
    <row r="2201" spans="1:13" x14ac:dyDescent="0.35">
      <c r="A2201" t="s">
        <v>3624</v>
      </c>
      <c r="B2201" t="s">
        <v>2266</v>
      </c>
      <c r="C2201" t="s">
        <v>2583</v>
      </c>
      <c r="D2201" t="s">
        <v>94</v>
      </c>
      <c r="E2201" t="s">
        <v>41</v>
      </c>
      <c r="F2201" t="s">
        <v>74</v>
      </c>
      <c r="G2201" t="s">
        <v>75</v>
      </c>
      <c r="H2201">
        <v>-2</v>
      </c>
      <c r="I2201" t="s">
        <v>106</v>
      </c>
      <c r="J2201" t="s">
        <v>2179</v>
      </c>
      <c r="K2201" t="s">
        <v>76</v>
      </c>
      <c r="L2201" t="s">
        <v>30</v>
      </c>
      <c r="M2201" t="s">
        <v>22</v>
      </c>
    </row>
    <row r="2202" spans="1:13" x14ac:dyDescent="0.35">
      <c r="A2202" t="s">
        <v>3625</v>
      </c>
      <c r="B2202" s="9">
        <v>46206</v>
      </c>
      <c r="C2202" t="s">
        <v>1126</v>
      </c>
      <c r="D2202" t="s">
        <v>46</v>
      </c>
      <c r="E2202" t="s">
        <v>67</v>
      </c>
      <c r="F2202" t="s">
        <v>74</v>
      </c>
      <c r="G2202" t="s">
        <v>75</v>
      </c>
      <c r="H2202">
        <v>1</v>
      </c>
      <c r="I2202" t="s">
        <v>136</v>
      </c>
      <c r="J2202" t="s">
        <v>136</v>
      </c>
      <c r="K2202">
        <v>410</v>
      </c>
      <c r="L2202" t="s">
        <v>30</v>
      </c>
      <c r="M2202" t="s">
        <v>58</v>
      </c>
    </row>
    <row r="2203" spans="1:13" x14ac:dyDescent="0.35">
      <c r="A2203" t="s">
        <v>3626</v>
      </c>
      <c r="B2203" s="9">
        <v>46204</v>
      </c>
      <c r="C2203" t="s">
        <v>1577</v>
      </c>
      <c r="D2203" t="s">
        <v>15</v>
      </c>
      <c r="E2203" t="s">
        <v>16</v>
      </c>
      <c r="F2203" t="s">
        <v>26</v>
      </c>
      <c r="G2203" t="s">
        <v>27</v>
      </c>
      <c r="H2203">
        <v>1</v>
      </c>
      <c r="I2203" t="s">
        <v>254</v>
      </c>
      <c r="J2203" t="s">
        <v>254</v>
      </c>
      <c r="K2203" t="s">
        <v>29</v>
      </c>
      <c r="L2203" t="s">
        <v>30</v>
      </c>
      <c r="M2203" t="s">
        <v>22</v>
      </c>
    </row>
    <row r="2204" spans="1:13" x14ac:dyDescent="0.35">
      <c r="A2204" t="s">
        <v>3627</v>
      </c>
      <c r="B2204" s="9">
        <v>46092</v>
      </c>
      <c r="C2204" t="s">
        <v>2660</v>
      </c>
      <c r="D2204" t="s">
        <v>116</v>
      </c>
      <c r="E2204" t="s">
        <v>41</v>
      </c>
      <c r="F2204" t="s">
        <v>42</v>
      </c>
      <c r="G2204" t="s">
        <v>43</v>
      </c>
      <c r="H2204">
        <v>1</v>
      </c>
      <c r="I2204" t="s">
        <v>68</v>
      </c>
      <c r="J2204" t="s">
        <v>68</v>
      </c>
      <c r="K2204">
        <v>190</v>
      </c>
      <c r="L2204" t="s">
        <v>21</v>
      </c>
      <c r="M2204" t="s">
        <v>22</v>
      </c>
    </row>
    <row r="2205" spans="1:13" x14ac:dyDescent="0.35">
      <c r="A2205" t="s">
        <v>3628</v>
      </c>
      <c r="B2205" s="9">
        <v>46163</v>
      </c>
      <c r="C2205" t="s">
        <v>1300</v>
      </c>
      <c r="D2205" t="s">
        <v>116</v>
      </c>
      <c r="E2205" t="s">
        <v>16</v>
      </c>
      <c r="F2205" t="s">
        <v>74</v>
      </c>
      <c r="G2205" t="s">
        <v>75</v>
      </c>
      <c r="H2205">
        <v>2</v>
      </c>
      <c r="I2205" t="s">
        <v>136</v>
      </c>
      <c r="J2205" t="s">
        <v>164</v>
      </c>
      <c r="K2205" t="s">
        <v>76</v>
      </c>
      <c r="L2205" t="s">
        <v>30</v>
      </c>
      <c r="M2205" t="s">
        <v>58</v>
      </c>
    </row>
    <row r="2206" spans="1:13" x14ac:dyDescent="0.35">
      <c r="A2206" t="s">
        <v>3629</v>
      </c>
      <c r="B2206" s="9">
        <v>46111</v>
      </c>
      <c r="C2206" t="s">
        <v>2389</v>
      </c>
      <c r="D2206" t="s">
        <v>116</v>
      </c>
      <c r="E2206" t="s">
        <v>16</v>
      </c>
      <c r="F2206" t="s">
        <v>42</v>
      </c>
      <c r="G2206" t="s">
        <v>43</v>
      </c>
      <c r="H2206">
        <v>1</v>
      </c>
      <c r="I2206" t="s">
        <v>19</v>
      </c>
      <c r="J2206" t="s">
        <v>19</v>
      </c>
      <c r="K2206">
        <v>190</v>
      </c>
      <c r="L2206" t="s">
        <v>30</v>
      </c>
      <c r="M2206" t="s">
        <v>22</v>
      </c>
    </row>
    <row r="2207" spans="1:13" x14ac:dyDescent="0.35">
      <c r="A2207" t="s">
        <v>3630</v>
      </c>
      <c r="B2207" s="9">
        <v>46198</v>
      </c>
      <c r="C2207" t="s">
        <v>453</v>
      </c>
      <c r="D2207" t="s">
        <v>46</v>
      </c>
      <c r="E2207" t="s">
        <v>16</v>
      </c>
      <c r="F2207" t="s">
        <v>83</v>
      </c>
      <c r="G2207" t="s">
        <v>84</v>
      </c>
      <c r="H2207">
        <v>2</v>
      </c>
      <c r="I2207" t="s">
        <v>19</v>
      </c>
      <c r="J2207" t="s">
        <v>238</v>
      </c>
      <c r="K2207" t="s">
        <v>103</v>
      </c>
      <c r="L2207" t="s">
        <v>30</v>
      </c>
      <c r="M2207" t="s">
        <v>22</v>
      </c>
    </row>
    <row r="2208" spans="1:13" x14ac:dyDescent="0.35">
      <c r="A2208" t="s">
        <v>3631</v>
      </c>
      <c r="B2208" s="9">
        <v>46082</v>
      </c>
      <c r="C2208" t="s">
        <v>1111</v>
      </c>
      <c r="D2208" t="s">
        <v>116</v>
      </c>
      <c r="E2208" t="s">
        <v>16</v>
      </c>
      <c r="F2208" t="s">
        <v>74</v>
      </c>
      <c r="G2208" t="s">
        <v>75</v>
      </c>
      <c r="H2208">
        <v>1</v>
      </c>
      <c r="I2208" t="s">
        <v>68</v>
      </c>
      <c r="J2208" t="s">
        <v>68</v>
      </c>
      <c r="K2208">
        <v>410</v>
      </c>
      <c r="L2208" t="s">
        <v>21</v>
      </c>
      <c r="M2208" t="s">
        <v>22</v>
      </c>
    </row>
    <row r="2209" spans="1:13" x14ac:dyDescent="0.35">
      <c r="A2209" t="s">
        <v>3632</v>
      </c>
      <c r="B2209" t="s">
        <v>1291</v>
      </c>
      <c r="C2209" t="s">
        <v>3633</v>
      </c>
      <c r="D2209" t="s">
        <v>15</v>
      </c>
      <c r="E2209" t="s">
        <v>67</v>
      </c>
      <c r="F2209" t="s">
        <v>17</v>
      </c>
      <c r="G2209" t="s">
        <v>18</v>
      </c>
      <c r="H2209">
        <v>1</v>
      </c>
      <c r="I2209" t="s">
        <v>68</v>
      </c>
      <c r="J2209" t="s">
        <v>68</v>
      </c>
      <c r="K2209" t="s">
        <v>29</v>
      </c>
      <c r="L2209" t="s">
        <v>30</v>
      </c>
      <c r="M2209" t="s">
        <v>58</v>
      </c>
    </row>
    <row r="2210" spans="1:13" x14ac:dyDescent="0.35">
      <c r="A2210" t="s">
        <v>3634</v>
      </c>
      <c r="B2210" s="9">
        <v>46085</v>
      </c>
      <c r="C2210" t="s">
        <v>55</v>
      </c>
      <c r="D2210" t="s">
        <v>46</v>
      </c>
      <c r="E2210" t="s">
        <v>34</v>
      </c>
      <c r="F2210" t="s">
        <v>47</v>
      </c>
      <c r="G2210" t="s">
        <v>48</v>
      </c>
      <c r="H2210">
        <v>3</v>
      </c>
      <c r="I2210" t="s">
        <v>102</v>
      </c>
      <c r="J2210" t="s">
        <v>127</v>
      </c>
      <c r="K2210">
        <v>380</v>
      </c>
      <c r="L2210" t="s">
        <v>30</v>
      </c>
      <c r="M2210" t="s">
        <v>58</v>
      </c>
    </row>
    <row r="2211" spans="1:13" x14ac:dyDescent="0.35">
      <c r="A2211" t="s">
        <v>3635</v>
      </c>
      <c r="B2211" s="9">
        <v>46206</v>
      </c>
      <c r="C2211" t="s">
        <v>594</v>
      </c>
      <c r="D2211" t="s">
        <v>66</v>
      </c>
      <c r="E2211" t="s">
        <v>25</v>
      </c>
      <c r="F2211" t="s">
        <v>17</v>
      </c>
      <c r="G2211" t="s">
        <v>18</v>
      </c>
      <c r="H2211">
        <v>1</v>
      </c>
      <c r="I2211" t="s">
        <v>136</v>
      </c>
      <c r="J2211" t="s">
        <v>136</v>
      </c>
      <c r="K2211" t="s">
        <v>29</v>
      </c>
      <c r="L2211" t="s">
        <v>30</v>
      </c>
      <c r="M2211" t="s">
        <v>22</v>
      </c>
    </row>
    <row r="2212" spans="1:13" x14ac:dyDescent="0.35">
      <c r="A2212" t="s">
        <v>3636</v>
      </c>
      <c r="B2212" s="9">
        <v>46119</v>
      </c>
      <c r="C2212" t="s">
        <v>96</v>
      </c>
      <c r="D2212" t="s">
        <v>15</v>
      </c>
      <c r="E2212" t="s">
        <v>34</v>
      </c>
      <c r="F2212" t="s">
        <v>74</v>
      </c>
      <c r="G2212" t="s">
        <v>75</v>
      </c>
      <c r="H2212">
        <v>1</v>
      </c>
      <c r="I2212" t="s">
        <v>71</v>
      </c>
      <c r="J2212" t="s">
        <v>71</v>
      </c>
      <c r="K2212">
        <v>410</v>
      </c>
      <c r="L2212" t="s">
        <v>30</v>
      </c>
      <c r="M2212" t="s">
        <v>22</v>
      </c>
    </row>
    <row r="2213" spans="1:13" x14ac:dyDescent="0.35">
      <c r="A2213" t="s">
        <v>3637</v>
      </c>
      <c r="B2213" s="9">
        <v>46149</v>
      </c>
      <c r="C2213" t="s">
        <v>690</v>
      </c>
      <c r="D2213" t="s">
        <v>94</v>
      </c>
      <c r="E2213" t="s">
        <v>67</v>
      </c>
      <c r="F2213" t="s">
        <v>35</v>
      </c>
      <c r="G2213" t="s">
        <v>36</v>
      </c>
      <c r="H2213">
        <v>-2</v>
      </c>
      <c r="I2213" t="s">
        <v>106</v>
      </c>
      <c r="J2213" t="s">
        <v>2179</v>
      </c>
      <c r="K2213" t="s">
        <v>37</v>
      </c>
      <c r="L2213" t="s">
        <v>30</v>
      </c>
      <c r="M2213" t="s">
        <v>58</v>
      </c>
    </row>
    <row r="2214" spans="1:13" x14ac:dyDescent="0.35">
      <c r="A2214" t="s">
        <v>3638</v>
      </c>
      <c r="B2214" s="9">
        <v>46052</v>
      </c>
      <c r="C2214" t="s">
        <v>1667</v>
      </c>
      <c r="D2214" t="s">
        <v>33</v>
      </c>
      <c r="E2214" t="s">
        <v>41</v>
      </c>
      <c r="F2214" t="s">
        <v>74</v>
      </c>
      <c r="G2214" t="s">
        <v>75</v>
      </c>
      <c r="H2214">
        <v>3</v>
      </c>
      <c r="I2214" t="s">
        <v>132</v>
      </c>
      <c r="J2214" t="s">
        <v>232</v>
      </c>
      <c r="K2214">
        <v>410</v>
      </c>
      <c r="L2214" t="s">
        <v>30</v>
      </c>
      <c r="M2214" t="s">
        <v>58</v>
      </c>
    </row>
    <row r="2215" spans="1:13" x14ac:dyDescent="0.35">
      <c r="A2215" t="s">
        <v>3639</v>
      </c>
      <c r="B2215" s="9">
        <v>46203</v>
      </c>
      <c r="C2215" t="s">
        <v>3154</v>
      </c>
      <c r="D2215" t="s">
        <v>99</v>
      </c>
      <c r="E2215" t="s">
        <v>67</v>
      </c>
      <c r="F2215" t="s">
        <v>74</v>
      </c>
      <c r="G2215" t="s">
        <v>75</v>
      </c>
      <c r="H2215">
        <v>2</v>
      </c>
      <c r="I2215" t="s">
        <v>19</v>
      </c>
      <c r="J2215" t="s">
        <v>238</v>
      </c>
      <c r="K2215" t="s">
        <v>76</v>
      </c>
      <c r="L2215" t="s">
        <v>30</v>
      </c>
      <c r="M2215" t="s">
        <v>22</v>
      </c>
    </row>
    <row r="2216" spans="1:13" x14ac:dyDescent="0.35">
      <c r="A2216" t="s">
        <v>3640</v>
      </c>
      <c r="B2216" s="9">
        <v>46197</v>
      </c>
      <c r="C2216" t="s">
        <v>1375</v>
      </c>
      <c r="D2216" t="s">
        <v>53</v>
      </c>
      <c r="E2216" t="s">
        <v>16</v>
      </c>
      <c r="F2216" t="s">
        <v>47</v>
      </c>
      <c r="G2216" t="s">
        <v>48</v>
      </c>
      <c r="H2216">
        <v>3</v>
      </c>
      <c r="I2216" t="s">
        <v>68</v>
      </c>
      <c r="J2216" t="s">
        <v>205</v>
      </c>
      <c r="K2216" t="s">
        <v>50</v>
      </c>
      <c r="L2216" t="s">
        <v>21</v>
      </c>
      <c r="M2216" t="s">
        <v>22</v>
      </c>
    </row>
    <row r="2217" spans="1:13" x14ac:dyDescent="0.35">
      <c r="A2217" t="s">
        <v>3641</v>
      </c>
      <c r="B2217" s="9">
        <v>46147</v>
      </c>
      <c r="C2217" t="s">
        <v>741</v>
      </c>
      <c r="D2217" t="s">
        <v>66</v>
      </c>
      <c r="E2217" t="s">
        <v>16</v>
      </c>
      <c r="F2217" t="s">
        <v>17</v>
      </c>
      <c r="G2217" t="s">
        <v>18</v>
      </c>
      <c r="H2217">
        <v>1</v>
      </c>
      <c r="I2217" t="s">
        <v>71</v>
      </c>
      <c r="J2217" t="s">
        <v>71</v>
      </c>
      <c r="K2217" t="s">
        <v>29</v>
      </c>
      <c r="L2217" t="s">
        <v>30</v>
      </c>
      <c r="M2217" t="s">
        <v>22</v>
      </c>
    </row>
    <row r="2218" spans="1:13" x14ac:dyDescent="0.35">
      <c r="A2218" t="s">
        <v>606</v>
      </c>
      <c r="B2218" s="9">
        <v>46039</v>
      </c>
      <c r="C2218" t="s">
        <v>607</v>
      </c>
      <c r="D2218" t="s">
        <v>46</v>
      </c>
      <c r="E2218" t="s">
        <v>25</v>
      </c>
      <c r="F2218" t="s">
        <v>74</v>
      </c>
      <c r="G2218" t="s">
        <v>75</v>
      </c>
      <c r="H2218">
        <v>2</v>
      </c>
      <c r="I2218" t="s">
        <v>608</v>
      </c>
      <c r="J2218" t="s">
        <v>133</v>
      </c>
      <c r="K2218">
        <v>410</v>
      </c>
      <c r="L2218" t="s">
        <v>30</v>
      </c>
      <c r="M2218" t="s">
        <v>22</v>
      </c>
    </row>
    <row r="2219" spans="1:13" x14ac:dyDescent="0.35">
      <c r="A2219" t="s">
        <v>3642</v>
      </c>
      <c r="B2219" s="9">
        <v>46067</v>
      </c>
      <c r="C2219" t="s">
        <v>3643</v>
      </c>
      <c r="D2219" t="s">
        <v>53</v>
      </c>
      <c r="E2219" t="s">
        <v>41</v>
      </c>
      <c r="F2219" t="s">
        <v>35</v>
      </c>
      <c r="G2219" t="s">
        <v>36</v>
      </c>
      <c r="H2219">
        <v>2</v>
      </c>
      <c r="I2219" t="s">
        <v>85</v>
      </c>
      <c r="J2219" t="s">
        <v>267</v>
      </c>
      <c r="K2219">
        <v>85</v>
      </c>
      <c r="L2219" t="s">
        <v>30</v>
      </c>
      <c r="M2219" t="s">
        <v>58</v>
      </c>
    </row>
    <row r="2220" spans="1:13" x14ac:dyDescent="0.35">
      <c r="A2220" t="s">
        <v>3644</v>
      </c>
      <c r="B2220" s="9">
        <v>46145</v>
      </c>
      <c r="C2220" t="s">
        <v>1165</v>
      </c>
      <c r="D2220" t="s">
        <v>33</v>
      </c>
      <c r="E2220" t="s">
        <v>16</v>
      </c>
      <c r="F2220" t="s">
        <v>83</v>
      </c>
      <c r="G2220" t="s">
        <v>84</v>
      </c>
      <c r="H2220">
        <v>1</v>
      </c>
      <c r="I2220" t="s">
        <v>71</v>
      </c>
      <c r="J2220" t="s">
        <v>71</v>
      </c>
      <c r="K2220" t="s">
        <v>103</v>
      </c>
      <c r="L2220" t="s">
        <v>21</v>
      </c>
      <c r="M2220" t="s">
        <v>58</v>
      </c>
    </row>
    <row r="2221" spans="1:13" x14ac:dyDescent="0.35">
      <c r="A2221" t="s">
        <v>3645</v>
      </c>
      <c r="B2221" s="9">
        <v>46103</v>
      </c>
      <c r="C2221" t="s">
        <v>1647</v>
      </c>
      <c r="D2221" t="s">
        <v>33</v>
      </c>
      <c r="E2221" t="s">
        <v>34</v>
      </c>
      <c r="F2221" t="s">
        <v>26</v>
      </c>
      <c r="G2221" t="s">
        <v>27</v>
      </c>
      <c r="H2221">
        <v>1</v>
      </c>
      <c r="I2221" t="s">
        <v>220</v>
      </c>
      <c r="J2221" t="s">
        <v>220</v>
      </c>
      <c r="K2221">
        <v>520</v>
      </c>
      <c r="L2221" t="s">
        <v>30</v>
      </c>
      <c r="M2221" t="s">
        <v>58</v>
      </c>
    </row>
    <row r="2222" spans="1:13" x14ac:dyDescent="0.35">
      <c r="A2222" t="s">
        <v>3646</v>
      </c>
      <c r="B2222" s="9">
        <v>46102</v>
      </c>
      <c r="C2222" t="s">
        <v>3082</v>
      </c>
      <c r="D2222" t="s">
        <v>94</v>
      </c>
      <c r="E2222" t="s">
        <v>25</v>
      </c>
      <c r="F2222" t="s">
        <v>74</v>
      </c>
      <c r="G2222" t="s">
        <v>75</v>
      </c>
      <c r="H2222">
        <v>1</v>
      </c>
      <c r="I2222" t="s">
        <v>79</v>
      </c>
      <c r="J2222" t="s">
        <v>1171</v>
      </c>
      <c r="K2222">
        <v>410</v>
      </c>
      <c r="L2222" t="s">
        <v>30</v>
      </c>
      <c r="M2222" t="s">
        <v>58</v>
      </c>
    </row>
    <row r="2223" spans="1:13" x14ac:dyDescent="0.35">
      <c r="A2223" t="s">
        <v>3647</v>
      </c>
      <c r="B2223" s="9">
        <v>46039</v>
      </c>
      <c r="C2223" t="s">
        <v>952</v>
      </c>
      <c r="D2223" t="s">
        <v>15</v>
      </c>
      <c r="E2223" t="s">
        <v>67</v>
      </c>
      <c r="F2223" t="s">
        <v>47</v>
      </c>
      <c r="G2223" t="s">
        <v>48</v>
      </c>
      <c r="H2223">
        <v>2</v>
      </c>
      <c r="I2223" t="s">
        <v>993</v>
      </c>
      <c r="J2223" t="s">
        <v>156</v>
      </c>
      <c r="K2223">
        <v>380</v>
      </c>
      <c r="L2223" t="s">
        <v>30</v>
      </c>
      <c r="M2223" t="s">
        <v>22</v>
      </c>
    </row>
    <row r="2224" spans="1:13" x14ac:dyDescent="0.35">
      <c r="A2224" t="s">
        <v>3648</v>
      </c>
      <c r="B2224" s="9">
        <v>46107</v>
      </c>
      <c r="C2224" t="s">
        <v>1329</v>
      </c>
      <c r="D2224" t="s">
        <v>40</v>
      </c>
      <c r="E2224" t="s">
        <v>67</v>
      </c>
      <c r="F2224" t="s">
        <v>17</v>
      </c>
      <c r="G2224" t="s">
        <v>18</v>
      </c>
      <c r="H2224">
        <v>1</v>
      </c>
      <c r="I2224" t="s">
        <v>71</v>
      </c>
      <c r="J2224" t="s">
        <v>71</v>
      </c>
      <c r="K2224">
        <v>520</v>
      </c>
      <c r="L2224" t="s">
        <v>30</v>
      </c>
      <c r="M2224" t="s">
        <v>22</v>
      </c>
    </row>
    <row r="2225" spans="1:13" x14ac:dyDescent="0.35">
      <c r="A2225" t="s">
        <v>3649</v>
      </c>
      <c r="B2225" s="9">
        <v>46165</v>
      </c>
      <c r="C2225" t="s">
        <v>70</v>
      </c>
      <c r="D2225" t="s">
        <v>66</v>
      </c>
      <c r="E2225" t="s">
        <v>16</v>
      </c>
      <c r="F2225" t="s">
        <v>26</v>
      </c>
      <c r="G2225" t="s">
        <v>27</v>
      </c>
      <c r="H2225">
        <v>2</v>
      </c>
      <c r="I2225" t="s">
        <v>56</v>
      </c>
      <c r="J2225" t="s">
        <v>193</v>
      </c>
      <c r="K2225" t="s">
        <v>29</v>
      </c>
      <c r="L2225" t="s">
        <v>30</v>
      </c>
      <c r="M2225" t="s">
        <v>22</v>
      </c>
    </row>
    <row r="2226" spans="1:13" x14ac:dyDescent="0.35">
      <c r="A2226" t="s">
        <v>3650</v>
      </c>
      <c r="B2226" s="9">
        <v>46174</v>
      </c>
      <c r="C2226" t="s">
        <v>2896</v>
      </c>
      <c r="D2226" t="s">
        <v>94</v>
      </c>
      <c r="E2226" t="s">
        <v>34</v>
      </c>
      <c r="F2226" t="s">
        <v>89</v>
      </c>
      <c r="G2226" t="s">
        <v>90</v>
      </c>
      <c r="H2226">
        <v>2</v>
      </c>
      <c r="I2226" t="s">
        <v>102</v>
      </c>
      <c r="J2226" t="s">
        <v>181</v>
      </c>
      <c r="K2226" t="s">
        <v>108</v>
      </c>
      <c r="L2226" t="s">
        <v>30</v>
      </c>
      <c r="M2226" t="s">
        <v>22</v>
      </c>
    </row>
    <row r="2227" spans="1:13" x14ac:dyDescent="0.35">
      <c r="A2227" t="s">
        <v>3651</v>
      </c>
      <c r="B2227" s="9">
        <v>46044</v>
      </c>
      <c r="C2227" t="s">
        <v>1109</v>
      </c>
      <c r="D2227" t="s">
        <v>33</v>
      </c>
      <c r="E2227" t="s">
        <v>25</v>
      </c>
      <c r="F2227" t="s">
        <v>42</v>
      </c>
      <c r="G2227" t="s">
        <v>43</v>
      </c>
      <c r="H2227">
        <v>1</v>
      </c>
      <c r="I2227" t="s">
        <v>102</v>
      </c>
      <c r="J2227" t="s">
        <v>102</v>
      </c>
      <c r="K2227">
        <v>190</v>
      </c>
      <c r="L2227" t="s">
        <v>30</v>
      </c>
      <c r="M2227" t="s">
        <v>58</v>
      </c>
    </row>
    <row r="2228" spans="1:13" x14ac:dyDescent="0.35">
      <c r="A2228" t="s">
        <v>3652</v>
      </c>
      <c r="B2228" s="9">
        <v>46129</v>
      </c>
      <c r="C2228" t="s">
        <v>3223</v>
      </c>
      <c r="D2228" t="s">
        <v>15</v>
      </c>
      <c r="E2228" t="s">
        <v>25</v>
      </c>
      <c r="F2228" t="s">
        <v>42</v>
      </c>
      <c r="G2228" t="s">
        <v>43</v>
      </c>
      <c r="H2228">
        <v>2</v>
      </c>
      <c r="I2228" t="s">
        <v>254</v>
      </c>
      <c r="J2228" t="s">
        <v>156</v>
      </c>
      <c r="K2228">
        <v>190</v>
      </c>
      <c r="L2228" t="s">
        <v>30</v>
      </c>
      <c r="M2228" t="s">
        <v>22</v>
      </c>
    </row>
    <row r="2229" spans="1:13" x14ac:dyDescent="0.35">
      <c r="A2229" t="s">
        <v>3653</v>
      </c>
      <c r="B2229" s="9">
        <v>46085</v>
      </c>
      <c r="C2229" t="s">
        <v>3654</v>
      </c>
      <c r="D2229" t="s">
        <v>61</v>
      </c>
      <c r="E2229" t="s">
        <v>34</v>
      </c>
      <c r="F2229" t="s">
        <v>74</v>
      </c>
      <c r="G2229" t="s">
        <v>75</v>
      </c>
      <c r="H2229">
        <v>1</v>
      </c>
      <c r="I2229" t="s">
        <v>1002</v>
      </c>
      <c r="J2229" t="s">
        <v>85</v>
      </c>
      <c r="K2229">
        <v>410</v>
      </c>
      <c r="L2229" t="s">
        <v>30</v>
      </c>
      <c r="M2229" t="s">
        <v>22</v>
      </c>
    </row>
    <row r="2230" spans="1:13" x14ac:dyDescent="0.35">
      <c r="A2230" t="s">
        <v>3655</v>
      </c>
      <c r="B2230" t="s">
        <v>290</v>
      </c>
      <c r="C2230" t="s">
        <v>3377</v>
      </c>
      <c r="D2230" t="s">
        <v>46</v>
      </c>
      <c r="E2230" t="s">
        <v>25</v>
      </c>
      <c r="F2230" t="s">
        <v>47</v>
      </c>
      <c r="G2230" t="s">
        <v>48</v>
      </c>
      <c r="H2230">
        <v>1</v>
      </c>
      <c r="I2230" t="s">
        <v>71</v>
      </c>
      <c r="J2230" t="s">
        <v>71</v>
      </c>
      <c r="K2230">
        <v>380</v>
      </c>
      <c r="L2230" t="s">
        <v>21</v>
      </c>
      <c r="M2230" t="s">
        <v>58</v>
      </c>
    </row>
    <row r="2231" spans="1:13" x14ac:dyDescent="0.35">
      <c r="A2231" t="s">
        <v>3656</v>
      </c>
      <c r="B2231" s="9">
        <v>46119</v>
      </c>
      <c r="C2231" t="s">
        <v>3657</v>
      </c>
      <c r="D2231" t="s">
        <v>46</v>
      </c>
      <c r="E2231" t="s">
        <v>25</v>
      </c>
      <c r="F2231" t="s">
        <v>42</v>
      </c>
      <c r="G2231" t="s">
        <v>43</v>
      </c>
      <c r="H2231">
        <v>3</v>
      </c>
      <c r="I2231" t="s">
        <v>254</v>
      </c>
      <c r="J2231" t="s">
        <v>390</v>
      </c>
      <c r="K2231">
        <v>190</v>
      </c>
      <c r="L2231" t="s">
        <v>30</v>
      </c>
      <c r="M2231" t="s">
        <v>22</v>
      </c>
    </row>
    <row r="2232" spans="1:13" x14ac:dyDescent="0.35">
      <c r="A2232" t="s">
        <v>3658</v>
      </c>
      <c r="B2232" s="9">
        <v>46192</v>
      </c>
      <c r="C2232" t="s">
        <v>1465</v>
      </c>
      <c r="D2232" t="s">
        <v>99</v>
      </c>
      <c r="E2232" t="s">
        <v>16</v>
      </c>
      <c r="F2232" t="s">
        <v>26</v>
      </c>
      <c r="G2232" t="s">
        <v>27</v>
      </c>
      <c r="H2232">
        <v>1</v>
      </c>
      <c r="I2232" t="s">
        <v>79</v>
      </c>
      <c r="J2232" t="s">
        <v>85</v>
      </c>
      <c r="K2232" t="s">
        <v>29</v>
      </c>
      <c r="L2232" t="s">
        <v>21</v>
      </c>
      <c r="M2232" t="s">
        <v>22</v>
      </c>
    </row>
    <row r="2233" spans="1:13" x14ac:dyDescent="0.35">
      <c r="A2233" t="s">
        <v>3659</v>
      </c>
      <c r="B2233" s="9">
        <v>46189</v>
      </c>
      <c r="C2233" t="s">
        <v>1138</v>
      </c>
      <c r="D2233" t="s">
        <v>53</v>
      </c>
      <c r="E2233" t="s">
        <v>34</v>
      </c>
      <c r="F2233" t="s">
        <v>42</v>
      </c>
      <c r="G2233" t="s">
        <v>43</v>
      </c>
      <c r="H2233">
        <v>2</v>
      </c>
      <c r="I2233" t="s">
        <v>68</v>
      </c>
      <c r="J2233" t="s">
        <v>248</v>
      </c>
      <c r="K2233" t="s">
        <v>111</v>
      </c>
      <c r="L2233" t="s">
        <v>30</v>
      </c>
      <c r="M2233" t="s">
        <v>58</v>
      </c>
    </row>
    <row r="2234" spans="1:13" x14ac:dyDescent="0.35">
      <c r="A2234" t="s">
        <v>3660</v>
      </c>
      <c r="B2234" s="9">
        <v>46084</v>
      </c>
      <c r="C2234" t="s">
        <v>3661</v>
      </c>
      <c r="D2234" t="s">
        <v>99</v>
      </c>
      <c r="E2234" t="s">
        <v>34</v>
      </c>
      <c r="F2234" t="s">
        <v>26</v>
      </c>
      <c r="G2234" t="s">
        <v>27</v>
      </c>
      <c r="H2234">
        <v>1</v>
      </c>
      <c r="I2234" t="s">
        <v>56</v>
      </c>
      <c r="J2234" t="s">
        <v>3662</v>
      </c>
      <c r="K2234">
        <v>520</v>
      </c>
      <c r="L2234" t="s">
        <v>30</v>
      </c>
      <c r="M2234" t="s">
        <v>22</v>
      </c>
    </row>
    <row r="2235" spans="1:13" x14ac:dyDescent="0.35">
      <c r="A2235" t="s">
        <v>3663</v>
      </c>
      <c r="B2235" s="9">
        <v>46157</v>
      </c>
      <c r="C2235" t="s">
        <v>3664</v>
      </c>
      <c r="D2235" t="s">
        <v>116</v>
      </c>
      <c r="E2235" t="s">
        <v>41</v>
      </c>
      <c r="F2235" t="s">
        <v>83</v>
      </c>
      <c r="G2235" t="s">
        <v>84</v>
      </c>
      <c r="H2235">
        <v>1</v>
      </c>
      <c r="I2235" t="s">
        <v>68</v>
      </c>
      <c r="J2235" t="s">
        <v>68</v>
      </c>
      <c r="K2235" t="s">
        <v>103</v>
      </c>
      <c r="L2235" t="s">
        <v>21</v>
      </c>
      <c r="M2235" t="s">
        <v>22</v>
      </c>
    </row>
    <row r="2236" spans="1:13" x14ac:dyDescent="0.35">
      <c r="A2236" t="s">
        <v>3665</v>
      </c>
      <c r="B2236" s="9">
        <v>46179</v>
      </c>
      <c r="C2236" t="s">
        <v>591</v>
      </c>
      <c r="D2236" t="s">
        <v>33</v>
      </c>
      <c r="E2236" t="s">
        <v>34</v>
      </c>
      <c r="F2236" t="s">
        <v>47</v>
      </c>
      <c r="G2236" t="s">
        <v>48</v>
      </c>
      <c r="H2236">
        <v>1</v>
      </c>
      <c r="I2236" t="s">
        <v>102</v>
      </c>
      <c r="J2236" t="s">
        <v>102</v>
      </c>
      <c r="K2236" t="s">
        <v>50</v>
      </c>
      <c r="L2236" t="s">
        <v>30</v>
      </c>
      <c r="M2236" t="s">
        <v>22</v>
      </c>
    </row>
    <row r="2237" spans="1:13" x14ac:dyDescent="0.35">
      <c r="A2237" t="s">
        <v>3666</v>
      </c>
      <c r="B2237" s="9">
        <v>46164</v>
      </c>
      <c r="C2237" t="s">
        <v>757</v>
      </c>
      <c r="D2237" t="s">
        <v>116</v>
      </c>
      <c r="E2237" t="s">
        <v>67</v>
      </c>
      <c r="F2237" t="s">
        <v>47</v>
      </c>
      <c r="G2237" t="s">
        <v>48</v>
      </c>
      <c r="H2237">
        <v>-3</v>
      </c>
      <c r="I2237" t="s">
        <v>71</v>
      </c>
      <c r="J2237" t="s">
        <v>3667</v>
      </c>
      <c r="K2237" t="s">
        <v>50</v>
      </c>
      <c r="L2237" t="s">
        <v>30</v>
      </c>
      <c r="M2237" t="s">
        <v>22</v>
      </c>
    </row>
    <row r="2238" spans="1:13" x14ac:dyDescent="0.35">
      <c r="A2238" t="s">
        <v>3668</v>
      </c>
      <c r="B2238" s="9">
        <v>46138</v>
      </c>
      <c r="C2238" t="s">
        <v>3669</v>
      </c>
      <c r="D2238" t="s">
        <v>66</v>
      </c>
      <c r="E2238" t="s">
        <v>16</v>
      </c>
      <c r="F2238" t="s">
        <v>47</v>
      </c>
      <c r="G2238" t="s">
        <v>48</v>
      </c>
      <c r="H2238">
        <v>3</v>
      </c>
      <c r="I2238" t="s">
        <v>102</v>
      </c>
      <c r="J2238" t="s">
        <v>127</v>
      </c>
      <c r="K2238" t="s">
        <v>50</v>
      </c>
      <c r="L2238" t="s">
        <v>30</v>
      </c>
      <c r="M2238" t="s">
        <v>22</v>
      </c>
    </row>
    <row r="2239" spans="1:13" x14ac:dyDescent="0.35">
      <c r="A2239" t="s">
        <v>3670</v>
      </c>
      <c r="B2239" s="9">
        <v>46055</v>
      </c>
      <c r="C2239" t="s">
        <v>2360</v>
      </c>
      <c r="D2239" t="s">
        <v>61</v>
      </c>
      <c r="E2239" t="s">
        <v>34</v>
      </c>
      <c r="F2239" t="s">
        <v>74</v>
      </c>
      <c r="G2239" t="s">
        <v>75</v>
      </c>
      <c r="H2239">
        <v>1</v>
      </c>
      <c r="I2239" t="s">
        <v>254</v>
      </c>
      <c r="J2239" t="s">
        <v>254</v>
      </c>
      <c r="K2239">
        <v>410</v>
      </c>
      <c r="L2239" t="s">
        <v>30</v>
      </c>
      <c r="M2239" t="s">
        <v>22</v>
      </c>
    </row>
    <row r="2240" spans="1:13" x14ac:dyDescent="0.35">
      <c r="A2240" t="s">
        <v>3671</v>
      </c>
      <c r="B2240" s="9">
        <v>46185</v>
      </c>
      <c r="C2240" t="s">
        <v>2039</v>
      </c>
      <c r="D2240" t="s">
        <v>94</v>
      </c>
      <c r="E2240" t="s">
        <v>25</v>
      </c>
      <c r="F2240" t="s">
        <v>74</v>
      </c>
      <c r="G2240" t="s">
        <v>75</v>
      </c>
      <c r="H2240">
        <v>1</v>
      </c>
      <c r="I2240" t="s">
        <v>132</v>
      </c>
      <c r="J2240" t="s">
        <v>132</v>
      </c>
      <c r="K2240" t="s">
        <v>76</v>
      </c>
      <c r="L2240" t="s">
        <v>30</v>
      </c>
      <c r="M2240" t="s">
        <v>22</v>
      </c>
    </row>
    <row r="2241" spans="1:13" x14ac:dyDescent="0.35">
      <c r="A2241" t="s">
        <v>3672</v>
      </c>
      <c r="B2241" s="9">
        <v>46132</v>
      </c>
      <c r="C2241" t="s">
        <v>3673</v>
      </c>
      <c r="D2241" t="s">
        <v>66</v>
      </c>
      <c r="E2241" t="s">
        <v>34</v>
      </c>
      <c r="F2241" t="s">
        <v>89</v>
      </c>
      <c r="G2241" t="s">
        <v>90</v>
      </c>
      <c r="H2241">
        <v>3</v>
      </c>
      <c r="I2241" t="s">
        <v>102</v>
      </c>
      <c r="J2241" t="s">
        <v>127</v>
      </c>
      <c r="K2241" t="s">
        <v>108</v>
      </c>
      <c r="L2241" t="s">
        <v>21</v>
      </c>
      <c r="M2241" t="s">
        <v>58</v>
      </c>
    </row>
    <row r="2242" spans="1:13" x14ac:dyDescent="0.35">
      <c r="A2242" t="s">
        <v>3674</v>
      </c>
      <c r="B2242" s="9">
        <v>46105</v>
      </c>
      <c r="C2242" t="s">
        <v>3675</v>
      </c>
      <c r="D2242" t="s">
        <v>99</v>
      </c>
      <c r="E2242" t="s">
        <v>34</v>
      </c>
      <c r="F2242" t="s">
        <v>17</v>
      </c>
      <c r="G2242" t="s">
        <v>18</v>
      </c>
      <c r="H2242">
        <v>2</v>
      </c>
      <c r="I2242" t="s">
        <v>106</v>
      </c>
      <c r="J2242" t="s">
        <v>107</v>
      </c>
      <c r="K2242">
        <v>520</v>
      </c>
      <c r="L2242" t="s">
        <v>30</v>
      </c>
      <c r="M2242" t="s">
        <v>22</v>
      </c>
    </row>
    <row r="2243" spans="1:13" x14ac:dyDescent="0.35">
      <c r="A2243" t="s">
        <v>3676</v>
      </c>
      <c r="B2243" s="9">
        <v>46183</v>
      </c>
      <c r="C2243" t="s">
        <v>760</v>
      </c>
      <c r="D2243" t="s">
        <v>33</v>
      </c>
      <c r="E2243" t="s">
        <v>67</v>
      </c>
      <c r="F2243" t="s">
        <v>35</v>
      </c>
      <c r="G2243" t="s">
        <v>36</v>
      </c>
      <c r="H2243">
        <v>2</v>
      </c>
      <c r="I2243" t="s">
        <v>102</v>
      </c>
      <c r="J2243" t="s">
        <v>181</v>
      </c>
      <c r="K2243" t="s">
        <v>37</v>
      </c>
      <c r="L2243" t="s">
        <v>30</v>
      </c>
      <c r="M2243" t="s">
        <v>22</v>
      </c>
    </row>
    <row r="2244" spans="1:13" x14ac:dyDescent="0.35">
      <c r="A2244" t="s">
        <v>3677</v>
      </c>
      <c r="B2244" s="9">
        <v>46059</v>
      </c>
      <c r="C2244" t="s">
        <v>344</v>
      </c>
      <c r="D2244" t="s">
        <v>94</v>
      </c>
      <c r="E2244" t="s">
        <v>34</v>
      </c>
      <c r="F2244" t="s">
        <v>35</v>
      </c>
      <c r="G2244" t="s">
        <v>36</v>
      </c>
      <c r="H2244">
        <v>1</v>
      </c>
      <c r="I2244" t="s">
        <v>71</v>
      </c>
      <c r="J2244" t="s">
        <v>71</v>
      </c>
      <c r="K2244" t="s">
        <v>37</v>
      </c>
      <c r="L2244" t="s">
        <v>30</v>
      </c>
      <c r="M2244" t="s">
        <v>58</v>
      </c>
    </row>
    <row r="2245" spans="1:13" x14ac:dyDescent="0.35">
      <c r="A2245" t="s">
        <v>3678</v>
      </c>
      <c r="B2245" s="9">
        <v>46156</v>
      </c>
      <c r="C2245" t="s">
        <v>3679</v>
      </c>
      <c r="D2245" t="s">
        <v>99</v>
      </c>
      <c r="E2245" t="s">
        <v>41</v>
      </c>
      <c r="F2245" t="s">
        <v>42</v>
      </c>
      <c r="G2245" t="s">
        <v>43</v>
      </c>
      <c r="H2245">
        <v>1</v>
      </c>
      <c r="I2245" t="s">
        <v>79</v>
      </c>
      <c r="J2245" t="s">
        <v>79</v>
      </c>
      <c r="K2245" t="s">
        <v>111</v>
      </c>
      <c r="L2245" t="s">
        <v>21</v>
      </c>
      <c r="M2245" t="s">
        <v>22</v>
      </c>
    </row>
    <row r="2246" spans="1:13" x14ac:dyDescent="0.35">
      <c r="A2246" t="s">
        <v>3680</v>
      </c>
      <c r="B2246" s="9">
        <v>46164</v>
      </c>
      <c r="C2246" t="s">
        <v>344</v>
      </c>
      <c r="D2246" t="s">
        <v>15</v>
      </c>
      <c r="E2246" t="s">
        <v>34</v>
      </c>
      <c r="F2246" t="s">
        <v>47</v>
      </c>
      <c r="G2246" t="s">
        <v>48</v>
      </c>
      <c r="H2246">
        <v>2</v>
      </c>
      <c r="I2246" t="s">
        <v>744</v>
      </c>
      <c r="J2246" t="s">
        <v>107</v>
      </c>
      <c r="K2246" t="s">
        <v>50</v>
      </c>
      <c r="L2246" t="s">
        <v>21</v>
      </c>
      <c r="M2246" t="s">
        <v>22</v>
      </c>
    </row>
    <row r="2247" spans="1:13" x14ac:dyDescent="0.35">
      <c r="A2247" t="s">
        <v>3681</v>
      </c>
      <c r="B2247" s="9">
        <v>46035</v>
      </c>
      <c r="C2247" t="s">
        <v>3129</v>
      </c>
      <c r="D2247" t="s">
        <v>15</v>
      </c>
      <c r="E2247" t="s">
        <v>67</v>
      </c>
      <c r="F2247" t="s">
        <v>74</v>
      </c>
      <c r="G2247" t="s">
        <v>75</v>
      </c>
      <c r="H2247">
        <v>1</v>
      </c>
      <c r="I2247" t="s">
        <v>737</v>
      </c>
      <c r="J2247" t="s">
        <v>102</v>
      </c>
      <c r="K2247">
        <v>410</v>
      </c>
      <c r="L2247" t="s">
        <v>30</v>
      </c>
      <c r="M2247" t="s">
        <v>22</v>
      </c>
    </row>
    <row r="2248" spans="1:13" x14ac:dyDescent="0.35">
      <c r="A2248" t="s">
        <v>3682</v>
      </c>
      <c r="B2248" s="9">
        <v>46202</v>
      </c>
      <c r="C2248" t="s">
        <v>315</v>
      </c>
      <c r="D2248" t="s">
        <v>40</v>
      </c>
      <c r="E2248" t="s">
        <v>16</v>
      </c>
      <c r="F2248" t="s">
        <v>17</v>
      </c>
      <c r="G2248" t="s">
        <v>18</v>
      </c>
      <c r="H2248">
        <v>2</v>
      </c>
      <c r="I2248" t="s">
        <v>79</v>
      </c>
      <c r="J2248" t="s">
        <v>143</v>
      </c>
      <c r="K2248" t="s">
        <v>29</v>
      </c>
      <c r="L2248" t="s">
        <v>30</v>
      </c>
      <c r="M2248" t="s">
        <v>58</v>
      </c>
    </row>
    <row r="2249" spans="1:13" x14ac:dyDescent="0.35">
      <c r="A2249" t="s">
        <v>3683</v>
      </c>
      <c r="B2249" s="9">
        <v>46203</v>
      </c>
      <c r="C2249" t="s">
        <v>269</v>
      </c>
      <c r="D2249" t="s">
        <v>33</v>
      </c>
      <c r="E2249" t="s">
        <v>34</v>
      </c>
      <c r="F2249" t="s">
        <v>89</v>
      </c>
      <c r="G2249" t="s">
        <v>90</v>
      </c>
      <c r="H2249">
        <v>3</v>
      </c>
      <c r="I2249" t="s">
        <v>62</v>
      </c>
      <c r="J2249" t="s">
        <v>3684</v>
      </c>
      <c r="K2249" t="s">
        <v>108</v>
      </c>
      <c r="L2249" t="s">
        <v>30</v>
      </c>
      <c r="M2249" t="s">
        <v>22</v>
      </c>
    </row>
    <row r="2250" spans="1:13" x14ac:dyDescent="0.35">
      <c r="A2250" t="s">
        <v>3685</v>
      </c>
      <c r="B2250" s="9">
        <v>46073</v>
      </c>
      <c r="C2250" t="s">
        <v>513</v>
      </c>
      <c r="D2250" t="s">
        <v>46</v>
      </c>
      <c r="E2250" t="s">
        <v>41</v>
      </c>
      <c r="F2250" t="s">
        <v>89</v>
      </c>
      <c r="G2250" t="s">
        <v>90</v>
      </c>
      <c r="H2250">
        <v>3</v>
      </c>
      <c r="I2250" t="s">
        <v>56</v>
      </c>
      <c r="J2250" t="s">
        <v>57</v>
      </c>
      <c r="K2250">
        <v>640</v>
      </c>
      <c r="L2250" t="s">
        <v>30</v>
      </c>
      <c r="M2250" t="s">
        <v>58</v>
      </c>
    </row>
    <row r="2251" spans="1:13" x14ac:dyDescent="0.35">
      <c r="A2251" t="s">
        <v>3686</v>
      </c>
      <c r="B2251" s="9">
        <v>46086</v>
      </c>
      <c r="C2251" t="s">
        <v>773</v>
      </c>
      <c r="D2251" t="s">
        <v>40</v>
      </c>
      <c r="E2251" t="s">
        <v>34</v>
      </c>
      <c r="F2251" t="s">
        <v>89</v>
      </c>
      <c r="G2251" t="s">
        <v>90</v>
      </c>
      <c r="H2251">
        <v>-1</v>
      </c>
      <c r="I2251" t="s">
        <v>254</v>
      </c>
      <c r="J2251" t="s">
        <v>300</v>
      </c>
      <c r="K2251">
        <v>640</v>
      </c>
      <c r="L2251" t="s">
        <v>30</v>
      </c>
      <c r="M2251" t="s">
        <v>22</v>
      </c>
    </row>
    <row r="2252" spans="1:13" x14ac:dyDescent="0.35">
      <c r="A2252" t="s">
        <v>3687</v>
      </c>
      <c r="B2252" s="9">
        <v>46145</v>
      </c>
      <c r="C2252" t="s">
        <v>2767</v>
      </c>
      <c r="D2252" t="s">
        <v>99</v>
      </c>
      <c r="E2252" t="s">
        <v>34</v>
      </c>
      <c r="F2252" t="s">
        <v>26</v>
      </c>
      <c r="G2252" t="s">
        <v>27</v>
      </c>
      <c r="H2252">
        <v>2</v>
      </c>
      <c r="I2252" t="s">
        <v>68</v>
      </c>
      <c r="J2252" t="s">
        <v>248</v>
      </c>
      <c r="K2252">
        <v>520</v>
      </c>
      <c r="L2252" t="s">
        <v>30</v>
      </c>
      <c r="M2252" t="s">
        <v>22</v>
      </c>
    </row>
    <row r="2253" spans="1:13" x14ac:dyDescent="0.35">
      <c r="A2253" t="s">
        <v>3688</v>
      </c>
      <c r="B2253" s="9">
        <v>46103</v>
      </c>
      <c r="C2253" t="s">
        <v>3510</v>
      </c>
      <c r="D2253" t="s">
        <v>40</v>
      </c>
      <c r="E2253" t="s">
        <v>34</v>
      </c>
      <c r="F2253" t="s">
        <v>89</v>
      </c>
      <c r="G2253" t="s">
        <v>90</v>
      </c>
      <c r="H2253">
        <v>2</v>
      </c>
      <c r="I2253" t="s">
        <v>106</v>
      </c>
      <c r="J2253" t="s">
        <v>107</v>
      </c>
      <c r="K2253">
        <v>640</v>
      </c>
      <c r="L2253" t="s">
        <v>21</v>
      </c>
      <c r="M2253" t="s">
        <v>22</v>
      </c>
    </row>
    <row r="2254" spans="1:13" x14ac:dyDescent="0.35">
      <c r="A2254" t="s">
        <v>3689</v>
      </c>
      <c r="B2254" s="9">
        <v>46075</v>
      </c>
      <c r="C2254" t="s">
        <v>2297</v>
      </c>
      <c r="D2254" t="s">
        <v>53</v>
      </c>
      <c r="E2254" t="s">
        <v>41</v>
      </c>
      <c r="F2254" t="s">
        <v>17</v>
      </c>
      <c r="G2254" t="s">
        <v>18</v>
      </c>
      <c r="H2254">
        <v>1</v>
      </c>
      <c r="I2254" t="s">
        <v>170</v>
      </c>
      <c r="J2254" t="s">
        <v>170</v>
      </c>
      <c r="K2254">
        <v>520</v>
      </c>
      <c r="L2254" t="s">
        <v>21</v>
      </c>
      <c r="M2254" t="s">
        <v>22</v>
      </c>
    </row>
    <row r="2255" spans="1:13" x14ac:dyDescent="0.35">
      <c r="A2255" t="s">
        <v>3690</v>
      </c>
      <c r="B2255" s="9">
        <v>46119</v>
      </c>
      <c r="C2255" t="s">
        <v>370</v>
      </c>
      <c r="D2255" t="s">
        <v>53</v>
      </c>
      <c r="E2255" t="s">
        <v>67</v>
      </c>
      <c r="F2255" t="s">
        <v>47</v>
      </c>
      <c r="G2255" t="s">
        <v>48</v>
      </c>
      <c r="H2255">
        <v>1</v>
      </c>
      <c r="I2255" t="s">
        <v>254</v>
      </c>
      <c r="J2255" t="s">
        <v>254</v>
      </c>
      <c r="K2255">
        <v>380</v>
      </c>
      <c r="L2255" t="s">
        <v>30</v>
      </c>
      <c r="M2255" t="s">
        <v>58</v>
      </c>
    </row>
    <row r="2256" spans="1:13" x14ac:dyDescent="0.35">
      <c r="A2256" t="s">
        <v>3691</v>
      </c>
      <c r="B2256" s="9">
        <v>46035</v>
      </c>
      <c r="C2256" t="s">
        <v>2870</v>
      </c>
      <c r="D2256" t="s">
        <v>53</v>
      </c>
      <c r="E2256" t="s">
        <v>34</v>
      </c>
      <c r="F2256" t="s">
        <v>47</v>
      </c>
      <c r="G2256" t="s">
        <v>48</v>
      </c>
      <c r="H2256">
        <v>1</v>
      </c>
      <c r="I2256" t="s">
        <v>170</v>
      </c>
      <c r="J2256" t="s">
        <v>170</v>
      </c>
      <c r="K2256">
        <v>380</v>
      </c>
      <c r="L2256" t="s">
        <v>30</v>
      </c>
      <c r="M2256" t="s">
        <v>22</v>
      </c>
    </row>
    <row r="2257" spans="1:13" x14ac:dyDescent="0.35">
      <c r="A2257" t="s">
        <v>3692</v>
      </c>
      <c r="B2257" s="9">
        <v>46155</v>
      </c>
      <c r="C2257" t="s">
        <v>1883</v>
      </c>
      <c r="D2257" t="s">
        <v>46</v>
      </c>
      <c r="E2257" t="s">
        <v>34</v>
      </c>
      <c r="F2257" t="s">
        <v>47</v>
      </c>
      <c r="G2257" t="s">
        <v>48</v>
      </c>
      <c r="H2257">
        <v>1</v>
      </c>
      <c r="I2257" t="s">
        <v>155</v>
      </c>
      <c r="J2257" t="s">
        <v>254</v>
      </c>
      <c r="K2257" t="s">
        <v>50</v>
      </c>
      <c r="L2257" t="s">
        <v>21</v>
      </c>
      <c r="M2257" t="s">
        <v>22</v>
      </c>
    </row>
    <row r="2258" spans="1:13" x14ac:dyDescent="0.35">
      <c r="A2258" t="s">
        <v>3693</v>
      </c>
      <c r="B2258" s="9">
        <v>46031</v>
      </c>
      <c r="C2258" t="s">
        <v>195</v>
      </c>
      <c r="D2258" t="s">
        <v>66</v>
      </c>
      <c r="E2258" t="s">
        <v>25</v>
      </c>
      <c r="F2258" t="s">
        <v>89</v>
      </c>
      <c r="G2258" t="s">
        <v>90</v>
      </c>
      <c r="H2258">
        <v>1</v>
      </c>
      <c r="I2258" t="s">
        <v>254</v>
      </c>
      <c r="J2258" t="s">
        <v>254</v>
      </c>
      <c r="K2258">
        <v>640</v>
      </c>
      <c r="L2258" t="s">
        <v>21</v>
      </c>
      <c r="M2258" t="s">
        <v>22</v>
      </c>
    </row>
    <row r="2259" spans="1:13" x14ac:dyDescent="0.35">
      <c r="A2259" t="s">
        <v>3694</v>
      </c>
      <c r="B2259" s="9">
        <v>46089</v>
      </c>
      <c r="C2259" t="s">
        <v>3695</v>
      </c>
      <c r="D2259" t="s">
        <v>94</v>
      </c>
      <c r="E2259" t="s">
        <v>41</v>
      </c>
      <c r="F2259" t="s">
        <v>35</v>
      </c>
      <c r="G2259" t="s">
        <v>36</v>
      </c>
      <c r="H2259">
        <v>1</v>
      </c>
      <c r="I2259" t="s">
        <v>136</v>
      </c>
      <c r="J2259" t="s">
        <v>136</v>
      </c>
      <c r="K2259">
        <v>85</v>
      </c>
      <c r="L2259" t="s">
        <v>21</v>
      </c>
      <c r="M2259" t="s">
        <v>58</v>
      </c>
    </row>
    <row r="2260" spans="1:13" x14ac:dyDescent="0.35">
      <c r="A2260" t="s">
        <v>3696</v>
      </c>
      <c r="B2260" s="9">
        <v>46055</v>
      </c>
      <c r="C2260" t="s">
        <v>3697</v>
      </c>
      <c r="D2260" t="s">
        <v>116</v>
      </c>
      <c r="E2260" t="s">
        <v>41</v>
      </c>
      <c r="F2260" t="s">
        <v>74</v>
      </c>
      <c r="G2260" t="s">
        <v>75</v>
      </c>
      <c r="H2260">
        <v>1</v>
      </c>
      <c r="I2260" t="s">
        <v>79</v>
      </c>
      <c r="J2260" t="s">
        <v>79</v>
      </c>
      <c r="K2260">
        <v>410</v>
      </c>
      <c r="L2260" t="s">
        <v>30</v>
      </c>
      <c r="M2260" t="s">
        <v>58</v>
      </c>
    </row>
    <row r="2261" spans="1:13" x14ac:dyDescent="0.35">
      <c r="A2261" t="s">
        <v>3698</v>
      </c>
      <c r="B2261" s="9">
        <v>46166</v>
      </c>
      <c r="C2261" t="s">
        <v>340</v>
      </c>
      <c r="D2261" t="s">
        <v>61</v>
      </c>
      <c r="E2261" t="s">
        <v>16</v>
      </c>
      <c r="F2261" t="s">
        <v>74</v>
      </c>
      <c r="G2261" t="s">
        <v>75</v>
      </c>
      <c r="H2261">
        <v>1</v>
      </c>
      <c r="I2261" t="s">
        <v>19</v>
      </c>
      <c r="J2261" t="s">
        <v>19</v>
      </c>
      <c r="K2261" t="s">
        <v>76</v>
      </c>
      <c r="L2261" t="s">
        <v>30</v>
      </c>
      <c r="M2261" t="s">
        <v>22</v>
      </c>
    </row>
    <row r="2262" spans="1:13" x14ac:dyDescent="0.35">
      <c r="A2262" t="s">
        <v>3699</v>
      </c>
      <c r="B2262" s="9">
        <v>46083</v>
      </c>
      <c r="C2262" t="s">
        <v>2273</v>
      </c>
      <c r="D2262" t="s">
        <v>15</v>
      </c>
      <c r="E2262" t="s">
        <v>67</v>
      </c>
      <c r="F2262" t="s">
        <v>26</v>
      </c>
      <c r="G2262" t="s">
        <v>27</v>
      </c>
      <c r="H2262">
        <v>2</v>
      </c>
      <c r="I2262" t="s">
        <v>132</v>
      </c>
      <c r="J2262" t="s">
        <v>316</v>
      </c>
      <c r="K2262">
        <v>520</v>
      </c>
      <c r="L2262" t="s">
        <v>30</v>
      </c>
      <c r="M2262" t="s">
        <v>58</v>
      </c>
    </row>
    <row r="2263" spans="1:13" x14ac:dyDescent="0.35">
      <c r="A2263" t="s">
        <v>3700</v>
      </c>
      <c r="B2263" s="9">
        <v>46093</v>
      </c>
      <c r="C2263" t="s">
        <v>1918</v>
      </c>
      <c r="D2263" t="s">
        <v>94</v>
      </c>
      <c r="E2263" t="s">
        <v>67</v>
      </c>
      <c r="F2263" t="s">
        <v>26</v>
      </c>
      <c r="G2263" t="s">
        <v>27</v>
      </c>
      <c r="H2263">
        <v>2</v>
      </c>
      <c r="I2263" t="s">
        <v>85</v>
      </c>
      <c r="J2263" t="s">
        <v>267</v>
      </c>
      <c r="K2263">
        <v>520</v>
      </c>
      <c r="L2263" t="s">
        <v>30</v>
      </c>
      <c r="M2263" t="s">
        <v>22</v>
      </c>
    </row>
    <row r="2264" spans="1:13" x14ac:dyDescent="0.35">
      <c r="A2264" t="s">
        <v>3701</v>
      </c>
      <c r="B2264" s="9">
        <v>46169</v>
      </c>
      <c r="C2264" t="s">
        <v>1850</v>
      </c>
      <c r="D2264" t="s">
        <v>15</v>
      </c>
      <c r="E2264" t="s">
        <v>41</v>
      </c>
      <c r="F2264" t="s">
        <v>35</v>
      </c>
      <c r="G2264" t="s">
        <v>36</v>
      </c>
      <c r="H2264">
        <v>2</v>
      </c>
      <c r="I2264" t="s">
        <v>102</v>
      </c>
      <c r="J2264" t="s">
        <v>181</v>
      </c>
      <c r="K2264" t="s">
        <v>37</v>
      </c>
      <c r="L2264" t="s">
        <v>30</v>
      </c>
      <c r="M2264" t="s">
        <v>22</v>
      </c>
    </row>
    <row r="2265" spans="1:13" x14ac:dyDescent="0.35">
      <c r="A2265" t="s">
        <v>3702</v>
      </c>
      <c r="B2265" s="9">
        <v>46069</v>
      </c>
      <c r="C2265" t="s">
        <v>1246</v>
      </c>
      <c r="D2265" t="s">
        <v>94</v>
      </c>
      <c r="E2265" t="s">
        <v>67</v>
      </c>
      <c r="F2265" t="s">
        <v>47</v>
      </c>
      <c r="G2265" t="s">
        <v>48</v>
      </c>
      <c r="H2265">
        <v>3</v>
      </c>
      <c r="I2265" t="s">
        <v>79</v>
      </c>
      <c r="J2265" t="s">
        <v>91</v>
      </c>
      <c r="K2265">
        <v>380</v>
      </c>
      <c r="L2265" t="s">
        <v>21</v>
      </c>
      <c r="M2265" t="s">
        <v>22</v>
      </c>
    </row>
    <row r="2266" spans="1:13" x14ac:dyDescent="0.35">
      <c r="A2266" t="s">
        <v>3703</v>
      </c>
      <c r="B2266" s="9">
        <v>46036</v>
      </c>
      <c r="C2266" t="s">
        <v>307</v>
      </c>
      <c r="D2266" t="s">
        <v>61</v>
      </c>
      <c r="E2266" t="s">
        <v>25</v>
      </c>
      <c r="F2266" t="s">
        <v>47</v>
      </c>
      <c r="G2266" t="s">
        <v>48</v>
      </c>
      <c r="H2266">
        <v>1</v>
      </c>
      <c r="I2266" t="s">
        <v>132</v>
      </c>
      <c r="J2266" t="s">
        <v>132</v>
      </c>
      <c r="K2266">
        <v>380</v>
      </c>
      <c r="L2266" t="s">
        <v>30</v>
      </c>
      <c r="M2266" t="s">
        <v>22</v>
      </c>
    </row>
    <row r="2267" spans="1:13" x14ac:dyDescent="0.35">
      <c r="A2267" t="s">
        <v>3704</v>
      </c>
      <c r="B2267" s="9">
        <v>46090</v>
      </c>
      <c r="C2267" t="s">
        <v>959</v>
      </c>
      <c r="D2267" t="s">
        <v>40</v>
      </c>
      <c r="E2267" t="s">
        <v>67</v>
      </c>
      <c r="F2267" t="s">
        <v>17</v>
      </c>
      <c r="G2267" t="s">
        <v>18</v>
      </c>
      <c r="H2267">
        <v>1</v>
      </c>
      <c r="I2267" t="s">
        <v>254</v>
      </c>
      <c r="J2267" t="s">
        <v>254</v>
      </c>
      <c r="K2267">
        <v>520</v>
      </c>
      <c r="L2267" t="s">
        <v>21</v>
      </c>
      <c r="M2267" t="s">
        <v>22</v>
      </c>
    </row>
    <row r="2268" spans="1:13" x14ac:dyDescent="0.35">
      <c r="A2268" t="s">
        <v>3705</v>
      </c>
      <c r="B2268" s="9">
        <v>46162</v>
      </c>
      <c r="C2268" t="s">
        <v>2309</v>
      </c>
      <c r="D2268" t="s">
        <v>94</v>
      </c>
      <c r="E2268" t="s">
        <v>16</v>
      </c>
      <c r="F2268" t="s">
        <v>42</v>
      </c>
      <c r="G2268" t="s">
        <v>43</v>
      </c>
      <c r="H2268">
        <v>3</v>
      </c>
      <c r="I2268" t="s">
        <v>136</v>
      </c>
      <c r="J2268" t="s">
        <v>137</v>
      </c>
      <c r="K2268" t="s">
        <v>111</v>
      </c>
      <c r="L2268" t="s">
        <v>21</v>
      </c>
      <c r="M2268" t="s">
        <v>22</v>
      </c>
    </row>
    <row r="2269" spans="1:13" x14ac:dyDescent="0.35">
      <c r="A2269" t="s">
        <v>3706</v>
      </c>
      <c r="B2269" t="s">
        <v>880</v>
      </c>
      <c r="C2269" t="s">
        <v>672</v>
      </c>
      <c r="D2269" t="s">
        <v>40</v>
      </c>
      <c r="E2269" t="s">
        <v>16</v>
      </c>
      <c r="F2269" t="s">
        <v>17</v>
      </c>
      <c r="G2269" t="s">
        <v>18</v>
      </c>
      <c r="H2269">
        <v>2</v>
      </c>
      <c r="I2269" t="s">
        <v>170</v>
      </c>
      <c r="J2269" t="s">
        <v>152</v>
      </c>
      <c r="K2269">
        <v>520</v>
      </c>
      <c r="L2269" t="s">
        <v>30</v>
      </c>
      <c r="M2269" t="s">
        <v>58</v>
      </c>
    </row>
    <row r="2270" spans="1:13" x14ac:dyDescent="0.35">
      <c r="A2270" t="s">
        <v>3707</v>
      </c>
      <c r="B2270" s="9">
        <v>46133</v>
      </c>
      <c r="C2270" t="s">
        <v>3708</v>
      </c>
      <c r="D2270" t="s">
        <v>46</v>
      </c>
      <c r="E2270" t="s">
        <v>67</v>
      </c>
      <c r="F2270" t="s">
        <v>74</v>
      </c>
      <c r="G2270" t="s">
        <v>75</v>
      </c>
      <c r="H2270">
        <v>1</v>
      </c>
      <c r="I2270" t="s">
        <v>79</v>
      </c>
      <c r="J2270" t="s">
        <v>79</v>
      </c>
      <c r="K2270" t="s">
        <v>76</v>
      </c>
      <c r="L2270" t="s">
        <v>30</v>
      </c>
      <c r="M2270" t="s">
        <v>22</v>
      </c>
    </row>
    <row r="2271" spans="1:13" x14ac:dyDescent="0.35">
      <c r="A2271" t="s">
        <v>3709</v>
      </c>
      <c r="B2271" s="9">
        <v>46195</v>
      </c>
      <c r="C2271" t="s">
        <v>1866</v>
      </c>
      <c r="D2271" t="s">
        <v>66</v>
      </c>
      <c r="E2271" t="s">
        <v>41</v>
      </c>
      <c r="F2271" t="s">
        <v>17</v>
      </c>
      <c r="G2271" t="s">
        <v>18</v>
      </c>
      <c r="H2271">
        <v>2</v>
      </c>
      <c r="I2271" t="s">
        <v>19</v>
      </c>
      <c r="J2271" t="s">
        <v>238</v>
      </c>
      <c r="K2271" t="s">
        <v>29</v>
      </c>
      <c r="L2271" t="s">
        <v>30</v>
      </c>
      <c r="M2271" t="s">
        <v>58</v>
      </c>
    </row>
    <row r="2272" spans="1:13" x14ac:dyDescent="0.35">
      <c r="A2272" t="s">
        <v>3710</v>
      </c>
      <c r="B2272" s="9">
        <v>46194</v>
      </c>
      <c r="C2272" t="s">
        <v>1536</v>
      </c>
      <c r="D2272" t="s">
        <v>99</v>
      </c>
      <c r="E2272" t="s">
        <v>41</v>
      </c>
      <c r="F2272" t="s">
        <v>42</v>
      </c>
      <c r="G2272" t="s">
        <v>43</v>
      </c>
      <c r="H2272">
        <v>1</v>
      </c>
      <c r="I2272" t="s">
        <v>79</v>
      </c>
      <c r="J2272" t="s">
        <v>79</v>
      </c>
      <c r="K2272" t="s">
        <v>111</v>
      </c>
      <c r="L2272" t="s">
        <v>21</v>
      </c>
      <c r="M2272" t="s">
        <v>22</v>
      </c>
    </row>
    <row r="2273" spans="1:13" x14ac:dyDescent="0.35">
      <c r="A2273" t="s">
        <v>3711</v>
      </c>
      <c r="B2273" s="9">
        <v>46176</v>
      </c>
      <c r="C2273" t="s">
        <v>2728</v>
      </c>
      <c r="D2273" t="s">
        <v>94</v>
      </c>
      <c r="E2273" t="s">
        <v>25</v>
      </c>
      <c r="F2273" t="s">
        <v>47</v>
      </c>
      <c r="G2273" t="s">
        <v>48</v>
      </c>
      <c r="H2273">
        <v>3</v>
      </c>
      <c r="I2273" t="s">
        <v>19</v>
      </c>
      <c r="J2273" t="s">
        <v>326</v>
      </c>
      <c r="K2273" t="s">
        <v>50</v>
      </c>
      <c r="L2273" t="s">
        <v>30</v>
      </c>
      <c r="M2273" t="s">
        <v>22</v>
      </c>
    </row>
    <row r="2274" spans="1:13" x14ac:dyDescent="0.35">
      <c r="A2274" t="s">
        <v>3712</v>
      </c>
      <c r="B2274" t="s">
        <v>259</v>
      </c>
      <c r="C2274" t="s">
        <v>3398</v>
      </c>
      <c r="D2274" t="s">
        <v>99</v>
      </c>
      <c r="E2274" t="s">
        <v>34</v>
      </c>
      <c r="F2274" t="s">
        <v>17</v>
      </c>
      <c r="G2274" t="s">
        <v>18</v>
      </c>
      <c r="H2274">
        <v>-1</v>
      </c>
      <c r="I2274" t="s">
        <v>28</v>
      </c>
      <c r="J2274" t="s">
        <v>1624</v>
      </c>
      <c r="K2274" t="s">
        <v>29</v>
      </c>
      <c r="L2274" t="s">
        <v>21</v>
      </c>
      <c r="M2274" t="s">
        <v>22</v>
      </c>
    </row>
    <row r="2275" spans="1:13" x14ac:dyDescent="0.35">
      <c r="A2275" t="s">
        <v>3713</v>
      </c>
      <c r="B2275" s="9">
        <v>46168</v>
      </c>
      <c r="C2275" t="s">
        <v>416</v>
      </c>
      <c r="D2275" t="s">
        <v>99</v>
      </c>
      <c r="E2275" t="s">
        <v>34</v>
      </c>
      <c r="F2275" t="s">
        <v>26</v>
      </c>
      <c r="G2275" t="s">
        <v>27</v>
      </c>
      <c r="H2275">
        <v>1</v>
      </c>
      <c r="I2275" t="s">
        <v>136</v>
      </c>
      <c r="J2275" t="s">
        <v>136</v>
      </c>
      <c r="K2275" t="s">
        <v>29</v>
      </c>
      <c r="L2275" t="s">
        <v>21</v>
      </c>
      <c r="M2275" t="s">
        <v>58</v>
      </c>
    </row>
    <row r="2276" spans="1:13" x14ac:dyDescent="0.35">
      <c r="A2276" t="s">
        <v>3714</v>
      </c>
      <c r="B2276" s="9">
        <v>46137</v>
      </c>
      <c r="C2276" t="s">
        <v>1298</v>
      </c>
      <c r="D2276" t="s">
        <v>94</v>
      </c>
      <c r="E2276" t="s">
        <v>16</v>
      </c>
      <c r="F2276" t="s">
        <v>35</v>
      </c>
      <c r="G2276" t="s">
        <v>36</v>
      </c>
      <c r="H2276">
        <v>2</v>
      </c>
      <c r="I2276" t="s">
        <v>102</v>
      </c>
      <c r="J2276" t="s">
        <v>181</v>
      </c>
      <c r="K2276" t="s">
        <v>37</v>
      </c>
      <c r="L2276" t="s">
        <v>30</v>
      </c>
      <c r="M2276" t="s">
        <v>22</v>
      </c>
    </row>
    <row r="2277" spans="1:13" x14ac:dyDescent="0.35">
      <c r="A2277" t="s">
        <v>3715</v>
      </c>
      <c r="B2277" s="9">
        <v>46147</v>
      </c>
      <c r="C2277" t="s">
        <v>1691</v>
      </c>
      <c r="D2277" t="s">
        <v>61</v>
      </c>
      <c r="E2277" t="s">
        <v>41</v>
      </c>
      <c r="F2277" t="s">
        <v>17</v>
      </c>
      <c r="G2277" t="s">
        <v>18</v>
      </c>
      <c r="H2277">
        <v>1</v>
      </c>
      <c r="I2277" t="s">
        <v>85</v>
      </c>
      <c r="J2277" t="s">
        <v>85</v>
      </c>
      <c r="K2277" t="s">
        <v>29</v>
      </c>
      <c r="L2277" t="s">
        <v>21</v>
      </c>
      <c r="M2277" t="s">
        <v>58</v>
      </c>
    </row>
    <row r="2278" spans="1:13" x14ac:dyDescent="0.35">
      <c r="A2278" t="s">
        <v>3716</v>
      </c>
      <c r="B2278" s="9">
        <v>46042</v>
      </c>
      <c r="C2278" t="s">
        <v>990</v>
      </c>
      <c r="D2278" t="s">
        <v>15</v>
      </c>
      <c r="E2278" t="s">
        <v>34</v>
      </c>
      <c r="F2278" t="s">
        <v>35</v>
      </c>
      <c r="G2278" t="s">
        <v>36</v>
      </c>
      <c r="H2278">
        <v>3</v>
      </c>
      <c r="I2278" t="s">
        <v>19</v>
      </c>
      <c r="J2278" t="s">
        <v>326</v>
      </c>
      <c r="K2278">
        <v>85</v>
      </c>
      <c r="L2278" t="s">
        <v>21</v>
      </c>
      <c r="M2278" t="s">
        <v>22</v>
      </c>
    </row>
    <row r="2279" spans="1:13" x14ac:dyDescent="0.35">
      <c r="A2279" t="s">
        <v>3717</v>
      </c>
      <c r="B2279" s="9">
        <v>46112</v>
      </c>
      <c r="C2279" t="s">
        <v>2171</v>
      </c>
      <c r="D2279" t="s">
        <v>66</v>
      </c>
      <c r="E2279" t="s">
        <v>16</v>
      </c>
      <c r="F2279" t="s">
        <v>89</v>
      </c>
      <c r="G2279" t="s">
        <v>90</v>
      </c>
      <c r="H2279">
        <v>1</v>
      </c>
      <c r="I2279" t="s">
        <v>68</v>
      </c>
      <c r="J2279" t="s">
        <v>68</v>
      </c>
      <c r="K2279">
        <v>640</v>
      </c>
      <c r="L2279" t="s">
        <v>30</v>
      </c>
      <c r="M2279" t="s">
        <v>22</v>
      </c>
    </row>
    <row r="2280" spans="1:13" x14ac:dyDescent="0.35">
      <c r="A2280" t="s">
        <v>3718</v>
      </c>
      <c r="B2280" s="9">
        <v>46188</v>
      </c>
      <c r="C2280" t="s">
        <v>877</v>
      </c>
      <c r="D2280" t="s">
        <v>53</v>
      </c>
      <c r="E2280" t="s">
        <v>25</v>
      </c>
      <c r="F2280" t="s">
        <v>17</v>
      </c>
      <c r="G2280" t="s">
        <v>18</v>
      </c>
      <c r="H2280">
        <v>3</v>
      </c>
      <c r="I2280" t="s">
        <v>102</v>
      </c>
      <c r="J2280" t="s">
        <v>127</v>
      </c>
      <c r="K2280" t="s">
        <v>29</v>
      </c>
      <c r="L2280" t="s">
        <v>21</v>
      </c>
      <c r="M2280" t="s">
        <v>22</v>
      </c>
    </row>
    <row r="2281" spans="1:13" x14ac:dyDescent="0.35">
      <c r="A2281" t="s">
        <v>3719</v>
      </c>
      <c r="B2281" s="9">
        <v>46150</v>
      </c>
      <c r="C2281" t="s">
        <v>273</v>
      </c>
      <c r="D2281" t="s">
        <v>61</v>
      </c>
      <c r="E2281" t="s">
        <v>16</v>
      </c>
      <c r="F2281" t="s">
        <v>26</v>
      </c>
      <c r="G2281" t="s">
        <v>27</v>
      </c>
      <c r="H2281">
        <v>3</v>
      </c>
      <c r="I2281" t="s">
        <v>71</v>
      </c>
      <c r="J2281" t="s">
        <v>379</v>
      </c>
      <c r="K2281" t="s">
        <v>29</v>
      </c>
      <c r="L2281" t="s">
        <v>30</v>
      </c>
      <c r="M2281" t="s">
        <v>22</v>
      </c>
    </row>
    <row r="2282" spans="1:13" x14ac:dyDescent="0.35">
      <c r="A2282" t="s">
        <v>3720</v>
      </c>
      <c r="B2282" s="9">
        <v>46040</v>
      </c>
      <c r="C2282" t="s">
        <v>1179</v>
      </c>
      <c r="D2282" t="s">
        <v>53</v>
      </c>
      <c r="E2282" t="s">
        <v>67</v>
      </c>
      <c r="F2282" t="s">
        <v>26</v>
      </c>
      <c r="G2282" t="s">
        <v>27</v>
      </c>
      <c r="H2282">
        <v>1</v>
      </c>
      <c r="I2282" t="s">
        <v>136</v>
      </c>
      <c r="J2282" t="s">
        <v>136</v>
      </c>
      <c r="K2282">
        <v>520</v>
      </c>
      <c r="L2282" t="s">
        <v>30</v>
      </c>
      <c r="M2282" t="s">
        <v>22</v>
      </c>
    </row>
    <row r="2283" spans="1:13" x14ac:dyDescent="0.35">
      <c r="A2283" t="s">
        <v>3721</v>
      </c>
      <c r="B2283" s="9">
        <v>46167</v>
      </c>
      <c r="C2283" t="s">
        <v>416</v>
      </c>
      <c r="D2283" t="s">
        <v>94</v>
      </c>
      <c r="E2283" t="s">
        <v>67</v>
      </c>
      <c r="F2283" t="s">
        <v>17</v>
      </c>
      <c r="G2283" t="s">
        <v>18</v>
      </c>
      <c r="H2283">
        <v>3</v>
      </c>
      <c r="I2283" t="s">
        <v>106</v>
      </c>
      <c r="J2283" t="s">
        <v>160</v>
      </c>
      <c r="K2283" t="s">
        <v>29</v>
      </c>
      <c r="L2283" t="s">
        <v>30</v>
      </c>
      <c r="M2283" t="s">
        <v>22</v>
      </c>
    </row>
    <row r="2284" spans="1:13" x14ac:dyDescent="0.35">
      <c r="A2284" t="s">
        <v>3722</v>
      </c>
      <c r="B2284" s="9">
        <v>46064</v>
      </c>
      <c r="C2284" t="s">
        <v>3723</v>
      </c>
      <c r="D2284" t="s">
        <v>66</v>
      </c>
      <c r="E2284" t="s">
        <v>67</v>
      </c>
      <c r="F2284" t="s">
        <v>47</v>
      </c>
      <c r="G2284" t="s">
        <v>48</v>
      </c>
      <c r="H2284">
        <v>3</v>
      </c>
      <c r="I2284" t="s">
        <v>106</v>
      </c>
      <c r="J2284" t="s">
        <v>160</v>
      </c>
      <c r="K2284">
        <v>380</v>
      </c>
      <c r="L2284" t="s">
        <v>30</v>
      </c>
      <c r="M2284" t="s">
        <v>58</v>
      </c>
    </row>
    <row r="2285" spans="1:13" x14ac:dyDescent="0.35">
      <c r="A2285" t="s">
        <v>3724</v>
      </c>
      <c r="B2285" s="9">
        <v>46081</v>
      </c>
      <c r="C2285" t="s">
        <v>2523</v>
      </c>
      <c r="D2285" t="s">
        <v>40</v>
      </c>
      <c r="E2285" t="s">
        <v>34</v>
      </c>
      <c r="F2285" t="s">
        <v>47</v>
      </c>
      <c r="G2285" t="s">
        <v>48</v>
      </c>
      <c r="H2285">
        <v>2</v>
      </c>
      <c r="I2285" t="s">
        <v>62</v>
      </c>
      <c r="J2285" t="s">
        <v>63</v>
      </c>
      <c r="K2285">
        <v>380</v>
      </c>
      <c r="L2285" t="s">
        <v>21</v>
      </c>
      <c r="M2285" t="s">
        <v>22</v>
      </c>
    </row>
    <row r="2286" spans="1:13" x14ac:dyDescent="0.35">
      <c r="A2286" t="s">
        <v>3725</v>
      </c>
      <c r="B2286" s="9">
        <v>46062</v>
      </c>
      <c r="C2286" t="s">
        <v>3726</v>
      </c>
      <c r="D2286" t="s">
        <v>66</v>
      </c>
      <c r="E2286" t="s">
        <v>16</v>
      </c>
      <c r="F2286" t="s">
        <v>89</v>
      </c>
      <c r="G2286" t="s">
        <v>90</v>
      </c>
      <c r="H2286">
        <v>1</v>
      </c>
      <c r="I2286" t="s">
        <v>79</v>
      </c>
      <c r="J2286" t="s">
        <v>79</v>
      </c>
      <c r="K2286">
        <v>640</v>
      </c>
      <c r="L2286" t="s">
        <v>30</v>
      </c>
      <c r="M2286" t="s">
        <v>22</v>
      </c>
    </row>
    <row r="2287" spans="1:13" x14ac:dyDescent="0.35">
      <c r="A2287" t="s">
        <v>3727</v>
      </c>
      <c r="B2287" s="9">
        <v>46203</v>
      </c>
      <c r="C2287" t="s">
        <v>1264</v>
      </c>
      <c r="D2287" t="s">
        <v>99</v>
      </c>
      <c r="E2287" t="s">
        <v>67</v>
      </c>
      <c r="F2287" t="s">
        <v>26</v>
      </c>
      <c r="G2287" t="s">
        <v>27</v>
      </c>
      <c r="H2287">
        <v>1</v>
      </c>
      <c r="I2287" t="s">
        <v>170</v>
      </c>
      <c r="J2287" t="s">
        <v>170</v>
      </c>
      <c r="K2287" t="s">
        <v>29</v>
      </c>
      <c r="L2287" t="s">
        <v>30</v>
      </c>
      <c r="M2287" t="s">
        <v>58</v>
      </c>
    </row>
    <row r="2288" spans="1:13" x14ac:dyDescent="0.35">
      <c r="A2288" t="s">
        <v>3728</v>
      </c>
      <c r="B2288" s="9">
        <v>46195</v>
      </c>
      <c r="C2288" t="s">
        <v>3729</v>
      </c>
      <c r="D2288" t="s">
        <v>15</v>
      </c>
      <c r="E2288" t="s">
        <v>16</v>
      </c>
      <c r="F2288" t="s">
        <v>35</v>
      </c>
      <c r="G2288" t="s">
        <v>36</v>
      </c>
      <c r="H2288">
        <v>2</v>
      </c>
      <c r="I2288" t="s">
        <v>79</v>
      </c>
      <c r="J2288" t="s">
        <v>143</v>
      </c>
      <c r="K2288" t="s">
        <v>37</v>
      </c>
      <c r="L2288" t="s">
        <v>30</v>
      </c>
      <c r="M2288" t="s">
        <v>22</v>
      </c>
    </row>
    <row r="2289" spans="1:13" x14ac:dyDescent="0.35">
      <c r="A2289" t="s">
        <v>3730</v>
      </c>
      <c r="B2289" s="9">
        <v>46097</v>
      </c>
      <c r="C2289" t="s">
        <v>873</v>
      </c>
      <c r="D2289" t="s">
        <v>15</v>
      </c>
      <c r="E2289" t="s">
        <v>67</v>
      </c>
      <c r="F2289" t="s">
        <v>35</v>
      </c>
      <c r="G2289" t="s">
        <v>36</v>
      </c>
      <c r="H2289">
        <v>2</v>
      </c>
      <c r="I2289" t="s">
        <v>62</v>
      </c>
      <c r="J2289" t="s">
        <v>63</v>
      </c>
      <c r="K2289">
        <v>85</v>
      </c>
      <c r="L2289" t="s">
        <v>30</v>
      </c>
      <c r="M2289" t="s">
        <v>22</v>
      </c>
    </row>
    <row r="2290" spans="1:13" x14ac:dyDescent="0.35">
      <c r="A2290" t="s">
        <v>3731</v>
      </c>
      <c r="B2290" s="9">
        <v>46141</v>
      </c>
      <c r="C2290" t="s">
        <v>180</v>
      </c>
      <c r="D2290" t="s">
        <v>15</v>
      </c>
      <c r="E2290" t="s">
        <v>34</v>
      </c>
      <c r="F2290" t="s">
        <v>89</v>
      </c>
      <c r="G2290" t="s">
        <v>90</v>
      </c>
      <c r="H2290">
        <v>1</v>
      </c>
      <c r="I2290" t="s">
        <v>106</v>
      </c>
      <c r="J2290" t="s">
        <v>106</v>
      </c>
      <c r="K2290" t="s">
        <v>108</v>
      </c>
      <c r="L2290" t="s">
        <v>30</v>
      </c>
      <c r="M2290" t="s">
        <v>22</v>
      </c>
    </row>
    <row r="2291" spans="1:13" x14ac:dyDescent="0.35">
      <c r="A2291" t="s">
        <v>3732</v>
      </c>
      <c r="B2291" s="9">
        <v>46093</v>
      </c>
      <c r="C2291" t="s">
        <v>1953</v>
      </c>
      <c r="D2291" t="s">
        <v>46</v>
      </c>
      <c r="E2291" t="s">
        <v>25</v>
      </c>
      <c r="F2291" t="s">
        <v>35</v>
      </c>
      <c r="G2291" t="s">
        <v>36</v>
      </c>
      <c r="H2291">
        <v>2</v>
      </c>
      <c r="I2291" t="s">
        <v>49</v>
      </c>
      <c r="J2291" t="s">
        <v>178</v>
      </c>
      <c r="K2291">
        <v>85</v>
      </c>
      <c r="L2291" t="s">
        <v>21</v>
      </c>
      <c r="M2291" t="s">
        <v>22</v>
      </c>
    </row>
    <row r="2292" spans="1:13" x14ac:dyDescent="0.35">
      <c r="A2292" t="s">
        <v>3733</v>
      </c>
      <c r="B2292" s="9">
        <v>46107</v>
      </c>
      <c r="C2292" t="s">
        <v>1157</v>
      </c>
      <c r="D2292" t="s">
        <v>40</v>
      </c>
      <c r="E2292" t="s">
        <v>25</v>
      </c>
      <c r="F2292" t="s">
        <v>83</v>
      </c>
      <c r="G2292" t="s">
        <v>84</v>
      </c>
      <c r="H2292">
        <v>1</v>
      </c>
      <c r="I2292" t="s">
        <v>254</v>
      </c>
      <c r="J2292" t="s">
        <v>254</v>
      </c>
      <c r="K2292">
        <v>340</v>
      </c>
      <c r="L2292" t="s">
        <v>30</v>
      </c>
      <c r="M2292" t="s">
        <v>22</v>
      </c>
    </row>
    <row r="2293" spans="1:13" x14ac:dyDescent="0.35">
      <c r="A2293" t="s">
        <v>3734</v>
      </c>
      <c r="B2293" s="9">
        <v>46197</v>
      </c>
      <c r="C2293" t="s">
        <v>1048</v>
      </c>
      <c r="D2293" t="s">
        <v>94</v>
      </c>
      <c r="E2293" t="s">
        <v>67</v>
      </c>
      <c r="F2293" t="s">
        <v>74</v>
      </c>
      <c r="G2293" t="s">
        <v>75</v>
      </c>
      <c r="H2293">
        <v>3</v>
      </c>
      <c r="I2293" t="s">
        <v>254</v>
      </c>
      <c r="J2293" t="s">
        <v>390</v>
      </c>
      <c r="K2293" t="s">
        <v>76</v>
      </c>
      <c r="L2293" t="s">
        <v>30</v>
      </c>
      <c r="M2293" t="s">
        <v>22</v>
      </c>
    </row>
    <row r="2294" spans="1:13" x14ac:dyDescent="0.35">
      <c r="A2294" t="s">
        <v>3735</v>
      </c>
      <c r="B2294" s="9">
        <v>46120</v>
      </c>
      <c r="C2294" t="s">
        <v>1312</v>
      </c>
      <c r="D2294" t="s">
        <v>15</v>
      </c>
      <c r="E2294" t="s">
        <v>67</v>
      </c>
      <c r="F2294" t="s">
        <v>35</v>
      </c>
      <c r="G2294" t="s">
        <v>36</v>
      </c>
      <c r="H2294">
        <v>2</v>
      </c>
      <c r="I2294" t="s">
        <v>220</v>
      </c>
      <c r="J2294" t="s">
        <v>221</v>
      </c>
      <c r="K2294">
        <v>85</v>
      </c>
      <c r="L2294" t="s">
        <v>30</v>
      </c>
      <c r="M2294" t="s">
        <v>22</v>
      </c>
    </row>
    <row r="2295" spans="1:13" x14ac:dyDescent="0.35">
      <c r="A2295" t="s">
        <v>3736</v>
      </c>
      <c r="B2295" s="9">
        <v>46206</v>
      </c>
      <c r="C2295" t="s">
        <v>3737</v>
      </c>
      <c r="D2295" t="s">
        <v>116</v>
      </c>
      <c r="E2295" t="s">
        <v>16</v>
      </c>
      <c r="F2295" t="s">
        <v>35</v>
      </c>
      <c r="G2295" t="s">
        <v>36</v>
      </c>
      <c r="H2295">
        <v>1</v>
      </c>
      <c r="I2295" t="s">
        <v>68</v>
      </c>
      <c r="J2295" t="s">
        <v>68</v>
      </c>
      <c r="K2295" t="s">
        <v>37</v>
      </c>
      <c r="L2295" t="s">
        <v>30</v>
      </c>
      <c r="M2295" t="s">
        <v>22</v>
      </c>
    </row>
    <row r="2296" spans="1:13" x14ac:dyDescent="0.35">
      <c r="A2296" t="s">
        <v>3738</v>
      </c>
      <c r="B2296" s="9">
        <v>46060</v>
      </c>
      <c r="C2296" t="s">
        <v>940</v>
      </c>
      <c r="D2296" t="s">
        <v>61</v>
      </c>
      <c r="E2296" t="s">
        <v>25</v>
      </c>
      <c r="F2296" t="s">
        <v>42</v>
      </c>
      <c r="G2296" t="s">
        <v>43</v>
      </c>
      <c r="H2296">
        <v>2</v>
      </c>
      <c r="I2296" t="s">
        <v>106</v>
      </c>
      <c r="J2296" t="s">
        <v>107</v>
      </c>
      <c r="K2296">
        <v>190</v>
      </c>
      <c r="L2296" t="s">
        <v>21</v>
      </c>
      <c r="M2296" t="s">
        <v>58</v>
      </c>
    </row>
    <row r="2297" spans="1:13" x14ac:dyDescent="0.35">
      <c r="A2297" t="s">
        <v>3739</v>
      </c>
      <c r="B2297" s="9">
        <v>46089</v>
      </c>
      <c r="C2297" t="s">
        <v>3740</v>
      </c>
      <c r="D2297" t="s">
        <v>116</v>
      </c>
      <c r="E2297" t="s">
        <v>16</v>
      </c>
      <c r="F2297" t="s">
        <v>26</v>
      </c>
      <c r="G2297" t="s">
        <v>27</v>
      </c>
      <c r="H2297">
        <v>2</v>
      </c>
      <c r="I2297" t="s">
        <v>106</v>
      </c>
      <c r="J2297" t="s">
        <v>107</v>
      </c>
      <c r="K2297">
        <v>520</v>
      </c>
      <c r="L2297" t="s">
        <v>30</v>
      </c>
      <c r="M2297" t="s">
        <v>58</v>
      </c>
    </row>
    <row r="2298" spans="1:13" x14ac:dyDescent="0.35">
      <c r="A2298" t="s">
        <v>3741</v>
      </c>
      <c r="B2298" s="9">
        <v>46185</v>
      </c>
      <c r="C2298" t="s">
        <v>1723</v>
      </c>
      <c r="D2298" t="s">
        <v>66</v>
      </c>
      <c r="E2298" t="s">
        <v>67</v>
      </c>
      <c r="F2298" t="s">
        <v>42</v>
      </c>
      <c r="G2298" t="s">
        <v>43</v>
      </c>
      <c r="H2298">
        <v>3</v>
      </c>
      <c r="I2298" t="s">
        <v>132</v>
      </c>
      <c r="J2298" t="s">
        <v>232</v>
      </c>
      <c r="K2298" t="s">
        <v>111</v>
      </c>
      <c r="L2298" t="s">
        <v>30</v>
      </c>
      <c r="M2298" t="s">
        <v>22</v>
      </c>
    </row>
    <row r="2299" spans="1:13" x14ac:dyDescent="0.35">
      <c r="A2299" t="s">
        <v>3742</v>
      </c>
      <c r="B2299" s="9">
        <v>46113</v>
      </c>
      <c r="C2299" t="s">
        <v>2627</v>
      </c>
      <c r="D2299" t="s">
        <v>15</v>
      </c>
      <c r="E2299" t="s">
        <v>41</v>
      </c>
      <c r="F2299" t="s">
        <v>83</v>
      </c>
      <c r="G2299" t="s">
        <v>84</v>
      </c>
      <c r="H2299">
        <v>2</v>
      </c>
      <c r="I2299" t="s">
        <v>102</v>
      </c>
      <c r="J2299" t="s">
        <v>181</v>
      </c>
      <c r="K2299">
        <v>340</v>
      </c>
      <c r="L2299" t="s">
        <v>30</v>
      </c>
      <c r="M2299" t="s">
        <v>22</v>
      </c>
    </row>
    <row r="2300" spans="1:13" x14ac:dyDescent="0.35">
      <c r="A2300" t="s">
        <v>3743</v>
      </c>
      <c r="B2300" s="9">
        <v>46171</v>
      </c>
      <c r="C2300" t="s">
        <v>1070</v>
      </c>
      <c r="D2300" t="s">
        <v>40</v>
      </c>
      <c r="E2300" t="s">
        <v>67</v>
      </c>
      <c r="F2300" t="s">
        <v>74</v>
      </c>
      <c r="G2300" t="s">
        <v>75</v>
      </c>
      <c r="H2300">
        <v>1</v>
      </c>
      <c r="I2300" t="s">
        <v>71</v>
      </c>
      <c r="J2300" t="s">
        <v>71</v>
      </c>
      <c r="K2300" t="s">
        <v>76</v>
      </c>
      <c r="L2300" t="s">
        <v>30</v>
      </c>
      <c r="M2300" t="s">
        <v>22</v>
      </c>
    </row>
    <row r="2301" spans="1:13" x14ac:dyDescent="0.35">
      <c r="A2301" t="s">
        <v>3744</v>
      </c>
      <c r="B2301" s="9">
        <v>46028</v>
      </c>
      <c r="C2301" t="s">
        <v>1321</v>
      </c>
      <c r="D2301" t="s">
        <v>99</v>
      </c>
      <c r="E2301" t="s">
        <v>41</v>
      </c>
      <c r="F2301" t="s">
        <v>17</v>
      </c>
      <c r="G2301" t="s">
        <v>18</v>
      </c>
      <c r="H2301">
        <v>2</v>
      </c>
      <c r="I2301" t="s">
        <v>68</v>
      </c>
      <c r="J2301" t="s">
        <v>248</v>
      </c>
      <c r="K2301">
        <v>520</v>
      </c>
      <c r="L2301" t="s">
        <v>30</v>
      </c>
      <c r="M2301" t="s">
        <v>22</v>
      </c>
    </row>
    <row r="2302" spans="1:13" x14ac:dyDescent="0.35">
      <c r="A2302" t="s">
        <v>3745</v>
      </c>
      <c r="B2302" s="9">
        <v>46063</v>
      </c>
      <c r="C2302" t="s">
        <v>2473</v>
      </c>
      <c r="D2302" t="s">
        <v>15</v>
      </c>
      <c r="E2302" t="s">
        <v>16</v>
      </c>
      <c r="F2302" t="s">
        <v>83</v>
      </c>
      <c r="G2302" t="s">
        <v>84</v>
      </c>
      <c r="H2302">
        <v>3</v>
      </c>
      <c r="I2302" t="s">
        <v>68</v>
      </c>
      <c r="J2302" t="s">
        <v>205</v>
      </c>
      <c r="K2302">
        <v>340</v>
      </c>
      <c r="L2302" t="s">
        <v>30</v>
      </c>
      <c r="M2302" t="s">
        <v>22</v>
      </c>
    </row>
    <row r="2303" spans="1:13" x14ac:dyDescent="0.35">
      <c r="A2303" t="s">
        <v>3746</v>
      </c>
      <c r="B2303" s="9">
        <v>46041</v>
      </c>
      <c r="C2303" t="s">
        <v>1275</v>
      </c>
      <c r="D2303" t="s">
        <v>46</v>
      </c>
      <c r="E2303" t="s">
        <v>41</v>
      </c>
      <c r="F2303" t="s">
        <v>26</v>
      </c>
      <c r="G2303" t="s">
        <v>27</v>
      </c>
      <c r="H2303">
        <v>1</v>
      </c>
      <c r="I2303" t="s">
        <v>19</v>
      </c>
      <c r="J2303" t="s">
        <v>19</v>
      </c>
      <c r="K2303">
        <v>520</v>
      </c>
      <c r="L2303" t="s">
        <v>30</v>
      </c>
      <c r="M2303" t="s">
        <v>22</v>
      </c>
    </row>
    <row r="2304" spans="1:13" x14ac:dyDescent="0.35">
      <c r="A2304" t="s">
        <v>3747</v>
      </c>
      <c r="B2304" s="9">
        <v>46032</v>
      </c>
      <c r="C2304" t="s">
        <v>979</v>
      </c>
      <c r="D2304" t="s">
        <v>61</v>
      </c>
      <c r="E2304" t="s">
        <v>67</v>
      </c>
      <c r="F2304" t="s">
        <v>26</v>
      </c>
      <c r="G2304" t="s">
        <v>27</v>
      </c>
      <c r="H2304">
        <v>3</v>
      </c>
      <c r="I2304" t="s">
        <v>19</v>
      </c>
      <c r="J2304" t="s">
        <v>326</v>
      </c>
      <c r="K2304">
        <v>520</v>
      </c>
      <c r="L2304" t="s">
        <v>21</v>
      </c>
      <c r="M2304" t="s">
        <v>58</v>
      </c>
    </row>
    <row r="2305" spans="1:13" x14ac:dyDescent="0.35">
      <c r="A2305" t="s">
        <v>3748</v>
      </c>
      <c r="B2305" s="9">
        <v>46143</v>
      </c>
      <c r="C2305" t="s">
        <v>191</v>
      </c>
      <c r="D2305" t="s">
        <v>94</v>
      </c>
      <c r="E2305" t="s">
        <v>41</v>
      </c>
      <c r="F2305" t="s">
        <v>83</v>
      </c>
      <c r="G2305" t="s">
        <v>84</v>
      </c>
      <c r="H2305">
        <v>-2</v>
      </c>
      <c r="I2305" t="s">
        <v>19</v>
      </c>
      <c r="J2305" t="s">
        <v>148</v>
      </c>
      <c r="K2305" t="s">
        <v>103</v>
      </c>
      <c r="L2305" t="s">
        <v>21</v>
      </c>
      <c r="M2305" t="s">
        <v>58</v>
      </c>
    </row>
    <row r="2306" spans="1:13" x14ac:dyDescent="0.35">
      <c r="A2306" t="s">
        <v>3749</v>
      </c>
      <c r="B2306" s="9">
        <v>46052</v>
      </c>
      <c r="C2306" t="s">
        <v>553</v>
      </c>
      <c r="D2306" t="s">
        <v>40</v>
      </c>
      <c r="E2306" t="s">
        <v>34</v>
      </c>
      <c r="F2306" t="s">
        <v>83</v>
      </c>
      <c r="G2306" t="s">
        <v>84</v>
      </c>
      <c r="H2306">
        <v>1</v>
      </c>
      <c r="I2306" t="s">
        <v>68</v>
      </c>
      <c r="J2306" t="s">
        <v>68</v>
      </c>
      <c r="K2306">
        <v>340</v>
      </c>
      <c r="L2306" t="s">
        <v>21</v>
      </c>
      <c r="M2306" t="s">
        <v>22</v>
      </c>
    </row>
    <row r="2307" spans="1:13" x14ac:dyDescent="0.35">
      <c r="A2307" t="s">
        <v>3750</v>
      </c>
      <c r="B2307" s="9">
        <v>46051</v>
      </c>
      <c r="C2307" t="s">
        <v>3751</v>
      </c>
      <c r="D2307" t="s">
        <v>15</v>
      </c>
      <c r="E2307" t="s">
        <v>41</v>
      </c>
      <c r="F2307" t="s">
        <v>35</v>
      </c>
      <c r="G2307" t="s">
        <v>36</v>
      </c>
      <c r="H2307">
        <v>3</v>
      </c>
      <c r="I2307" t="s">
        <v>68</v>
      </c>
      <c r="J2307" t="s">
        <v>205</v>
      </c>
      <c r="K2307">
        <v>85</v>
      </c>
      <c r="L2307" t="s">
        <v>21</v>
      </c>
      <c r="M2307" t="s">
        <v>22</v>
      </c>
    </row>
    <row r="2308" spans="1:13" x14ac:dyDescent="0.35">
      <c r="A2308" t="s">
        <v>3752</v>
      </c>
      <c r="B2308" s="9">
        <v>46063</v>
      </c>
      <c r="C2308" t="s">
        <v>1275</v>
      </c>
      <c r="D2308" t="s">
        <v>15</v>
      </c>
      <c r="E2308" t="s">
        <v>67</v>
      </c>
      <c r="F2308" t="s">
        <v>35</v>
      </c>
      <c r="G2308" t="s">
        <v>36</v>
      </c>
      <c r="H2308">
        <v>2</v>
      </c>
      <c r="I2308" t="s">
        <v>102</v>
      </c>
      <c r="J2308" t="s">
        <v>181</v>
      </c>
      <c r="K2308">
        <v>85</v>
      </c>
      <c r="L2308" t="s">
        <v>30</v>
      </c>
      <c r="M2308" t="s">
        <v>22</v>
      </c>
    </row>
    <row r="2309" spans="1:13" x14ac:dyDescent="0.35">
      <c r="A2309" t="s">
        <v>3753</v>
      </c>
      <c r="B2309" s="9">
        <v>46088</v>
      </c>
      <c r="C2309" t="s">
        <v>24</v>
      </c>
      <c r="D2309" t="s">
        <v>46</v>
      </c>
      <c r="E2309" t="s">
        <v>67</v>
      </c>
      <c r="F2309" t="s">
        <v>17</v>
      </c>
      <c r="G2309" t="s">
        <v>18</v>
      </c>
      <c r="H2309">
        <v>2</v>
      </c>
      <c r="I2309" t="s">
        <v>102</v>
      </c>
      <c r="J2309" t="s">
        <v>181</v>
      </c>
      <c r="K2309" t="s">
        <v>29</v>
      </c>
      <c r="L2309" t="s">
        <v>21</v>
      </c>
      <c r="M2309" t="s">
        <v>22</v>
      </c>
    </row>
    <row r="2310" spans="1:13" x14ac:dyDescent="0.35">
      <c r="A2310" t="s">
        <v>3754</v>
      </c>
      <c r="B2310" s="9">
        <v>46175</v>
      </c>
      <c r="C2310" t="s">
        <v>416</v>
      </c>
      <c r="D2310" t="s">
        <v>94</v>
      </c>
      <c r="E2310" t="s">
        <v>34</v>
      </c>
      <c r="F2310" t="s">
        <v>26</v>
      </c>
      <c r="G2310" t="s">
        <v>27</v>
      </c>
      <c r="H2310">
        <v>2</v>
      </c>
      <c r="I2310" t="s">
        <v>19</v>
      </c>
      <c r="J2310" t="s">
        <v>238</v>
      </c>
      <c r="K2310" t="s">
        <v>29</v>
      </c>
      <c r="L2310" t="s">
        <v>30</v>
      </c>
      <c r="M2310" t="s">
        <v>58</v>
      </c>
    </row>
    <row r="2311" spans="1:13" x14ac:dyDescent="0.35">
      <c r="A2311" t="s">
        <v>3755</v>
      </c>
      <c r="B2311" s="9">
        <v>46060</v>
      </c>
      <c r="C2311" t="s">
        <v>724</v>
      </c>
      <c r="D2311" t="s">
        <v>46</v>
      </c>
      <c r="E2311" t="s">
        <v>34</v>
      </c>
      <c r="F2311" t="s">
        <v>26</v>
      </c>
      <c r="G2311" t="s">
        <v>27</v>
      </c>
      <c r="H2311">
        <v>3</v>
      </c>
      <c r="I2311" t="s">
        <v>19</v>
      </c>
      <c r="J2311" t="s">
        <v>326</v>
      </c>
      <c r="K2311">
        <v>520</v>
      </c>
      <c r="L2311" t="s">
        <v>30</v>
      </c>
      <c r="M2311" t="s">
        <v>58</v>
      </c>
    </row>
    <row r="2312" spans="1:13" x14ac:dyDescent="0.35">
      <c r="A2312" t="s">
        <v>3756</v>
      </c>
      <c r="B2312" s="9">
        <v>46032</v>
      </c>
      <c r="C2312" t="s">
        <v>422</v>
      </c>
      <c r="D2312" t="s">
        <v>99</v>
      </c>
      <c r="E2312" t="s">
        <v>25</v>
      </c>
      <c r="F2312" t="s">
        <v>26</v>
      </c>
      <c r="G2312" t="s">
        <v>27</v>
      </c>
      <c r="H2312">
        <v>3</v>
      </c>
      <c r="I2312" t="s">
        <v>56</v>
      </c>
      <c r="J2312" t="s">
        <v>57</v>
      </c>
      <c r="K2312">
        <v>520</v>
      </c>
      <c r="L2312" t="s">
        <v>21</v>
      </c>
      <c r="M2312" t="s">
        <v>58</v>
      </c>
    </row>
    <row r="2313" spans="1:13" x14ac:dyDescent="0.35">
      <c r="A2313" t="s">
        <v>3757</v>
      </c>
      <c r="B2313" s="9">
        <v>46149</v>
      </c>
      <c r="C2313" t="s">
        <v>285</v>
      </c>
      <c r="D2313" t="s">
        <v>66</v>
      </c>
      <c r="E2313" t="s">
        <v>16</v>
      </c>
      <c r="F2313" t="s">
        <v>89</v>
      </c>
      <c r="G2313" t="s">
        <v>90</v>
      </c>
      <c r="H2313">
        <v>1</v>
      </c>
      <c r="I2313" t="s">
        <v>254</v>
      </c>
      <c r="J2313" t="s">
        <v>254</v>
      </c>
      <c r="K2313" t="s">
        <v>108</v>
      </c>
      <c r="L2313" t="s">
        <v>21</v>
      </c>
      <c r="M2313" t="s">
        <v>22</v>
      </c>
    </row>
    <row r="2314" spans="1:13" x14ac:dyDescent="0.35">
      <c r="A2314" t="s">
        <v>3758</v>
      </c>
      <c r="B2314" s="9">
        <v>46175</v>
      </c>
      <c r="C2314" t="s">
        <v>3759</v>
      </c>
      <c r="D2314" t="s">
        <v>61</v>
      </c>
      <c r="E2314" t="s">
        <v>25</v>
      </c>
      <c r="F2314" t="s">
        <v>47</v>
      </c>
      <c r="G2314" t="s">
        <v>48</v>
      </c>
      <c r="H2314">
        <v>1</v>
      </c>
      <c r="I2314" t="s">
        <v>220</v>
      </c>
      <c r="J2314" t="s">
        <v>220</v>
      </c>
      <c r="K2314">
        <v>380</v>
      </c>
      <c r="L2314" t="s">
        <v>30</v>
      </c>
      <c r="M2314" t="s">
        <v>58</v>
      </c>
    </row>
    <row r="2315" spans="1:13" x14ac:dyDescent="0.35">
      <c r="A2315" t="s">
        <v>3760</v>
      </c>
      <c r="B2315" s="9">
        <v>46174</v>
      </c>
      <c r="C2315" t="s">
        <v>1417</v>
      </c>
      <c r="D2315" t="s">
        <v>46</v>
      </c>
      <c r="E2315" t="s">
        <v>67</v>
      </c>
      <c r="F2315" t="s">
        <v>35</v>
      </c>
      <c r="G2315" t="s">
        <v>36</v>
      </c>
      <c r="H2315">
        <v>3</v>
      </c>
      <c r="I2315" t="s">
        <v>254</v>
      </c>
      <c r="J2315" t="s">
        <v>390</v>
      </c>
      <c r="K2315" t="s">
        <v>37</v>
      </c>
      <c r="L2315" t="s">
        <v>30</v>
      </c>
      <c r="M2315" t="s">
        <v>22</v>
      </c>
    </row>
    <row r="2316" spans="1:13" x14ac:dyDescent="0.35">
      <c r="A2316" t="s">
        <v>3761</v>
      </c>
      <c r="B2316" t="s">
        <v>1807</v>
      </c>
      <c r="C2316" t="s">
        <v>1997</v>
      </c>
      <c r="D2316" t="s">
        <v>53</v>
      </c>
      <c r="E2316" t="s">
        <v>25</v>
      </c>
      <c r="F2316" t="s">
        <v>47</v>
      </c>
      <c r="G2316" t="s">
        <v>48</v>
      </c>
      <c r="H2316">
        <v>1</v>
      </c>
      <c r="I2316" t="s">
        <v>68</v>
      </c>
      <c r="J2316" t="s">
        <v>68</v>
      </c>
      <c r="K2316" t="s">
        <v>50</v>
      </c>
      <c r="L2316" t="s">
        <v>30</v>
      </c>
      <c r="M2316" t="s">
        <v>22</v>
      </c>
    </row>
    <row r="2317" spans="1:13" x14ac:dyDescent="0.35">
      <c r="A2317" t="s">
        <v>3762</v>
      </c>
      <c r="B2317" s="9">
        <v>46160</v>
      </c>
      <c r="C2317" t="s">
        <v>2534</v>
      </c>
      <c r="D2317" t="s">
        <v>116</v>
      </c>
      <c r="E2317" t="s">
        <v>34</v>
      </c>
      <c r="F2317" t="s">
        <v>26</v>
      </c>
      <c r="G2317" t="s">
        <v>27</v>
      </c>
      <c r="H2317">
        <v>3</v>
      </c>
      <c r="I2317" t="s">
        <v>645</v>
      </c>
      <c r="J2317" t="s">
        <v>127</v>
      </c>
      <c r="K2317" t="s">
        <v>29</v>
      </c>
      <c r="L2317" t="s">
        <v>30</v>
      </c>
      <c r="M2317" t="s">
        <v>22</v>
      </c>
    </row>
    <row r="2318" spans="1:13" x14ac:dyDescent="0.35">
      <c r="A2318" t="s">
        <v>3763</v>
      </c>
      <c r="B2318" s="9">
        <v>46114</v>
      </c>
      <c r="C2318" t="s">
        <v>832</v>
      </c>
      <c r="D2318" t="s">
        <v>15</v>
      </c>
      <c r="E2318" t="s">
        <v>67</v>
      </c>
      <c r="F2318" t="s">
        <v>89</v>
      </c>
      <c r="G2318" t="s">
        <v>90</v>
      </c>
      <c r="H2318">
        <v>1</v>
      </c>
      <c r="I2318" t="s">
        <v>132</v>
      </c>
      <c r="J2318" t="s">
        <v>132</v>
      </c>
      <c r="K2318">
        <v>640</v>
      </c>
      <c r="L2318" t="s">
        <v>30</v>
      </c>
      <c r="M2318" t="s">
        <v>58</v>
      </c>
    </row>
    <row r="2319" spans="1:13" x14ac:dyDescent="0.35">
      <c r="A2319" t="s">
        <v>3764</v>
      </c>
      <c r="B2319" s="9">
        <v>46193</v>
      </c>
      <c r="C2319" t="s">
        <v>3765</v>
      </c>
      <c r="D2319" t="s">
        <v>15</v>
      </c>
      <c r="E2319" t="s">
        <v>41</v>
      </c>
      <c r="F2319" t="s">
        <v>35</v>
      </c>
      <c r="G2319" t="s">
        <v>36</v>
      </c>
      <c r="H2319">
        <v>2</v>
      </c>
      <c r="I2319" t="s">
        <v>85</v>
      </c>
      <c r="J2319" t="s">
        <v>786</v>
      </c>
      <c r="K2319" t="s">
        <v>37</v>
      </c>
      <c r="L2319" t="s">
        <v>30</v>
      </c>
      <c r="M2319" t="s">
        <v>22</v>
      </c>
    </row>
    <row r="2320" spans="1:13" x14ac:dyDescent="0.35">
      <c r="A2320" t="s">
        <v>3766</v>
      </c>
      <c r="B2320" s="9">
        <v>46120</v>
      </c>
      <c r="C2320" t="s">
        <v>633</v>
      </c>
      <c r="D2320" t="s">
        <v>46</v>
      </c>
      <c r="E2320" t="s">
        <v>34</v>
      </c>
      <c r="F2320" t="s">
        <v>47</v>
      </c>
      <c r="G2320" t="s">
        <v>48</v>
      </c>
      <c r="H2320">
        <v>1</v>
      </c>
      <c r="I2320" t="s">
        <v>19</v>
      </c>
      <c r="J2320" t="s">
        <v>19</v>
      </c>
      <c r="K2320">
        <v>380</v>
      </c>
      <c r="L2320" t="s">
        <v>30</v>
      </c>
      <c r="M2320" t="s">
        <v>22</v>
      </c>
    </row>
    <row r="2321" spans="1:13" x14ac:dyDescent="0.35">
      <c r="A2321" t="s">
        <v>3767</v>
      </c>
      <c r="B2321" s="9">
        <v>46122</v>
      </c>
      <c r="C2321" t="s">
        <v>180</v>
      </c>
      <c r="D2321" t="s">
        <v>53</v>
      </c>
      <c r="E2321" t="s">
        <v>67</v>
      </c>
      <c r="F2321" t="s">
        <v>89</v>
      </c>
      <c r="G2321" t="s">
        <v>90</v>
      </c>
      <c r="H2321">
        <v>1</v>
      </c>
      <c r="I2321" t="s">
        <v>106</v>
      </c>
      <c r="J2321" t="s">
        <v>106</v>
      </c>
      <c r="K2321">
        <v>640</v>
      </c>
      <c r="L2321" t="s">
        <v>30</v>
      </c>
      <c r="M2321" t="s">
        <v>22</v>
      </c>
    </row>
    <row r="2322" spans="1:13" x14ac:dyDescent="0.35">
      <c r="A2322" t="s">
        <v>3768</v>
      </c>
      <c r="B2322" s="9">
        <v>46040</v>
      </c>
      <c r="C2322" t="s">
        <v>1669</v>
      </c>
      <c r="D2322" t="s">
        <v>53</v>
      </c>
      <c r="E2322" t="s">
        <v>25</v>
      </c>
      <c r="F2322" t="s">
        <v>83</v>
      </c>
      <c r="G2322" t="s">
        <v>84</v>
      </c>
      <c r="H2322">
        <v>3</v>
      </c>
      <c r="I2322" t="s">
        <v>254</v>
      </c>
      <c r="J2322" t="s">
        <v>390</v>
      </c>
      <c r="K2322">
        <v>340</v>
      </c>
      <c r="L2322" t="s">
        <v>30</v>
      </c>
      <c r="M2322" t="s">
        <v>22</v>
      </c>
    </row>
    <row r="2323" spans="1:13" x14ac:dyDescent="0.35">
      <c r="A2323" t="s">
        <v>3769</v>
      </c>
      <c r="B2323" s="9">
        <v>46135</v>
      </c>
      <c r="C2323" t="s">
        <v>1581</v>
      </c>
      <c r="D2323" t="s">
        <v>15</v>
      </c>
      <c r="E2323" t="s">
        <v>41</v>
      </c>
      <c r="F2323" t="s">
        <v>17</v>
      </c>
      <c r="G2323" t="s">
        <v>18</v>
      </c>
      <c r="H2323">
        <v>2</v>
      </c>
      <c r="I2323" t="s">
        <v>1419</v>
      </c>
      <c r="J2323" t="s">
        <v>133</v>
      </c>
      <c r="K2323" t="s">
        <v>29</v>
      </c>
      <c r="L2323" t="s">
        <v>30</v>
      </c>
      <c r="M2323" t="s">
        <v>22</v>
      </c>
    </row>
    <row r="2324" spans="1:13" x14ac:dyDescent="0.35">
      <c r="A2324" t="s">
        <v>3770</v>
      </c>
      <c r="B2324" s="9">
        <v>46042</v>
      </c>
      <c r="C2324" t="s">
        <v>2759</v>
      </c>
      <c r="D2324" t="s">
        <v>46</v>
      </c>
      <c r="E2324" t="s">
        <v>34</v>
      </c>
      <c r="F2324" t="s">
        <v>89</v>
      </c>
      <c r="G2324" t="s">
        <v>90</v>
      </c>
      <c r="H2324">
        <v>1</v>
      </c>
      <c r="I2324" t="s">
        <v>68</v>
      </c>
      <c r="J2324" t="s">
        <v>68</v>
      </c>
      <c r="K2324">
        <v>640</v>
      </c>
      <c r="L2324" t="s">
        <v>30</v>
      </c>
      <c r="M2324" t="s">
        <v>22</v>
      </c>
    </row>
    <row r="2325" spans="1:13" x14ac:dyDescent="0.35">
      <c r="A2325" t="s">
        <v>3771</v>
      </c>
      <c r="B2325" t="s">
        <v>937</v>
      </c>
      <c r="C2325" t="s">
        <v>985</v>
      </c>
      <c r="D2325" t="s">
        <v>33</v>
      </c>
      <c r="E2325" t="s">
        <v>67</v>
      </c>
      <c r="F2325" t="s">
        <v>42</v>
      </c>
      <c r="G2325" t="s">
        <v>43</v>
      </c>
      <c r="H2325">
        <v>1</v>
      </c>
      <c r="I2325" t="s">
        <v>1508</v>
      </c>
      <c r="J2325" t="s">
        <v>220</v>
      </c>
      <c r="K2325" t="s">
        <v>111</v>
      </c>
      <c r="L2325" t="s">
        <v>30</v>
      </c>
      <c r="M2325" t="s">
        <v>58</v>
      </c>
    </row>
    <row r="2326" spans="1:13" x14ac:dyDescent="0.35">
      <c r="A2326" t="s">
        <v>3772</v>
      </c>
      <c r="B2326" s="9">
        <v>46105</v>
      </c>
      <c r="C2326" t="s">
        <v>3773</v>
      </c>
      <c r="D2326" t="s">
        <v>61</v>
      </c>
      <c r="E2326" t="s">
        <v>16</v>
      </c>
      <c r="F2326" t="s">
        <v>83</v>
      </c>
      <c r="G2326" t="s">
        <v>84</v>
      </c>
      <c r="H2326">
        <v>1</v>
      </c>
      <c r="I2326" t="s">
        <v>132</v>
      </c>
      <c r="J2326" t="s">
        <v>132</v>
      </c>
      <c r="K2326">
        <v>340</v>
      </c>
      <c r="L2326" t="s">
        <v>30</v>
      </c>
      <c r="M2326" t="s">
        <v>22</v>
      </c>
    </row>
    <row r="2327" spans="1:13" x14ac:dyDescent="0.35">
      <c r="A2327" t="s">
        <v>3774</v>
      </c>
      <c r="B2327" s="9">
        <v>46163</v>
      </c>
      <c r="C2327" t="s">
        <v>1755</v>
      </c>
      <c r="D2327" t="s">
        <v>116</v>
      </c>
      <c r="E2327" t="s">
        <v>41</v>
      </c>
      <c r="F2327" t="s">
        <v>17</v>
      </c>
      <c r="G2327" t="s">
        <v>18</v>
      </c>
      <c r="H2327">
        <v>1</v>
      </c>
      <c r="I2327" t="s">
        <v>132</v>
      </c>
      <c r="J2327" t="s">
        <v>132</v>
      </c>
      <c r="K2327" t="s">
        <v>29</v>
      </c>
      <c r="L2327" t="s">
        <v>21</v>
      </c>
      <c r="M2327" t="s">
        <v>22</v>
      </c>
    </row>
    <row r="2328" spans="1:13" x14ac:dyDescent="0.35">
      <c r="A2328" t="s">
        <v>3775</v>
      </c>
      <c r="B2328" s="9">
        <v>46115</v>
      </c>
      <c r="C2328" t="s">
        <v>3776</v>
      </c>
      <c r="D2328" t="s">
        <v>15</v>
      </c>
      <c r="E2328" t="s">
        <v>34</v>
      </c>
      <c r="F2328" t="s">
        <v>17</v>
      </c>
      <c r="G2328" t="s">
        <v>18</v>
      </c>
      <c r="H2328">
        <v>3</v>
      </c>
      <c r="I2328" t="s">
        <v>436</v>
      </c>
      <c r="J2328" t="s">
        <v>91</v>
      </c>
      <c r="K2328">
        <v>520</v>
      </c>
      <c r="L2328" t="s">
        <v>21</v>
      </c>
      <c r="M2328" t="s">
        <v>22</v>
      </c>
    </row>
    <row r="2329" spans="1:13" x14ac:dyDescent="0.35">
      <c r="A2329" t="s">
        <v>3777</v>
      </c>
      <c r="B2329" s="9">
        <v>46113</v>
      </c>
      <c r="C2329" t="s">
        <v>332</v>
      </c>
      <c r="D2329" t="s">
        <v>15</v>
      </c>
      <c r="E2329" t="s">
        <v>34</v>
      </c>
      <c r="F2329" t="s">
        <v>74</v>
      </c>
      <c r="G2329" t="s">
        <v>75</v>
      </c>
      <c r="H2329">
        <v>1</v>
      </c>
      <c r="I2329" t="s">
        <v>220</v>
      </c>
      <c r="J2329" t="s">
        <v>1425</v>
      </c>
      <c r="K2329">
        <v>410</v>
      </c>
      <c r="L2329" t="s">
        <v>30</v>
      </c>
      <c r="M2329" t="s">
        <v>22</v>
      </c>
    </row>
    <row r="2330" spans="1:13" x14ac:dyDescent="0.35">
      <c r="A2330" t="s">
        <v>3778</v>
      </c>
      <c r="B2330" s="9">
        <v>46159</v>
      </c>
      <c r="C2330" t="s">
        <v>418</v>
      </c>
      <c r="D2330" t="s">
        <v>66</v>
      </c>
      <c r="E2330" t="s">
        <v>41</v>
      </c>
      <c r="F2330" t="s">
        <v>17</v>
      </c>
      <c r="G2330" t="s">
        <v>18</v>
      </c>
      <c r="H2330">
        <v>2</v>
      </c>
      <c r="I2330" t="s">
        <v>68</v>
      </c>
      <c r="J2330" t="s">
        <v>248</v>
      </c>
      <c r="K2330" t="s">
        <v>29</v>
      </c>
      <c r="L2330" t="s">
        <v>30</v>
      </c>
      <c r="M2330" t="s">
        <v>22</v>
      </c>
    </row>
    <row r="2331" spans="1:13" x14ac:dyDescent="0.35">
      <c r="A2331" t="s">
        <v>3779</v>
      </c>
      <c r="B2331" s="9">
        <v>46076</v>
      </c>
      <c r="C2331" t="s">
        <v>952</v>
      </c>
      <c r="D2331" t="s">
        <v>53</v>
      </c>
      <c r="E2331" t="s">
        <v>41</v>
      </c>
      <c r="F2331" t="s">
        <v>74</v>
      </c>
      <c r="G2331" t="s">
        <v>75</v>
      </c>
      <c r="H2331">
        <v>1</v>
      </c>
      <c r="I2331" t="s">
        <v>79</v>
      </c>
      <c r="J2331" t="s">
        <v>79</v>
      </c>
      <c r="K2331">
        <v>410</v>
      </c>
      <c r="L2331" t="s">
        <v>30</v>
      </c>
      <c r="M2331" t="s">
        <v>22</v>
      </c>
    </row>
    <row r="2332" spans="1:13" x14ac:dyDescent="0.35">
      <c r="A2332" t="s">
        <v>3780</v>
      </c>
      <c r="B2332" s="9">
        <v>46129</v>
      </c>
      <c r="C2332" t="s">
        <v>3781</v>
      </c>
      <c r="D2332" t="s">
        <v>61</v>
      </c>
      <c r="E2332" t="s">
        <v>34</v>
      </c>
      <c r="F2332" t="s">
        <v>42</v>
      </c>
      <c r="G2332" t="s">
        <v>43</v>
      </c>
      <c r="H2332">
        <v>1</v>
      </c>
      <c r="I2332" t="s">
        <v>19</v>
      </c>
      <c r="J2332" t="s">
        <v>19</v>
      </c>
      <c r="K2332">
        <v>190</v>
      </c>
      <c r="L2332" t="s">
        <v>30</v>
      </c>
      <c r="M2332" t="s">
        <v>22</v>
      </c>
    </row>
    <row r="2333" spans="1:13" x14ac:dyDescent="0.35">
      <c r="A2333" t="s">
        <v>3782</v>
      </c>
      <c r="B2333" s="9">
        <v>46171</v>
      </c>
      <c r="C2333" t="s">
        <v>587</v>
      </c>
      <c r="D2333" t="s">
        <v>116</v>
      </c>
      <c r="E2333" t="s">
        <v>16</v>
      </c>
      <c r="F2333" t="s">
        <v>89</v>
      </c>
      <c r="G2333" t="s">
        <v>90</v>
      </c>
      <c r="H2333">
        <v>2</v>
      </c>
      <c r="I2333" t="s">
        <v>217</v>
      </c>
      <c r="J2333" t="s">
        <v>267</v>
      </c>
      <c r="K2333" t="s">
        <v>108</v>
      </c>
      <c r="L2333" t="s">
        <v>30</v>
      </c>
      <c r="M2333" t="s">
        <v>22</v>
      </c>
    </row>
    <row r="2334" spans="1:13" x14ac:dyDescent="0.35">
      <c r="A2334" t="s">
        <v>3783</v>
      </c>
      <c r="B2334" s="9">
        <v>46066</v>
      </c>
      <c r="C2334" t="s">
        <v>527</v>
      </c>
      <c r="D2334" t="s">
        <v>66</v>
      </c>
      <c r="E2334" t="s">
        <v>34</v>
      </c>
      <c r="F2334" t="s">
        <v>89</v>
      </c>
      <c r="G2334" t="s">
        <v>90</v>
      </c>
      <c r="H2334">
        <v>1</v>
      </c>
      <c r="I2334" t="s">
        <v>68</v>
      </c>
      <c r="J2334" t="s">
        <v>49</v>
      </c>
      <c r="K2334">
        <v>640</v>
      </c>
      <c r="L2334" t="s">
        <v>30</v>
      </c>
      <c r="M2334" t="s">
        <v>58</v>
      </c>
    </row>
    <row r="2335" spans="1:13" x14ac:dyDescent="0.35">
      <c r="A2335" t="s">
        <v>3784</v>
      </c>
      <c r="B2335" s="9">
        <v>46178</v>
      </c>
      <c r="C2335" t="s">
        <v>2925</v>
      </c>
      <c r="D2335" t="s">
        <v>53</v>
      </c>
      <c r="E2335" t="s">
        <v>25</v>
      </c>
      <c r="F2335" t="s">
        <v>35</v>
      </c>
      <c r="G2335" t="s">
        <v>36</v>
      </c>
      <c r="H2335">
        <v>1</v>
      </c>
      <c r="I2335" t="s">
        <v>79</v>
      </c>
      <c r="J2335" t="s">
        <v>1171</v>
      </c>
      <c r="K2335" t="s">
        <v>37</v>
      </c>
      <c r="L2335" t="s">
        <v>30</v>
      </c>
      <c r="M2335" t="s">
        <v>22</v>
      </c>
    </row>
    <row r="2336" spans="1:13" x14ac:dyDescent="0.35">
      <c r="A2336" t="s">
        <v>3785</v>
      </c>
      <c r="B2336" s="9">
        <v>46237</v>
      </c>
      <c r="C2336" t="s">
        <v>240</v>
      </c>
      <c r="D2336" t="s">
        <v>61</v>
      </c>
      <c r="E2336" t="s">
        <v>67</v>
      </c>
      <c r="F2336" t="s">
        <v>35</v>
      </c>
      <c r="G2336" t="s">
        <v>36</v>
      </c>
      <c r="H2336">
        <v>3</v>
      </c>
      <c r="I2336" t="s">
        <v>28</v>
      </c>
      <c r="J2336" t="s">
        <v>642</v>
      </c>
      <c r="K2336">
        <v>85</v>
      </c>
      <c r="L2336" t="s">
        <v>30</v>
      </c>
      <c r="M2336" t="s">
        <v>58</v>
      </c>
    </row>
    <row r="2337" spans="1:13" x14ac:dyDescent="0.35">
      <c r="A2337" t="s">
        <v>3786</v>
      </c>
      <c r="B2337" s="9">
        <v>46036</v>
      </c>
      <c r="C2337" t="s">
        <v>1335</v>
      </c>
      <c r="D2337" t="s">
        <v>15</v>
      </c>
      <c r="E2337" t="s">
        <v>34</v>
      </c>
      <c r="F2337" t="s">
        <v>42</v>
      </c>
      <c r="G2337" t="s">
        <v>43</v>
      </c>
      <c r="H2337">
        <v>2</v>
      </c>
      <c r="I2337" t="s">
        <v>132</v>
      </c>
      <c r="J2337" t="s">
        <v>133</v>
      </c>
      <c r="K2337">
        <v>190</v>
      </c>
      <c r="L2337" t="s">
        <v>30</v>
      </c>
      <c r="M2337" t="s">
        <v>22</v>
      </c>
    </row>
    <row r="2338" spans="1:13" x14ac:dyDescent="0.35">
      <c r="A2338" t="s">
        <v>3787</v>
      </c>
      <c r="B2338" s="9">
        <v>46118</v>
      </c>
      <c r="C2338" t="s">
        <v>3031</v>
      </c>
      <c r="D2338" t="s">
        <v>61</v>
      </c>
      <c r="E2338" t="s">
        <v>25</v>
      </c>
      <c r="F2338" t="s">
        <v>26</v>
      </c>
      <c r="G2338" t="s">
        <v>27</v>
      </c>
      <c r="H2338">
        <v>1</v>
      </c>
      <c r="I2338" t="s">
        <v>19</v>
      </c>
      <c r="J2338" t="s">
        <v>19</v>
      </c>
      <c r="K2338">
        <v>520</v>
      </c>
      <c r="L2338" t="s">
        <v>21</v>
      </c>
      <c r="M2338" t="s">
        <v>22</v>
      </c>
    </row>
    <row r="2339" spans="1:13" x14ac:dyDescent="0.35">
      <c r="A2339" t="s">
        <v>3788</v>
      </c>
      <c r="B2339" s="9">
        <v>46083</v>
      </c>
      <c r="C2339" t="s">
        <v>1135</v>
      </c>
      <c r="D2339" t="s">
        <v>46</v>
      </c>
      <c r="E2339" t="s">
        <v>25</v>
      </c>
      <c r="F2339" t="s">
        <v>89</v>
      </c>
      <c r="G2339" t="s">
        <v>90</v>
      </c>
      <c r="H2339">
        <v>1</v>
      </c>
      <c r="I2339" t="s">
        <v>102</v>
      </c>
      <c r="J2339" t="s">
        <v>102</v>
      </c>
      <c r="K2339">
        <v>640</v>
      </c>
      <c r="L2339" t="s">
        <v>30</v>
      </c>
      <c r="M2339" t="s">
        <v>22</v>
      </c>
    </row>
    <row r="2340" spans="1:13" x14ac:dyDescent="0.35">
      <c r="A2340" t="s">
        <v>3789</v>
      </c>
      <c r="B2340" s="9">
        <v>46151</v>
      </c>
      <c r="C2340" t="s">
        <v>971</v>
      </c>
      <c r="D2340" t="s">
        <v>15</v>
      </c>
      <c r="E2340" t="s">
        <v>16</v>
      </c>
      <c r="F2340" t="s">
        <v>47</v>
      </c>
      <c r="G2340" t="s">
        <v>48</v>
      </c>
      <c r="H2340">
        <v>1</v>
      </c>
      <c r="I2340" t="s">
        <v>19</v>
      </c>
      <c r="J2340" t="s">
        <v>19</v>
      </c>
      <c r="K2340" t="s">
        <v>50</v>
      </c>
      <c r="L2340" t="s">
        <v>30</v>
      </c>
      <c r="M2340" t="s">
        <v>22</v>
      </c>
    </row>
    <row r="2341" spans="1:13" x14ac:dyDescent="0.35">
      <c r="A2341" t="s">
        <v>3790</v>
      </c>
      <c r="B2341" s="9">
        <v>46181</v>
      </c>
      <c r="C2341" t="s">
        <v>2070</v>
      </c>
      <c r="D2341" t="s">
        <v>116</v>
      </c>
      <c r="E2341" t="s">
        <v>34</v>
      </c>
      <c r="F2341" t="s">
        <v>89</v>
      </c>
      <c r="G2341" t="s">
        <v>90</v>
      </c>
      <c r="H2341">
        <v>2</v>
      </c>
      <c r="I2341" t="s">
        <v>71</v>
      </c>
      <c r="J2341" t="s">
        <v>286</v>
      </c>
      <c r="K2341" t="s">
        <v>108</v>
      </c>
      <c r="L2341" t="s">
        <v>30</v>
      </c>
      <c r="M2341" t="s">
        <v>22</v>
      </c>
    </row>
    <row r="2342" spans="1:13" x14ac:dyDescent="0.35">
      <c r="A2342" t="s">
        <v>3791</v>
      </c>
      <c r="B2342" s="9">
        <v>46137</v>
      </c>
      <c r="C2342" t="s">
        <v>533</v>
      </c>
      <c r="D2342" t="s">
        <v>94</v>
      </c>
      <c r="E2342" t="s">
        <v>25</v>
      </c>
      <c r="F2342" t="s">
        <v>83</v>
      </c>
      <c r="G2342" t="s">
        <v>84</v>
      </c>
      <c r="H2342">
        <v>-3</v>
      </c>
      <c r="I2342" t="s">
        <v>102</v>
      </c>
      <c r="J2342" t="s">
        <v>1902</v>
      </c>
      <c r="K2342" t="s">
        <v>103</v>
      </c>
      <c r="L2342" t="s">
        <v>21</v>
      </c>
      <c r="M2342" t="s">
        <v>22</v>
      </c>
    </row>
    <row r="2343" spans="1:13" x14ac:dyDescent="0.35">
      <c r="A2343" t="s">
        <v>3792</v>
      </c>
      <c r="B2343" t="s">
        <v>3793</v>
      </c>
      <c r="C2343" t="s">
        <v>352</v>
      </c>
      <c r="D2343" t="s">
        <v>40</v>
      </c>
      <c r="E2343" t="s">
        <v>16</v>
      </c>
      <c r="F2343" t="s">
        <v>26</v>
      </c>
      <c r="G2343" t="s">
        <v>27</v>
      </c>
      <c r="H2343">
        <v>1</v>
      </c>
      <c r="I2343" t="s">
        <v>19</v>
      </c>
      <c r="J2343" t="s">
        <v>19</v>
      </c>
      <c r="K2343" t="s">
        <v>29</v>
      </c>
      <c r="L2343" t="s">
        <v>30</v>
      </c>
      <c r="M2343" t="s">
        <v>22</v>
      </c>
    </row>
    <row r="2344" spans="1:13" x14ac:dyDescent="0.35">
      <c r="A2344" t="s">
        <v>3794</v>
      </c>
      <c r="B2344" s="9">
        <v>46169</v>
      </c>
      <c r="C2344" t="s">
        <v>3795</v>
      </c>
      <c r="D2344" t="s">
        <v>53</v>
      </c>
      <c r="E2344" t="s">
        <v>67</v>
      </c>
      <c r="F2344" t="s">
        <v>17</v>
      </c>
      <c r="G2344" t="s">
        <v>18</v>
      </c>
      <c r="H2344">
        <v>1</v>
      </c>
      <c r="I2344" t="s">
        <v>220</v>
      </c>
      <c r="J2344" t="s">
        <v>220</v>
      </c>
      <c r="K2344" t="s">
        <v>29</v>
      </c>
      <c r="L2344" t="s">
        <v>30</v>
      </c>
      <c r="M2344" t="s">
        <v>22</v>
      </c>
    </row>
    <row r="2345" spans="1:13" x14ac:dyDescent="0.35">
      <c r="A2345" t="s">
        <v>3796</v>
      </c>
      <c r="B2345" s="9">
        <v>46110</v>
      </c>
      <c r="C2345" t="s">
        <v>1798</v>
      </c>
      <c r="D2345" t="s">
        <v>53</v>
      </c>
      <c r="E2345" t="s">
        <v>16</v>
      </c>
      <c r="F2345" t="s">
        <v>26</v>
      </c>
      <c r="G2345" t="s">
        <v>27</v>
      </c>
      <c r="H2345">
        <v>-1</v>
      </c>
      <c r="I2345" t="s">
        <v>106</v>
      </c>
      <c r="J2345" t="s">
        <v>202</v>
      </c>
      <c r="K2345">
        <v>520</v>
      </c>
      <c r="L2345" t="s">
        <v>30</v>
      </c>
      <c r="M2345" t="s">
        <v>22</v>
      </c>
    </row>
    <row r="2346" spans="1:13" x14ac:dyDescent="0.35">
      <c r="A2346" t="s">
        <v>3797</v>
      </c>
      <c r="B2346" s="9">
        <v>46129</v>
      </c>
      <c r="C2346" t="s">
        <v>3798</v>
      </c>
      <c r="D2346" t="s">
        <v>33</v>
      </c>
      <c r="E2346" t="s">
        <v>34</v>
      </c>
      <c r="F2346" t="s">
        <v>47</v>
      </c>
      <c r="G2346" t="s">
        <v>48</v>
      </c>
      <c r="H2346">
        <v>1</v>
      </c>
      <c r="I2346" t="s">
        <v>254</v>
      </c>
      <c r="J2346" t="s">
        <v>254</v>
      </c>
      <c r="K2346">
        <v>380</v>
      </c>
      <c r="L2346" t="s">
        <v>30</v>
      </c>
      <c r="M2346" t="s">
        <v>22</v>
      </c>
    </row>
    <row r="2347" spans="1:13" x14ac:dyDescent="0.35">
      <c r="A2347" t="s">
        <v>3799</v>
      </c>
      <c r="B2347" s="9">
        <v>46031</v>
      </c>
      <c r="C2347" t="s">
        <v>1052</v>
      </c>
      <c r="D2347" t="s">
        <v>53</v>
      </c>
      <c r="E2347" t="s">
        <v>41</v>
      </c>
      <c r="F2347" t="s">
        <v>26</v>
      </c>
      <c r="G2347" t="s">
        <v>27</v>
      </c>
      <c r="H2347">
        <v>2</v>
      </c>
      <c r="I2347" t="s">
        <v>71</v>
      </c>
      <c r="J2347" t="s">
        <v>286</v>
      </c>
      <c r="K2347">
        <v>520</v>
      </c>
      <c r="L2347" t="s">
        <v>30</v>
      </c>
      <c r="M2347" t="s">
        <v>22</v>
      </c>
    </row>
    <row r="2348" spans="1:13" x14ac:dyDescent="0.35">
      <c r="A2348" t="s">
        <v>3800</v>
      </c>
      <c r="B2348" s="9">
        <v>46269</v>
      </c>
      <c r="C2348" t="s">
        <v>441</v>
      </c>
      <c r="D2348" t="s">
        <v>66</v>
      </c>
      <c r="E2348" t="s">
        <v>67</v>
      </c>
      <c r="F2348" t="s">
        <v>35</v>
      </c>
      <c r="G2348" t="s">
        <v>36</v>
      </c>
      <c r="H2348">
        <v>3</v>
      </c>
      <c r="I2348" t="s">
        <v>220</v>
      </c>
      <c r="J2348" t="s">
        <v>494</v>
      </c>
      <c r="K2348">
        <v>85</v>
      </c>
      <c r="L2348" t="s">
        <v>30</v>
      </c>
      <c r="M2348" t="s">
        <v>22</v>
      </c>
    </row>
    <row r="2349" spans="1:13" x14ac:dyDescent="0.35">
      <c r="A2349" t="s">
        <v>2055</v>
      </c>
      <c r="B2349" s="9">
        <v>46100</v>
      </c>
      <c r="C2349" t="s">
        <v>2056</v>
      </c>
      <c r="D2349" t="s">
        <v>46</v>
      </c>
      <c r="E2349" t="s">
        <v>25</v>
      </c>
      <c r="F2349" t="s">
        <v>89</v>
      </c>
      <c r="G2349" t="s">
        <v>90</v>
      </c>
      <c r="H2349">
        <v>3</v>
      </c>
      <c r="I2349" t="s">
        <v>85</v>
      </c>
      <c r="J2349" t="s">
        <v>2057</v>
      </c>
      <c r="K2349">
        <v>640</v>
      </c>
      <c r="L2349" t="s">
        <v>30</v>
      </c>
      <c r="M2349" t="s">
        <v>22</v>
      </c>
    </row>
    <row r="2350" spans="1:13" x14ac:dyDescent="0.35">
      <c r="A2350" t="s">
        <v>3801</v>
      </c>
      <c r="B2350" s="9">
        <v>46070</v>
      </c>
      <c r="C2350" t="s">
        <v>624</v>
      </c>
      <c r="D2350" t="s">
        <v>46</v>
      </c>
      <c r="E2350" t="s">
        <v>34</v>
      </c>
      <c r="F2350" t="s">
        <v>74</v>
      </c>
      <c r="G2350" t="s">
        <v>75</v>
      </c>
      <c r="H2350">
        <v>1</v>
      </c>
      <c r="I2350" t="s">
        <v>62</v>
      </c>
      <c r="J2350" t="s">
        <v>62</v>
      </c>
      <c r="K2350">
        <v>410</v>
      </c>
      <c r="L2350" t="s">
        <v>30</v>
      </c>
      <c r="M2350" t="s">
        <v>58</v>
      </c>
    </row>
    <row r="2351" spans="1:13" x14ac:dyDescent="0.35">
      <c r="A2351" t="s">
        <v>3802</v>
      </c>
      <c r="B2351" s="9">
        <v>46038</v>
      </c>
      <c r="C2351" t="s">
        <v>1811</v>
      </c>
      <c r="D2351" t="s">
        <v>94</v>
      </c>
      <c r="E2351" t="s">
        <v>16</v>
      </c>
      <c r="F2351" t="s">
        <v>83</v>
      </c>
      <c r="G2351" t="s">
        <v>84</v>
      </c>
      <c r="H2351">
        <v>3</v>
      </c>
      <c r="I2351" t="s">
        <v>68</v>
      </c>
      <c r="J2351" t="s">
        <v>205</v>
      </c>
      <c r="K2351">
        <v>340</v>
      </c>
      <c r="L2351" t="s">
        <v>30</v>
      </c>
      <c r="M2351" t="s">
        <v>58</v>
      </c>
    </row>
    <row r="2352" spans="1:13" x14ac:dyDescent="0.35">
      <c r="A2352" t="s">
        <v>3803</v>
      </c>
      <c r="B2352" s="9">
        <v>46082</v>
      </c>
      <c r="C2352" t="s">
        <v>3338</v>
      </c>
      <c r="D2352" t="s">
        <v>33</v>
      </c>
      <c r="E2352" t="s">
        <v>34</v>
      </c>
      <c r="F2352" t="s">
        <v>74</v>
      </c>
      <c r="G2352" t="s">
        <v>75</v>
      </c>
      <c r="H2352">
        <v>1</v>
      </c>
      <c r="I2352" t="s">
        <v>106</v>
      </c>
      <c r="J2352" t="s">
        <v>106</v>
      </c>
      <c r="K2352">
        <v>410</v>
      </c>
      <c r="L2352" t="s">
        <v>30</v>
      </c>
      <c r="M2352" t="s">
        <v>22</v>
      </c>
    </row>
    <row r="2353" spans="1:13" x14ac:dyDescent="0.35">
      <c r="A2353" t="s">
        <v>3804</v>
      </c>
      <c r="B2353" s="9">
        <v>46044</v>
      </c>
      <c r="C2353" t="s">
        <v>3805</v>
      </c>
      <c r="D2353" t="s">
        <v>46</v>
      </c>
      <c r="E2353" t="s">
        <v>67</v>
      </c>
      <c r="F2353" t="s">
        <v>74</v>
      </c>
      <c r="G2353" t="s">
        <v>75</v>
      </c>
      <c r="H2353">
        <v>3</v>
      </c>
      <c r="I2353" t="s">
        <v>136</v>
      </c>
      <c r="J2353" t="s">
        <v>137</v>
      </c>
      <c r="K2353">
        <v>410</v>
      </c>
      <c r="L2353" t="s">
        <v>30</v>
      </c>
      <c r="M2353" t="s">
        <v>22</v>
      </c>
    </row>
    <row r="2354" spans="1:13" x14ac:dyDescent="0.35">
      <c r="A2354" t="s">
        <v>3806</v>
      </c>
      <c r="B2354" s="9">
        <v>46091</v>
      </c>
      <c r="C2354" t="s">
        <v>154</v>
      </c>
      <c r="D2354" t="s">
        <v>99</v>
      </c>
      <c r="E2354" t="s">
        <v>34</v>
      </c>
      <c r="F2354" t="s">
        <v>26</v>
      </c>
      <c r="G2354" t="s">
        <v>27</v>
      </c>
      <c r="H2354">
        <v>2</v>
      </c>
      <c r="I2354" t="s">
        <v>155</v>
      </c>
      <c r="J2354" t="s">
        <v>156</v>
      </c>
      <c r="K2354">
        <v>520</v>
      </c>
      <c r="L2354" t="s">
        <v>30</v>
      </c>
      <c r="M2354" t="s">
        <v>22</v>
      </c>
    </row>
    <row r="2355" spans="1:13" x14ac:dyDescent="0.35">
      <c r="A2355" t="s">
        <v>3807</v>
      </c>
      <c r="B2355" s="9">
        <v>46077</v>
      </c>
      <c r="C2355" t="s">
        <v>180</v>
      </c>
      <c r="D2355" t="s">
        <v>94</v>
      </c>
      <c r="E2355" t="s">
        <v>67</v>
      </c>
      <c r="F2355" t="s">
        <v>47</v>
      </c>
      <c r="G2355" t="s">
        <v>48</v>
      </c>
      <c r="H2355">
        <v>3</v>
      </c>
      <c r="I2355" t="s">
        <v>68</v>
      </c>
      <c r="J2355" t="s">
        <v>205</v>
      </c>
      <c r="K2355">
        <v>380</v>
      </c>
      <c r="L2355" t="s">
        <v>30</v>
      </c>
      <c r="M2355" t="s">
        <v>22</v>
      </c>
    </row>
    <row r="2356" spans="1:13" x14ac:dyDescent="0.35">
      <c r="A2356" t="s">
        <v>3808</v>
      </c>
      <c r="B2356" s="9">
        <v>46072</v>
      </c>
      <c r="C2356" t="s">
        <v>3809</v>
      </c>
      <c r="D2356" t="s">
        <v>46</v>
      </c>
      <c r="E2356" t="s">
        <v>41</v>
      </c>
      <c r="F2356" t="s">
        <v>74</v>
      </c>
      <c r="G2356" t="s">
        <v>75</v>
      </c>
      <c r="H2356">
        <v>2</v>
      </c>
      <c r="I2356" t="s">
        <v>71</v>
      </c>
      <c r="J2356" t="s">
        <v>286</v>
      </c>
      <c r="K2356">
        <v>410</v>
      </c>
      <c r="L2356" t="s">
        <v>30</v>
      </c>
      <c r="M2356" t="s">
        <v>58</v>
      </c>
    </row>
    <row r="2357" spans="1:13" x14ac:dyDescent="0.35">
      <c r="A2357" t="s">
        <v>3810</v>
      </c>
      <c r="B2357" s="9">
        <v>46190</v>
      </c>
      <c r="C2357" t="s">
        <v>1782</v>
      </c>
      <c r="D2357" t="s">
        <v>15</v>
      </c>
      <c r="E2357" t="s">
        <v>16</v>
      </c>
      <c r="F2357" t="s">
        <v>17</v>
      </c>
      <c r="G2357" t="s">
        <v>18</v>
      </c>
      <c r="H2357">
        <v>2</v>
      </c>
      <c r="I2357" t="s">
        <v>2655</v>
      </c>
      <c r="J2357" t="s">
        <v>193</v>
      </c>
      <c r="K2357" t="s">
        <v>29</v>
      </c>
      <c r="L2357" t="s">
        <v>30</v>
      </c>
      <c r="M2357" t="s">
        <v>22</v>
      </c>
    </row>
    <row r="2358" spans="1:13" x14ac:dyDescent="0.35">
      <c r="A2358" t="s">
        <v>3811</v>
      </c>
      <c r="B2358" s="9">
        <v>46192</v>
      </c>
      <c r="C2358" t="s">
        <v>3812</v>
      </c>
      <c r="D2358" t="s">
        <v>99</v>
      </c>
      <c r="E2358" t="s">
        <v>34</v>
      </c>
      <c r="F2358" t="s">
        <v>17</v>
      </c>
      <c r="G2358" t="s">
        <v>18</v>
      </c>
      <c r="H2358">
        <v>3</v>
      </c>
      <c r="I2358" t="s">
        <v>49</v>
      </c>
      <c r="J2358" t="s">
        <v>257</v>
      </c>
      <c r="K2358" t="s">
        <v>29</v>
      </c>
      <c r="L2358" t="s">
        <v>30</v>
      </c>
      <c r="M2358" t="s">
        <v>22</v>
      </c>
    </row>
    <row r="2359" spans="1:13" x14ac:dyDescent="0.35">
      <c r="A2359" t="s">
        <v>3813</v>
      </c>
      <c r="B2359" s="9">
        <v>46054</v>
      </c>
      <c r="C2359" t="s">
        <v>2063</v>
      </c>
      <c r="D2359" t="s">
        <v>116</v>
      </c>
      <c r="E2359" t="s">
        <v>67</v>
      </c>
      <c r="F2359" t="s">
        <v>83</v>
      </c>
      <c r="G2359" t="s">
        <v>84</v>
      </c>
      <c r="H2359">
        <v>1</v>
      </c>
      <c r="I2359" t="s">
        <v>102</v>
      </c>
      <c r="J2359" t="s">
        <v>102</v>
      </c>
      <c r="K2359">
        <v>340</v>
      </c>
      <c r="L2359" t="s">
        <v>30</v>
      </c>
      <c r="M2359" t="s">
        <v>22</v>
      </c>
    </row>
    <row r="2360" spans="1:13" x14ac:dyDescent="0.35">
      <c r="A2360" t="s">
        <v>3814</v>
      </c>
      <c r="B2360" s="9">
        <v>46185</v>
      </c>
      <c r="C2360" t="s">
        <v>1183</v>
      </c>
      <c r="D2360" t="s">
        <v>40</v>
      </c>
      <c r="E2360" t="s">
        <v>67</v>
      </c>
      <c r="F2360" t="s">
        <v>89</v>
      </c>
      <c r="G2360" t="s">
        <v>90</v>
      </c>
      <c r="H2360">
        <v>1</v>
      </c>
      <c r="I2360" t="s">
        <v>71</v>
      </c>
      <c r="J2360" t="s">
        <v>71</v>
      </c>
      <c r="K2360" t="s">
        <v>108</v>
      </c>
      <c r="L2360" t="s">
        <v>21</v>
      </c>
      <c r="M2360" t="s">
        <v>22</v>
      </c>
    </row>
    <row r="2361" spans="1:13" x14ac:dyDescent="0.35">
      <c r="A2361" t="s">
        <v>3815</v>
      </c>
      <c r="B2361" s="9">
        <v>46070</v>
      </c>
      <c r="C2361" t="s">
        <v>3816</v>
      </c>
      <c r="D2361" t="s">
        <v>15</v>
      </c>
      <c r="E2361" t="s">
        <v>41</v>
      </c>
      <c r="F2361" t="s">
        <v>35</v>
      </c>
      <c r="G2361" t="s">
        <v>36</v>
      </c>
      <c r="H2361">
        <v>1</v>
      </c>
      <c r="I2361" t="s">
        <v>71</v>
      </c>
      <c r="J2361" t="s">
        <v>71</v>
      </c>
      <c r="K2361">
        <v>85</v>
      </c>
      <c r="L2361" t="s">
        <v>30</v>
      </c>
      <c r="M2361" t="s">
        <v>22</v>
      </c>
    </row>
    <row r="2362" spans="1:13" x14ac:dyDescent="0.35">
      <c r="A2362" t="s">
        <v>3817</v>
      </c>
      <c r="B2362" s="9">
        <v>46201</v>
      </c>
      <c r="C2362" t="s">
        <v>870</v>
      </c>
      <c r="D2362" t="s">
        <v>61</v>
      </c>
      <c r="E2362" t="s">
        <v>41</v>
      </c>
      <c r="F2362" t="s">
        <v>89</v>
      </c>
      <c r="G2362" t="s">
        <v>90</v>
      </c>
      <c r="H2362">
        <v>2</v>
      </c>
      <c r="I2362" t="s">
        <v>71</v>
      </c>
      <c r="J2362" t="s">
        <v>286</v>
      </c>
      <c r="K2362" t="s">
        <v>108</v>
      </c>
      <c r="L2362" t="s">
        <v>30</v>
      </c>
      <c r="M2362" t="s">
        <v>22</v>
      </c>
    </row>
    <row r="2363" spans="1:13" x14ac:dyDescent="0.35">
      <c r="A2363" t="s">
        <v>3818</v>
      </c>
      <c r="B2363" s="9">
        <v>46051</v>
      </c>
      <c r="C2363" t="s">
        <v>1859</v>
      </c>
      <c r="D2363" t="s">
        <v>40</v>
      </c>
      <c r="E2363" t="s">
        <v>41</v>
      </c>
      <c r="F2363" t="s">
        <v>47</v>
      </c>
      <c r="G2363" t="s">
        <v>48</v>
      </c>
      <c r="H2363">
        <v>1</v>
      </c>
      <c r="I2363" t="s">
        <v>106</v>
      </c>
      <c r="J2363" t="s">
        <v>106</v>
      </c>
      <c r="K2363">
        <v>380</v>
      </c>
      <c r="L2363" t="s">
        <v>30</v>
      </c>
      <c r="M2363" t="s">
        <v>22</v>
      </c>
    </row>
    <row r="2364" spans="1:13" x14ac:dyDescent="0.35">
      <c r="A2364" t="s">
        <v>3819</v>
      </c>
      <c r="B2364" s="9">
        <v>46051</v>
      </c>
      <c r="C2364" t="s">
        <v>1859</v>
      </c>
      <c r="D2364" t="s">
        <v>61</v>
      </c>
      <c r="E2364" t="s">
        <v>34</v>
      </c>
      <c r="F2364" t="s">
        <v>26</v>
      </c>
      <c r="G2364" t="s">
        <v>27</v>
      </c>
      <c r="H2364">
        <v>2</v>
      </c>
      <c r="I2364" t="s">
        <v>85</v>
      </c>
      <c r="J2364" t="s">
        <v>267</v>
      </c>
      <c r="K2364">
        <v>520</v>
      </c>
      <c r="L2364" t="s">
        <v>30</v>
      </c>
      <c r="M2364" t="s">
        <v>22</v>
      </c>
    </row>
    <row r="2365" spans="1:13" x14ac:dyDescent="0.35">
      <c r="A2365" t="s">
        <v>3820</v>
      </c>
      <c r="B2365" s="9">
        <v>46044</v>
      </c>
      <c r="C2365" t="s">
        <v>2896</v>
      </c>
      <c r="D2365" t="s">
        <v>61</v>
      </c>
      <c r="E2365" t="s">
        <v>16</v>
      </c>
      <c r="F2365" t="s">
        <v>83</v>
      </c>
      <c r="G2365" t="s">
        <v>84</v>
      </c>
      <c r="H2365">
        <v>1</v>
      </c>
      <c r="I2365" t="s">
        <v>254</v>
      </c>
      <c r="J2365" t="s">
        <v>3821</v>
      </c>
      <c r="K2365">
        <v>340</v>
      </c>
      <c r="L2365" t="s">
        <v>21</v>
      </c>
      <c r="M2365" t="s">
        <v>22</v>
      </c>
    </row>
    <row r="2366" spans="1:13" x14ac:dyDescent="0.35">
      <c r="A2366" t="s">
        <v>3822</v>
      </c>
      <c r="B2366" s="9">
        <v>46152</v>
      </c>
      <c r="C2366" t="s">
        <v>3823</v>
      </c>
      <c r="D2366" t="s">
        <v>33</v>
      </c>
      <c r="E2366" t="s">
        <v>25</v>
      </c>
      <c r="F2366" t="s">
        <v>35</v>
      </c>
      <c r="G2366" t="s">
        <v>36</v>
      </c>
      <c r="H2366">
        <v>3</v>
      </c>
      <c r="I2366" t="s">
        <v>85</v>
      </c>
      <c r="J2366" t="s">
        <v>86</v>
      </c>
      <c r="K2366" t="s">
        <v>37</v>
      </c>
      <c r="L2366" t="s">
        <v>30</v>
      </c>
      <c r="M2366" t="s">
        <v>22</v>
      </c>
    </row>
    <row r="2367" spans="1:13" x14ac:dyDescent="0.35">
      <c r="A2367" t="s">
        <v>3824</v>
      </c>
      <c r="B2367" s="9">
        <v>46360</v>
      </c>
      <c r="C2367" t="s">
        <v>1924</v>
      </c>
      <c r="D2367" t="s">
        <v>61</v>
      </c>
      <c r="E2367" t="s">
        <v>16</v>
      </c>
      <c r="F2367" t="s">
        <v>42</v>
      </c>
      <c r="G2367" t="s">
        <v>43</v>
      </c>
      <c r="H2367">
        <v>3</v>
      </c>
      <c r="I2367" t="s">
        <v>737</v>
      </c>
      <c r="J2367" t="s">
        <v>127</v>
      </c>
      <c r="K2367">
        <v>190</v>
      </c>
      <c r="L2367" t="s">
        <v>30</v>
      </c>
      <c r="M2367" t="s">
        <v>22</v>
      </c>
    </row>
    <row r="2368" spans="1:13" x14ac:dyDescent="0.35">
      <c r="A2368" t="s">
        <v>3825</v>
      </c>
      <c r="B2368" s="9">
        <v>46164</v>
      </c>
      <c r="C2368" t="s">
        <v>890</v>
      </c>
      <c r="D2368" t="s">
        <v>94</v>
      </c>
      <c r="E2368" t="s">
        <v>25</v>
      </c>
      <c r="F2368" t="s">
        <v>17</v>
      </c>
      <c r="G2368" t="s">
        <v>18</v>
      </c>
      <c r="H2368">
        <v>3</v>
      </c>
      <c r="I2368" t="s">
        <v>993</v>
      </c>
      <c r="J2368" t="s">
        <v>390</v>
      </c>
      <c r="K2368" t="s">
        <v>29</v>
      </c>
      <c r="L2368" t="s">
        <v>30</v>
      </c>
      <c r="M2368" t="s">
        <v>22</v>
      </c>
    </row>
    <row r="2369" spans="1:13" x14ac:dyDescent="0.35">
      <c r="A2369" t="s">
        <v>3826</v>
      </c>
      <c r="B2369" s="9">
        <v>46157</v>
      </c>
      <c r="C2369" t="s">
        <v>1839</v>
      </c>
      <c r="D2369" t="s">
        <v>46</v>
      </c>
      <c r="E2369" t="s">
        <v>16</v>
      </c>
      <c r="F2369" t="s">
        <v>17</v>
      </c>
      <c r="G2369" t="s">
        <v>18</v>
      </c>
      <c r="H2369">
        <v>-3</v>
      </c>
      <c r="I2369" t="s">
        <v>217</v>
      </c>
      <c r="J2369" t="s">
        <v>3827</v>
      </c>
      <c r="K2369" t="s">
        <v>29</v>
      </c>
      <c r="L2369" t="s">
        <v>21</v>
      </c>
      <c r="M2369" t="s">
        <v>22</v>
      </c>
    </row>
    <row r="2370" spans="1:13" x14ac:dyDescent="0.35">
      <c r="A2370" t="s">
        <v>3828</v>
      </c>
      <c r="B2370" t="s">
        <v>687</v>
      </c>
      <c r="C2370" t="s">
        <v>690</v>
      </c>
      <c r="D2370" t="s">
        <v>66</v>
      </c>
      <c r="E2370" t="s">
        <v>41</v>
      </c>
      <c r="F2370" t="s">
        <v>17</v>
      </c>
      <c r="G2370" t="s">
        <v>18</v>
      </c>
      <c r="H2370">
        <v>1</v>
      </c>
      <c r="I2370" t="s">
        <v>79</v>
      </c>
      <c r="J2370" t="s">
        <v>79</v>
      </c>
      <c r="K2370">
        <v>520</v>
      </c>
      <c r="L2370" t="s">
        <v>30</v>
      </c>
      <c r="M2370" t="s">
        <v>22</v>
      </c>
    </row>
    <row r="2371" spans="1:13" x14ac:dyDescent="0.35">
      <c r="A2371" t="s">
        <v>3829</v>
      </c>
      <c r="B2371" s="9">
        <v>46129</v>
      </c>
      <c r="C2371" t="s">
        <v>919</v>
      </c>
      <c r="D2371" t="s">
        <v>99</v>
      </c>
      <c r="E2371" t="s">
        <v>25</v>
      </c>
      <c r="F2371" t="s">
        <v>17</v>
      </c>
      <c r="G2371" t="s">
        <v>18</v>
      </c>
      <c r="H2371">
        <v>2</v>
      </c>
      <c r="I2371" t="s">
        <v>254</v>
      </c>
      <c r="J2371" t="s">
        <v>156</v>
      </c>
      <c r="K2371">
        <v>520</v>
      </c>
      <c r="L2371" t="s">
        <v>30</v>
      </c>
      <c r="M2371" t="s">
        <v>22</v>
      </c>
    </row>
    <row r="2372" spans="1:13" x14ac:dyDescent="0.35">
      <c r="A2372" t="s">
        <v>3648</v>
      </c>
      <c r="B2372" s="9">
        <v>46107</v>
      </c>
      <c r="C2372" t="s">
        <v>1329</v>
      </c>
      <c r="D2372" t="s">
        <v>40</v>
      </c>
      <c r="E2372" t="s">
        <v>67</v>
      </c>
      <c r="F2372" t="s">
        <v>17</v>
      </c>
      <c r="G2372" t="s">
        <v>18</v>
      </c>
      <c r="H2372">
        <v>1</v>
      </c>
      <c r="I2372" t="s">
        <v>71</v>
      </c>
      <c r="J2372" t="s">
        <v>71</v>
      </c>
      <c r="K2372">
        <v>520</v>
      </c>
      <c r="L2372" t="s">
        <v>30</v>
      </c>
      <c r="M2372" t="s">
        <v>22</v>
      </c>
    </row>
    <row r="2373" spans="1:13" x14ac:dyDescent="0.35">
      <c r="A2373" t="s">
        <v>3830</v>
      </c>
      <c r="B2373" s="9">
        <v>46142</v>
      </c>
      <c r="C2373" t="s">
        <v>3831</v>
      </c>
      <c r="D2373" t="s">
        <v>15</v>
      </c>
      <c r="E2373" t="s">
        <v>34</v>
      </c>
      <c r="F2373" t="s">
        <v>47</v>
      </c>
      <c r="G2373" t="s">
        <v>48</v>
      </c>
      <c r="H2373">
        <v>1</v>
      </c>
      <c r="I2373" t="s">
        <v>254</v>
      </c>
      <c r="J2373" t="s">
        <v>2750</v>
      </c>
      <c r="K2373" t="s">
        <v>50</v>
      </c>
      <c r="L2373" t="s">
        <v>30</v>
      </c>
      <c r="M2373" t="s">
        <v>22</v>
      </c>
    </row>
    <row r="2374" spans="1:13" x14ac:dyDescent="0.35">
      <c r="A2374" t="s">
        <v>3832</v>
      </c>
      <c r="B2374" s="9">
        <v>46051</v>
      </c>
      <c r="C2374" t="s">
        <v>443</v>
      </c>
      <c r="D2374" t="s">
        <v>94</v>
      </c>
      <c r="E2374" t="s">
        <v>67</v>
      </c>
      <c r="F2374" t="s">
        <v>89</v>
      </c>
      <c r="G2374" t="s">
        <v>90</v>
      </c>
      <c r="H2374">
        <v>1</v>
      </c>
      <c r="I2374" t="s">
        <v>102</v>
      </c>
      <c r="J2374" t="s">
        <v>102</v>
      </c>
      <c r="K2374">
        <v>640</v>
      </c>
      <c r="L2374" t="s">
        <v>30</v>
      </c>
      <c r="M2374" t="s">
        <v>22</v>
      </c>
    </row>
    <row r="2375" spans="1:13" x14ac:dyDescent="0.35">
      <c r="A2375" t="s">
        <v>3833</v>
      </c>
      <c r="B2375" s="9">
        <v>46169</v>
      </c>
      <c r="C2375" t="s">
        <v>1362</v>
      </c>
      <c r="D2375" t="s">
        <v>116</v>
      </c>
      <c r="E2375" t="s">
        <v>25</v>
      </c>
      <c r="F2375" t="s">
        <v>26</v>
      </c>
      <c r="G2375" t="s">
        <v>27</v>
      </c>
      <c r="H2375">
        <v>1</v>
      </c>
      <c r="I2375" t="s">
        <v>106</v>
      </c>
      <c r="J2375" t="s">
        <v>106</v>
      </c>
      <c r="K2375" t="s">
        <v>29</v>
      </c>
      <c r="L2375" t="s">
        <v>21</v>
      </c>
      <c r="M2375" t="s">
        <v>22</v>
      </c>
    </row>
    <row r="2376" spans="1:13" x14ac:dyDescent="0.35">
      <c r="A2376" t="s">
        <v>3834</v>
      </c>
      <c r="B2376" s="9">
        <v>46158</v>
      </c>
      <c r="C2376" t="s">
        <v>1708</v>
      </c>
      <c r="D2376" t="s">
        <v>116</v>
      </c>
      <c r="E2376" t="s">
        <v>16</v>
      </c>
      <c r="F2376" t="s">
        <v>17</v>
      </c>
      <c r="G2376" t="s">
        <v>18</v>
      </c>
      <c r="H2376">
        <v>2</v>
      </c>
      <c r="I2376" t="s">
        <v>49</v>
      </c>
      <c r="J2376" t="s">
        <v>178</v>
      </c>
      <c r="K2376" t="s">
        <v>29</v>
      </c>
      <c r="L2376" t="s">
        <v>30</v>
      </c>
      <c r="M2376" t="s">
        <v>22</v>
      </c>
    </row>
    <row r="2377" spans="1:13" x14ac:dyDescent="0.35">
      <c r="A2377" t="s">
        <v>3835</v>
      </c>
      <c r="B2377" s="9">
        <v>46135</v>
      </c>
      <c r="C2377" t="s">
        <v>2401</v>
      </c>
      <c r="D2377" t="s">
        <v>61</v>
      </c>
      <c r="E2377" t="s">
        <v>25</v>
      </c>
      <c r="F2377" t="s">
        <v>89</v>
      </c>
      <c r="G2377" t="s">
        <v>90</v>
      </c>
      <c r="H2377">
        <v>3</v>
      </c>
      <c r="I2377" t="s">
        <v>102</v>
      </c>
      <c r="J2377" t="s">
        <v>127</v>
      </c>
      <c r="K2377" t="s">
        <v>108</v>
      </c>
      <c r="L2377" t="s">
        <v>30</v>
      </c>
      <c r="M2377" t="s">
        <v>58</v>
      </c>
    </row>
    <row r="2378" spans="1:13" x14ac:dyDescent="0.35">
      <c r="A2378" t="s">
        <v>3836</v>
      </c>
      <c r="B2378" s="9">
        <v>46105</v>
      </c>
      <c r="C2378" t="s">
        <v>1457</v>
      </c>
      <c r="D2378" t="s">
        <v>15</v>
      </c>
      <c r="E2378" t="s">
        <v>41</v>
      </c>
      <c r="F2378" t="s">
        <v>89</v>
      </c>
      <c r="G2378" t="s">
        <v>90</v>
      </c>
      <c r="H2378">
        <v>1</v>
      </c>
      <c r="I2378" t="s">
        <v>19</v>
      </c>
      <c r="J2378" t="s">
        <v>19</v>
      </c>
      <c r="K2378">
        <v>640</v>
      </c>
      <c r="L2378" t="s">
        <v>30</v>
      </c>
      <c r="M2378" t="s">
        <v>22</v>
      </c>
    </row>
    <row r="2379" spans="1:13" x14ac:dyDescent="0.35">
      <c r="A2379" t="s">
        <v>3837</v>
      </c>
      <c r="B2379" s="9">
        <v>46040</v>
      </c>
      <c r="C2379" t="s">
        <v>2791</v>
      </c>
      <c r="D2379" t="s">
        <v>40</v>
      </c>
      <c r="E2379" t="s">
        <v>16</v>
      </c>
      <c r="F2379" t="s">
        <v>42</v>
      </c>
      <c r="G2379" t="s">
        <v>43</v>
      </c>
      <c r="H2379">
        <v>2</v>
      </c>
      <c r="I2379" t="s">
        <v>71</v>
      </c>
      <c r="J2379" t="s">
        <v>286</v>
      </c>
      <c r="K2379">
        <v>190</v>
      </c>
      <c r="L2379" t="s">
        <v>30</v>
      </c>
      <c r="M2379" t="s">
        <v>58</v>
      </c>
    </row>
    <row r="2380" spans="1:13" x14ac:dyDescent="0.35">
      <c r="A2380" t="s">
        <v>3838</v>
      </c>
      <c r="B2380" s="9">
        <v>46132</v>
      </c>
      <c r="C2380" t="s">
        <v>2964</v>
      </c>
      <c r="D2380" t="s">
        <v>33</v>
      </c>
      <c r="E2380" t="s">
        <v>25</v>
      </c>
      <c r="F2380" t="s">
        <v>83</v>
      </c>
      <c r="G2380" t="s">
        <v>84</v>
      </c>
      <c r="H2380">
        <v>1</v>
      </c>
      <c r="I2380" t="s">
        <v>132</v>
      </c>
      <c r="J2380" t="s">
        <v>132</v>
      </c>
      <c r="K2380" t="s">
        <v>103</v>
      </c>
      <c r="L2380" t="s">
        <v>30</v>
      </c>
      <c r="M2380" t="s">
        <v>58</v>
      </c>
    </row>
    <row r="2381" spans="1:13" x14ac:dyDescent="0.35">
      <c r="A2381" t="s">
        <v>3839</v>
      </c>
      <c r="B2381" s="9">
        <v>46181</v>
      </c>
      <c r="C2381" t="s">
        <v>3389</v>
      </c>
      <c r="D2381" t="s">
        <v>99</v>
      </c>
      <c r="E2381" t="s">
        <v>41</v>
      </c>
      <c r="F2381" t="s">
        <v>47</v>
      </c>
      <c r="G2381" t="s">
        <v>48</v>
      </c>
      <c r="H2381">
        <v>2</v>
      </c>
      <c r="I2381" t="s">
        <v>19</v>
      </c>
      <c r="J2381" t="s">
        <v>238</v>
      </c>
      <c r="K2381" t="s">
        <v>50</v>
      </c>
      <c r="L2381" t="s">
        <v>21</v>
      </c>
      <c r="M2381" t="s">
        <v>58</v>
      </c>
    </row>
    <row r="2382" spans="1:13" x14ac:dyDescent="0.35">
      <c r="A2382" t="s">
        <v>3840</v>
      </c>
      <c r="B2382" s="9">
        <v>46076</v>
      </c>
      <c r="C2382" t="s">
        <v>2611</v>
      </c>
      <c r="D2382" t="s">
        <v>94</v>
      </c>
      <c r="E2382" t="s">
        <v>67</v>
      </c>
      <c r="F2382" t="s">
        <v>83</v>
      </c>
      <c r="G2382" t="s">
        <v>84</v>
      </c>
      <c r="H2382">
        <v>1</v>
      </c>
      <c r="I2382" t="s">
        <v>28</v>
      </c>
      <c r="J2382" t="s">
        <v>3841</v>
      </c>
      <c r="K2382">
        <v>340</v>
      </c>
      <c r="L2382" t="s">
        <v>21</v>
      </c>
      <c r="M2382" t="s">
        <v>22</v>
      </c>
    </row>
    <row r="2383" spans="1:13" x14ac:dyDescent="0.35">
      <c r="A2383" t="s">
        <v>3842</v>
      </c>
      <c r="B2383" s="9">
        <v>46112</v>
      </c>
      <c r="C2383" t="s">
        <v>2800</v>
      </c>
      <c r="D2383" t="s">
        <v>53</v>
      </c>
      <c r="E2383" t="s">
        <v>16</v>
      </c>
      <c r="F2383" t="s">
        <v>47</v>
      </c>
      <c r="G2383" t="s">
        <v>48</v>
      </c>
      <c r="H2383">
        <v>1</v>
      </c>
      <c r="I2383" t="s">
        <v>56</v>
      </c>
      <c r="J2383" t="s">
        <v>56</v>
      </c>
      <c r="K2383">
        <v>380</v>
      </c>
      <c r="L2383" t="s">
        <v>30</v>
      </c>
      <c r="M2383" t="s">
        <v>58</v>
      </c>
    </row>
    <row r="2384" spans="1:13" x14ac:dyDescent="0.35">
      <c r="A2384" t="s">
        <v>3843</v>
      </c>
      <c r="B2384" s="9">
        <v>46073</v>
      </c>
      <c r="C2384" t="s">
        <v>3844</v>
      </c>
      <c r="D2384" t="s">
        <v>99</v>
      </c>
      <c r="E2384" t="s">
        <v>25</v>
      </c>
      <c r="F2384" t="s">
        <v>42</v>
      </c>
      <c r="G2384" t="s">
        <v>43</v>
      </c>
      <c r="H2384">
        <v>1</v>
      </c>
      <c r="I2384" t="s">
        <v>254</v>
      </c>
      <c r="J2384" t="s">
        <v>254</v>
      </c>
      <c r="K2384">
        <v>190</v>
      </c>
      <c r="L2384" t="s">
        <v>30</v>
      </c>
      <c r="M2384" t="s">
        <v>58</v>
      </c>
    </row>
    <row r="2385" spans="1:13" x14ac:dyDescent="0.35">
      <c r="A2385" t="s">
        <v>3845</v>
      </c>
      <c r="B2385" s="9">
        <v>46198</v>
      </c>
      <c r="C2385" t="s">
        <v>3773</v>
      </c>
      <c r="D2385" t="s">
        <v>40</v>
      </c>
      <c r="E2385" t="s">
        <v>67</v>
      </c>
      <c r="F2385" t="s">
        <v>42</v>
      </c>
      <c r="G2385" t="s">
        <v>43</v>
      </c>
      <c r="H2385">
        <v>1</v>
      </c>
      <c r="I2385" t="s">
        <v>79</v>
      </c>
      <c r="J2385" t="s">
        <v>79</v>
      </c>
      <c r="K2385" t="s">
        <v>111</v>
      </c>
      <c r="L2385" t="s">
        <v>30</v>
      </c>
      <c r="M2385" t="s">
        <v>58</v>
      </c>
    </row>
    <row r="2386" spans="1:13" x14ac:dyDescent="0.35">
      <c r="A2386" t="s">
        <v>3846</v>
      </c>
      <c r="B2386" s="9">
        <v>46175</v>
      </c>
      <c r="C2386" t="s">
        <v>3847</v>
      </c>
      <c r="D2386" t="s">
        <v>94</v>
      </c>
      <c r="E2386" t="s">
        <v>16</v>
      </c>
      <c r="F2386" t="s">
        <v>17</v>
      </c>
      <c r="G2386" t="s">
        <v>18</v>
      </c>
      <c r="H2386">
        <v>1</v>
      </c>
      <c r="I2386" t="s">
        <v>85</v>
      </c>
      <c r="J2386" t="s">
        <v>85</v>
      </c>
      <c r="K2386" t="s">
        <v>29</v>
      </c>
      <c r="L2386" t="s">
        <v>30</v>
      </c>
      <c r="M2386" t="s">
        <v>58</v>
      </c>
    </row>
    <row r="2387" spans="1:13" x14ac:dyDescent="0.35">
      <c r="A2387" t="s">
        <v>3848</v>
      </c>
      <c r="B2387" s="9">
        <v>46073</v>
      </c>
      <c r="C2387" t="s">
        <v>3849</v>
      </c>
      <c r="D2387" t="s">
        <v>61</v>
      </c>
      <c r="E2387" t="s">
        <v>16</v>
      </c>
      <c r="F2387" t="s">
        <v>74</v>
      </c>
      <c r="G2387" t="s">
        <v>75</v>
      </c>
      <c r="H2387">
        <v>2</v>
      </c>
      <c r="I2387" t="s">
        <v>136</v>
      </c>
      <c r="J2387" t="s">
        <v>164</v>
      </c>
      <c r="K2387">
        <v>410</v>
      </c>
      <c r="L2387" t="s">
        <v>30</v>
      </c>
      <c r="M2387" t="s">
        <v>58</v>
      </c>
    </row>
    <row r="2388" spans="1:13" x14ac:dyDescent="0.35">
      <c r="A2388" t="s">
        <v>3850</v>
      </c>
      <c r="B2388" s="9">
        <v>46143</v>
      </c>
      <c r="C2388" t="s">
        <v>1471</v>
      </c>
      <c r="D2388" t="s">
        <v>53</v>
      </c>
      <c r="E2388" t="s">
        <v>41</v>
      </c>
      <c r="F2388" t="s">
        <v>35</v>
      </c>
      <c r="G2388" t="s">
        <v>36</v>
      </c>
      <c r="H2388">
        <v>2</v>
      </c>
      <c r="I2388" t="s">
        <v>132</v>
      </c>
      <c r="J2388" t="s">
        <v>133</v>
      </c>
      <c r="K2388" t="s">
        <v>37</v>
      </c>
      <c r="L2388" t="s">
        <v>30</v>
      </c>
      <c r="M2388" t="s">
        <v>22</v>
      </c>
    </row>
    <row r="2389" spans="1:13" x14ac:dyDescent="0.35">
      <c r="A2389" t="s">
        <v>3851</v>
      </c>
      <c r="B2389" s="9">
        <v>46060</v>
      </c>
      <c r="C2389" t="s">
        <v>1792</v>
      </c>
      <c r="D2389" t="s">
        <v>15</v>
      </c>
      <c r="E2389" t="s">
        <v>16</v>
      </c>
      <c r="F2389" t="s">
        <v>89</v>
      </c>
      <c r="G2389" t="s">
        <v>90</v>
      </c>
      <c r="H2389">
        <v>1</v>
      </c>
      <c r="I2389" t="s">
        <v>79</v>
      </c>
      <c r="J2389" t="s">
        <v>251</v>
      </c>
      <c r="K2389">
        <v>640</v>
      </c>
      <c r="L2389" t="s">
        <v>30</v>
      </c>
      <c r="M2389" t="s">
        <v>22</v>
      </c>
    </row>
    <row r="2390" spans="1:13" x14ac:dyDescent="0.35">
      <c r="A2390" t="s">
        <v>3852</v>
      </c>
      <c r="B2390" s="9">
        <v>46100</v>
      </c>
      <c r="C2390" t="s">
        <v>1428</v>
      </c>
      <c r="D2390" t="s">
        <v>116</v>
      </c>
      <c r="E2390" t="s">
        <v>67</v>
      </c>
      <c r="F2390" t="s">
        <v>83</v>
      </c>
      <c r="G2390" t="s">
        <v>84</v>
      </c>
      <c r="H2390">
        <v>3</v>
      </c>
      <c r="I2390" t="s">
        <v>79</v>
      </c>
      <c r="J2390" t="s">
        <v>91</v>
      </c>
      <c r="K2390">
        <v>340</v>
      </c>
      <c r="L2390" t="s">
        <v>30</v>
      </c>
      <c r="M2390" t="s">
        <v>22</v>
      </c>
    </row>
    <row r="2391" spans="1:13" x14ac:dyDescent="0.35">
      <c r="A2391" t="s">
        <v>3853</v>
      </c>
      <c r="B2391" s="9">
        <v>46043</v>
      </c>
      <c r="C2391" t="s">
        <v>840</v>
      </c>
      <c r="D2391" t="s">
        <v>61</v>
      </c>
      <c r="E2391" t="s">
        <v>41</v>
      </c>
      <c r="F2391" t="s">
        <v>17</v>
      </c>
      <c r="G2391" t="s">
        <v>18</v>
      </c>
      <c r="H2391">
        <v>1</v>
      </c>
      <c r="I2391" t="s">
        <v>56</v>
      </c>
      <c r="J2391" t="s">
        <v>56</v>
      </c>
      <c r="K2391">
        <v>520</v>
      </c>
      <c r="L2391" t="s">
        <v>30</v>
      </c>
      <c r="M2391" t="s">
        <v>22</v>
      </c>
    </row>
    <row r="2392" spans="1:13" x14ac:dyDescent="0.35">
      <c r="A2392" t="s">
        <v>3854</v>
      </c>
      <c r="B2392" s="9">
        <v>46050</v>
      </c>
      <c r="C2392" t="s">
        <v>3454</v>
      </c>
      <c r="D2392" t="s">
        <v>46</v>
      </c>
      <c r="E2392" t="s">
        <v>34</v>
      </c>
      <c r="F2392" t="s">
        <v>26</v>
      </c>
      <c r="G2392" t="s">
        <v>27</v>
      </c>
      <c r="H2392">
        <v>2</v>
      </c>
      <c r="I2392" t="s">
        <v>56</v>
      </c>
      <c r="J2392" t="s">
        <v>193</v>
      </c>
      <c r="K2392">
        <v>520</v>
      </c>
      <c r="L2392" t="s">
        <v>30</v>
      </c>
      <c r="M2392" t="s">
        <v>22</v>
      </c>
    </row>
    <row r="2393" spans="1:13" x14ac:dyDescent="0.35">
      <c r="A2393" t="s">
        <v>3855</v>
      </c>
      <c r="B2393" s="9">
        <v>46175</v>
      </c>
      <c r="C2393" t="s">
        <v>3092</v>
      </c>
      <c r="D2393" t="s">
        <v>94</v>
      </c>
      <c r="E2393" t="s">
        <v>67</v>
      </c>
      <c r="F2393" t="s">
        <v>42</v>
      </c>
      <c r="G2393" t="s">
        <v>43</v>
      </c>
      <c r="H2393">
        <v>3</v>
      </c>
      <c r="I2393" t="s">
        <v>254</v>
      </c>
      <c r="J2393" t="s">
        <v>390</v>
      </c>
      <c r="K2393" t="s">
        <v>111</v>
      </c>
      <c r="L2393" t="s">
        <v>21</v>
      </c>
      <c r="M2393" t="s">
        <v>22</v>
      </c>
    </row>
    <row r="2394" spans="1:13" x14ac:dyDescent="0.35">
      <c r="A2394" t="s">
        <v>3856</v>
      </c>
      <c r="B2394" s="9">
        <v>46151</v>
      </c>
      <c r="C2394" t="s">
        <v>3857</v>
      </c>
      <c r="D2394" t="s">
        <v>94</v>
      </c>
      <c r="E2394" t="s">
        <v>34</v>
      </c>
      <c r="F2394" t="s">
        <v>42</v>
      </c>
      <c r="G2394" t="s">
        <v>43</v>
      </c>
      <c r="H2394">
        <v>1</v>
      </c>
      <c r="I2394" t="s">
        <v>106</v>
      </c>
      <c r="J2394" t="s">
        <v>106</v>
      </c>
      <c r="K2394" t="s">
        <v>111</v>
      </c>
      <c r="L2394" t="s">
        <v>30</v>
      </c>
      <c r="M2394" t="s">
        <v>22</v>
      </c>
    </row>
    <row r="2395" spans="1:13" x14ac:dyDescent="0.35">
      <c r="A2395" t="s">
        <v>3858</v>
      </c>
      <c r="B2395" s="9">
        <v>46106</v>
      </c>
      <c r="C2395" t="s">
        <v>746</v>
      </c>
      <c r="D2395" t="s">
        <v>66</v>
      </c>
      <c r="E2395" t="s">
        <v>34</v>
      </c>
      <c r="F2395" t="s">
        <v>35</v>
      </c>
      <c r="G2395" t="s">
        <v>36</v>
      </c>
      <c r="H2395">
        <v>1</v>
      </c>
      <c r="I2395" t="s">
        <v>132</v>
      </c>
      <c r="J2395" t="s">
        <v>132</v>
      </c>
      <c r="K2395">
        <v>85</v>
      </c>
      <c r="L2395" t="s">
        <v>21</v>
      </c>
      <c r="M2395" t="s">
        <v>58</v>
      </c>
    </row>
    <row r="2396" spans="1:13" x14ac:dyDescent="0.35">
      <c r="A2396" t="s">
        <v>3859</v>
      </c>
      <c r="B2396" s="9">
        <v>46088</v>
      </c>
      <c r="C2396" t="s">
        <v>2754</v>
      </c>
      <c r="D2396" t="s">
        <v>53</v>
      </c>
      <c r="E2396" t="s">
        <v>41</v>
      </c>
      <c r="F2396" t="s">
        <v>35</v>
      </c>
      <c r="G2396" t="s">
        <v>36</v>
      </c>
      <c r="H2396">
        <v>1</v>
      </c>
      <c r="I2396" t="s">
        <v>102</v>
      </c>
      <c r="J2396" t="s">
        <v>102</v>
      </c>
      <c r="K2396">
        <v>85</v>
      </c>
      <c r="L2396" t="s">
        <v>30</v>
      </c>
      <c r="M2396" t="s">
        <v>58</v>
      </c>
    </row>
    <row r="2397" spans="1:13" x14ac:dyDescent="0.35">
      <c r="A2397" t="s">
        <v>3860</v>
      </c>
      <c r="B2397" s="9">
        <v>46040</v>
      </c>
      <c r="C2397" t="s">
        <v>2452</v>
      </c>
      <c r="D2397" t="s">
        <v>46</v>
      </c>
      <c r="E2397" t="s">
        <v>34</v>
      </c>
      <c r="F2397" t="s">
        <v>26</v>
      </c>
      <c r="G2397" t="s">
        <v>27</v>
      </c>
      <c r="H2397">
        <v>2</v>
      </c>
      <c r="I2397" t="s">
        <v>106</v>
      </c>
      <c r="J2397" t="s">
        <v>107</v>
      </c>
      <c r="K2397">
        <v>520</v>
      </c>
      <c r="L2397" t="s">
        <v>30</v>
      </c>
      <c r="M2397" t="s">
        <v>58</v>
      </c>
    </row>
    <row r="2398" spans="1:13" x14ac:dyDescent="0.35">
      <c r="A2398" t="s">
        <v>3861</v>
      </c>
      <c r="B2398" s="9">
        <v>46099</v>
      </c>
      <c r="C2398" t="s">
        <v>3862</v>
      </c>
      <c r="D2398" t="s">
        <v>94</v>
      </c>
      <c r="E2398" t="s">
        <v>41</v>
      </c>
      <c r="F2398" t="s">
        <v>17</v>
      </c>
      <c r="G2398" t="s">
        <v>18</v>
      </c>
      <c r="H2398">
        <v>1</v>
      </c>
      <c r="I2398" t="s">
        <v>102</v>
      </c>
      <c r="J2398" t="s">
        <v>102</v>
      </c>
      <c r="K2398">
        <v>520</v>
      </c>
      <c r="L2398" t="s">
        <v>21</v>
      </c>
      <c r="M2398" t="s">
        <v>22</v>
      </c>
    </row>
    <row r="2399" spans="1:13" x14ac:dyDescent="0.35">
      <c r="A2399" t="s">
        <v>3863</v>
      </c>
      <c r="B2399" s="9">
        <v>46180</v>
      </c>
      <c r="C2399" t="s">
        <v>3517</v>
      </c>
      <c r="D2399" t="s">
        <v>66</v>
      </c>
      <c r="E2399" t="s">
        <v>41</v>
      </c>
      <c r="F2399" t="s">
        <v>26</v>
      </c>
      <c r="G2399" t="s">
        <v>27</v>
      </c>
      <c r="H2399">
        <v>3</v>
      </c>
      <c r="I2399" t="s">
        <v>28</v>
      </c>
      <c r="J2399" t="s">
        <v>568</v>
      </c>
      <c r="K2399" t="s">
        <v>29</v>
      </c>
      <c r="L2399" t="s">
        <v>21</v>
      </c>
      <c r="M2399" t="s">
        <v>22</v>
      </c>
    </row>
    <row r="2400" spans="1:13" x14ac:dyDescent="0.35">
      <c r="A2400" t="s">
        <v>3864</v>
      </c>
      <c r="B2400" s="9">
        <v>46164</v>
      </c>
      <c r="C2400" t="s">
        <v>340</v>
      </c>
      <c r="D2400" t="s">
        <v>33</v>
      </c>
      <c r="E2400" t="s">
        <v>34</v>
      </c>
      <c r="F2400" t="s">
        <v>83</v>
      </c>
      <c r="G2400" t="s">
        <v>84</v>
      </c>
      <c r="H2400">
        <v>2</v>
      </c>
      <c r="I2400" t="s">
        <v>106</v>
      </c>
      <c r="J2400" t="s">
        <v>2026</v>
      </c>
      <c r="K2400" t="s">
        <v>103</v>
      </c>
      <c r="L2400" t="s">
        <v>30</v>
      </c>
      <c r="M2400" t="s">
        <v>22</v>
      </c>
    </row>
    <row r="2401" spans="1:13" x14ac:dyDescent="0.35">
      <c r="A2401" t="s">
        <v>3865</v>
      </c>
      <c r="B2401" t="s">
        <v>3360</v>
      </c>
      <c r="C2401" t="s">
        <v>892</v>
      </c>
      <c r="D2401" t="s">
        <v>99</v>
      </c>
      <c r="E2401" t="s">
        <v>25</v>
      </c>
      <c r="F2401" t="s">
        <v>17</v>
      </c>
      <c r="G2401" t="s">
        <v>18</v>
      </c>
      <c r="H2401">
        <v>1</v>
      </c>
      <c r="I2401" t="s">
        <v>19</v>
      </c>
      <c r="J2401" t="s">
        <v>19</v>
      </c>
      <c r="K2401" t="s">
        <v>29</v>
      </c>
      <c r="L2401" t="s">
        <v>30</v>
      </c>
      <c r="M2401" t="s">
        <v>22</v>
      </c>
    </row>
    <row r="2402" spans="1:13" x14ac:dyDescent="0.35">
      <c r="A2402" t="s">
        <v>3866</v>
      </c>
      <c r="B2402" s="9">
        <v>46076</v>
      </c>
      <c r="C2402" t="s">
        <v>790</v>
      </c>
      <c r="D2402" t="s">
        <v>33</v>
      </c>
      <c r="E2402" t="s">
        <v>34</v>
      </c>
      <c r="F2402" t="s">
        <v>83</v>
      </c>
      <c r="G2402" t="s">
        <v>84</v>
      </c>
      <c r="H2402">
        <v>3</v>
      </c>
      <c r="I2402" t="s">
        <v>19</v>
      </c>
      <c r="J2402" t="s">
        <v>326</v>
      </c>
      <c r="K2402">
        <v>340</v>
      </c>
      <c r="L2402" t="s">
        <v>30</v>
      </c>
      <c r="M2402" t="s">
        <v>58</v>
      </c>
    </row>
    <row r="2403" spans="1:13" x14ac:dyDescent="0.35">
      <c r="A2403" t="s">
        <v>3867</v>
      </c>
      <c r="B2403" s="9">
        <v>46104</v>
      </c>
      <c r="C2403" t="s">
        <v>451</v>
      </c>
      <c r="D2403" t="s">
        <v>40</v>
      </c>
      <c r="E2403" t="s">
        <v>41</v>
      </c>
      <c r="F2403" t="s">
        <v>26</v>
      </c>
      <c r="G2403" t="s">
        <v>27</v>
      </c>
      <c r="H2403">
        <v>2</v>
      </c>
      <c r="I2403" t="s">
        <v>102</v>
      </c>
      <c r="J2403" t="s">
        <v>181</v>
      </c>
      <c r="K2403">
        <v>520</v>
      </c>
      <c r="L2403" t="s">
        <v>30</v>
      </c>
      <c r="M2403" t="s">
        <v>22</v>
      </c>
    </row>
    <row r="2404" spans="1:13" x14ac:dyDescent="0.35">
      <c r="A2404" t="s">
        <v>3868</v>
      </c>
      <c r="B2404" s="9">
        <v>46163</v>
      </c>
      <c r="C2404" t="s">
        <v>3869</v>
      </c>
      <c r="D2404" t="s">
        <v>46</v>
      </c>
      <c r="E2404" t="s">
        <v>34</v>
      </c>
      <c r="F2404" t="s">
        <v>83</v>
      </c>
      <c r="G2404" t="s">
        <v>84</v>
      </c>
      <c r="H2404">
        <v>1</v>
      </c>
      <c r="I2404" t="s">
        <v>19</v>
      </c>
      <c r="J2404" t="s">
        <v>19</v>
      </c>
      <c r="K2404" t="s">
        <v>103</v>
      </c>
      <c r="L2404" t="s">
        <v>30</v>
      </c>
      <c r="M2404" t="s">
        <v>22</v>
      </c>
    </row>
    <row r="2405" spans="1:13" x14ac:dyDescent="0.35">
      <c r="A2405" t="s">
        <v>3870</v>
      </c>
      <c r="B2405" s="9">
        <v>46115</v>
      </c>
      <c r="C2405" t="s">
        <v>1792</v>
      </c>
      <c r="D2405" t="s">
        <v>116</v>
      </c>
      <c r="E2405" t="s">
        <v>16</v>
      </c>
      <c r="F2405" t="s">
        <v>26</v>
      </c>
      <c r="G2405" t="s">
        <v>27</v>
      </c>
      <c r="H2405">
        <v>3</v>
      </c>
      <c r="I2405" t="s">
        <v>28</v>
      </c>
      <c r="J2405" t="s">
        <v>568</v>
      </c>
      <c r="K2405">
        <v>520</v>
      </c>
      <c r="L2405" t="s">
        <v>30</v>
      </c>
      <c r="M2405" t="s">
        <v>22</v>
      </c>
    </row>
    <row r="2406" spans="1:13" x14ac:dyDescent="0.35">
      <c r="A2406" t="s">
        <v>3871</v>
      </c>
      <c r="B2406" s="9">
        <v>46044</v>
      </c>
      <c r="C2406" t="s">
        <v>1682</v>
      </c>
      <c r="D2406" t="s">
        <v>94</v>
      </c>
      <c r="E2406" t="s">
        <v>16</v>
      </c>
      <c r="F2406" t="s">
        <v>89</v>
      </c>
      <c r="G2406" t="s">
        <v>90</v>
      </c>
      <c r="H2406">
        <v>1</v>
      </c>
      <c r="I2406" t="s">
        <v>132</v>
      </c>
      <c r="J2406" t="s">
        <v>132</v>
      </c>
      <c r="K2406">
        <v>640</v>
      </c>
      <c r="L2406" t="s">
        <v>21</v>
      </c>
      <c r="M2406" t="s">
        <v>22</v>
      </c>
    </row>
    <row r="2407" spans="1:13" x14ac:dyDescent="0.35">
      <c r="A2407" t="s">
        <v>3872</v>
      </c>
      <c r="B2407" s="9">
        <v>46085</v>
      </c>
      <c r="C2407" t="s">
        <v>3873</v>
      </c>
      <c r="D2407" t="s">
        <v>46</v>
      </c>
      <c r="E2407" t="s">
        <v>41</v>
      </c>
      <c r="F2407" t="s">
        <v>47</v>
      </c>
      <c r="G2407" t="s">
        <v>48</v>
      </c>
      <c r="H2407">
        <v>1</v>
      </c>
      <c r="I2407" t="s">
        <v>49</v>
      </c>
      <c r="J2407" t="s">
        <v>49</v>
      </c>
      <c r="K2407">
        <v>380</v>
      </c>
      <c r="L2407" t="s">
        <v>30</v>
      </c>
      <c r="M2407" t="s">
        <v>58</v>
      </c>
    </row>
    <row r="2408" spans="1:13" x14ac:dyDescent="0.35">
      <c r="A2408" t="s">
        <v>3874</v>
      </c>
      <c r="B2408" s="9">
        <v>46071</v>
      </c>
      <c r="C2408" t="s">
        <v>3875</v>
      </c>
      <c r="D2408" t="s">
        <v>61</v>
      </c>
      <c r="E2408" t="s">
        <v>34</v>
      </c>
      <c r="F2408" t="s">
        <v>47</v>
      </c>
      <c r="G2408" t="s">
        <v>48</v>
      </c>
      <c r="H2408">
        <v>1</v>
      </c>
      <c r="I2408" t="s">
        <v>136</v>
      </c>
      <c r="J2408" t="s">
        <v>136</v>
      </c>
      <c r="K2408">
        <v>380</v>
      </c>
      <c r="L2408" t="s">
        <v>30</v>
      </c>
      <c r="M2408" t="s">
        <v>22</v>
      </c>
    </row>
    <row r="2409" spans="1:13" x14ac:dyDescent="0.35">
      <c r="A2409" t="s">
        <v>3876</v>
      </c>
      <c r="B2409" s="9">
        <v>46138</v>
      </c>
      <c r="C2409" t="s">
        <v>2534</v>
      </c>
      <c r="D2409" t="s">
        <v>53</v>
      </c>
      <c r="E2409" t="s">
        <v>16</v>
      </c>
      <c r="F2409" t="s">
        <v>26</v>
      </c>
      <c r="G2409" t="s">
        <v>27</v>
      </c>
      <c r="H2409">
        <v>3</v>
      </c>
      <c r="I2409" t="s">
        <v>79</v>
      </c>
      <c r="J2409" t="s">
        <v>91</v>
      </c>
      <c r="K2409" t="s">
        <v>29</v>
      </c>
      <c r="L2409" t="s">
        <v>30</v>
      </c>
      <c r="M2409" t="s">
        <v>22</v>
      </c>
    </row>
    <row r="2410" spans="1:13" x14ac:dyDescent="0.35">
      <c r="A2410" t="s">
        <v>3877</v>
      </c>
      <c r="B2410" s="9">
        <v>46080</v>
      </c>
      <c r="C2410" t="s">
        <v>2153</v>
      </c>
      <c r="D2410" t="s">
        <v>46</v>
      </c>
      <c r="E2410" t="s">
        <v>41</v>
      </c>
      <c r="F2410" t="s">
        <v>17</v>
      </c>
      <c r="G2410" t="s">
        <v>18</v>
      </c>
      <c r="H2410">
        <v>1</v>
      </c>
      <c r="I2410" t="s">
        <v>106</v>
      </c>
      <c r="J2410" t="s">
        <v>106</v>
      </c>
      <c r="K2410">
        <v>520</v>
      </c>
      <c r="L2410" t="s">
        <v>21</v>
      </c>
      <c r="M2410" t="s">
        <v>22</v>
      </c>
    </row>
    <row r="2411" spans="1:13" x14ac:dyDescent="0.35">
      <c r="A2411" t="s">
        <v>3878</v>
      </c>
      <c r="B2411" s="9">
        <v>46116</v>
      </c>
      <c r="C2411" t="s">
        <v>3123</v>
      </c>
      <c r="D2411" t="s">
        <v>61</v>
      </c>
      <c r="E2411" t="s">
        <v>34</v>
      </c>
      <c r="F2411" t="s">
        <v>83</v>
      </c>
      <c r="G2411" t="s">
        <v>84</v>
      </c>
      <c r="H2411">
        <v>1</v>
      </c>
      <c r="I2411" t="s">
        <v>254</v>
      </c>
      <c r="J2411" t="s">
        <v>254</v>
      </c>
      <c r="K2411">
        <v>340</v>
      </c>
      <c r="L2411" t="s">
        <v>30</v>
      </c>
      <c r="M2411" t="s">
        <v>22</v>
      </c>
    </row>
    <row r="2412" spans="1:13" x14ac:dyDescent="0.35">
      <c r="A2412" t="s">
        <v>3879</v>
      </c>
      <c r="B2412" s="9">
        <v>46083</v>
      </c>
      <c r="C2412" t="s">
        <v>739</v>
      </c>
      <c r="D2412" t="s">
        <v>99</v>
      </c>
      <c r="E2412" t="s">
        <v>16</v>
      </c>
      <c r="F2412" t="s">
        <v>35</v>
      </c>
      <c r="G2412" t="s">
        <v>36</v>
      </c>
      <c r="H2412">
        <v>3</v>
      </c>
      <c r="I2412" t="s">
        <v>62</v>
      </c>
      <c r="J2412" t="s">
        <v>488</v>
      </c>
      <c r="K2412">
        <v>85</v>
      </c>
      <c r="L2412" t="s">
        <v>30</v>
      </c>
      <c r="M2412" t="s">
        <v>22</v>
      </c>
    </row>
    <row r="2413" spans="1:13" x14ac:dyDescent="0.35">
      <c r="A2413" t="s">
        <v>3880</v>
      </c>
      <c r="B2413" s="9">
        <v>46053</v>
      </c>
      <c r="C2413" t="s">
        <v>1407</v>
      </c>
      <c r="D2413" t="s">
        <v>116</v>
      </c>
      <c r="E2413" t="s">
        <v>34</v>
      </c>
      <c r="F2413" t="s">
        <v>17</v>
      </c>
      <c r="G2413" t="s">
        <v>18</v>
      </c>
      <c r="H2413">
        <v>3</v>
      </c>
      <c r="I2413" t="s">
        <v>132</v>
      </c>
      <c r="J2413" t="s">
        <v>232</v>
      </c>
      <c r="K2413">
        <v>520</v>
      </c>
      <c r="L2413" t="s">
        <v>30</v>
      </c>
      <c r="M2413" t="s">
        <v>22</v>
      </c>
    </row>
    <row r="2414" spans="1:13" x14ac:dyDescent="0.35">
      <c r="A2414" t="s">
        <v>3881</v>
      </c>
      <c r="B2414" s="9">
        <v>46085</v>
      </c>
      <c r="C2414" t="s">
        <v>3882</v>
      </c>
      <c r="D2414" t="s">
        <v>40</v>
      </c>
      <c r="E2414" t="s">
        <v>16</v>
      </c>
      <c r="F2414" t="s">
        <v>17</v>
      </c>
      <c r="G2414" t="s">
        <v>18</v>
      </c>
      <c r="H2414">
        <v>1</v>
      </c>
      <c r="I2414" t="s">
        <v>132</v>
      </c>
      <c r="J2414" t="s">
        <v>132</v>
      </c>
      <c r="K2414">
        <v>520</v>
      </c>
      <c r="L2414" t="s">
        <v>30</v>
      </c>
      <c r="M2414" t="s">
        <v>22</v>
      </c>
    </row>
    <row r="2415" spans="1:13" x14ac:dyDescent="0.35">
      <c r="A2415" t="s">
        <v>3883</v>
      </c>
      <c r="B2415" s="9">
        <v>46106</v>
      </c>
      <c r="C2415" t="s">
        <v>694</v>
      </c>
      <c r="D2415" t="s">
        <v>40</v>
      </c>
      <c r="E2415" t="s">
        <v>25</v>
      </c>
      <c r="F2415" t="s">
        <v>47</v>
      </c>
      <c r="G2415" t="s">
        <v>48</v>
      </c>
      <c r="H2415">
        <v>3</v>
      </c>
      <c r="I2415" t="s">
        <v>68</v>
      </c>
      <c r="J2415" t="s">
        <v>205</v>
      </c>
      <c r="K2415">
        <v>380</v>
      </c>
      <c r="L2415" t="s">
        <v>30</v>
      </c>
      <c r="M2415" t="s">
        <v>58</v>
      </c>
    </row>
    <row r="2416" spans="1:13" x14ac:dyDescent="0.35">
      <c r="A2416" t="s">
        <v>3884</v>
      </c>
      <c r="B2416" s="9">
        <v>46131</v>
      </c>
      <c r="C2416" t="s">
        <v>344</v>
      </c>
      <c r="D2416" t="s">
        <v>66</v>
      </c>
      <c r="E2416" t="s">
        <v>67</v>
      </c>
      <c r="F2416" t="s">
        <v>35</v>
      </c>
      <c r="G2416" t="s">
        <v>36</v>
      </c>
      <c r="H2416">
        <v>2</v>
      </c>
      <c r="I2416" t="s">
        <v>71</v>
      </c>
      <c r="J2416" t="s">
        <v>286</v>
      </c>
      <c r="K2416">
        <v>85</v>
      </c>
      <c r="L2416" t="s">
        <v>21</v>
      </c>
      <c r="M2416" t="s">
        <v>22</v>
      </c>
    </row>
    <row r="2417" spans="1:13" x14ac:dyDescent="0.35">
      <c r="A2417" t="s">
        <v>3885</v>
      </c>
      <c r="B2417" s="9">
        <v>46177</v>
      </c>
      <c r="C2417" t="s">
        <v>3886</v>
      </c>
      <c r="D2417" t="s">
        <v>46</v>
      </c>
      <c r="E2417" t="s">
        <v>41</v>
      </c>
      <c r="F2417" t="s">
        <v>47</v>
      </c>
      <c r="G2417" t="s">
        <v>48</v>
      </c>
      <c r="H2417">
        <v>2</v>
      </c>
      <c r="I2417" t="s">
        <v>220</v>
      </c>
      <c r="J2417" t="s">
        <v>221</v>
      </c>
      <c r="K2417" t="s">
        <v>50</v>
      </c>
      <c r="L2417" t="s">
        <v>30</v>
      </c>
      <c r="M2417" t="s">
        <v>22</v>
      </c>
    </row>
    <row r="2418" spans="1:13" x14ac:dyDescent="0.35">
      <c r="A2418" t="s">
        <v>3887</v>
      </c>
      <c r="B2418" s="9">
        <v>46152</v>
      </c>
      <c r="C2418" t="s">
        <v>3888</v>
      </c>
      <c r="D2418" t="s">
        <v>53</v>
      </c>
      <c r="E2418" t="s">
        <v>34</v>
      </c>
      <c r="F2418" t="s">
        <v>74</v>
      </c>
      <c r="G2418" t="s">
        <v>75</v>
      </c>
      <c r="H2418">
        <v>1</v>
      </c>
      <c r="I2418" t="s">
        <v>132</v>
      </c>
      <c r="J2418" t="s">
        <v>132</v>
      </c>
      <c r="K2418" t="s">
        <v>76</v>
      </c>
      <c r="L2418" t="s">
        <v>30</v>
      </c>
      <c r="M2418" t="s">
        <v>58</v>
      </c>
    </row>
    <row r="2419" spans="1:13" x14ac:dyDescent="0.35">
      <c r="A2419" t="s">
        <v>3889</v>
      </c>
      <c r="B2419" s="9">
        <v>46144</v>
      </c>
      <c r="C2419" t="s">
        <v>204</v>
      </c>
      <c r="D2419" t="s">
        <v>116</v>
      </c>
      <c r="E2419" t="s">
        <v>25</v>
      </c>
      <c r="F2419" t="s">
        <v>89</v>
      </c>
      <c r="G2419" t="s">
        <v>90</v>
      </c>
      <c r="H2419">
        <v>2</v>
      </c>
      <c r="I2419" t="s">
        <v>102</v>
      </c>
      <c r="J2419" t="s">
        <v>181</v>
      </c>
      <c r="K2419" t="s">
        <v>108</v>
      </c>
      <c r="L2419" t="s">
        <v>21</v>
      </c>
      <c r="M2419" t="s">
        <v>22</v>
      </c>
    </row>
    <row r="2420" spans="1:13" x14ac:dyDescent="0.35">
      <c r="A2420" t="s">
        <v>3890</v>
      </c>
      <c r="B2420" s="9">
        <v>46033</v>
      </c>
      <c r="C2420" t="s">
        <v>483</v>
      </c>
      <c r="D2420" t="s">
        <v>33</v>
      </c>
      <c r="E2420" t="s">
        <v>34</v>
      </c>
      <c r="F2420" t="s">
        <v>47</v>
      </c>
      <c r="G2420" t="s">
        <v>48</v>
      </c>
      <c r="H2420">
        <v>2</v>
      </c>
      <c r="I2420" t="s">
        <v>68</v>
      </c>
      <c r="J2420" t="s">
        <v>248</v>
      </c>
      <c r="K2420">
        <v>380</v>
      </c>
      <c r="L2420" t="s">
        <v>30</v>
      </c>
      <c r="M2420" t="s">
        <v>58</v>
      </c>
    </row>
    <row r="2421" spans="1:13" x14ac:dyDescent="0.35">
      <c r="A2421" t="s">
        <v>3891</v>
      </c>
      <c r="B2421" s="9">
        <v>46087</v>
      </c>
      <c r="C2421" t="s">
        <v>1191</v>
      </c>
      <c r="D2421" t="s">
        <v>99</v>
      </c>
      <c r="E2421" t="s">
        <v>67</v>
      </c>
      <c r="F2421" t="s">
        <v>42</v>
      </c>
      <c r="G2421" t="s">
        <v>43</v>
      </c>
      <c r="H2421">
        <v>2</v>
      </c>
      <c r="I2421" t="s">
        <v>170</v>
      </c>
      <c r="J2421" t="s">
        <v>1573</v>
      </c>
      <c r="K2421">
        <v>190</v>
      </c>
      <c r="L2421" t="s">
        <v>30</v>
      </c>
      <c r="M2421" t="s">
        <v>58</v>
      </c>
    </row>
    <row r="2422" spans="1:13" x14ac:dyDescent="0.35">
      <c r="A2422" t="s">
        <v>3892</v>
      </c>
      <c r="B2422" s="9">
        <v>46125</v>
      </c>
      <c r="C2422" t="s">
        <v>2602</v>
      </c>
      <c r="D2422" t="s">
        <v>99</v>
      </c>
      <c r="E2422" t="s">
        <v>41</v>
      </c>
      <c r="F2422" t="s">
        <v>35</v>
      </c>
      <c r="G2422" t="s">
        <v>36</v>
      </c>
      <c r="H2422">
        <v>2</v>
      </c>
      <c r="I2422" t="s">
        <v>136</v>
      </c>
      <c r="J2422" t="s">
        <v>164</v>
      </c>
      <c r="K2422">
        <v>85</v>
      </c>
      <c r="L2422" t="s">
        <v>30</v>
      </c>
      <c r="M2422" t="s">
        <v>58</v>
      </c>
    </row>
    <row r="2423" spans="1:13" x14ac:dyDescent="0.35">
      <c r="A2423" t="s">
        <v>3893</v>
      </c>
      <c r="B2423" t="s">
        <v>582</v>
      </c>
      <c r="C2423" t="s">
        <v>3164</v>
      </c>
      <c r="D2423" t="s">
        <v>61</v>
      </c>
      <c r="E2423" t="s">
        <v>41</v>
      </c>
      <c r="F2423" t="s">
        <v>42</v>
      </c>
      <c r="G2423" t="s">
        <v>43</v>
      </c>
      <c r="H2423">
        <v>3</v>
      </c>
      <c r="I2423" t="s">
        <v>79</v>
      </c>
      <c r="J2423" t="s">
        <v>91</v>
      </c>
      <c r="K2423" t="s">
        <v>111</v>
      </c>
      <c r="L2423" t="s">
        <v>30</v>
      </c>
      <c r="M2423" t="s">
        <v>22</v>
      </c>
    </row>
    <row r="2424" spans="1:13" x14ac:dyDescent="0.35">
      <c r="A2424" t="s">
        <v>3894</v>
      </c>
      <c r="B2424" s="9">
        <v>46192</v>
      </c>
      <c r="C2424" t="s">
        <v>337</v>
      </c>
      <c r="D2424" t="s">
        <v>46</v>
      </c>
      <c r="E2424" t="s">
        <v>34</v>
      </c>
      <c r="F2424" t="s">
        <v>35</v>
      </c>
      <c r="G2424" t="s">
        <v>36</v>
      </c>
      <c r="H2424">
        <v>1</v>
      </c>
      <c r="I2424" t="s">
        <v>79</v>
      </c>
      <c r="J2424" t="s">
        <v>79</v>
      </c>
      <c r="K2424" t="s">
        <v>37</v>
      </c>
      <c r="L2424" t="s">
        <v>30</v>
      </c>
      <c r="M2424" t="s">
        <v>22</v>
      </c>
    </row>
    <row r="2425" spans="1:13" x14ac:dyDescent="0.35">
      <c r="A2425" t="s">
        <v>3895</v>
      </c>
      <c r="B2425" s="9">
        <v>46200</v>
      </c>
      <c r="C2425" t="s">
        <v>1570</v>
      </c>
      <c r="D2425" t="s">
        <v>99</v>
      </c>
      <c r="E2425" t="s">
        <v>25</v>
      </c>
      <c r="F2425" t="s">
        <v>89</v>
      </c>
      <c r="G2425" t="s">
        <v>90</v>
      </c>
      <c r="H2425">
        <v>1</v>
      </c>
      <c r="I2425" t="s">
        <v>19</v>
      </c>
      <c r="J2425" t="s">
        <v>19</v>
      </c>
      <c r="K2425" t="s">
        <v>108</v>
      </c>
      <c r="L2425" t="s">
        <v>30</v>
      </c>
      <c r="M2425" t="s">
        <v>22</v>
      </c>
    </row>
    <row r="2426" spans="1:13" x14ac:dyDescent="0.35">
      <c r="A2426" t="s">
        <v>3896</v>
      </c>
      <c r="B2426" s="9">
        <v>46155</v>
      </c>
      <c r="C2426" t="s">
        <v>354</v>
      </c>
      <c r="D2426" t="s">
        <v>94</v>
      </c>
      <c r="E2426" t="s">
        <v>41</v>
      </c>
      <c r="F2426" t="s">
        <v>35</v>
      </c>
      <c r="G2426" t="s">
        <v>36</v>
      </c>
      <c r="H2426">
        <v>2</v>
      </c>
      <c r="I2426" t="s">
        <v>62</v>
      </c>
      <c r="J2426" t="s">
        <v>63</v>
      </c>
      <c r="K2426" t="s">
        <v>37</v>
      </c>
      <c r="L2426" t="s">
        <v>30</v>
      </c>
      <c r="M2426" t="s">
        <v>58</v>
      </c>
    </row>
    <row r="2427" spans="1:13" x14ac:dyDescent="0.35">
      <c r="A2427" t="s">
        <v>3897</v>
      </c>
      <c r="B2427" t="s">
        <v>322</v>
      </c>
      <c r="C2427" t="s">
        <v>2374</v>
      </c>
      <c r="D2427" t="s">
        <v>61</v>
      </c>
      <c r="E2427" t="s">
        <v>67</v>
      </c>
      <c r="F2427" t="s">
        <v>74</v>
      </c>
      <c r="G2427" t="s">
        <v>75</v>
      </c>
      <c r="H2427">
        <v>1</v>
      </c>
      <c r="I2427" t="s">
        <v>758</v>
      </c>
      <c r="J2427" t="s">
        <v>49</v>
      </c>
      <c r="K2427">
        <v>410</v>
      </c>
      <c r="L2427" t="s">
        <v>21</v>
      </c>
      <c r="M2427" t="s">
        <v>22</v>
      </c>
    </row>
    <row r="2428" spans="1:13" x14ac:dyDescent="0.35">
      <c r="A2428" t="s">
        <v>3898</v>
      </c>
      <c r="B2428" s="9">
        <v>46115</v>
      </c>
      <c r="C2428" t="s">
        <v>3899</v>
      </c>
      <c r="D2428" t="s">
        <v>40</v>
      </c>
      <c r="E2428" t="s">
        <v>16</v>
      </c>
      <c r="F2428" t="s">
        <v>47</v>
      </c>
      <c r="G2428" t="s">
        <v>48</v>
      </c>
      <c r="H2428">
        <v>2</v>
      </c>
      <c r="I2428" t="s">
        <v>68</v>
      </c>
      <c r="J2428" t="s">
        <v>248</v>
      </c>
      <c r="K2428">
        <v>380</v>
      </c>
      <c r="L2428" t="s">
        <v>30</v>
      </c>
      <c r="M2428" t="s">
        <v>22</v>
      </c>
    </row>
    <row r="2429" spans="1:13" x14ac:dyDescent="0.35">
      <c r="A2429" t="s">
        <v>3900</v>
      </c>
      <c r="B2429" s="9">
        <v>46297</v>
      </c>
      <c r="C2429" t="s">
        <v>459</v>
      </c>
      <c r="D2429" t="s">
        <v>46</v>
      </c>
      <c r="E2429" t="s">
        <v>41</v>
      </c>
      <c r="F2429" t="s">
        <v>74</v>
      </c>
      <c r="G2429" t="s">
        <v>75</v>
      </c>
      <c r="H2429">
        <v>2</v>
      </c>
      <c r="I2429" t="s">
        <v>106</v>
      </c>
      <c r="J2429" t="s">
        <v>107</v>
      </c>
      <c r="K2429">
        <v>410</v>
      </c>
      <c r="L2429" t="s">
        <v>30</v>
      </c>
      <c r="M2429" t="s">
        <v>58</v>
      </c>
    </row>
    <row r="2430" spans="1:13" x14ac:dyDescent="0.35">
      <c r="A2430" t="s">
        <v>3901</v>
      </c>
      <c r="B2430" s="9">
        <v>46329</v>
      </c>
      <c r="C2430" t="s">
        <v>3902</v>
      </c>
      <c r="D2430" t="s">
        <v>33</v>
      </c>
      <c r="E2430" t="s">
        <v>34</v>
      </c>
      <c r="F2430" t="s">
        <v>47</v>
      </c>
      <c r="G2430" t="s">
        <v>48</v>
      </c>
      <c r="H2430">
        <v>2</v>
      </c>
      <c r="I2430" t="s">
        <v>170</v>
      </c>
      <c r="J2430" t="s">
        <v>152</v>
      </c>
      <c r="K2430">
        <v>380</v>
      </c>
      <c r="L2430" t="s">
        <v>30</v>
      </c>
      <c r="M2430" t="s">
        <v>22</v>
      </c>
    </row>
    <row r="2431" spans="1:13" x14ac:dyDescent="0.35">
      <c r="A2431" t="s">
        <v>3903</v>
      </c>
      <c r="B2431" s="9">
        <v>46204</v>
      </c>
      <c r="C2431" t="s">
        <v>1042</v>
      </c>
      <c r="D2431" t="s">
        <v>61</v>
      </c>
      <c r="E2431" t="s">
        <v>67</v>
      </c>
      <c r="F2431" t="s">
        <v>42</v>
      </c>
      <c r="G2431" t="s">
        <v>43</v>
      </c>
      <c r="H2431">
        <v>1</v>
      </c>
      <c r="I2431" t="s">
        <v>79</v>
      </c>
      <c r="J2431" t="s">
        <v>79</v>
      </c>
      <c r="K2431" t="s">
        <v>111</v>
      </c>
      <c r="L2431" t="s">
        <v>30</v>
      </c>
      <c r="M2431" t="s">
        <v>22</v>
      </c>
    </row>
    <row r="2432" spans="1:13" x14ac:dyDescent="0.35">
      <c r="A2432" t="s">
        <v>3904</v>
      </c>
      <c r="B2432" s="9">
        <v>46093</v>
      </c>
      <c r="C2432" t="s">
        <v>3014</v>
      </c>
      <c r="D2432" t="s">
        <v>94</v>
      </c>
      <c r="E2432" t="s">
        <v>34</v>
      </c>
      <c r="F2432" t="s">
        <v>17</v>
      </c>
      <c r="G2432" t="s">
        <v>18</v>
      </c>
      <c r="H2432">
        <v>1</v>
      </c>
      <c r="I2432" t="s">
        <v>132</v>
      </c>
      <c r="J2432" t="s">
        <v>132</v>
      </c>
      <c r="K2432">
        <v>520</v>
      </c>
      <c r="L2432" t="s">
        <v>30</v>
      </c>
      <c r="M2432" t="s">
        <v>22</v>
      </c>
    </row>
    <row r="2433" spans="1:13" x14ac:dyDescent="0.35">
      <c r="A2433" t="s">
        <v>3905</v>
      </c>
      <c r="B2433" s="9">
        <v>46299</v>
      </c>
      <c r="C2433" t="s">
        <v>288</v>
      </c>
      <c r="D2433" t="s">
        <v>53</v>
      </c>
      <c r="E2433" t="s">
        <v>16</v>
      </c>
      <c r="F2433" t="s">
        <v>74</v>
      </c>
      <c r="G2433" t="s">
        <v>75</v>
      </c>
      <c r="H2433">
        <v>1</v>
      </c>
      <c r="I2433" t="s">
        <v>71</v>
      </c>
      <c r="J2433" t="s">
        <v>71</v>
      </c>
      <c r="K2433">
        <v>410</v>
      </c>
      <c r="L2433" t="s">
        <v>30</v>
      </c>
      <c r="M2433" t="s">
        <v>22</v>
      </c>
    </row>
    <row r="2434" spans="1:13" x14ac:dyDescent="0.35">
      <c r="A2434" t="s">
        <v>3906</v>
      </c>
      <c r="B2434" t="s">
        <v>2586</v>
      </c>
      <c r="C2434" t="s">
        <v>788</v>
      </c>
      <c r="D2434" t="s">
        <v>46</v>
      </c>
      <c r="E2434" t="s">
        <v>16</v>
      </c>
      <c r="F2434" t="s">
        <v>89</v>
      </c>
      <c r="G2434" t="s">
        <v>90</v>
      </c>
      <c r="H2434">
        <v>1</v>
      </c>
      <c r="I2434" t="s">
        <v>62</v>
      </c>
      <c r="J2434" t="s">
        <v>62</v>
      </c>
      <c r="K2434">
        <v>640</v>
      </c>
      <c r="L2434" t="s">
        <v>21</v>
      </c>
      <c r="M2434" t="s">
        <v>22</v>
      </c>
    </row>
    <row r="2435" spans="1:13" x14ac:dyDescent="0.35">
      <c r="A2435" t="s">
        <v>3907</v>
      </c>
      <c r="B2435" s="9">
        <v>46070</v>
      </c>
      <c r="C2435" t="s">
        <v>2214</v>
      </c>
      <c r="D2435" t="s">
        <v>66</v>
      </c>
      <c r="E2435" t="s">
        <v>41</v>
      </c>
      <c r="F2435" t="s">
        <v>83</v>
      </c>
      <c r="G2435" t="s">
        <v>84</v>
      </c>
      <c r="H2435">
        <v>2</v>
      </c>
      <c r="I2435" t="s">
        <v>71</v>
      </c>
      <c r="J2435" t="s">
        <v>286</v>
      </c>
      <c r="K2435">
        <v>340</v>
      </c>
      <c r="L2435" t="s">
        <v>30</v>
      </c>
      <c r="M2435" t="s">
        <v>22</v>
      </c>
    </row>
    <row r="2436" spans="1:13" x14ac:dyDescent="0.35">
      <c r="A2436" t="s">
        <v>3908</v>
      </c>
      <c r="B2436" t="s">
        <v>582</v>
      </c>
      <c r="C2436" t="s">
        <v>741</v>
      </c>
      <c r="D2436" t="s">
        <v>40</v>
      </c>
      <c r="E2436" t="s">
        <v>16</v>
      </c>
      <c r="F2436" t="s">
        <v>47</v>
      </c>
      <c r="G2436" t="s">
        <v>48</v>
      </c>
      <c r="H2436">
        <v>3</v>
      </c>
      <c r="I2436" t="s">
        <v>49</v>
      </c>
      <c r="J2436" t="s">
        <v>257</v>
      </c>
      <c r="K2436" t="s">
        <v>50</v>
      </c>
      <c r="L2436" t="s">
        <v>30</v>
      </c>
      <c r="M2436" t="s">
        <v>22</v>
      </c>
    </row>
    <row r="2437" spans="1:13" x14ac:dyDescent="0.35">
      <c r="A2437" t="s">
        <v>3909</v>
      </c>
      <c r="B2437" s="9">
        <v>46093</v>
      </c>
      <c r="C2437" t="s">
        <v>531</v>
      </c>
      <c r="D2437" t="s">
        <v>66</v>
      </c>
      <c r="E2437" t="s">
        <v>25</v>
      </c>
      <c r="F2437" t="s">
        <v>89</v>
      </c>
      <c r="G2437" t="s">
        <v>90</v>
      </c>
      <c r="H2437">
        <v>1</v>
      </c>
      <c r="I2437" t="s">
        <v>102</v>
      </c>
      <c r="J2437" t="s">
        <v>102</v>
      </c>
      <c r="K2437">
        <v>640</v>
      </c>
      <c r="L2437" t="s">
        <v>21</v>
      </c>
      <c r="M2437" t="s">
        <v>22</v>
      </c>
    </row>
    <row r="2438" spans="1:13" x14ac:dyDescent="0.35">
      <c r="A2438" t="s">
        <v>3910</v>
      </c>
      <c r="B2438" s="9">
        <v>46101</v>
      </c>
      <c r="C2438" t="s">
        <v>1597</v>
      </c>
      <c r="D2438" t="s">
        <v>99</v>
      </c>
      <c r="E2438" t="s">
        <v>34</v>
      </c>
      <c r="F2438" t="s">
        <v>26</v>
      </c>
      <c r="G2438" t="s">
        <v>27</v>
      </c>
      <c r="H2438">
        <v>1</v>
      </c>
      <c r="I2438" t="s">
        <v>170</v>
      </c>
      <c r="J2438" t="s">
        <v>170</v>
      </c>
      <c r="K2438">
        <v>520</v>
      </c>
      <c r="L2438" t="s">
        <v>30</v>
      </c>
      <c r="M2438" t="s">
        <v>22</v>
      </c>
    </row>
    <row r="2439" spans="1:13" x14ac:dyDescent="0.35">
      <c r="A2439" t="s">
        <v>3911</v>
      </c>
      <c r="B2439" s="9">
        <v>46179</v>
      </c>
      <c r="C2439" t="s">
        <v>3912</v>
      </c>
      <c r="D2439" t="s">
        <v>15</v>
      </c>
      <c r="E2439" t="s">
        <v>16</v>
      </c>
      <c r="F2439" t="s">
        <v>26</v>
      </c>
      <c r="G2439" t="s">
        <v>27</v>
      </c>
      <c r="H2439">
        <v>3</v>
      </c>
      <c r="I2439" t="s">
        <v>254</v>
      </c>
      <c r="J2439" t="s">
        <v>390</v>
      </c>
      <c r="K2439" t="s">
        <v>29</v>
      </c>
      <c r="L2439" t="s">
        <v>30</v>
      </c>
      <c r="M2439" t="s">
        <v>22</v>
      </c>
    </row>
    <row r="2440" spans="1:13" x14ac:dyDescent="0.35">
      <c r="A2440" t="s">
        <v>3913</v>
      </c>
      <c r="B2440" s="9">
        <v>46067</v>
      </c>
      <c r="C2440" t="s">
        <v>1557</v>
      </c>
      <c r="D2440" t="s">
        <v>15</v>
      </c>
      <c r="E2440" t="s">
        <v>16</v>
      </c>
      <c r="F2440" t="s">
        <v>26</v>
      </c>
      <c r="G2440" t="s">
        <v>27</v>
      </c>
      <c r="H2440">
        <v>2</v>
      </c>
      <c r="I2440" t="s">
        <v>2943</v>
      </c>
      <c r="J2440" t="s">
        <v>238</v>
      </c>
      <c r="K2440">
        <v>520</v>
      </c>
      <c r="L2440" t="s">
        <v>30</v>
      </c>
      <c r="M2440" t="s">
        <v>22</v>
      </c>
    </row>
    <row r="2441" spans="1:13" x14ac:dyDescent="0.35">
      <c r="A2441" t="s">
        <v>3914</v>
      </c>
      <c r="B2441" s="9">
        <v>46118</v>
      </c>
      <c r="C2441" t="s">
        <v>3915</v>
      </c>
      <c r="D2441" t="s">
        <v>53</v>
      </c>
      <c r="E2441" t="s">
        <v>16</v>
      </c>
      <c r="F2441" t="s">
        <v>89</v>
      </c>
      <c r="G2441" t="s">
        <v>90</v>
      </c>
      <c r="H2441">
        <v>1</v>
      </c>
      <c r="I2441" t="s">
        <v>79</v>
      </c>
      <c r="J2441" t="s">
        <v>79</v>
      </c>
      <c r="K2441">
        <v>640</v>
      </c>
      <c r="L2441" t="s">
        <v>30</v>
      </c>
      <c r="M2441" t="s">
        <v>22</v>
      </c>
    </row>
    <row r="2442" spans="1:13" x14ac:dyDescent="0.35">
      <c r="A2442" t="s">
        <v>3916</v>
      </c>
      <c r="B2442" s="9">
        <v>46050</v>
      </c>
      <c r="C2442" t="s">
        <v>3917</v>
      </c>
      <c r="D2442" t="s">
        <v>66</v>
      </c>
      <c r="E2442" t="s">
        <v>16</v>
      </c>
      <c r="F2442" t="s">
        <v>83</v>
      </c>
      <c r="G2442" t="s">
        <v>84</v>
      </c>
      <c r="H2442">
        <v>1</v>
      </c>
      <c r="I2442" t="s">
        <v>19</v>
      </c>
      <c r="J2442" t="s">
        <v>19</v>
      </c>
      <c r="K2442">
        <v>340</v>
      </c>
      <c r="L2442" t="s">
        <v>30</v>
      </c>
      <c r="M2442" t="s">
        <v>22</v>
      </c>
    </row>
    <row r="2443" spans="1:13" x14ac:dyDescent="0.35">
      <c r="A2443" t="s">
        <v>3918</v>
      </c>
      <c r="B2443" s="9">
        <v>46030</v>
      </c>
      <c r="C2443" t="s">
        <v>513</v>
      </c>
      <c r="D2443" t="s">
        <v>15</v>
      </c>
      <c r="E2443" t="s">
        <v>67</v>
      </c>
      <c r="F2443" t="s">
        <v>26</v>
      </c>
      <c r="G2443" t="s">
        <v>27</v>
      </c>
      <c r="H2443">
        <v>2</v>
      </c>
      <c r="I2443" t="s">
        <v>220</v>
      </c>
      <c r="J2443" t="s">
        <v>221</v>
      </c>
      <c r="K2443">
        <v>520</v>
      </c>
      <c r="L2443" t="s">
        <v>21</v>
      </c>
      <c r="M2443" t="s">
        <v>22</v>
      </c>
    </row>
    <row r="2444" spans="1:13" x14ac:dyDescent="0.35">
      <c r="A2444" t="s">
        <v>3919</v>
      </c>
      <c r="B2444" s="9">
        <v>46059</v>
      </c>
      <c r="C2444" t="s">
        <v>2604</v>
      </c>
      <c r="D2444" t="s">
        <v>99</v>
      </c>
      <c r="E2444" t="s">
        <v>41</v>
      </c>
      <c r="F2444" t="s">
        <v>17</v>
      </c>
      <c r="G2444" t="s">
        <v>18</v>
      </c>
      <c r="H2444">
        <v>1</v>
      </c>
      <c r="I2444" t="s">
        <v>19</v>
      </c>
      <c r="J2444" t="s">
        <v>19</v>
      </c>
      <c r="K2444">
        <v>520</v>
      </c>
      <c r="L2444" t="s">
        <v>30</v>
      </c>
      <c r="M2444" t="s">
        <v>22</v>
      </c>
    </row>
    <row r="2445" spans="1:13" x14ac:dyDescent="0.35">
      <c r="A2445" t="s">
        <v>3920</v>
      </c>
      <c r="B2445" s="9">
        <v>46065</v>
      </c>
      <c r="C2445" t="s">
        <v>2983</v>
      </c>
      <c r="D2445" t="s">
        <v>46</v>
      </c>
      <c r="E2445" t="s">
        <v>67</v>
      </c>
      <c r="F2445" t="s">
        <v>47</v>
      </c>
      <c r="G2445" t="s">
        <v>48</v>
      </c>
      <c r="H2445">
        <v>1</v>
      </c>
      <c r="I2445" t="s">
        <v>106</v>
      </c>
      <c r="J2445" t="s">
        <v>106</v>
      </c>
      <c r="K2445">
        <v>380</v>
      </c>
      <c r="L2445" t="s">
        <v>30</v>
      </c>
      <c r="M2445" t="s">
        <v>22</v>
      </c>
    </row>
    <row r="2446" spans="1:13" x14ac:dyDescent="0.35">
      <c r="A2446" t="s">
        <v>3921</v>
      </c>
      <c r="B2446" s="9">
        <v>46076</v>
      </c>
      <c r="C2446" t="s">
        <v>1500</v>
      </c>
      <c r="D2446" t="s">
        <v>61</v>
      </c>
      <c r="E2446" t="s">
        <v>25</v>
      </c>
      <c r="F2446" t="s">
        <v>42</v>
      </c>
      <c r="G2446" t="s">
        <v>43</v>
      </c>
      <c r="H2446">
        <v>1</v>
      </c>
      <c r="I2446" t="s">
        <v>106</v>
      </c>
      <c r="J2446" t="s">
        <v>106</v>
      </c>
      <c r="K2446">
        <v>190</v>
      </c>
      <c r="L2446" t="s">
        <v>30</v>
      </c>
      <c r="M2446" t="s">
        <v>22</v>
      </c>
    </row>
    <row r="2447" spans="1:13" x14ac:dyDescent="0.35">
      <c r="A2447" t="s">
        <v>3922</v>
      </c>
      <c r="B2447" s="9">
        <v>46055</v>
      </c>
      <c r="C2447" t="s">
        <v>2908</v>
      </c>
      <c r="D2447" t="s">
        <v>116</v>
      </c>
      <c r="E2447" t="s">
        <v>67</v>
      </c>
      <c r="F2447" t="s">
        <v>74</v>
      </c>
      <c r="G2447" t="s">
        <v>75</v>
      </c>
      <c r="H2447">
        <v>2</v>
      </c>
      <c r="I2447" t="s">
        <v>132</v>
      </c>
      <c r="J2447" t="s">
        <v>133</v>
      </c>
      <c r="K2447">
        <v>410</v>
      </c>
      <c r="L2447" t="s">
        <v>30</v>
      </c>
      <c r="M2447" t="s">
        <v>58</v>
      </c>
    </row>
    <row r="2448" spans="1:13" x14ac:dyDescent="0.35">
      <c r="A2448" t="s">
        <v>3923</v>
      </c>
      <c r="B2448" s="9">
        <v>46038</v>
      </c>
      <c r="C2448" t="s">
        <v>2330</v>
      </c>
      <c r="D2448" t="s">
        <v>116</v>
      </c>
      <c r="E2448" t="s">
        <v>34</v>
      </c>
      <c r="F2448" t="s">
        <v>17</v>
      </c>
      <c r="G2448" t="s">
        <v>18</v>
      </c>
      <c r="H2448">
        <v>2</v>
      </c>
      <c r="I2448" t="s">
        <v>49</v>
      </c>
      <c r="J2448" t="s">
        <v>178</v>
      </c>
      <c r="K2448">
        <v>520</v>
      </c>
      <c r="L2448" t="s">
        <v>30</v>
      </c>
      <c r="M2448" t="s">
        <v>22</v>
      </c>
    </row>
    <row r="2449" spans="1:13" x14ac:dyDescent="0.35">
      <c r="A2449" t="s">
        <v>3924</v>
      </c>
      <c r="B2449" s="9">
        <v>46199</v>
      </c>
      <c r="C2449" t="s">
        <v>1940</v>
      </c>
      <c r="D2449" t="s">
        <v>33</v>
      </c>
      <c r="E2449" t="s">
        <v>16</v>
      </c>
      <c r="F2449" t="s">
        <v>17</v>
      </c>
      <c r="G2449" t="s">
        <v>18</v>
      </c>
      <c r="H2449">
        <v>1</v>
      </c>
      <c r="I2449" t="s">
        <v>106</v>
      </c>
      <c r="J2449" t="s">
        <v>106</v>
      </c>
      <c r="K2449" t="s">
        <v>29</v>
      </c>
      <c r="L2449" t="s">
        <v>30</v>
      </c>
      <c r="M2449" t="s">
        <v>22</v>
      </c>
    </row>
    <row r="2450" spans="1:13" x14ac:dyDescent="0.35">
      <c r="A2450" t="s">
        <v>3925</v>
      </c>
      <c r="B2450" s="9">
        <v>46183</v>
      </c>
      <c r="C2450" t="s">
        <v>3926</v>
      </c>
      <c r="D2450" t="s">
        <v>15</v>
      </c>
      <c r="E2450" t="s">
        <v>67</v>
      </c>
      <c r="F2450" t="s">
        <v>35</v>
      </c>
      <c r="G2450" t="s">
        <v>36</v>
      </c>
      <c r="H2450">
        <v>2</v>
      </c>
      <c r="I2450" t="s">
        <v>132</v>
      </c>
      <c r="J2450" t="s">
        <v>133</v>
      </c>
      <c r="K2450" t="s">
        <v>37</v>
      </c>
      <c r="L2450" t="s">
        <v>30</v>
      </c>
      <c r="M2450" t="s">
        <v>58</v>
      </c>
    </row>
    <row r="2451" spans="1:13" x14ac:dyDescent="0.35">
      <c r="A2451" t="s">
        <v>3927</v>
      </c>
      <c r="B2451" s="9">
        <v>46079</v>
      </c>
      <c r="C2451" t="s">
        <v>3928</v>
      </c>
      <c r="D2451" t="s">
        <v>15</v>
      </c>
      <c r="E2451" t="s">
        <v>16</v>
      </c>
      <c r="F2451" t="s">
        <v>89</v>
      </c>
      <c r="G2451" t="s">
        <v>90</v>
      </c>
      <c r="H2451">
        <v>1</v>
      </c>
      <c r="I2451" t="s">
        <v>56</v>
      </c>
      <c r="J2451" t="s">
        <v>56</v>
      </c>
      <c r="K2451">
        <v>640</v>
      </c>
      <c r="L2451" t="s">
        <v>30</v>
      </c>
      <c r="M2451" t="s">
        <v>22</v>
      </c>
    </row>
    <row r="2452" spans="1:13" x14ac:dyDescent="0.35">
      <c r="A2452" t="s">
        <v>3929</v>
      </c>
      <c r="B2452" s="9">
        <v>46119</v>
      </c>
      <c r="C2452" t="s">
        <v>1564</v>
      </c>
      <c r="D2452" t="s">
        <v>40</v>
      </c>
      <c r="E2452" t="s">
        <v>16</v>
      </c>
      <c r="F2452" t="s">
        <v>17</v>
      </c>
      <c r="G2452" t="s">
        <v>18</v>
      </c>
      <c r="H2452">
        <v>2</v>
      </c>
      <c r="I2452" t="s">
        <v>106</v>
      </c>
      <c r="J2452" t="s">
        <v>107</v>
      </c>
      <c r="K2452" t="s">
        <v>29</v>
      </c>
      <c r="L2452" t="s">
        <v>30</v>
      </c>
      <c r="M2452" t="s">
        <v>22</v>
      </c>
    </row>
    <row r="2453" spans="1:13" x14ac:dyDescent="0.35">
      <c r="A2453" t="s">
        <v>3930</v>
      </c>
      <c r="B2453" s="9">
        <v>46126</v>
      </c>
      <c r="C2453" t="s">
        <v>3931</v>
      </c>
      <c r="D2453" t="s">
        <v>53</v>
      </c>
      <c r="E2453" t="s">
        <v>16</v>
      </c>
      <c r="F2453" t="s">
        <v>89</v>
      </c>
      <c r="G2453" t="s">
        <v>90</v>
      </c>
      <c r="H2453">
        <v>1</v>
      </c>
      <c r="I2453" t="s">
        <v>79</v>
      </c>
      <c r="J2453" t="s">
        <v>79</v>
      </c>
      <c r="K2453">
        <v>640</v>
      </c>
      <c r="L2453" t="s">
        <v>30</v>
      </c>
      <c r="M2453" t="s">
        <v>22</v>
      </c>
    </row>
    <row r="2454" spans="1:13" x14ac:dyDescent="0.35">
      <c r="A2454" t="s">
        <v>3932</v>
      </c>
      <c r="B2454" s="9">
        <v>46081</v>
      </c>
      <c r="C2454" t="s">
        <v>858</v>
      </c>
      <c r="D2454" t="s">
        <v>94</v>
      </c>
      <c r="E2454" t="s">
        <v>25</v>
      </c>
      <c r="F2454" t="s">
        <v>17</v>
      </c>
      <c r="G2454" t="s">
        <v>18</v>
      </c>
      <c r="H2454">
        <v>2</v>
      </c>
      <c r="I2454" t="s">
        <v>79</v>
      </c>
      <c r="J2454" t="s">
        <v>143</v>
      </c>
      <c r="K2454">
        <v>520</v>
      </c>
      <c r="L2454" t="s">
        <v>30</v>
      </c>
      <c r="M2454" t="s">
        <v>58</v>
      </c>
    </row>
    <row r="2455" spans="1:13" x14ac:dyDescent="0.35">
      <c r="A2455" t="s">
        <v>3933</v>
      </c>
      <c r="B2455" s="9">
        <v>46146</v>
      </c>
      <c r="C2455" t="s">
        <v>3560</v>
      </c>
      <c r="D2455" t="s">
        <v>66</v>
      </c>
      <c r="E2455" t="s">
        <v>67</v>
      </c>
      <c r="F2455" t="s">
        <v>26</v>
      </c>
      <c r="G2455" t="s">
        <v>27</v>
      </c>
      <c r="H2455">
        <v>1</v>
      </c>
      <c r="I2455" t="s">
        <v>85</v>
      </c>
      <c r="J2455" t="s">
        <v>85</v>
      </c>
      <c r="K2455">
        <v>520</v>
      </c>
      <c r="L2455" t="s">
        <v>30</v>
      </c>
      <c r="M2455" t="s">
        <v>22</v>
      </c>
    </row>
    <row r="2456" spans="1:13" x14ac:dyDescent="0.35">
      <c r="A2456" t="s">
        <v>3934</v>
      </c>
      <c r="B2456" s="9">
        <v>46066</v>
      </c>
      <c r="C2456" t="s">
        <v>1859</v>
      </c>
      <c r="D2456" t="s">
        <v>40</v>
      </c>
      <c r="E2456" t="s">
        <v>67</v>
      </c>
      <c r="F2456" t="s">
        <v>35</v>
      </c>
      <c r="G2456" t="s">
        <v>36</v>
      </c>
      <c r="H2456">
        <v>1</v>
      </c>
      <c r="I2456" t="s">
        <v>85</v>
      </c>
      <c r="J2456" t="s">
        <v>85</v>
      </c>
      <c r="K2456">
        <v>85</v>
      </c>
      <c r="L2456" t="s">
        <v>30</v>
      </c>
      <c r="M2456" t="s">
        <v>22</v>
      </c>
    </row>
    <row r="2457" spans="1:13" x14ac:dyDescent="0.35">
      <c r="A2457" t="s">
        <v>3935</v>
      </c>
      <c r="B2457" s="9">
        <v>46064</v>
      </c>
      <c r="C2457" t="s">
        <v>3936</v>
      </c>
      <c r="D2457" t="s">
        <v>94</v>
      </c>
      <c r="E2457" t="s">
        <v>16</v>
      </c>
      <c r="F2457" t="s">
        <v>74</v>
      </c>
      <c r="G2457" t="s">
        <v>75</v>
      </c>
      <c r="H2457">
        <v>2</v>
      </c>
      <c r="I2457" t="s">
        <v>71</v>
      </c>
      <c r="J2457" t="s">
        <v>286</v>
      </c>
      <c r="K2457">
        <v>410</v>
      </c>
      <c r="L2457" t="s">
        <v>30</v>
      </c>
      <c r="M2457" t="s">
        <v>22</v>
      </c>
    </row>
    <row r="2458" spans="1:13" x14ac:dyDescent="0.35">
      <c r="A2458" t="s">
        <v>3937</v>
      </c>
      <c r="B2458" s="9">
        <v>46198</v>
      </c>
      <c r="C2458" t="s">
        <v>724</v>
      </c>
      <c r="D2458" t="s">
        <v>33</v>
      </c>
      <c r="E2458" t="s">
        <v>16</v>
      </c>
      <c r="F2458" t="s">
        <v>89</v>
      </c>
      <c r="G2458" t="s">
        <v>90</v>
      </c>
      <c r="H2458">
        <v>3</v>
      </c>
      <c r="I2458" t="s">
        <v>68</v>
      </c>
      <c r="J2458" t="s">
        <v>205</v>
      </c>
      <c r="K2458" t="s">
        <v>108</v>
      </c>
      <c r="L2458" t="s">
        <v>30</v>
      </c>
      <c r="M2458" t="s">
        <v>22</v>
      </c>
    </row>
    <row r="2459" spans="1:13" x14ac:dyDescent="0.35">
      <c r="A2459" t="s">
        <v>3938</v>
      </c>
      <c r="B2459" s="9">
        <v>46092</v>
      </c>
      <c r="C2459" t="s">
        <v>2452</v>
      </c>
      <c r="D2459" t="s">
        <v>94</v>
      </c>
      <c r="E2459" t="s">
        <v>16</v>
      </c>
      <c r="F2459" t="s">
        <v>83</v>
      </c>
      <c r="G2459" t="s">
        <v>84</v>
      </c>
      <c r="H2459">
        <v>3</v>
      </c>
      <c r="I2459" t="s">
        <v>132</v>
      </c>
      <c r="J2459" t="s">
        <v>232</v>
      </c>
      <c r="K2459">
        <v>340</v>
      </c>
      <c r="L2459" t="s">
        <v>21</v>
      </c>
      <c r="M2459" t="s">
        <v>22</v>
      </c>
    </row>
    <row r="2460" spans="1:13" x14ac:dyDescent="0.35">
      <c r="A2460" t="s">
        <v>3939</v>
      </c>
      <c r="B2460" s="9">
        <v>46097</v>
      </c>
      <c r="C2460" t="s">
        <v>2128</v>
      </c>
      <c r="D2460" t="s">
        <v>94</v>
      </c>
      <c r="E2460" t="s">
        <v>34</v>
      </c>
      <c r="F2460" t="s">
        <v>26</v>
      </c>
      <c r="G2460" t="s">
        <v>27</v>
      </c>
      <c r="H2460">
        <v>2</v>
      </c>
      <c r="I2460" t="s">
        <v>68</v>
      </c>
      <c r="J2460" t="s">
        <v>248</v>
      </c>
      <c r="K2460">
        <v>520</v>
      </c>
      <c r="L2460" t="s">
        <v>30</v>
      </c>
      <c r="M2460" t="s">
        <v>22</v>
      </c>
    </row>
    <row r="2461" spans="1:13" x14ac:dyDescent="0.35">
      <c r="A2461" t="s">
        <v>3940</v>
      </c>
      <c r="B2461" s="9">
        <v>46137</v>
      </c>
      <c r="C2461" t="s">
        <v>3737</v>
      </c>
      <c r="D2461" t="s">
        <v>61</v>
      </c>
      <c r="E2461" t="s">
        <v>34</v>
      </c>
      <c r="F2461" t="s">
        <v>35</v>
      </c>
      <c r="G2461" t="s">
        <v>36</v>
      </c>
      <c r="H2461">
        <v>3</v>
      </c>
      <c r="I2461" t="s">
        <v>254</v>
      </c>
      <c r="J2461" t="s">
        <v>390</v>
      </c>
      <c r="K2461" t="s">
        <v>37</v>
      </c>
      <c r="L2461" t="s">
        <v>30</v>
      </c>
      <c r="M2461" t="s">
        <v>22</v>
      </c>
    </row>
    <row r="2462" spans="1:13" x14ac:dyDescent="0.35">
      <c r="A2462" t="s">
        <v>3941</v>
      </c>
      <c r="B2462" s="9">
        <v>46132</v>
      </c>
      <c r="C2462" t="s">
        <v>3251</v>
      </c>
      <c r="D2462" t="s">
        <v>99</v>
      </c>
      <c r="E2462" t="s">
        <v>41</v>
      </c>
      <c r="F2462" t="s">
        <v>74</v>
      </c>
      <c r="G2462" t="s">
        <v>75</v>
      </c>
      <c r="H2462">
        <v>1</v>
      </c>
      <c r="I2462" t="s">
        <v>71</v>
      </c>
      <c r="J2462" t="s">
        <v>71</v>
      </c>
      <c r="K2462" t="s">
        <v>76</v>
      </c>
      <c r="L2462" t="s">
        <v>30</v>
      </c>
      <c r="M2462" t="s">
        <v>58</v>
      </c>
    </row>
    <row r="2463" spans="1:13" x14ac:dyDescent="0.35">
      <c r="A2463" t="s">
        <v>3942</v>
      </c>
      <c r="B2463" s="9">
        <v>46208</v>
      </c>
      <c r="C2463" t="s">
        <v>3729</v>
      </c>
      <c r="D2463" t="s">
        <v>15</v>
      </c>
      <c r="E2463" t="s">
        <v>16</v>
      </c>
      <c r="F2463" t="s">
        <v>26</v>
      </c>
      <c r="G2463" t="s">
        <v>27</v>
      </c>
      <c r="H2463">
        <v>1</v>
      </c>
      <c r="I2463" t="s">
        <v>56</v>
      </c>
      <c r="J2463" t="s">
        <v>56</v>
      </c>
      <c r="K2463" t="s">
        <v>29</v>
      </c>
      <c r="L2463" t="s">
        <v>30</v>
      </c>
      <c r="M2463" t="s">
        <v>58</v>
      </c>
    </row>
    <row r="2464" spans="1:13" x14ac:dyDescent="0.35">
      <c r="A2464" t="s">
        <v>3943</v>
      </c>
      <c r="B2464" s="9">
        <v>46187</v>
      </c>
      <c r="C2464" t="s">
        <v>2056</v>
      </c>
      <c r="D2464" t="s">
        <v>33</v>
      </c>
      <c r="E2464" t="s">
        <v>16</v>
      </c>
      <c r="F2464" t="s">
        <v>47</v>
      </c>
      <c r="G2464" t="s">
        <v>48</v>
      </c>
      <c r="H2464">
        <v>2</v>
      </c>
      <c r="I2464" t="s">
        <v>136</v>
      </c>
      <c r="J2464" t="s">
        <v>164</v>
      </c>
      <c r="K2464" t="s">
        <v>50</v>
      </c>
      <c r="L2464" t="s">
        <v>30</v>
      </c>
      <c r="M2464" t="s">
        <v>22</v>
      </c>
    </row>
    <row r="2465" spans="1:13" x14ac:dyDescent="0.35">
      <c r="A2465" t="s">
        <v>3944</v>
      </c>
      <c r="B2465" s="9">
        <v>46200</v>
      </c>
      <c r="C2465" t="s">
        <v>2847</v>
      </c>
      <c r="D2465" t="s">
        <v>66</v>
      </c>
      <c r="E2465" t="s">
        <v>25</v>
      </c>
      <c r="F2465" t="s">
        <v>35</v>
      </c>
      <c r="G2465" t="s">
        <v>36</v>
      </c>
      <c r="H2465">
        <v>1</v>
      </c>
      <c r="I2465" t="s">
        <v>136</v>
      </c>
      <c r="J2465" t="s">
        <v>136</v>
      </c>
      <c r="K2465" t="s">
        <v>37</v>
      </c>
      <c r="L2465" t="s">
        <v>30</v>
      </c>
      <c r="M2465" t="s">
        <v>22</v>
      </c>
    </row>
    <row r="2466" spans="1:13" x14ac:dyDescent="0.35">
      <c r="A2466" t="s">
        <v>3945</v>
      </c>
      <c r="B2466" s="9">
        <v>46075</v>
      </c>
      <c r="C2466" t="s">
        <v>1369</v>
      </c>
      <c r="D2466" t="s">
        <v>33</v>
      </c>
      <c r="E2466" t="s">
        <v>25</v>
      </c>
      <c r="F2466" t="s">
        <v>17</v>
      </c>
      <c r="G2466" t="s">
        <v>18</v>
      </c>
      <c r="H2466">
        <v>2</v>
      </c>
      <c r="I2466" t="s">
        <v>71</v>
      </c>
      <c r="J2466" t="s">
        <v>286</v>
      </c>
      <c r="K2466">
        <v>520</v>
      </c>
      <c r="L2466" t="s">
        <v>21</v>
      </c>
      <c r="M2466" t="s">
        <v>58</v>
      </c>
    </row>
    <row r="2467" spans="1:13" x14ac:dyDescent="0.35">
      <c r="A2467" t="s">
        <v>3946</v>
      </c>
      <c r="B2467" s="9">
        <v>46106</v>
      </c>
      <c r="C2467" t="s">
        <v>700</v>
      </c>
      <c r="D2467" t="s">
        <v>99</v>
      </c>
      <c r="E2467" t="s">
        <v>67</v>
      </c>
      <c r="F2467" t="s">
        <v>17</v>
      </c>
      <c r="G2467" t="s">
        <v>18</v>
      </c>
      <c r="H2467">
        <v>2</v>
      </c>
      <c r="I2467" t="s">
        <v>68</v>
      </c>
      <c r="J2467" t="s">
        <v>2247</v>
      </c>
      <c r="K2467">
        <v>520</v>
      </c>
      <c r="L2467" t="s">
        <v>30</v>
      </c>
      <c r="M2467" t="s">
        <v>22</v>
      </c>
    </row>
    <row r="2468" spans="1:13" x14ac:dyDescent="0.35">
      <c r="A2468" t="s">
        <v>3947</v>
      </c>
      <c r="B2468" s="9">
        <v>46029</v>
      </c>
      <c r="C2468" t="s">
        <v>187</v>
      </c>
      <c r="D2468" t="s">
        <v>94</v>
      </c>
      <c r="E2468" t="s">
        <v>34</v>
      </c>
      <c r="F2468" t="s">
        <v>74</v>
      </c>
      <c r="G2468" t="s">
        <v>75</v>
      </c>
      <c r="H2468">
        <v>2</v>
      </c>
      <c r="I2468" t="s">
        <v>68</v>
      </c>
      <c r="J2468" t="s">
        <v>248</v>
      </c>
      <c r="K2468">
        <v>410</v>
      </c>
      <c r="L2468" t="s">
        <v>30</v>
      </c>
      <c r="M2468" t="s">
        <v>22</v>
      </c>
    </row>
    <row r="2469" spans="1:13" x14ac:dyDescent="0.35">
      <c r="A2469" t="s">
        <v>3948</v>
      </c>
      <c r="B2469" s="9">
        <v>46156</v>
      </c>
      <c r="C2469" t="s">
        <v>3949</v>
      </c>
      <c r="D2469" t="s">
        <v>61</v>
      </c>
      <c r="E2469" t="s">
        <v>16</v>
      </c>
      <c r="F2469" t="s">
        <v>42</v>
      </c>
      <c r="G2469" t="s">
        <v>43</v>
      </c>
      <c r="H2469">
        <v>2</v>
      </c>
      <c r="I2469" t="s">
        <v>28</v>
      </c>
      <c r="J2469" t="s">
        <v>316</v>
      </c>
      <c r="K2469" t="s">
        <v>111</v>
      </c>
      <c r="L2469" t="s">
        <v>30</v>
      </c>
      <c r="M2469" t="s">
        <v>58</v>
      </c>
    </row>
    <row r="2470" spans="1:13" x14ac:dyDescent="0.35">
      <c r="A2470" t="s">
        <v>3950</v>
      </c>
      <c r="B2470" s="9">
        <v>46114</v>
      </c>
      <c r="C2470" t="s">
        <v>2393</v>
      </c>
      <c r="D2470" t="s">
        <v>94</v>
      </c>
      <c r="E2470" t="s">
        <v>41</v>
      </c>
      <c r="F2470" t="s">
        <v>89</v>
      </c>
      <c r="G2470" t="s">
        <v>90</v>
      </c>
      <c r="H2470">
        <v>-1</v>
      </c>
      <c r="I2470" t="s">
        <v>479</v>
      </c>
      <c r="J2470" t="s">
        <v>1404</v>
      </c>
      <c r="K2470">
        <v>640</v>
      </c>
      <c r="L2470" t="s">
        <v>21</v>
      </c>
      <c r="M2470" t="s">
        <v>22</v>
      </c>
    </row>
    <row r="2471" spans="1:13" x14ac:dyDescent="0.35">
      <c r="A2471" t="s">
        <v>3951</v>
      </c>
      <c r="B2471" s="9">
        <v>46204</v>
      </c>
      <c r="C2471" t="s">
        <v>481</v>
      </c>
      <c r="D2471" t="s">
        <v>40</v>
      </c>
      <c r="E2471" t="s">
        <v>16</v>
      </c>
      <c r="F2471" t="s">
        <v>74</v>
      </c>
      <c r="G2471" t="s">
        <v>75</v>
      </c>
      <c r="H2471">
        <v>1</v>
      </c>
      <c r="I2471" t="s">
        <v>254</v>
      </c>
      <c r="J2471" t="s">
        <v>254</v>
      </c>
      <c r="K2471">
        <v>410</v>
      </c>
      <c r="L2471" t="s">
        <v>30</v>
      </c>
      <c r="M2471" t="s">
        <v>22</v>
      </c>
    </row>
    <row r="2472" spans="1:13" x14ac:dyDescent="0.35">
      <c r="A2472" t="s">
        <v>3952</v>
      </c>
      <c r="B2472" s="9">
        <v>46069</v>
      </c>
      <c r="C2472" t="s">
        <v>3953</v>
      </c>
      <c r="D2472" t="s">
        <v>66</v>
      </c>
      <c r="E2472" t="s">
        <v>34</v>
      </c>
      <c r="F2472" t="s">
        <v>74</v>
      </c>
      <c r="G2472" t="s">
        <v>75</v>
      </c>
      <c r="H2472">
        <v>2</v>
      </c>
      <c r="I2472" t="s">
        <v>19</v>
      </c>
      <c r="J2472" t="s">
        <v>221</v>
      </c>
      <c r="K2472">
        <v>410</v>
      </c>
      <c r="L2472" t="s">
        <v>30</v>
      </c>
      <c r="M2472" t="s">
        <v>22</v>
      </c>
    </row>
    <row r="2473" spans="1:13" x14ac:dyDescent="0.35">
      <c r="A2473" t="s">
        <v>3954</v>
      </c>
      <c r="B2473" s="9">
        <v>46171</v>
      </c>
      <c r="C2473" t="s">
        <v>2825</v>
      </c>
      <c r="D2473" t="s">
        <v>94</v>
      </c>
      <c r="E2473" t="s">
        <v>25</v>
      </c>
      <c r="F2473" t="s">
        <v>35</v>
      </c>
      <c r="G2473" t="s">
        <v>36</v>
      </c>
      <c r="H2473">
        <v>1</v>
      </c>
      <c r="I2473" t="s">
        <v>19</v>
      </c>
      <c r="J2473" t="s">
        <v>19</v>
      </c>
      <c r="K2473" t="s">
        <v>37</v>
      </c>
      <c r="L2473" t="s">
        <v>30</v>
      </c>
      <c r="M2473" t="s">
        <v>22</v>
      </c>
    </row>
    <row r="2474" spans="1:13" x14ac:dyDescent="0.35">
      <c r="A2474" t="s">
        <v>3955</v>
      </c>
      <c r="B2474" s="9">
        <v>46135</v>
      </c>
      <c r="C2474" t="s">
        <v>139</v>
      </c>
      <c r="D2474" t="s">
        <v>40</v>
      </c>
      <c r="E2474" t="s">
        <v>67</v>
      </c>
      <c r="F2474" t="s">
        <v>74</v>
      </c>
      <c r="G2474" t="s">
        <v>75</v>
      </c>
      <c r="H2474">
        <v>3</v>
      </c>
      <c r="I2474" t="s">
        <v>71</v>
      </c>
      <c r="J2474" t="s">
        <v>379</v>
      </c>
      <c r="K2474" t="s">
        <v>76</v>
      </c>
      <c r="L2474" t="s">
        <v>30</v>
      </c>
      <c r="M2474" t="s">
        <v>22</v>
      </c>
    </row>
    <row r="2475" spans="1:13" x14ac:dyDescent="0.35">
      <c r="A2475" t="s">
        <v>3956</v>
      </c>
      <c r="B2475" s="9">
        <v>46088</v>
      </c>
      <c r="C2475" t="s">
        <v>2542</v>
      </c>
      <c r="D2475" t="s">
        <v>99</v>
      </c>
      <c r="E2475" t="s">
        <v>67</v>
      </c>
      <c r="F2475" t="s">
        <v>35</v>
      </c>
      <c r="G2475" t="s">
        <v>36</v>
      </c>
      <c r="H2475">
        <v>1</v>
      </c>
      <c r="I2475" t="s">
        <v>79</v>
      </c>
      <c r="J2475" t="s">
        <v>79</v>
      </c>
      <c r="K2475" t="s">
        <v>37</v>
      </c>
      <c r="L2475" t="s">
        <v>21</v>
      </c>
      <c r="M2475" t="s">
        <v>22</v>
      </c>
    </row>
    <row r="2476" spans="1:13" x14ac:dyDescent="0.35">
      <c r="A2476" t="s">
        <v>3957</v>
      </c>
      <c r="B2476" s="9">
        <v>46114</v>
      </c>
      <c r="C2476" t="s">
        <v>1526</v>
      </c>
      <c r="D2476" t="s">
        <v>94</v>
      </c>
      <c r="E2476" t="s">
        <v>41</v>
      </c>
      <c r="F2476" t="s">
        <v>42</v>
      </c>
      <c r="G2476" t="s">
        <v>43</v>
      </c>
      <c r="H2476">
        <v>2</v>
      </c>
      <c r="I2476" t="s">
        <v>106</v>
      </c>
      <c r="J2476" t="s">
        <v>107</v>
      </c>
      <c r="K2476">
        <v>190</v>
      </c>
      <c r="L2476" t="s">
        <v>30</v>
      </c>
      <c r="M2476" t="s">
        <v>22</v>
      </c>
    </row>
    <row r="2477" spans="1:13" x14ac:dyDescent="0.35">
      <c r="A2477" t="s">
        <v>3958</v>
      </c>
      <c r="B2477" s="9">
        <v>46153</v>
      </c>
      <c r="C2477" t="s">
        <v>425</v>
      </c>
      <c r="D2477" t="s">
        <v>33</v>
      </c>
      <c r="E2477" t="s">
        <v>41</v>
      </c>
      <c r="F2477" t="s">
        <v>26</v>
      </c>
      <c r="G2477" t="s">
        <v>27</v>
      </c>
      <c r="H2477">
        <v>-3</v>
      </c>
      <c r="I2477" t="s">
        <v>102</v>
      </c>
      <c r="J2477" t="s">
        <v>1902</v>
      </c>
      <c r="K2477" t="s">
        <v>29</v>
      </c>
      <c r="L2477" t="s">
        <v>30</v>
      </c>
      <c r="M2477" t="s">
        <v>58</v>
      </c>
    </row>
    <row r="2478" spans="1:13" x14ac:dyDescent="0.35">
      <c r="A2478" t="s">
        <v>3959</v>
      </c>
      <c r="B2478" s="9">
        <v>46204</v>
      </c>
      <c r="C2478" t="s">
        <v>3875</v>
      </c>
      <c r="D2478" t="s">
        <v>94</v>
      </c>
      <c r="E2478" t="s">
        <v>67</v>
      </c>
      <c r="F2478" t="s">
        <v>17</v>
      </c>
      <c r="G2478" t="s">
        <v>18</v>
      </c>
      <c r="H2478">
        <v>1</v>
      </c>
      <c r="I2478" t="s">
        <v>106</v>
      </c>
      <c r="J2478" t="s">
        <v>106</v>
      </c>
      <c r="K2478" t="s">
        <v>29</v>
      </c>
      <c r="L2478" t="s">
        <v>30</v>
      </c>
      <c r="M2478" t="s">
        <v>58</v>
      </c>
    </row>
    <row r="2479" spans="1:13" x14ac:dyDescent="0.35">
      <c r="A2479" t="s">
        <v>3960</v>
      </c>
      <c r="B2479" s="9">
        <v>46158</v>
      </c>
      <c r="C2479" t="s">
        <v>2160</v>
      </c>
      <c r="D2479" t="s">
        <v>94</v>
      </c>
      <c r="E2479" t="s">
        <v>16</v>
      </c>
      <c r="F2479" t="s">
        <v>26</v>
      </c>
      <c r="G2479" t="s">
        <v>27</v>
      </c>
      <c r="H2479">
        <v>2</v>
      </c>
      <c r="I2479" t="s">
        <v>85</v>
      </c>
      <c r="J2479" t="s">
        <v>267</v>
      </c>
      <c r="K2479" t="s">
        <v>29</v>
      </c>
      <c r="L2479" t="s">
        <v>30</v>
      </c>
      <c r="M2479" t="s">
        <v>58</v>
      </c>
    </row>
    <row r="2480" spans="1:13" x14ac:dyDescent="0.35">
      <c r="A2480" t="s">
        <v>3961</v>
      </c>
      <c r="B2480" s="9">
        <v>46090</v>
      </c>
      <c r="C2480" t="s">
        <v>263</v>
      </c>
      <c r="D2480" t="s">
        <v>46</v>
      </c>
      <c r="E2480" t="s">
        <v>34</v>
      </c>
      <c r="F2480" t="s">
        <v>47</v>
      </c>
      <c r="G2480" t="s">
        <v>48</v>
      </c>
      <c r="H2480">
        <v>2</v>
      </c>
      <c r="I2480" t="s">
        <v>68</v>
      </c>
      <c r="J2480" t="s">
        <v>248</v>
      </c>
      <c r="K2480">
        <v>380</v>
      </c>
      <c r="L2480" t="s">
        <v>30</v>
      </c>
      <c r="M2480" t="s">
        <v>22</v>
      </c>
    </row>
    <row r="2481" spans="1:13" x14ac:dyDescent="0.35">
      <c r="A2481" t="s">
        <v>3962</v>
      </c>
      <c r="B2481" s="9">
        <v>46028</v>
      </c>
      <c r="C2481" t="s">
        <v>2102</v>
      </c>
      <c r="D2481" t="s">
        <v>66</v>
      </c>
      <c r="E2481" t="s">
        <v>16</v>
      </c>
      <c r="F2481" t="s">
        <v>35</v>
      </c>
      <c r="G2481" t="s">
        <v>36</v>
      </c>
      <c r="H2481">
        <v>1</v>
      </c>
      <c r="I2481" t="s">
        <v>106</v>
      </c>
      <c r="J2481" t="s">
        <v>106</v>
      </c>
      <c r="K2481">
        <v>85</v>
      </c>
      <c r="L2481" t="s">
        <v>30</v>
      </c>
      <c r="M2481" t="s">
        <v>22</v>
      </c>
    </row>
    <row r="2482" spans="1:13" x14ac:dyDescent="0.35">
      <c r="A2482" t="s">
        <v>3963</v>
      </c>
      <c r="B2482" s="9">
        <v>46044</v>
      </c>
      <c r="C2482" t="s">
        <v>3454</v>
      </c>
      <c r="D2482" t="s">
        <v>33</v>
      </c>
      <c r="E2482" t="s">
        <v>34</v>
      </c>
      <c r="F2482" t="s">
        <v>42</v>
      </c>
      <c r="G2482" t="s">
        <v>43</v>
      </c>
      <c r="H2482">
        <v>1</v>
      </c>
      <c r="I2482" t="s">
        <v>71</v>
      </c>
      <c r="J2482" t="s">
        <v>71</v>
      </c>
      <c r="K2482">
        <v>190</v>
      </c>
      <c r="L2482" t="s">
        <v>30</v>
      </c>
      <c r="M2482" t="s">
        <v>22</v>
      </c>
    </row>
    <row r="2483" spans="1:13" x14ac:dyDescent="0.35">
      <c r="A2483" t="s">
        <v>3964</v>
      </c>
      <c r="B2483" s="9">
        <v>46081</v>
      </c>
      <c r="C2483" t="s">
        <v>1072</v>
      </c>
      <c r="D2483" t="s">
        <v>99</v>
      </c>
      <c r="E2483" t="s">
        <v>34</v>
      </c>
      <c r="F2483" t="s">
        <v>74</v>
      </c>
      <c r="G2483" t="s">
        <v>75</v>
      </c>
      <c r="H2483">
        <v>1</v>
      </c>
      <c r="I2483" t="s">
        <v>254</v>
      </c>
      <c r="J2483" t="s">
        <v>254</v>
      </c>
      <c r="K2483">
        <v>410</v>
      </c>
      <c r="L2483" t="s">
        <v>21</v>
      </c>
      <c r="M2483" t="s">
        <v>58</v>
      </c>
    </row>
    <row r="2484" spans="1:13" x14ac:dyDescent="0.35">
      <c r="A2484" t="s">
        <v>3965</v>
      </c>
      <c r="B2484" s="9">
        <v>46106</v>
      </c>
      <c r="C2484" t="s">
        <v>3966</v>
      </c>
      <c r="D2484" t="s">
        <v>15</v>
      </c>
      <c r="E2484" t="s">
        <v>16</v>
      </c>
      <c r="F2484" t="s">
        <v>26</v>
      </c>
      <c r="G2484" t="s">
        <v>27</v>
      </c>
      <c r="H2484">
        <v>2</v>
      </c>
      <c r="I2484" t="s">
        <v>19</v>
      </c>
      <c r="J2484" t="s">
        <v>238</v>
      </c>
      <c r="K2484">
        <v>520</v>
      </c>
      <c r="L2484" t="s">
        <v>30</v>
      </c>
      <c r="M2484" t="s">
        <v>22</v>
      </c>
    </row>
    <row r="2485" spans="1:13" x14ac:dyDescent="0.35">
      <c r="A2485" t="s">
        <v>3967</v>
      </c>
      <c r="B2485" s="9">
        <v>46179</v>
      </c>
      <c r="C2485" t="s">
        <v>3968</v>
      </c>
      <c r="D2485" t="s">
        <v>46</v>
      </c>
      <c r="E2485" t="s">
        <v>41</v>
      </c>
      <c r="F2485" t="s">
        <v>74</v>
      </c>
      <c r="G2485" t="s">
        <v>75</v>
      </c>
      <c r="H2485">
        <v>3</v>
      </c>
      <c r="I2485" t="s">
        <v>132</v>
      </c>
      <c r="J2485" t="s">
        <v>232</v>
      </c>
      <c r="K2485" t="s">
        <v>76</v>
      </c>
      <c r="L2485" t="s">
        <v>21</v>
      </c>
      <c r="M2485" t="s">
        <v>22</v>
      </c>
    </row>
    <row r="2486" spans="1:13" x14ac:dyDescent="0.35">
      <c r="A2486" t="s">
        <v>3969</v>
      </c>
      <c r="B2486" s="9">
        <v>46152</v>
      </c>
      <c r="C2486" t="s">
        <v>1126</v>
      </c>
      <c r="D2486" t="s">
        <v>99</v>
      </c>
      <c r="E2486" t="s">
        <v>41</v>
      </c>
      <c r="F2486" t="s">
        <v>35</v>
      </c>
      <c r="G2486" t="s">
        <v>36</v>
      </c>
      <c r="H2486">
        <v>2</v>
      </c>
      <c r="I2486" t="s">
        <v>68</v>
      </c>
      <c r="J2486" t="s">
        <v>248</v>
      </c>
      <c r="K2486" t="s">
        <v>37</v>
      </c>
      <c r="L2486" t="s">
        <v>30</v>
      </c>
      <c r="M2486" t="s">
        <v>22</v>
      </c>
    </row>
    <row r="2487" spans="1:13" x14ac:dyDescent="0.35">
      <c r="A2487" t="s">
        <v>654</v>
      </c>
      <c r="B2487" s="9">
        <v>46118</v>
      </c>
      <c r="C2487" t="s">
        <v>655</v>
      </c>
      <c r="D2487" t="s">
        <v>94</v>
      </c>
      <c r="E2487" t="s">
        <v>25</v>
      </c>
      <c r="F2487" t="s">
        <v>47</v>
      </c>
      <c r="G2487" t="s">
        <v>48</v>
      </c>
      <c r="H2487">
        <v>2</v>
      </c>
      <c r="I2487" t="s">
        <v>656</v>
      </c>
      <c r="J2487" t="s">
        <v>316</v>
      </c>
      <c r="K2487" t="s">
        <v>50</v>
      </c>
      <c r="L2487" t="s">
        <v>30</v>
      </c>
      <c r="M2487" t="s">
        <v>22</v>
      </c>
    </row>
    <row r="2488" spans="1:13" x14ac:dyDescent="0.35">
      <c r="A2488" t="s">
        <v>3970</v>
      </c>
      <c r="B2488" s="9">
        <v>46177</v>
      </c>
      <c r="C2488" t="s">
        <v>3971</v>
      </c>
      <c r="D2488" t="s">
        <v>53</v>
      </c>
      <c r="E2488" t="s">
        <v>25</v>
      </c>
      <c r="F2488" t="s">
        <v>47</v>
      </c>
      <c r="G2488" t="s">
        <v>48</v>
      </c>
      <c r="H2488">
        <v>2</v>
      </c>
      <c r="I2488" t="s">
        <v>479</v>
      </c>
      <c r="J2488" t="s">
        <v>286</v>
      </c>
      <c r="K2488" t="s">
        <v>50</v>
      </c>
      <c r="L2488" t="s">
        <v>30</v>
      </c>
      <c r="M2488" t="s">
        <v>22</v>
      </c>
    </row>
    <row r="2489" spans="1:13" x14ac:dyDescent="0.35">
      <c r="A2489" t="s">
        <v>3972</v>
      </c>
      <c r="B2489" s="9">
        <v>46141</v>
      </c>
      <c r="C2489" t="s">
        <v>459</v>
      </c>
      <c r="D2489" t="s">
        <v>94</v>
      </c>
      <c r="E2489" t="s">
        <v>34</v>
      </c>
      <c r="F2489" t="s">
        <v>83</v>
      </c>
      <c r="G2489" t="s">
        <v>84</v>
      </c>
      <c r="H2489">
        <v>2</v>
      </c>
      <c r="I2489" t="s">
        <v>71</v>
      </c>
      <c r="J2489" t="s">
        <v>286</v>
      </c>
      <c r="K2489" t="s">
        <v>103</v>
      </c>
      <c r="L2489" t="s">
        <v>30</v>
      </c>
      <c r="M2489" t="s">
        <v>22</v>
      </c>
    </row>
    <row r="2490" spans="1:13" x14ac:dyDescent="0.35">
      <c r="A2490" t="s">
        <v>3973</v>
      </c>
      <c r="B2490" s="9">
        <v>46199</v>
      </c>
      <c r="C2490" t="s">
        <v>760</v>
      </c>
      <c r="D2490" t="s">
        <v>99</v>
      </c>
      <c r="E2490" t="s">
        <v>34</v>
      </c>
      <c r="F2490" t="s">
        <v>83</v>
      </c>
      <c r="G2490" t="s">
        <v>84</v>
      </c>
      <c r="H2490">
        <v>1</v>
      </c>
      <c r="I2490" t="s">
        <v>19</v>
      </c>
      <c r="J2490" t="s">
        <v>19</v>
      </c>
      <c r="K2490" t="s">
        <v>103</v>
      </c>
      <c r="L2490" t="s">
        <v>30</v>
      </c>
      <c r="M2490" t="s">
        <v>58</v>
      </c>
    </row>
    <row r="2491" spans="1:13" x14ac:dyDescent="0.35">
      <c r="A2491" t="s">
        <v>3974</v>
      </c>
      <c r="B2491" s="9">
        <v>46134</v>
      </c>
      <c r="C2491" t="s">
        <v>425</v>
      </c>
      <c r="D2491" t="s">
        <v>15</v>
      </c>
      <c r="E2491" t="s">
        <v>25</v>
      </c>
      <c r="F2491" t="s">
        <v>26</v>
      </c>
      <c r="G2491" t="s">
        <v>27</v>
      </c>
      <c r="H2491">
        <v>1</v>
      </c>
      <c r="I2491" t="s">
        <v>19</v>
      </c>
      <c r="J2491" t="s">
        <v>19</v>
      </c>
      <c r="K2491" t="s">
        <v>29</v>
      </c>
      <c r="L2491" t="s">
        <v>21</v>
      </c>
      <c r="M2491" t="s">
        <v>58</v>
      </c>
    </row>
    <row r="2492" spans="1:13" x14ac:dyDescent="0.35">
      <c r="A2492" t="s">
        <v>3975</v>
      </c>
      <c r="B2492" s="9">
        <v>46119</v>
      </c>
      <c r="C2492" t="s">
        <v>1409</v>
      </c>
      <c r="D2492" t="s">
        <v>40</v>
      </c>
      <c r="E2492" t="s">
        <v>34</v>
      </c>
      <c r="F2492" t="s">
        <v>35</v>
      </c>
      <c r="G2492" t="s">
        <v>36</v>
      </c>
      <c r="H2492">
        <v>-1</v>
      </c>
      <c r="I2492" t="s">
        <v>49</v>
      </c>
      <c r="J2492" t="s">
        <v>3003</v>
      </c>
      <c r="K2492">
        <v>85</v>
      </c>
      <c r="L2492" t="s">
        <v>30</v>
      </c>
      <c r="M2492" t="s">
        <v>22</v>
      </c>
    </row>
    <row r="2493" spans="1:13" x14ac:dyDescent="0.35">
      <c r="A2493" t="s">
        <v>3976</v>
      </c>
      <c r="B2493" s="9">
        <v>46104</v>
      </c>
      <c r="C2493" t="s">
        <v>3977</v>
      </c>
      <c r="D2493" t="s">
        <v>94</v>
      </c>
      <c r="E2493" t="s">
        <v>67</v>
      </c>
      <c r="F2493" t="s">
        <v>35</v>
      </c>
      <c r="G2493" t="s">
        <v>36</v>
      </c>
      <c r="H2493">
        <v>2</v>
      </c>
      <c r="I2493" t="s">
        <v>102</v>
      </c>
      <c r="J2493" t="s">
        <v>181</v>
      </c>
      <c r="K2493">
        <v>85</v>
      </c>
      <c r="L2493" t="s">
        <v>30</v>
      </c>
      <c r="M2493" t="s">
        <v>22</v>
      </c>
    </row>
    <row r="2494" spans="1:13" x14ac:dyDescent="0.35">
      <c r="A2494" t="s">
        <v>3978</v>
      </c>
      <c r="B2494" s="9">
        <v>46152</v>
      </c>
      <c r="C2494" t="s">
        <v>3344</v>
      </c>
      <c r="D2494" t="s">
        <v>53</v>
      </c>
      <c r="E2494" t="s">
        <v>41</v>
      </c>
      <c r="F2494" t="s">
        <v>42</v>
      </c>
      <c r="G2494" t="s">
        <v>43</v>
      </c>
      <c r="H2494">
        <v>1</v>
      </c>
      <c r="I2494" t="s">
        <v>19</v>
      </c>
      <c r="J2494" t="s">
        <v>220</v>
      </c>
      <c r="K2494" t="s">
        <v>111</v>
      </c>
      <c r="L2494" t="s">
        <v>30</v>
      </c>
      <c r="M2494" t="s">
        <v>22</v>
      </c>
    </row>
    <row r="2495" spans="1:13" x14ac:dyDescent="0.35">
      <c r="A2495" t="s">
        <v>3979</v>
      </c>
      <c r="B2495" s="9">
        <v>46208</v>
      </c>
      <c r="C2495" t="s">
        <v>3953</v>
      </c>
      <c r="D2495" t="s">
        <v>15</v>
      </c>
      <c r="E2495" t="s">
        <v>16</v>
      </c>
      <c r="F2495" t="s">
        <v>26</v>
      </c>
      <c r="G2495" t="s">
        <v>27</v>
      </c>
      <c r="H2495">
        <v>3</v>
      </c>
      <c r="I2495" t="s">
        <v>56</v>
      </c>
      <c r="J2495" t="s">
        <v>57</v>
      </c>
      <c r="K2495" t="s">
        <v>29</v>
      </c>
      <c r="L2495" t="s">
        <v>30</v>
      </c>
      <c r="M2495" t="s">
        <v>22</v>
      </c>
    </row>
    <row r="2496" spans="1:13" x14ac:dyDescent="0.35">
      <c r="A2496" t="s">
        <v>3980</v>
      </c>
      <c r="B2496" s="9">
        <v>46202</v>
      </c>
      <c r="C2496" t="s">
        <v>1217</v>
      </c>
      <c r="D2496" t="s">
        <v>61</v>
      </c>
      <c r="E2496" t="s">
        <v>25</v>
      </c>
      <c r="F2496" t="s">
        <v>35</v>
      </c>
      <c r="G2496" t="s">
        <v>36</v>
      </c>
      <c r="H2496">
        <v>1</v>
      </c>
      <c r="I2496" t="s">
        <v>85</v>
      </c>
      <c r="J2496" t="s">
        <v>85</v>
      </c>
      <c r="K2496" t="s">
        <v>37</v>
      </c>
      <c r="L2496" t="s">
        <v>30</v>
      </c>
      <c r="M2496" t="s">
        <v>22</v>
      </c>
    </row>
    <row r="2497" spans="1:13" x14ac:dyDescent="0.35">
      <c r="A2497" t="s">
        <v>3981</v>
      </c>
      <c r="B2497" s="9">
        <v>46079</v>
      </c>
      <c r="C2497" t="s">
        <v>1059</v>
      </c>
      <c r="D2497" t="s">
        <v>46</v>
      </c>
      <c r="E2497" t="s">
        <v>41</v>
      </c>
      <c r="F2497" t="s">
        <v>89</v>
      </c>
      <c r="G2497" t="s">
        <v>90</v>
      </c>
      <c r="H2497">
        <v>3</v>
      </c>
      <c r="I2497" t="s">
        <v>106</v>
      </c>
      <c r="J2497" t="s">
        <v>160</v>
      </c>
      <c r="K2497">
        <v>640</v>
      </c>
      <c r="L2497" t="s">
        <v>30</v>
      </c>
      <c r="M2497" t="s">
        <v>22</v>
      </c>
    </row>
    <row r="2498" spans="1:13" x14ac:dyDescent="0.35">
      <c r="A2498" t="s">
        <v>3982</v>
      </c>
      <c r="B2498" s="9">
        <v>46144</v>
      </c>
      <c r="C2498" t="s">
        <v>2742</v>
      </c>
      <c r="D2498" t="s">
        <v>33</v>
      </c>
      <c r="E2498" t="s">
        <v>16</v>
      </c>
      <c r="F2498" t="s">
        <v>47</v>
      </c>
      <c r="G2498" t="s">
        <v>48</v>
      </c>
      <c r="H2498">
        <v>3</v>
      </c>
      <c r="I2498" t="s">
        <v>106</v>
      </c>
      <c r="J2498" t="s">
        <v>160</v>
      </c>
      <c r="K2498" t="s">
        <v>50</v>
      </c>
      <c r="L2498" t="s">
        <v>30</v>
      </c>
      <c r="M2498" t="s">
        <v>58</v>
      </c>
    </row>
    <row r="2499" spans="1:13" x14ac:dyDescent="0.35">
      <c r="A2499" t="s">
        <v>3983</v>
      </c>
      <c r="B2499" s="9">
        <v>46034</v>
      </c>
      <c r="C2499" t="s">
        <v>559</v>
      </c>
      <c r="D2499" t="s">
        <v>66</v>
      </c>
      <c r="E2499" t="s">
        <v>41</v>
      </c>
      <c r="F2499" t="s">
        <v>47</v>
      </c>
      <c r="G2499" t="s">
        <v>48</v>
      </c>
      <c r="H2499">
        <v>3</v>
      </c>
      <c r="I2499" t="s">
        <v>254</v>
      </c>
      <c r="J2499" t="s">
        <v>390</v>
      </c>
      <c r="K2499">
        <v>380</v>
      </c>
      <c r="L2499" t="s">
        <v>30</v>
      </c>
      <c r="M2499" t="s">
        <v>22</v>
      </c>
    </row>
    <row r="2500" spans="1:13" x14ac:dyDescent="0.35">
      <c r="A2500" t="s">
        <v>3984</v>
      </c>
      <c r="B2500" s="9">
        <v>46127</v>
      </c>
      <c r="C2500" t="s">
        <v>2759</v>
      </c>
      <c r="D2500" t="s">
        <v>33</v>
      </c>
      <c r="E2500" t="s">
        <v>16</v>
      </c>
      <c r="F2500" t="s">
        <v>83</v>
      </c>
      <c r="G2500" t="s">
        <v>84</v>
      </c>
      <c r="H2500">
        <v>1</v>
      </c>
      <c r="I2500" t="s">
        <v>254</v>
      </c>
      <c r="J2500" t="s">
        <v>3821</v>
      </c>
      <c r="K2500">
        <v>340</v>
      </c>
      <c r="L2500" t="s">
        <v>30</v>
      </c>
      <c r="M2500" t="s">
        <v>22</v>
      </c>
    </row>
    <row r="2501" spans="1:13" x14ac:dyDescent="0.35">
      <c r="A2501" t="s">
        <v>3985</v>
      </c>
      <c r="B2501" s="9">
        <v>46044</v>
      </c>
      <c r="C2501" t="s">
        <v>539</v>
      </c>
      <c r="D2501" t="s">
        <v>66</v>
      </c>
      <c r="E2501" t="s">
        <v>16</v>
      </c>
      <c r="F2501" t="s">
        <v>42</v>
      </c>
      <c r="G2501" t="s">
        <v>43</v>
      </c>
      <c r="H2501">
        <v>1</v>
      </c>
      <c r="I2501" t="s">
        <v>254</v>
      </c>
      <c r="J2501" t="s">
        <v>254</v>
      </c>
      <c r="K2501">
        <v>190</v>
      </c>
      <c r="L2501" t="s">
        <v>30</v>
      </c>
      <c r="M2501" t="s">
        <v>22</v>
      </c>
    </row>
    <row r="2502" spans="1:13" x14ac:dyDescent="0.35">
      <c r="A2502" t="s">
        <v>3986</v>
      </c>
      <c r="B2502" s="9">
        <v>46045</v>
      </c>
      <c r="C2502" t="s">
        <v>3987</v>
      </c>
      <c r="D2502" t="s">
        <v>61</v>
      </c>
      <c r="E2502" t="s">
        <v>67</v>
      </c>
      <c r="F2502" t="s">
        <v>42</v>
      </c>
      <c r="G2502" t="s">
        <v>43</v>
      </c>
      <c r="H2502">
        <v>1</v>
      </c>
      <c r="I2502" t="s">
        <v>79</v>
      </c>
      <c r="J2502" t="s">
        <v>79</v>
      </c>
      <c r="K2502">
        <v>190</v>
      </c>
      <c r="L2502" t="s">
        <v>30</v>
      </c>
      <c r="M2502" t="s">
        <v>22</v>
      </c>
    </row>
    <row r="2503" spans="1:13" x14ac:dyDescent="0.35">
      <c r="A2503" t="s">
        <v>3988</v>
      </c>
      <c r="B2503" s="9">
        <v>46175</v>
      </c>
      <c r="C2503" t="s">
        <v>1918</v>
      </c>
      <c r="D2503" t="s">
        <v>33</v>
      </c>
      <c r="E2503" t="s">
        <v>34</v>
      </c>
      <c r="F2503" t="s">
        <v>42</v>
      </c>
      <c r="G2503" t="s">
        <v>43</v>
      </c>
      <c r="H2503">
        <v>1</v>
      </c>
      <c r="I2503" t="s">
        <v>49</v>
      </c>
      <c r="J2503" t="s">
        <v>1497</v>
      </c>
      <c r="K2503" t="s">
        <v>111</v>
      </c>
      <c r="L2503" t="s">
        <v>30</v>
      </c>
      <c r="M2503" t="s">
        <v>58</v>
      </c>
    </row>
    <row r="2504" spans="1:13" x14ac:dyDescent="0.35">
      <c r="A2504" t="s">
        <v>3989</v>
      </c>
      <c r="B2504" s="9">
        <v>46180</v>
      </c>
      <c r="C2504" t="s">
        <v>1488</v>
      </c>
      <c r="D2504" t="s">
        <v>15</v>
      </c>
      <c r="E2504" t="s">
        <v>41</v>
      </c>
      <c r="F2504" t="s">
        <v>17</v>
      </c>
      <c r="G2504" t="s">
        <v>18</v>
      </c>
      <c r="H2504">
        <v>3</v>
      </c>
      <c r="I2504" t="s">
        <v>102</v>
      </c>
      <c r="J2504" t="s">
        <v>127</v>
      </c>
      <c r="K2504" t="s">
        <v>29</v>
      </c>
      <c r="L2504" t="s">
        <v>30</v>
      </c>
      <c r="M2504" t="s">
        <v>22</v>
      </c>
    </row>
    <row r="2505" spans="1:13" x14ac:dyDescent="0.35">
      <c r="A2505" t="s">
        <v>3990</v>
      </c>
      <c r="B2505" s="9">
        <v>46040</v>
      </c>
      <c r="C2505" t="s">
        <v>1878</v>
      </c>
      <c r="D2505" t="s">
        <v>61</v>
      </c>
      <c r="E2505" t="s">
        <v>67</v>
      </c>
      <c r="F2505" t="s">
        <v>26</v>
      </c>
      <c r="G2505" t="s">
        <v>27</v>
      </c>
      <c r="H2505">
        <v>1</v>
      </c>
      <c r="I2505" t="s">
        <v>49</v>
      </c>
      <c r="J2505" t="s">
        <v>49</v>
      </c>
      <c r="K2505">
        <v>520</v>
      </c>
      <c r="L2505" t="s">
        <v>30</v>
      </c>
      <c r="M2505" t="s">
        <v>22</v>
      </c>
    </row>
    <row r="2506" spans="1:13" x14ac:dyDescent="0.35">
      <c r="A2506" t="s">
        <v>3991</v>
      </c>
      <c r="B2506" s="9">
        <v>46062</v>
      </c>
      <c r="C2506" t="s">
        <v>3427</v>
      </c>
      <c r="D2506" t="s">
        <v>94</v>
      </c>
      <c r="E2506" t="s">
        <v>67</v>
      </c>
      <c r="F2506" t="s">
        <v>74</v>
      </c>
      <c r="G2506" t="s">
        <v>75</v>
      </c>
      <c r="H2506">
        <v>2</v>
      </c>
      <c r="I2506" t="s">
        <v>132</v>
      </c>
      <c r="J2506" t="s">
        <v>133</v>
      </c>
      <c r="K2506">
        <v>410</v>
      </c>
      <c r="L2506" t="s">
        <v>30</v>
      </c>
      <c r="M2506" t="s">
        <v>22</v>
      </c>
    </row>
    <row r="2507" spans="1:13" x14ac:dyDescent="0.35">
      <c r="A2507" t="s">
        <v>3992</v>
      </c>
      <c r="B2507" s="9">
        <v>46100</v>
      </c>
      <c r="C2507" t="s">
        <v>2759</v>
      </c>
      <c r="D2507" t="s">
        <v>53</v>
      </c>
      <c r="E2507" t="s">
        <v>34</v>
      </c>
      <c r="F2507" t="s">
        <v>35</v>
      </c>
      <c r="G2507" t="s">
        <v>36</v>
      </c>
      <c r="H2507">
        <v>1</v>
      </c>
      <c r="I2507" t="s">
        <v>28</v>
      </c>
      <c r="J2507" t="s">
        <v>28</v>
      </c>
      <c r="K2507">
        <v>85</v>
      </c>
      <c r="L2507" t="s">
        <v>21</v>
      </c>
      <c r="M2507" t="s">
        <v>58</v>
      </c>
    </row>
    <row r="2508" spans="1:13" x14ac:dyDescent="0.35">
      <c r="A2508" t="s">
        <v>3993</v>
      </c>
      <c r="B2508" s="9">
        <v>46079</v>
      </c>
      <c r="C2508" t="s">
        <v>1128</v>
      </c>
      <c r="D2508" t="s">
        <v>33</v>
      </c>
      <c r="E2508" t="s">
        <v>16</v>
      </c>
      <c r="F2508" t="s">
        <v>74</v>
      </c>
      <c r="G2508" t="s">
        <v>75</v>
      </c>
      <c r="H2508">
        <v>1</v>
      </c>
      <c r="I2508" t="s">
        <v>102</v>
      </c>
      <c r="J2508" t="s">
        <v>102</v>
      </c>
      <c r="K2508">
        <v>410</v>
      </c>
      <c r="L2508" t="s">
        <v>21</v>
      </c>
      <c r="M2508" t="s">
        <v>22</v>
      </c>
    </row>
    <row r="2509" spans="1:13" x14ac:dyDescent="0.35">
      <c r="A2509" t="s">
        <v>3994</v>
      </c>
      <c r="B2509" s="9">
        <v>46056</v>
      </c>
      <c r="C2509" t="s">
        <v>2838</v>
      </c>
      <c r="D2509" t="s">
        <v>33</v>
      </c>
      <c r="E2509" t="s">
        <v>67</v>
      </c>
      <c r="F2509" t="s">
        <v>35</v>
      </c>
      <c r="G2509" t="s">
        <v>36</v>
      </c>
      <c r="H2509">
        <v>1</v>
      </c>
      <c r="I2509" t="s">
        <v>68</v>
      </c>
      <c r="J2509" t="s">
        <v>68</v>
      </c>
      <c r="K2509">
        <v>85</v>
      </c>
      <c r="L2509" t="s">
        <v>30</v>
      </c>
      <c r="M2509" t="s">
        <v>22</v>
      </c>
    </row>
    <row r="2510" spans="1:13" x14ac:dyDescent="0.35">
      <c r="A2510" t="s">
        <v>3995</v>
      </c>
      <c r="B2510" s="9">
        <v>46181</v>
      </c>
      <c r="C2510" t="s">
        <v>24</v>
      </c>
      <c r="D2510" t="s">
        <v>94</v>
      </c>
      <c r="E2510" t="s">
        <v>67</v>
      </c>
      <c r="F2510" t="s">
        <v>47</v>
      </c>
      <c r="G2510" t="s">
        <v>48</v>
      </c>
      <c r="H2510">
        <v>2</v>
      </c>
      <c r="I2510" t="s">
        <v>62</v>
      </c>
      <c r="J2510" t="s">
        <v>63</v>
      </c>
      <c r="K2510" t="s">
        <v>50</v>
      </c>
      <c r="L2510" t="s">
        <v>30</v>
      </c>
      <c r="M2510" t="s">
        <v>22</v>
      </c>
    </row>
    <row r="2511" spans="1:13" x14ac:dyDescent="0.35">
      <c r="A2511" t="s">
        <v>3996</v>
      </c>
      <c r="B2511" s="9">
        <v>46093</v>
      </c>
      <c r="C2511" t="s">
        <v>3949</v>
      </c>
      <c r="D2511" t="s">
        <v>66</v>
      </c>
      <c r="E2511" t="s">
        <v>25</v>
      </c>
      <c r="F2511" t="s">
        <v>83</v>
      </c>
      <c r="G2511" t="s">
        <v>84</v>
      </c>
      <c r="H2511">
        <v>2</v>
      </c>
      <c r="I2511" t="s">
        <v>132</v>
      </c>
      <c r="J2511" t="s">
        <v>133</v>
      </c>
      <c r="K2511">
        <v>340</v>
      </c>
      <c r="L2511" t="s">
        <v>30</v>
      </c>
      <c r="M2511" t="s">
        <v>22</v>
      </c>
    </row>
    <row r="2512" spans="1:13" x14ac:dyDescent="0.35">
      <c r="A2512" t="s">
        <v>3997</v>
      </c>
      <c r="B2512" s="9">
        <v>46122</v>
      </c>
      <c r="C2512" t="s">
        <v>3998</v>
      </c>
      <c r="D2512" t="s">
        <v>116</v>
      </c>
      <c r="E2512" t="s">
        <v>16</v>
      </c>
      <c r="F2512" t="s">
        <v>35</v>
      </c>
      <c r="G2512" t="s">
        <v>36</v>
      </c>
      <c r="H2512">
        <v>3</v>
      </c>
      <c r="I2512" t="s">
        <v>132</v>
      </c>
      <c r="J2512" t="s">
        <v>232</v>
      </c>
      <c r="K2512">
        <v>85</v>
      </c>
      <c r="L2512" t="s">
        <v>30</v>
      </c>
      <c r="M2512" t="s">
        <v>22</v>
      </c>
    </row>
    <row r="2513" spans="1:13" x14ac:dyDescent="0.35">
      <c r="A2513" t="s">
        <v>3999</v>
      </c>
      <c r="B2513" s="9">
        <v>46075</v>
      </c>
      <c r="C2513" t="s">
        <v>3207</v>
      </c>
      <c r="D2513" t="s">
        <v>94</v>
      </c>
      <c r="E2513" t="s">
        <v>25</v>
      </c>
      <c r="F2513" t="s">
        <v>17</v>
      </c>
      <c r="G2513" t="s">
        <v>18</v>
      </c>
      <c r="H2513">
        <v>-3</v>
      </c>
      <c r="I2513" t="s">
        <v>993</v>
      </c>
      <c r="J2513" t="s">
        <v>3447</v>
      </c>
      <c r="K2513">
        <v>520</v>
      </c>
      <c r="L2513" t="s">
        <v>30</v>
      </c>
      <c r="M2513" t="s">
        <v>22</v>
      </c>
    </row>
    <row r="2514" spans="1:13" x14ac:dyDescent="0.35">
      <c r="A2514" t="s">
        <v>4000</v>
      </c>
      <c r="B2514" s="9">
        <v>46186</v>
      </c>
      <c r="C2514" t="s">
        <v>1557</v>
      </c>
      <c r="D2514" t="s">
        <v>15</v>
      </c>
      <c r="E2514" t="s">
        <v>41</v>
      </c>
      <c r="F2514" t="s">
        <v>89</v>
      </c>
      <c r="G2514" t="s">
        <v>90</v>
      </c>
      <c r="H2514">
        <v>2</v>
      </c>
      <c r="I2514" t="s">
        <v>132</v>
      </c>
      <c r="J2514" t="s">
        <v>133</v>
      </c>
      <c r="K2514" t="s">
        <v>108</v>
      </c>
      <c r="L2514" t="s">
        <v>30</v>
      </c>
      <c r="M2514" t="s">
        <v>22</v>
      </c>
    </row>
    <row r="2515" spans="1:13" x14ac:dyDescent="0.35">
      <c r="A2515" t="s">
        <v>4001</v>
      </c>
      <c r="B2515" s="9">
        <v>46044</v>
      </c>
      <c r="C2515" t="s">
        <v>1044</v>
      </c>
      <c r="D2515" t="s">
        <v>15</v>
      </c>
      <c r="E2515" t="s">
        <v>41</v>
      </c>
      <c r="F2515" t="s">
        <v>89</v>
      </c>
      <c r="G2515" t="s">
        <v>90</v>
      </c>
      <c r="H2515">
        <v>1</v>
      </c>
      <c r="I2515" t="s">
        <v>220</v>
      </c>
      <c r="J2515" t="s">
        <v>220</v>
      </c>
      <c r="K2515">
        <v>640</v>
      </c>
      <c r="L2515" t="s">
        <v>30</v>
      </c>
      <c r="M2515" t="s">
        <v>22</v>
      </c>
    </row>
    <row r="2516" spans="1:13" x14ac:dyDescent="0.35">
      <c r="A2516" t="s">
        <v>4002</v>
      </c>
      <c r="B2516" s="9">
        <v>46031</v>
      </c>
      <c r="C2516" t="s">
        <v>4003</v>
      </c>
      <c r="D2516" t="s">
        <v>15</v>
      </c>
      <c r="E2516" t="s">
        <v>41</v>
      </c>
      <c r="F2516" t="s">
        <v>26</v>
      </c>
      <c r="G2516" t="s">
        <v>27</v>
      </c>
      <c r="H2516">
        <v>2</v>
      </c>
      <c r="I2516" t="s">
        <v>79</v>
      </c>
      <c r="J2516" t="s">
        <v>143</v>
      </c>
      <c r="K2516">
        <v>520</v>
      </c>
      <c r="L2516" t="s">
        <v>21</v>
      </c>
      <c r="M2516" t="s">
        <v>22</v>
      </c>
    </row>
    <row r="2517" spans="1:13" x14ac:dyDescent="0.35">
      <c r="A2517" t="s">
        <v>4004</v>
      </c>
      <c r="B2517" s="9">
        <v>46120</v>
      </c>
      <c r="C2517" t="s">
        <v>2706</v>
      </c>
      <c r="D2517" t="s">
        <v>61</v>
      </c>
      <c r="E2517" t="s">
        <v>16</v>
      </c>
      <c r="F2517" t="s">
        <v>42</v>
      </c>
      <c r="G2517" t="s">
        <v>43</v>
      </c>
      <c r="H2517">
        <v>3</v>
      </c>
      <c r="I2517" t="s">
        <v>62</v>
      </c>
      <c r="J2517" t="s">
        <v>488</v>
      </c>
      <c r="K2517">
        <v>190</v>
      </c>
      <c r="L2517" t="s">
        <v>30</v>
      </c>
      <c r="M2517" t="s">
        <v>22</v>
      </c>
    </row>
    <row r="2518" spans="1:13" x14ac:dyDescent="0.35">
      <c r="A2518" t="s">
        <v>4005</v>
      </c>
      <c r="B2518" s="9">
        <v>46066</v>
      </c>
      <c r="C2518" t="s">
        <v>4006</v>
      </c>
      <c r="D2518" t="s">
        <v>116</v>
      </c>
      <c r="E2518" t="s">
        <v>67</v>
      </c>
      <c r="F2518" t="s">
        <v>89</v>
      </c>
      <c r="G2518" t="s">
        <v>90</v>
      </c>
      <c r="H2518">
        <v>1</v>
      </c>
      <c r="I2518" t="s">
        <v>106</v>
      </c>
      <c r="J2518" t="s">
        <v>62</v>
      </c>
      <c r="K2518">
        <v>640</v>
      </c>
      <c r="L2518" t="s">
        <v>30</v>
      </c>
      <c r="M2518" t="s">
        <v>22</v>
      </c>
    </row>
    <row r="2519" spans="1:13" x14ac:dyDescent="0.35">
      <c r="A2519" t="s">
        <v>4007</v>
      </c>
      <c r="B2519" s="9">
        <v>46119</v>
      </c>
      <c r="C2519" t="s">
        <v>163</v>
      </c>
      <c r="D2519" t="s">
        <v>61</v>
      </c>
      <c r="E2519" t="s">
        <v>41</v>
      </c>
      <c r="F2519" t="s">
        <v>89</v>
      </c>
      <c r="G2519" t="s">
        <v>90</v>
      </c>
      <c r="H2519">
        <v>1</v>
      </c>
      <c r="I2519" t="s">
        <v>254</v>
      </c>
      <c r="J2519" t="s">
        <v>254</v>
      </c>
      <c r="K2519" t="s">
        <v>108</v>
      </c>
      <c r="L2519" t="s">
        <v>30</v>
      </c>
      <c r="M2519" t="s">
        <v>22</v>
      </c>
    </row>
    <row r="2520" spans="1:13" x14ac:dyDescent="0.35">
      <c r="A2520" t="s">
        <v>4008</v>
      </c>
      <c r="B2520" t="s">
        <v>470</v>
      </c>
      <c r="C2520" t="s">
        <v>1196</v>
      </c>
      <c r="D2520" t="s">
        <v>40</v>
      </c>
      <c r="E2520" t="s">
        <v>25</v>
      </c>
      <c r="F2520" t="s">
        <v>74</v>
      </c>
      <c r="G2520" t="s">
        <v>75</v>
      </c>
      <c r="H2520">
        <v>3</v>
      </c>
      <c r="I2520" t="s">
        <v>132</v>
      </c>
      <c r="J2520" t="s">
        <v>232</v>
      </c>
      <c r="K2520">
        <v>410</v>
      </c>
      <c r="L2520" t="s">
        <v>30</v>
      </c>
      <c r="M2520" t="s">
        <v>22</v>
      </c>
    </row>
    <row r="2521" spans="1:13" x14ac:dyDescent="0.35">
      <c r="A2521" t="s">
        <v>4009</v>
      </c>
      <c r="B2521" s="9">
        <v>46090</v>
      </c>
      <c r="C2521" t="s">
        <v>2218</v>
      </c>
      <c r="D2521" t="s">
        <v>99</v>
      </c>
      <c r="E2521" t="s">
        <v>16</v>
      </c>
      <c r="F2521" t="s">
        <v>74</v>
      </c>
      <c r="G2521" t="s">
        <v>75</v>
      </c>
      <c r="H2521">
        <v>2</v>
      </c>
      <c r="I2521" t="s">
        <v>254</v>
      </c>
      <c r="J2521" t="s">
        <v>156</v>
      </c>
      <c r="K2521">
        <v>410</v>
      </c>
      <c r="L2521" t="s">
        <v>30</v>
      </c>
      <c r="M2521" t="s">
        <v>22</v>
      </c>
    </row>
    <row r="2522" spans="1:13" x14ac:dyDescent="0.35">
      <c r="A2522" t="s">
        <v>4010</v>
      </c>
      <c r="B2522" s="9">
        <v>46152</v>
      </c>
      <c r="C2522" t="s">
        <v>4011</v>
      </c>
      <c r="D2522" t="s">
        <v>99</v>
      </c>
      <c r="E2522" t="s">
        <v>25</v>
      </c>
      <c r="F2522" t="s">
        <v>83</v>
      </c>
      <c r="G2522" t="s">
        <v>84</v>
      </c>
      <c r="H2522">
        <v>1</v>
      </c>
      <c r="I2522" t="s">
        <v>220</v>
      </c>
      <c r="J2522" t="s">
        <v>220</v>
      </c>
      <c r="K2522" t="s">
        <v>103</v>
      </c>
      <c r="L2522" t="s">
        <v>30</v>
      </c>
      <c r="M2522" t="s">
        <v>22</v>
      </c>
    </row>
    <row r="2523" spans="1:13" x14ac:dyDescent="0.35">
      <c r="A2523" t="s">
        <v>4012</v>
      </c>
      <c r="B2523" s="9">
        <v>46086</v>
      </c>
      <c r="C2523" t="s">
        <v>1896</v>
      </c>
      <c r="D2523" t="s">
        <v>116</v>
      </c>
      <c r="E2523" t="s">
        <v>67</v>
      </c>
      <c r="F2523" t="s">
        <v>26</v>
      </c>
      <c r="G2523" t="s">
        <v>27</v>
      </c>
      <c r="H2523">
        <v>1</v>
      </c>
      <c r="I2523" t="s">
        <v>106</v>
      </c>
      <c r="J2523" t="s">
        <v>106</v>
      </c>
      <c r="K2523">
        <v>520</v>
      </c>
      <c r="L2523" t="s">
        <v>21</v>
      </c>
      <c r="M2523" t="s">
        <v>22</v>
      </c>
    </row>
    <row r="2524" spans="1:13" x14ac:dyDescent="0.35">
      <c r="A2524" t="s">
        <v>4013</v>
      </c>
      <c r="B2524" s="9">
        <v>46055</v>
      </c>
      <c r="C2524" t="s">
        <v>3917</v>
      </c>
      <c r="D2524" t="s">
        <v>66</v>
      </c>
      <c r="E2524" t="s">
        <v>34</v>
      </c>
      <c r="F2524" t="s">
        <v>42</v>
      </c>
      <c r="G2524" t="s">
        <v>43</v>
      </c>
      <c r="H2524">
        <v>2</v>
      </c>
      <c r="I2524" t="s">
        <v>49</v>
      </c>
      <c r="J2524" t="s">
        <v>178</v>
      </c>
      <c r="K2524">
        <v>190</v>
      </c>
      <c r="L2524" t="s">
        <v>21</v>
      </c>
      <c r="M2524" t="s">
        <v>58</v>
      </c>
    </row>
    <row r="2525" spans="1:13" x14ac:dyDescent="0.35">
      <c r="A2525" t="s">
        <v>4014</v>
      </c>
      <c r="B2525" s="9">
        <v>46036</v>
      </c>
      <c r="C2525" t="s">
        <v>4015</v>
      </c>
      <c r="D2525" t="s">
        <v>40</v>
      </c>
      <c r="E2525" t="s">
        <v>16</v>
      </c>
      <c r="F2525" t="s">
        <v>26</v>
      </c>
      <c r="G2525" t="s">
        <v>27</v>
      </c>
      <c r="H2525">
        <v>1</v>
      </c>
      <c r="I2525" t="s">
        <v>85</v>
      </c>
      <c r="J2525" t="s">
        <v>550</v>
      </c>
      <c r="K2525">
        <v>520</v>
      </c>
      <c r="L2525" t="s">
        <v>21</v>
      </c>
      <c r="M2525" t="s">
        <v>22</v>
      </c>
    </row>
    <row r="2526" spans="1:13" x14ac:dyDescent="0.35">
      <c r="A2526" t="s">
        <v>4016</v>
      </c>
      <c r="B2526" s="9">
        <v>46167</v>
      </c>
      <c r="C2526" t="s">
        <v>1189</v>
      </c>
      <c r="D2526" t="s">
        <v>40</v>
      </c>
      <c r="E2526" t="s">
        <v>34</v>
      </c>
      <c r="F2526" t="s">
        <v>74</v>
      </c>
      <c r="G2526" t="s">
        <v>75</v>
      </c>
      <c r="H2526">
        <v>2</v>
      </c>
      <c r="I2526" t="s">
        <v>106</v>
      </c>
      <c r="J2526" t="s">
        <v>107</v>
      </c>
      <c r="K2526" t="s">
        <v>76</v>
      </c>
      <c r="L2526" t="s">
        <v>30</v>
      </c>
      <c r="M2526" t="s">
        <v>58</v>
      </c>
    </row>
    <row r="2527" spans="1:13" x14ac:dyDescent="0.35">
      <c r="A2527" t="s">
        <v>4017</v>
      </c>
      <c r="B2527" s="9">
        <v>46157</v>
      </c>
      <c r="C2527" t="s">
        <v>4018</v>
      </c>
      <c r="D2527" t="s">
        <v>33</v>
      </c>
      <c r="E2527" t="s">
        <v>34</v>
      </c>
      <c r="F2527" t="s">
        <v>89</v>
      </c>
      <c r="G2527" t="s">
        <v>90</v>
      </c>
      <c r="H2527">
        <v>1</v>
      </c>
      <c r="I2527" t="s">
        <v>254</v>
      </c>
      <c r="J2527" t="s">
        <v>254</v>
      </c>
      <c r="K2527" t="s">
        <v>108</v>
      </c>
      <c r="L2527" t="s">
        <v>30</v>
      </c>
      <c r="M2527" t="s">
        <v>22</v>
      </c>
    </row>
    <row r="2528" spans="1:13" x14ac:dyDescent="0.35">
      <c r="A2528" t="s">
        <v>4019</v>
      </c>
      <c r="B2528" s="9">
        <v>46208</v>
      </c>
      <c r="C2528" t="s">
        <v>1144</v>
      </c>
      <c r="D2528" t="s">
        <v>33</v>
      </c>
      <c r="E2528" t="s">
        <v>67</v>
      </c>
      <c r="F2528" t="s">
        <v>42</v>
      </c>
      <c r="G2528" t="s">
        <v>43</v>
      </c>
      <c r="H2528">
        <v>3</v>
      </c>
      <c r="I2528" t="s">
        <v>85</v>
      </c>
      <c r="J2528" t="s">
        <v>86</v>
      </c>
      <c r="K2528" t="s">
        <v>111</v>
      </c>
      <c r="L2528" t="s">
        <v>30</v>
      </c>
      <c r="M2528" t="s">
        <v>58</v>
      </c>
    </row>
    <row r="2529" spans="1:13" x14ac:dyDescent="0.35">
      <c r="A2529" t="s">
        <v>4020</v>
      </c>
      <c r="B2529" s="9">
        <v>46190</v>
      </c>
      <c r="C2529" t="s">
        <v>269</v>
      </c>
      <c r="D2529" t="s">
        <v>61</v>
      </c>
      <c r="E2529" t="s">
        <v>41</v>
      </c>
      <c r="F2529" t="s">
        <v>42</v>
      </c>
      <c r="G2529" t="s">
        <v>43</v>
      </c>
      <c r="H2529">
        <v>1</v>
      </c>
      <c r="I2529" t="s">
        <v>106</v>
      </c>
      <c r="J2529" t="s">
        <v>106</v>
      </c>
      <c r="K2529" t="s">
        <v>111</v>
      </c>
      <c r="L2529" t="s">
        <v>30</v>
      </c>
      <c r="M2529" t="s">
        <v>22</v>
      </c>
    </row>
    <row r="2530" spans="1:13" x14ac:dyDescent="0.35">
      <c r="A2530" t="s">
        <v>4021</v>
      </c>
      <c r="B2530" s="9">
        <v>46157</v>
      </c>
      <c r="C2530" t="s">
        <v>1702</v>
      </c>
      <c r="D2530" t="s">
        <v>99</v>
      </c>
      <c r="E2530" t="s">
        <v>41</v>
      </c>
      <c r="F2530" t="s">
        <v>42</v>
      </c>
      <c r="G2530" t="s">
        <v>43</v>
      </c>
      <c r="H2530">
        <v>1</v>
      </c>
      <c r="I2530" t="s">
        <v>19</v>
      </c>
      <c r="J2530" t="s">
        <v>20</v>
      </c>
      <c r="K2530" t="s">
        <v>111</v>
      </c>
      <c r="L2530" t="s">
        <v>21</v>
      </c>
      <c r="M2530" t="s">
        <v>22</v>
      </c>
    </row>
    <row r="2531" spans="1:13" x14ac:dyDescent="0.35">
      <c r="A2531" t="s">
        <v>4022</v>
      </c>
      <c r="B2531" s="9">
        <v>46030</v>
      </c>
      <c r="C2531" t="s">
        <v>3857</v>
      </c>
      <c r="D2531" t="s">
        <v>33</v>
      </c>
      <c r="E2531" t="s">
        <v>67</v>
      </c>
      <c r="F2531" t="s">
        <v>89</v>
      </c>
      <c r="G2531" t="s">
        <v>90</v>
      </c>
      <c r="H2531">
        <v>1</v>
      </c>
      <c r="I2531" t="s">
        <v>132</v>
      </c>
      <c r="J2531" t="s">
        <v>132</v>
      </c>
      <c r="K2531">
        <v>640</v>
      </c>
      <c r="L2531" t="s">
        <v>30</v>
      </c>
      <c r="M2531" t="s">
        <v>22</v>
      </c>
    </row>
    <row r="2532" spans="1:13" x14ac:dyDescent="0.35">
      <c r="A2532" t="s">
        <v>4023</v>
      </c>
      <c r="B2532" s="9">
        <v>46149</v>
      </c>
      <c r="C2532" t="s">
        <v>975</v>
      </c>
      <c r="D2532" t="s">
        <v>99</v>
      </c>
      <c r="E2532" t="s">
        <v>41</v>
      </c>
      <c r="F2532" t="s">
        <v>42</v>
      </c>
      <c r="G2532" t="s">
        <v>43</v>
      </c>
      <c r="H2532">
        <v>1</v>
      </c>
      <c r="I2532" t="s">
        <v>254</v>
      </c>
      <c r="J2532" t="s">
        <v>254</v>
      </c>
      <c r="K2532" t="s">
        <v>111</v>
      </c>
      <c r="L2532" t="s">
        <v>30</v>
      </c>
      <c r="M2532" t="s">
        <v>22</v>
      </c>
    </row>
    <row r="2533" spans="1:13" x14ac:dyDescent="0.35">
      <c r="A2533" t="s">
        <v>4024</v>
      </c>
      <c r="B2533" s="9">
        <v>46208</v>
      </c>
      <c r="C2533" t="s">
        <v>3899</v>
      </c>
      <c r="D2533" t="s">
        <v>33</v>
      </c>
      <c r="E2533" t="s">
        <v>25</v>
      </c>
      <c r="F2533" t="s">
        <v>42</v>
      </c>
      <c r="G2533" t="s">
        <v>43</v>
      </c>
      <c r="H2533">
        <v>1</v>
      </c>
      <c r="I2533" t="s">
        <v>28</v>
      </c>
      <c r="J2533" t="s">
        <v>28</v>
      </c>
      <c r="K2533" t="s">
        <v>111</v>
      </c>
      <c r="L2533" t="s">
        <v>30</v>
      </c>
      <c r="M2533" t="s">
        <v>22</v>
      </c>
    </row>
    <row r="2534" spans="1:13" x14ac:dyDescent="0.35">
      <c r="A2534" t="s">
        <v>4025</v>
      </c>
      <c r="B2534" s="9">
        <v>46163</v>
      </c>
      <c r="C2534" t="s">
        <v>1496</v>
      </c>
      <c r="D2534" t="s">
        <v>61</v>
      </c>
      <c r="E2534" t="s">
        <v>41</v>
      </c>
      <c r="F2534" t="s">
        <v>83</v>
      </c>
      <c r="G2534" t="s">
        <v>84</v>
      </c>
      <c r="H2534">
        <v>1</v>
      </c>
      <c r="I2534" t="s">
        <v>19</v>
      </c>
      <c r="J2534" t="s">
        <v>19</v>
      </c>
      <c r="K2534" t="s">
        <v>103</v>
      </c>
      <c r="L2534" t="s">
        <v>30</v>
      </c>
      <c r="M2534" t="s">
        <v>22</v>
      </c>
    </row>
    <row r="2535" spans="1:13" x14ac:dyDescent="0.35">
      <c r="A2535" t="s">
        <v>4026</v>
      </c>
      <c r="B2535" s="9">
        <v>46074</v>
      </c>
      <c r="C2535" t="s">
        <v>4027</v>
      </c>
      <c r="D2535" t="s">
        <v>15</v>
      </c>
      <c r="E2535" t="s">
        <v>41</v>
      </c>
      <c r="F2535" t="s">
        <v>83</v>
      </c>
      <c r="G2535" t="s">
        <v>84</v>
      </c>
      <c r="H2535">
        <v>3</v>
      </c>
      <c r="I2535" t="s">
        <v>656</v>
      </c>
      <c r="J2535" t="s">
        <v>568</v>
      </c>
      <c r="K2535">
        <v>340</v>
      </c>
      <c r="L2535" t="s">
        <v>30</v>
      </c>
      <c r="M2535" t="s">
        <v>22</v>
      </c>
    </row>
    <row r="2536" spans="1:13" x14ac:dyDescent="0.35">
      <c r="A2536" t="s">
        <v>4028</v>
      </c>
      <c r="B2536" s="9">
        <v>46047</v>
      </c>
      <c r="C2536" t="s">
        <v>150</v>
      </c>
      <c r="D2536" t="s">
        <v>40</v>
      </c>
      <c r="E2536" t="s">
        <v>41</v>
      </c>
      <c r="F2536" t="s">
        <v>35</v>
      </c>
      <c r="G2536" t="s">
        <v>36</v>
      </c>
      <c r="H2536">
        <v>2</v>
      </c>
      <c r="I2536" t="s">
        <v>79</v>
      </c>
      <c r="J2536" t="s">
        <v>143</v>
      </c>
      <c r="K2536">
        <v>85</v>
      </c>
      <c r="L2536" t="s">
        <v>21</v>
      </c>
      <c r="M2536" t="s">
        <v>22</v>
      </c>
    </row>
    <row r="2537" spans="1:13" x14ac:dyDescent="0.35">
      <c r="A2537" t="s">
        <v>4029</v>
      </c>
      <c r="B2537" s="9">
        <v>46143</v>
      </c>
      <c r="C2537" t="s">
        <v>3664</v>
      </c>
      <c r="D2537" t="s">
        <v>40</v>
      </c>
      <c r="E2537" t="s">
        <v>25</v>
      </c>
      <c r="F2537" t="s">
        <v>35</v>
      </c>
      <c r="G2537" t="s">
        <v>36</v>
      </c>
      <c r="H2537">
        <v>3</v>
      </c>
      <c r="I2537" t="s">
        <v>56</v>
      </c>
      <c r="J2537" t="s">
        <v>57</v>
      </c>
      <c r="K2537" t="s">
        <v>37</v>
      </c>
      <c r="L2537" t="s">
        <v>30</v>
      </c>
      <c r="M2537" t="s">
        <v>58</v>
      </c>
    </row>
    <row r="2538" spans="1:13" x14ac:dyDescent="0.35">
      <c r="A2538" t="s">
        <v>4030</v>
      </c>
      <c r="B2538" s="9">
        <v>46128</v>
      </c>
      <c r="C2538" t="s">
        <v>4031</v>
      </c>
      <c r="D2538" t="s">
        <v>53</v>
      </c>
      <c r="E2538" t="s">
        <v>16</v>
      </c>
      <c r="F2538" t="s">
        <v>35</v>
      </c>
      <c r="G2538" t="s">
        <v>36</v>
      </c>
      <c r="H2538">
        <v>2</v>
      </c>
      <c r="I2538" t="s">
        <v>19</v>
      </c>
      <c r="J2538" t="s">
        <v>238</v>
      </c>
      <c r="K2538">
        <v>85</v>
      </c>
      <c r="L2538" t="s">
        <v>30</v>
      </c>
      <c r="M2538" t="s">
        <v>22</v>
      </c>
    </row>
    <row r="2539" spans="1:13" x14ac:dyDescent="0.35">
      <c r="A2539" t="s">
        <v>4032</v>
      </c>
      <c r="B2539" s="9">
        <v>46049</v>
      </c>
      <c r="C2539" t="s">
        <v>1866</v>
      </c>
      <c r="D2539" t="s">
        <v>33</v>
      </c>
      <c r="E2539" t="s">
        <v>34</v>
      </c>
      <c r="F2539" t="s">
        <v>42</v>
      </c>
      <c r="G2539" t="s">
        <v>43</v>
      </c>
      <c r="H2539">
        <v>1</v>
      </c>
      <c r="I2539" t="s">
        <v>102</v>
      </c>
      <c r="J2539" t="s">
        <v>102</v>
      </c>
      <c r="K2539">
        <v>190</v>
      </c>
      <c r="L2539" t="s">
        <v>21</v>
      </c>
      <c r="M2539" t="s">
        <v>22</v>
      </c>
    </row>
    <row r="2540" spans="1:13" x14ac:dyDescent="0.35">
      <c r="A2540" t="s">
        <v>4033</v>
      </c>
      <c r="B2540" s="9">
        <v>46176</v>
      </c>
      <c r="C2540" t="s">
        <v>1957</v>
      </c>
      <c r="D2540" t="s">
        <v>33</v>
      </c>
      <c r="E2540" t="s">
        <v>34</v>
      </c>
      <c r="F2540" t="s">
        <v>35</v>
      </c>
      <c r="G2540" t="s">
        <v>36</v>
      </c>
      <c r="H2540">
        <v>3</v>
      </c>
      <c r="I2540" t="s">
        <v>254</v>
      </c>
      <c r="J2540" t="s">
        <v>390</v>
      </c>
      <c r="K2540" t="s">
        <v>37</v>
      </c>
      <c r="L2540" t="s">
        <v>30</v>
      </c>
      <c r="M2540" t="s">
        <v>22</v>
      </c>
    </row>
    <row r="2541" spans="1:13" x14ac:dyDescent="0.35">
      <c r="A2541" t="s">
        <v>4034</v>
      </c>
      <c r="B2541" s="9">
        <v>46064</v>
      </c>
      <c r="C2541" t="s">
        <v>537</v>
      </c>
      <c r="D2541" t="s">
        <v>61</v>
      </c>
      <c r="E2541" t="s">
        <v>25</v>
      </c>
      <c r="F2541" t="s">
        <v>47</v>
      </c>
      <c r="G2541" t="s">
        <v>48</v>
      </c>
      <c r="H2541">
        <v>1</v>
      </c>
      <c r="I2541" t="s">
        <v>68</v>
      </c>
      <c r="J2541" t="s">
        <v>68</v>
      </c>
      <c r="K2541">
        <v>380</v>
      </c>
      <c r="L2541" t="s">
        <v>30</v>
      </c>
      <c r="M2541" t="s">
        <v>22</v>
      </c>
    </row>
    <row r="2542" spans="1:13" x14ac:dyDescent="0.35">
      <c r="A2542" t="s">
        <v>4035</v>
      </c>
      <c r="B2542" s="9">
        <v>46149</v>
      </c>
      <c r="C2542" t="s">
        <v>2477</v>
      </c>
      <c r="D2542" t="s">
        <v>53</v>
      </c>
      <c r="E2542" t="s">
        <v>41</v>
      </c>
      <c r="F2542" t="s">
        <v>17</v>
      </c>
      <c r="G2542" t="s">
        <v>18</v>
      </c>
      <c r="H2542">
        <v>2</v>
      </c>
      <c r="I2542" t="s">
        <v>19</v>
      </c>
      <c r="J2542" t="s">
        <v>238</v>
      </c>
      <c r="K2542" t="s">
        <v>29</v>
      </c>
      <c r="L2542" t="s">
        <v>21</v>
      </c>
      <c r="M2542" t="s">
        <v>22</v>
      </c>
    </row>
    <row r="2543" spans="1:13" x14ac:dyDescent="0.35">
      <c r="A2543" t="s">
        <v>4036</v>
      </c>
      <c r="B2543" s="9">
        <v>46129</v>
      </c>
      <c r="C2543" t="s">
        <v>3392</v>
      </c>
      <c r="D2543" t="s">
        <v>94</v>
      </c>
      <c r="E2543" t="s">
        <v>67</v>
      </c>
      <c r="F2543" t="s">
        <v>26</v>
      </c>
      <c r="G2543" t="s">
        <v>27</v>
      </c>
      <c r="H2543">
        <v>2</v>
      </c>
      <c r="I2543" t="s">
        <v>102</v>
      </c>
      <c r="J2543" t="s">
        <v>181</v>
      </c>
      <c r="K2543">
        <v>520</v>
      </c>
      <c r="L2543" t="s">
        <v>30</v>
      </c>
      <c r="M2543" t="s">
        <v>22</v>
      </c>
    </row>
    <row r="2544" spans="1:13" x14ac:dyDescent="0.35">
      <c r="A2544" t="s">
        <v>4037</v>
      </c>
      <c r="B2544" t="s">
        <v>1666</v>
      </c>
      <c r="C2544" t="s">
        <v>983</v>
      </c>
      <c r="D2544" t="s">
        <v>94</v>
      </c>
      <c r="E2544" t="s">
        <v>67</v>
      </c>
      <c r="F2544" t="s">
        <v>74</v>
      </c>
      <c r="G2544" t="s">
        <v>75</v>
      </c>
      <c r="H2544">
        <v>1</v>
      </c>
      <c r="I2544" t="s">
        <v>254</v>
      </c>
      <c r="J2544" t="s">
        <v>254</v>
      </c>
      <c r="K2544" t="s">
        <v>76</v>
      </c>
      <c r="L2544" t="s">
        <v>21</v>
      </c>
      <c r="M2544" t="s">
        <v>58</v>
      </c>
    </row>
    <row r="2545" spans="1:13" x14ac:dyDescent="0.35">
      <c r="A2545" t="s">
        <v>4038</v>
      </c>
      <c r="B2545" s="9">
        <v>46203</v>
      </c>
      <c r="C2545" t="s">
        <v>1128</v>
      </c>
      <c r="D2545" t="s">
        <v>61</v>
      </c>
      <c r="E2545" t="s">
        <v>41</v>
      </c>
      <c r="F2545" t="s">
        <v>89</v>
      </c>
      <c r="G2545" t="s">
        <v>90</v>
      </c>
      <c r="H2545">
        <v>3</v>
      </c>
      <c r="I2545" t="s">
        <v>19</v>
      </c>
      <c r="J2545" t="s">
        <v>326</v>
      </c>
      <c r="K2545" t="s">
        <v>108</v>
      </c>
      <c r="L2545" t="s">
        <v>30</v>
      </c>
      <c r="M2545" t="s">
        <v>22</v>
      </c>
    </row>
    <row r="2546" spans="1:13" x14ac:dyDescent="0.35">
      <c r="A2546" t="s">
        <v>4039</v>
      </c>
      <c r="B2546" s="9">
        <v>46097</v>
      </c>
      <c r="C2546" t="s">
        <v>996</v>
      </c>
      <c r="D2546" t="s">
        <v>94</v>
      </c>
      <c r="E2546" t="s">
        <v>25</v>
      </c>
      <c r="F2546" t="s">
        <v>42</v>
      </c>
      <c r="G2546" t="s">
        <v>43</v>
      </c>
      <c r="H2546">
        <v>2</v>
      </c>
      <c r="I2546" t="s">
        <v>49</v>
      </c>
      <c r="J2546" t="s">
        <v>178</v>
      </c>
      <c r="K2546">
        <v>190</v>
      </c>
      <c r="L2546" t="s">
        <v>30</v>
      </c>
      <c r="M2546" t="s">
        <v>22</v>
      </c>
    </row>
    <row r="2547" spans="1:13" x14ac:dyDescent="0.35">
      <c r="A2547" t="s">
        <v>4040</v>
      </c>
      <c r="B2547" s="9">
        <v>46199</v>
      </c>
      <c r="C2547" t="s">
        <v>615</v>
      </c>
      <c r="D2547" t="s">
        <v>61</v>
      </c>
      <c r="E2547" t="s">
        <v>25</v>
      </c>
      <c r="F2547" t="s">
        <v>26</v>
      </c>
      <c r="G2547" t="s">
        <v>27</v>
      </c>
      <c r="H2547">
        <v>3</v>
      </c>
      <c r="I2547" t="s">
        <v>2943</v>
      </c>
      <c r="J2547" t="s">
        <v>326</v>
      </c>
      <c r="K2547" t="s">
        <v>29</v>
      </c>
      <c r="L2547" t="s">
        <v>30</v>
      </c>
      <c r="M2547" t="s">
        <v>22</v>
      </c>
    </row>
    <row r="2548" spans="1:13" x14ac:dyDescent="0.35">
      <c r="A2548" t="s">
        <v>4041</v>
      </c>
      <c r="B2548" s="9">
        <v>46062</v>
      </c>
      <c r="C2548" t="s">
        <v>385</v>
      </c>
      <c r="D2548" t="s">
        <v>66</v>
      </c>
      <c r="E2548" t="s">
        <v>16</v>
      </c>
      <c r="F2548" t="s">
        <v>47</v>
      </c>
      <c r="G2548" t="s">
        <v>48</v>
      </c>
      <c r="H2548">
        <v>1</v>
      </c>
      <c r="I2548" t="s">
        <v>106</v>
      </c>
      <c r="J2548" t="s">
        <v>106</v>
      </c>
      <c r="K2548">
        <v>380</v>
      </c>
      <c r="L2548" t="s">
        <v>30</v>
      </c>
      <c r="M2548" t="s">
        <v>58</v>
      </c>
    </row>
    <row r="2549" spans="1:13" x14ac:dyDescent="0.35">
      <c r="A2549" t="s">
        <v>3900</v>
      </c>
      <c r="B2549" s="9">
        <v>46297</v>
      </c>
      <c r="C2549" t="s">
        <v>459</v>
      </c>
      <c r="D2549" t="s">
        <v>46</v>
      </c>
      <c r="E2549" t="s">
        <v>41</v>
      </c>
      <c r="F2549" t="s">
        <v>74</v>
      </c>
      <c r="G2549" t="s">
        <v>75</v>
      </c>
      <c r="H2549">
        <v>2</v>
      </c>
      <c r="I2549" t="s">
        <v>106</v>
      </c>
      <c r="J2549" t="s">
        <v>107</v>
      </c>
      <c r="K2549">
        <v>410</v>
      </c>
      <c r="L2549" t="s">
        <v>30</v>
      </c>
      <c r="M2549" t="s">
        <v>58</v>
      </c>
    </row>
    <row r="2550" spans="1:13" x14ac:dyDescent="0.35">
      <c r="A2550" t="s">
        <v>4042</v>
      </c>
      <c r="B2550" s="9">
        <v>46053</v>
      </c>
      <c r="C2550" t="s">
        <v>376</v>
      </c>
      <c r="D2550" t="s">
        <v>40</v>
      </c>
      <c r="E2550" t="s">
        <v>25</v>
      </c>
      <c r="F2550" t="s">
        <v>47</v>
      </c>
      <c r="G2550" t="s">
        <v>48</v>
      </c>
      <c r="H2550">
        <v>3</v>
      </c>
      <c r="I2550" t="s">
        <v>132</v>
      </c>
      <c r="J2550" t="s">
        <v>232</v>
      </c>
      <c r="K2550">
        <v>380</v>
      </c>
      <c r="L2550" t="s">
        <v>30</v>
      </c>
      <c r="M2550" t="s">
        <v>22</v>
      </c>
    </row>
    <row r="2551" spans="1:13" x14ac:dyDescent="0.35">
      <c r="A2551" t="s">
        <v>4043</v>
      </c>
      <c r="B2551" s="9">
        <v>46161</v>
      </c>
      <c r="C2551" t="s">
        <v>234</v>
      </c>
      <c r="D2551" t="s">
        <v>40</v>
      </c>
      <c r="E2551" t="s">
        <v>41</v>
      </c>
      <c r="F2551" t="s">
        <v>35</v>
      </c>
      <c r="G2551" t="s">
        <v>36</v>
      </c>
      <c r="H2551">
        <v>2</v>
      </c>
      <c r="I2551" t="s">
        <v>28</v>
      </c>
      <c r="J2551" t="s">
        <v>316</v>
      </c>
      <c r="K2551" t="s">
        <v>37</v>
      </c>
      <c r="L2551" t="s">
        <v>21</v>
      </c>
      <c r="M2551" t="s">
        <v>58</v>
      </c>
    </row>
    <row r="2552" spans="1:13" x14ac:dyDescent="0.35">
      <c r="A2552" t="s">
        <v>4044</v>
      </c>
      <c r="B2552" s="9">
        <v>46057</v>
      </c>
      <c r="C2552" t="s">
        <v>2428</v>
      </c>
      <c r="D2552" t="s">
        <v>116</v>
      </c>
      <c r="E2552" t="s">
        <v>41</v>
      </c>
      <c r="F2552" t="s">
        <v>74</v>
      </c>
      <c r="G2552" t="s">
        <v>75</v>
      </c>
      <c r="H2552">
        <v>2</v>
      </c>
      <c r="I2552" t="s">
        <v>155</v>
      </c>
      <c r="J2552" t="s">
        <v>156</v>
      </c>
      <c r="K2552">
        <v>410</v>
      </c>
      <c r="L2552" t="s">
        <v>30</v>
      </c>
      <c r="M2552" t="s">
        <v>22</v>
      </c>
    </row>
    <row r="2553" spans="1:13" x14ac:dyDescent="0.35">
      <c r="A2553" t="s">
        <v>4045</v>
      </c>
      <c r="B2553" s="9">
        <v>46177</v>
      </c>
      <c r="C2553" t="s">
        <v>1287</v>
      </c>
      <c r="D2553" t="s">
        <v>53</v>
      </c>
      <c r="E2553" t="s">
        <v>34</v>
      </c>
      <c r="F2553" t="s">
        <v>47</v>
      </c>
      <c r="G2553" t="s">
        <v>48</v>
      </c>
      <c r="H2553">
        <v>2</v>
      </c>
      <c r="I2553" t="s">
        <v>79</v>
      </c>
      <c r="J2553" t="s">
        <v>143</v>
      </c>
      <c r="K2553" t="s">
        <v>50</v>
      </c>
      <c r="L2553" t="s">
        <v>30</v>
      </c>
      <c r="M2553" t="s">
        <v>22</v>
      </c>
    </row>
    <row r="2554" spans="1:13" x14ac:dyDescent="0.35">
      <c r="A2554" t="s">
        <v>4046</v>
      </c>
      <c r="B2554" s="9">
        <v>46072</v>
      </c>
      <c r="C2554" t="s">
        <v>1655</v>
      </c>
      <c r="D2554" t="s">
        <v>46</v>
      </c>
      <c r="E2554" t="s">
        <v>16</v>
      </c>
      <c r="F2554" t="s">
        <v>83</v>
      </c>
      <c r="G2554" t="s">
        <v>84</v>
      </c>
      <c r="H2554">
        <v>1</v>
      </c>
      <c r="I2554" t="s">
        <v>68</v>
      </c>
      <c r="J2554" t="s">
        <v>68</v>
      </c>
      <c r="K2554">
        <v>340</v>
      </c>
      <c r="L2554" t="s">
        <v>30</v>
      </c>
      <c r="M2554" t="s">
        <v>58</v>
      </c>
    </row>
    <row r="2555" spans="1:13" x14ac:dyDescent="0.35">
      <c r="A2555" t="s">
        <v>4047</v>
      </c>
      <c r="B2555" t="s">
        <v>2122</v>
      </c>
      <c r="C2555" t="s">
        <v>537</v>
      </c>
      <c r="D2555" t="s">
        <v>40</v>
      </c>
      <c r="E2555" t="s">
        <v>16</v>
      </c>
      <c r="F2555" t="s">
        <v>42</v>
      </c>
      <c r="G2555" t="s">
        <v>43</v>
      </c>
      <c r="H2555">
        <v>2</v>
      </c>
      <c r="I2555" t="s">
        <v>102</v>
      </c>
      <c r="J2555" t="s">
        <v>181</v>
      </c>
      <c r="K2555">
        <v>190</v>
      </c>
      <c r="L2555" t="s">
        <v>30</v>
      </c>
      <c r="M2555" t="s">
        <v>22</v>
      </c>
    </row>
    <row r="2556" spans="1:13" x14ac:dyDescent="0.35">
      <c r="A2556" t="s">
        <v>4048</v>
      </c>
      <c r="B2556" s="9">
        <v>46144</v>
      </c>
      <c r="C2556" t="s">
        <v>519</v>
      </c>
      <c r="D2556" t="s">
        <v>116</v>
      </c>
      <c r="E2556" t="s">
        <v>16</v>
      </c>
      <c r="F2556" t="s">
        <v>17</v>
      </c>
      <c r="G2556" t="s">
        <v>18</v>
      </c>
      <c r="H2556">
        <v>2</v>
      </c>
      <c r="I2556" t="s">
        <v>132</v>
      </c>
      <c r="J2556" t="s">
        <v>133</v>
      </c>
      <c r="K2556">
        <v>520</v>
      </c>
      <c r="L2556" t="s">
        <v>30</v>
      </c>
      <c r="M2556" t="s">
        <v>58</v>
      </c>
    </row>
    <row r="2557" spans="1:13" x14ac:dyDescent="0.35">
      <c r="A2557" t="s">
        <v>4049</v>
      </c>
      <c r="B2557" t="s">
        <v>1414</v>
      </c>
      <c r="C2557" t="s">
        <v>4050</v>
      </c>
      <c r="D2557" t="s">
        <v>99</v>
      </c>
      <c r="E2557" t="s">
        <v>25</v>
      </c>
      <c r="F2557" t="s">
        <v>47</v>
      </c>
      <c r="G2557" t="s">
        <v>48</v>
      </c>
      <c r="H2557">
        <v>3</v>
      </c>
      <c r="I2557" t="s">
        <v>62</v>
      </c>
      <c r="J2557" t="s">
        <v>488</v>
      </c>
      <c r="K2557" t="s">
        <v>50</v>
      </c>
      <c r="L2557" t="s">
        <v>21</v>
      </c>
      <c r="M2557" t="s">
        <v>22</v>
      </c>
    </row>
    <row r="2558" spans="1:13" x14ac:dyDescent="0.35">
      <c r="A2558" t="s">
        <v>4051</v>
      </c>
      <c r="B2558" s="9">
        <v>46112</v>
      </c>
      <c r="C2558" t="s">
        <v>4052</v>
      </c>
      <c r="D2558" t="s">
        <v>33</v>
      </c>
      <c r="E2558" t="s">
        <v>41</v>
      </c>
      <c r="F2558" t="s">
        <v>83</v>
      </c>
      <c r="G2558" t="s">
        <v>84</v>
      </c>
      <c r="H2558">
        <v>3</v>
      </c>
      <c r="I2558" t="s">
        <v>85</v>
      </c>
      <c r="J2558" t="s">
        <v>86</v>
      </c>
      <c r="K2558">
        <v>340</v>
      </c>
      <c r="L2558" t="s">
        <v>21</v>
      </c>
      <c r="M2558" t="s">
        <v>58</v>
      </c>
    </row>
    <row r="2559" spans="1:13" x14ac:dyDescent="0.35">
      <c r="A2559" t="s">
        <v>4053</v>
      </c>
      <c r="B2559" t="s">
        <v>778</v>
      </c>
      <c r="C2559" t="s">
        <v>2542</v>
      </c>
      <c r="D2559" t="s">
        <v>40</v>
      </c>
      <c r="E2559" t="s">
        <v>67</v>
      </c>
      <c r="F2559" t="s">
        <v>17</v>
      </c>
      <c r="G2559" t="s">
        <v>18</v>
      </c>
      <c r="H2559">
        <v>1</v>
      </c>
      <c r="I2559" t="s">
        <v>184</v>
      </c>
      <c r="J2559" t="s">
        <v>170</v>
      </c>
      <c r="K2559" t="s">
        <v>29</v>
      </c>
      <c r="L2559" t="s">
        <v>30</v>
      </c>
      <c r="M2559" t="s">
        <v>22</v>
      </c>
    </row>
    <row r="2560" spans="1:13" x14ac:dyDescent="0.35">
      <c r="A2560" t="s">
        <v>4054</v>
      </c>
      <c r="B2560" t="s">
        <v>2586</v>
      </c>
      <c r="C2560" t="s">
        <v>4055</v>
      </c>
      <c r="D2560" t="s">
        <v>61</v>
      </c>
      <c r="E2560" t="s">
        <v>67</v>
      </c>
      <c r="F2560" t="s">
        <v>47</v>
      </c>
      <c r="G2560" t="s">
        <v>48</v>
      </c>
      <c r="H2560">
        <v>2</v>
      </c>
      <c r="I2560" t="s">
        <v>102</v>
      </c>
      <c r="J2560" t="s">
        <v>152</v>
      </c>
      <c r="K2560">
        <v>380</v>
      </c>
      <c r="L2560" t="s">
        <v>30</v>
      </c>
      <c r="M2560" t="s">
        <v>58</v>
      </c>
    </row>
    <row r="2561" spans="1:13" x14ac:dyDescent="0.35">
      <c r="A2561" t="s">
        <v>4056</v>
      </c>
      <c r="B2561" s="9">
        <v>46064</v>
      </c>
      <c r="C2561" t="s">
        <v>2530</v>
      </c>
      <c r="D2561" t="s">
        <v>61</v>
      </c>
      <c r="E2561" t="s">
        <v>16</v>
      </c>
      <c r="F2561" t="s">
        <v>83</v>
      </c>
      <c r="G2561" t="s">
        <v>84</v>
      </c>
      <c r="H2561">
        <v>2</v>
      </c>
      <c r="I2561" t="s">
        <v>102</v>
      </c>
      <c r="J2561" t="s">
        <v>181</v>
      </c>
      <c r="K2561">
        <v>340</v>
      </c>
      <c r="L2561" t="s">
        <v>30</v>
      </c>
      <c r="M2561" t="s">
        <v>58</v>
      </c>
    </row>
    <row r="2562" spans="1:13" x14ac:dyDescent="0.35">
      <c r="A2562" t="s">
        <v>4057</v>
      </c>
      <c r="B2562" s="9">
        <v>46175</v>
      </c>
      <c r="C2562" t="s">
        <v>3129</v>
      </c>
      <c r="D2562" t="s">
        <v>66</v>
      </c>
      <c r="E2562" t="s">
        <v>41</v>
      </c>
      <c r="F2562" t="s">
        <v>26</v>
      </c>
      <c r="G2562" t="s">
        <v>27</v>
      </c>
      <c r="H2562">
        <v>1</v>
      </c>
      <c r="I2562" t="s">
        <v>71</v>
      </c>
      <c r="J2562" t="s">
        <v>71</v>
      </c>
      <c r="K2562">
        <v>520</v>
      </c>
      <c r="L2562" t="s">
        <v>21</v>
      </c>
      <c r="M2562" t="s">
        <v>58</v>
      </c>
    </row>
    <row r="2563" spans="1:13" x14ac:dyDescent="0.35">
      <c r="A2563" t="s">
        <v>4058</v>
      </c>
      <c r="B2563" s="9">
        <v>46116</v>
      </c>
      <c r="C2563" t="s">
        <v>668</v>
      </c>
      <c r="D2563" t="s">
        <v>40</v>
      </c>
      <c r="E2563" t="s">
        <v>41</v>
      </c>
      <c r="F2563" t="s">
        <v>74</v>
      </c>
      <c r="G2563" t="s">
        <v>75</v>
      </c>
      <c r="H2563">
        <v>2</v>
      </c>
      <c r="I2563" t="s">
        <v>56</v>
      </c>
      <c r="J2563" t="s">
        <v>193</v>
      </c>
      <c r="K2563">
        <v>410</v>
      </c>
      <c r="L2563" t="s">
        <v>30</v>
      </c>
      <c r="M2563" t="s">
        <v>22</v>
      </c>
    </row>
    <row r="2564" spans="1:13" x14ac:dyDescent="0.35">
      <c r="A2564" t="s">
        <v>4059</v>
      </c>
      <c r="B2564" s="9">
        <v>46200</v>
      </c>
      <c r="C2564" t="s">
        <v>4060</v>
      </c>
      <c r="D2564" t="s">
        <v>33</v>
      </c>
      <c r="E2564" t="s">
        <v>67</v>
      </c>
      <c r="F2564" t="s">
        <v>74</v>
      </c>
      <c r="G2564" t="s">
        <v>75</v>
      </c>
      <c r="H2564">
        <v>2</v>
      </c>
      <c r="I2564" t="s">
        <v>85</v>
      </c>
      <c r="J2564" t="s">
        <v>267</v>
      </c>
      <c r="K2564" t="s">
        <v>76</v>
      </c>
      <c r="L2564" t="s">
        <v>30</v>
      </c>
      <c r="M2564" t="s">
        <v>22</v>
      </c>
    </row>
    <row r="2565" spans="1:13" x14ac:dyDescent="0.35">
      <c r="A2565" t="s">
        <v>4061</v>
      </c>
      <c r="B2565" t="s">
        <v>3353</v>
      </c>
      <c r="C2565" t="s">
        <v>3444</v>
      </c>
      <c r="D2565" t="s">
        <v>116</v>
      </c>
      <c r="E2565" t="s">
        <v>34</v>
      </c>
      <c r="F2565" t="s">
        <v>26</v>
      </c>
      <c r="G2565" t="s">
        <v>27</v>
      </c>
      <c r="H2565">
        <v>1</v>
      </c>
      <c r="I2565" t="s">
        <v>71</v>
      </c>
      <c r="J2565" t="s">
        <v>71</v>
      </c>
      <c r="K2565">
        <v>520</v>
      </c>
      <c r="L2565" t="s">
        <v>30</v>
      </c>
      <c r="M2565" t="s">
        <v>22</v>
      </c>
    </row>
    <row r="2566" spans="1:13" x14ac:dyDescent="0.35">
      <c r="A2566" t="s">
        <v>612</v>
      </c>
      <c r="B2566" s="9">
        <v>46070</v>
      </c>
      <c r="C2566" t="s">
        <v>613</v>
      </c>
      <c r="D2566" t="s">
        <v>33</v>
      </c>
      <c r="E2566" t="s">
        <v>67</v>
      </c>
      <c r="F2566" t="s">
        <v>17</v>
      </c>
      <c r="G2566" t="s">
        <v>18</v>
      </c>
      <c r="H2566">
        <v>1</v>
      </c>
      <c r="I2566" t="s">
        <v>85</v>
      </c>
      <c r="J2566" t="s">
        <v>85</v>
      </c>
      <c r="K2566">
        <v>520</v>
      </c>
      <c r="L2566" t="s">
        <v>30</v>
      </c>
      <c r="M2566" t="s">
        <v>22</v>
      </c>
    </row>
    <row r="2567" spans="1:13" x14ac:dyDescent="0.35">
      <c r="A2567" t="s">
        <v>4062</v>
      </c>
      <c r="B2567" s="9">
        <v>46031</v>
      </c>
      <c r="C2567" t="s">
        <v>1437</v>
      </c>
      <c r="D2567" t="s">
        <v>15</v>
      </c>
      <c r="E2567" t="s">
        <v>25</v>
      </c>
      <c r="F2567" t="s">
        <v>42</v>
      </c>
      <c r="G2567" t="s">
        <v>43</v>
      </c>
      <c r="H2567">
        <v>2</v>
      </c>
      <c r="I2567" t="s">
        <v>136</v>
      </c>
      <c r="J2567" t="s">
        <v>164</v>
      </c>
      <c r="K2567">
        <v>190</v>
      </c>
      <c r="L2567" t="s">
        <v>30</v>
      </c>
      <c r="M2567" t="s">
        <v>22</v>
      </c>
    </row>
    <row r="2568" spans="1:13" x14ac:dyDescent="0.35">
      <c r="A2568" t="s">
        <v>4063</v>
      </c>
      <c r="B2568" s="9">
        <v>46038</v>
      </c>
      <c r="C2568" t="s">
        <v>696</v>
      </c>
      <c r="D2568" t="s">
        <v>66</v>
      </c>
      <c r="E2568" t="s">
        <v>25</v>
      </c>
      <c r="F2568" t="s">
        <v>35</v>
      </c>
      <c r="G2568" t="s">
        <v>36</v>
      </c>
      <c r="H2568">
        <v>2</v>
      </c>
      <c r="I2568" t="s">
        <v>106</v>
      </c>
      <c r="J2568" t="s">
        <v>107</v>
      </c>
      <c r="K2568">
        <v>85</v>
      </c>
      <c r="L2568" t="s">
        <v>21</v>
      </c>
      <c r="M2568" t="s">
        <v>22</v>
      </c>
    </row>
    <row r="2569" spans="1:13" x14ac:dyDescent="0.35">
      <c r="A2569" t="s">
        <v>4064</v>
      </c>
      <c r="B2569" s="9">
        <v>46161</v>
      </c>
      <c r="C2569" t="s">
        <v>1144</v>
      </c>
      <c r="D2569" t="s">
        <v>53</v>
      </c>
      <c r="E2569" t="s">
        <v>25</v>
      </c>
      <c r="F2569" t="s">
        <v>42</v>
      </c>
      <c r="G2569" t="s">
        <v>43</v>
      </c>
      <c r="H2569">
        <v>2</v>
      </c>
      <c r="I2569" t="s">
        <v>79</v>
      </c>
      <c r="J2569" t="s">
        <v>143</v>
      </c>
      <c r="K2569" t="s">
        <v>111</v>
      </c>
      <c r="L2569" t="s">
        <v>30</v>
      </c>
      <c r="M2569" t="s">
        <v>22</v>
      </c>
    </row>
    <row r="2570" spans="1:13" x14ac:dyDescent="0.35">
      <c r="A2570" t="s">
        <v>4065</v>
      </c>
      <c r="B2570" t="s">
        <v>2018</v>
      </c>
      <c r="C2570" t="s">
        <v>836</v>
      </c>
      <c r="D2570" t="s">
        <v>53</v>
      </c>
      <c r="E2570" t="s">
        <v>25</v>
      </c>
      <c r="F2570" t="s">
        <v>42</v>
      </c>
      <c r="G2570" t="s">
        <v>43</v>
      </c>
      <c r="H2570">
        <v>2</v>
      </c>
      <c r="I2570" t="s">
        <v>106</v>
      </c>
      <c r="J2570" t="s">
        <v>107</v>
      </c>
      <c r="K2570">
        <v>190</v>
      </c>
      <c r="L2570" t="s">
        <v>30</v>
      </c>
      <c r="M2570" t="s">
        <v>22</v>
      </c>
    </row>
    <row r="2571" spans="1:13" x14ac:dyDescent="0.35">
      <c r="A2571" t="s">
        <v>4066</v>
      </c>
      <c r="B2571" s="9">
        <v>46094</v>
      </c>
      <c r="C2571" t="s">
        <v>4067</v>
      </c>
      <c r="D2571" t="s">
        <v>99</v>
      </c>
      <c r="E2571" t="s">
        <v>16</v>
      </c>
      <c r="F2571" t="s">
        <v>89</v>
      </c>
      <c r="G2571" t="s">
        <v>90</v>
      </c>
      <c r="H2571">
        <v>1</v>
      </c>
      <c r="I2571" t="s">
        <v>254</v>
      </c>
      <c r="J2571" t="s">
        <v>254</v>
      </c>
      <c r="K2571">
        <v>640</v>
      </c>
      <c r="L2571" t="s">
        <v>21</v>
      </c>
      <c r="M2571" t="s">
        <v>58</v>
      </c>
    </row>
    <row r="2572" spans="1:13" x14ac:dyDescent="0.35">
      <c r="A2572" t="s">
        <v>4068</v>
      </c>
      <c r="B2572" s="9">
        <v>46140</v>
      </c>
      <c r="C2572" t="s">
        <v>2070</v>
      </c>
      <c r="D2572" t="s">
        <v>15</v>
      </c>
      <c r="E2572" t="s">
        <v>41</v>
      </c>
      <c r="F2572" t="s">
        <v>42</v>
      </c>
      <c r="G2572" t="s">
        <v>43</v>
      </c>
      <c r="H2572">
        <v>2</v>
      </c>
      <c r="I2572" t="s">
        <v>132</v>
      </c>
      <c r="J2572" t="s">
        <v>133</v>
      </c>
      <c r="K2572" t="s">
        <v>111</v>
      </c>
      <c r="L2572" t="s">
        <v>30</v>
      </c>
      <c r="M2572" t="s">
        <v>22</v>
      </c>
    </row>
    <row r="2573" spans="1:13" x14ac:dyDescent="0.35">
      <c r="A2573" t="s">
        <v>4069</v>
      </c>
      <c r="B2573" s="9">
        <v>46166</v>
      </c>
      <c r="C2573" t="s">
        <v>709</v>
      </c>
      <c r="D2573" t="s">
        <v>66</v>
      </c>
      <c r="E2573" t="s">
        <v>67</v>
      </c>
      <c r="F2573" t="s">
        <v>35</v>
      </c>
      <c r="G2573" t="s">
        <v>36</v>
      </c>
      <c r="H2573">
        <v>2</v>
      </c>
      <c r="I2573" t="s">
        <v>170</v>
      </c>
      <c r="J2573" t="s">
        <v>152</v>
      </c>
      <c r="K2573" t="s">
        <v>37</v>
      </c>
      <c r="L2573" t="s">
        <v>30</v>
      </c>
      <c r="M2573" t="s">
        <v>58</v>
      </c>
    </row>
    <row r="2574" spans="1:13" x14ac:dyDescent="0.35">
      <c r="A2574" t="s">
        <v>4070</v>
      </c>
      <c r="B2574" s="9">
        <v>46202</v>
      </c>
      <c r="C2574" t="s">
        <v>1091</v>
      </c>
      <c r="D2574" t="s">
        <v>46</v>
      </c>
      <c r="E2574" t="s">
        <v>67</v>
      </c>
      <c r="F2574" t="s">
        <v>42</v>
      </c>
      <c r="G2574" t="s">
        <v>43</v>
      </c>
      <c r="H2574">
        <v>2</v>
      </c>
      <c r="I2574" t="s">
        <v>68</v>
      </c>
      <c r="J2574" t="s">
        <v>248</v>
      </c>
      <c r="K2574" t="s">
        <v>111</v>
      </c>
      <c r="L2574" t="s">
        <v>30</v>
      </c>
      <c r="M2574" t="s">
        <v>58</v>
      </c>
    </row>
    <row r="2575" spans="1:13" x14ac:dyDescent="0.35">
      <c r="A2575" t="s">
        <v>4071</v>
      </c>
      <c r="B2575" s="9">
        <v>46034</v>
      </c>
      <c r="C2575" t="s">
        <v>2199</v>
      </c>
      <c r="D2575" t="s">
        <v>99</v>
      </c>
      <c r="E2575" t="s">
        <v>41</v>
      </c>
      <c r="F2575" t="s">
        <v>17</v>
      </c>
      <c r="G2575" t="s">
        <v>18</v>
      </c>
      <c r="H2575">
        <v>2</v>
      </c>
      <c r="I2575" t="s">
        <v>62</v>
      </c>
      <c r="J2575" t="s">
        <v>63</v>
      </c>
      <c r="K2575">
        <v>520</v>
      </c>
      <c r="L2575" t="s">
        <v>30</v>
      </c>
      <c r="M2575" t="s">
        <v>22</v>
      </c>
    </row>
    <row r="2576" spans="1:13" x14ac:dyDescent="0.35">
      <c r="A2576" t="s">
        <v>2390</v>
      </c>
      <c r="B2576" t="s">
        <v>880</v>
      </c>
      <c r="C2576" t="s">
        <v>2391</v>
      </c>
      <c r="D2576" t="s">
        <v>61</v>
      </c>
      <c r="E2576" t="s">
        <v>16</v>
      </c>
      <c r="F2576" t="s">
        <v>83</v>
      </c>
      <c r="G2576" t="s">
        <v>84</v>
      </c>
      <c r="H2576">
        <v>1</v>
      </c>
      <c r="I2576" t="s">
        <v>170</v>
      </c>
      <c r="J2576" t="s">
        <v>170</v>
      </c>
      <c r="K2576">
        <v>340</v>
      </c>
      <c r="L2576" t="s">
        <v>21</v>
      </c>
      <c r="M2576" t="s">
        <v>22</v>
      </c>
    </row>
    <row r="2577" spans="1:13" x14ac:dyDescent="0.35">
      <c r="A2577" t="s">
        <v>4072</v>
      </c>
      <c r="B2577" s="9">
        <v>46127</v>
      </c>
      <c r="C2577" t="s">
        <v>208</v>
      </c>
      <c r="D2577" t="s">
        <v>15</v>
      </c>
      <c r="E2577" t="s">
        <v>67</v>
      </c>
      <c r="F2577" t="s">
        <v>17</v>
      </c>
      <c r="G2577" t="s">
        <v>18</v>
      </c>
      <c r="H2577">
        <v>1</v>
      </c>
      <c r="I2577" t="s">
        <v>106</v>
      </c>
      <c r="J2577" t="s">
        <v>106</v>
      </c>
      <c r="K2577">
        <v>520</v>
      </c>
      <c r="L2577" t="s">
        <v>30</v>
      </c>
      <c r="M2577" t="s">
        <v>58</v>
      </c>
    </row>
    <row r="2578" spans="1:13" x14ac:dyDescent="0.35">
      <c r="A2578" t="s">
        <v>4073</v>
      </c>
      <c r="B2578" s="9">
        <v>46144</v>
      </c>
      <c r="C2578" t="s">
        <v>757</v>
      </c>
      <c r="D2578" t="s">
        <v>99</v>
      </c>
      <c r="E2578" t="s">
        <v>41</v>
      </c>
      <c r="F2578" t="s">
        <v>89</v>
      </c>
      <c r="G2578" t="s">
        <v>90</v>
      </c>
      <c r="H2578">
        <v>3</v>
      </c>
      <c r="I2578" t="s">
        <v>19</v>
      </c>
      <c r="J2578" t="s">
        <v>326</v>
      </c>
      <c r="K2578" t="s">
        <v>108</v>
      </c>
      <c r="L2578" t="s">
        <v>30</v>
      </c>
      <c r="M2578" t="s">
        <v>22</v>
      </c>
    </row>
    <row r="2579" spans="1:13" x14ac:dyDescent="0.35">
      <c r="A2579" t="s">
        <v>4074</v>
      </c>
      <c r="B2579" s="9">
        <v>46186</v>
      </c>
      <c r="C2579" t="s">
        <v>1269</v>
      </c>
      <c r="D2579" t="s">
        <v>46</v>
      </c>
      <c r="E2579" t="s">
        <v>25</v>
      </c>
      <c r="F2579" t="s">
        <v>83</v>
      </c>
      <c r="G2579" t="s">
        <v>84</v>
      </c>
      <c r="H2579">
        <v>2</v>
      </c>
      <c r="I2579" t="s">
        <v>645</v>
      </c>
      <c r="J2579" t="s">
        <v>181</v>
      </c>
      <c r="K2579" t="s">
        <v>103</v>
      </c>
      <c r="L2579" t="s">
        <v>30</v>
      </c>
      <c r="M2579" t="s">
        <v>22</v>
      </c>
    </row>
    <row r="2580" spans="1:13" x14ac:dyDescent="0.35">
      <c r="A2580" t="s">
        <v>4075</v>
      </c>
      <c r="B2580" t="s">
        <v>1666</v>
      </c>
      <c r="C2580" t="s">
        <v>2898</v>
      </c>
      <c r="D2580" t="s">
        <v>99</v>
      </c>
      <c r="E2580" t="s">
        <v>16</v>
      </c>
      <c r="F2580" t="s">
        <v>47</v>
      </c>
      <c r="G2580" t="s">
        <v>48</v>
      </c>
      <c r="H2580">
        <v>1</v>
      </c>
      <c r="I2580" t="s">
        <v>254</v>
      </c>
      <c r="J2580" t="s">
        <v>254</v>
      </c>
      <c r="K2580" t="s">
        <v>50</v>
      </c>
      <c r="L2580" t="s">
        <v>30</v>
      </c>
      <c r="M2580" t="s">
        <v>22</v>
      </c>
    </row>
    <row r="2581" spans="1:13" x14ac:dyDescent="0.35">
      <c r="A2581" t="s">
        <v>4076</v>
      </c>
      <c r="B2581" s="9">
        <v>46054</v>
      </c>
      <c r="C2581" t="s">
        <v>2098</v>
      </c>
      <c r="D2581" t="s">
        <v>40</v>
      </c>
      <c r="E2581" t="s">
        <v>34</v>
      </c>
      <c r="F2581" t="s">
        <v>74</v>
      </c>
      <c r="G2581" t="s">
        <v>75</v>
      </c>
      <c r="H2581">
        <v>2</v>
      </c>
      <c r="I2581" t="s">
        <v>71</v>
      </c>
      <c r="J2581" t="s">
        <v>286</v>
      </c>
      <c r="K2581">
        <v>410</v>
      </c>
      <c r="L2581" t="s">
        <v>30</v>
      </c>
      <c r="M2581" t="s">
        <v>58</v>
      </c>
    </row>
    <row r="2582" spans="1:13" x14ac:dyDescent="0.35">
      <c r="A2582" t="s">
        <v>4077</v>
      </c>
      <c r="B2582" s="9">
        <v>46115</v>
      </c>
      <c r="C2582" t="s">
        <v>3099</v>
      </c>
      <c r="D2582" t="s">
        <v>66</v>
      </c>
      <c r="E2582" t="s">
        <v>67</v>
      </c>
      <c r="F2582" t="s">
        <v>17</v>
      </c>
      <c r="G2582" t="s">
        <v>18</v>
      </c>
      <c r="H2582">
        <v>3</v>
      </c>
      <c r="I2582" t="s">
        <v>68</v>
      </c>
      <c r="J2582" t="s">
        <v>205</v>
      </c>
      <c r="K2582">
        <v>520</v>
      </c>
      <c r="L2582" t="s">
        <v>30</v>
      </c>
      <c r="M2582" t="s">
        <v>58</v>
      </c>
    </row>
    <row r="2583" spans="1:13" x14ac:dyDescent="0.35">
      <c r="A2583" t="s">
        <v>4078</v>
      </c>
      <c r="B2583" s="9">
        <v>46200</v>
      </c>
      <c r="C2583" t="s">
        <v>1078</v>
      </c>
      <c r="D2583" t="s">
        <v>46</v>
      </c>
      <c r="E2583" t="s">
        <v>41</v>
      </c>
      <c r="F2583" t="s">
        <v>26</v>
      </c>
      <c r="G2583" t="s">
        <v>27</v>
      </c>
      <c r="H2583">
        <v>1</v>
      </c>
      <c r="I2583" t="s">
        <v>132</v>
      </c>
      <c r="J2583" t="s">
        <v>3000</v>
      </c>
      <c r="K2583" t="s">
        <v>29</v>
      </c>
      <c r="L2583" t="s">
        <v>30</v>
      </c>
      <c r="M2583" t="s">
        <v>22</v>
      </c>
    </row>
    <row r="2584" spans="1:13" x14ac:dyDescent="0.35">
      <c r="A2584" t="s">
        <v>4079</v>
      </c>
      <c r="B2584" s="9">
        <v>46088</v>
      </c>
      <c r="C2584" t="s">
        <v>2696</v>
      </c>
      <c r="D2584" t="s">
        <v>53</v>
      </c>
      <c r="E2584" t="s">
        <v>25</v>
      </c>
      <c r="F2584" t="s">
        <v>35</v>
      </c>
      <c r="G2584" t="s">
        <v>36</v>
      </c>
      <c r="H2584">
        <v>3</v>
      </c>
      <c r="I2584" t="s">
        <v>254</v>
      </c>
      <c r="J2584" t="s">
        <v>390</v>
      </c>
      <c r="K2584">
        <v>85</v>
      </c>
      <c r="L2584" t="s">
        <v>30</v>
      </c>
      <c r="M2584" t="s">
        <v>22</v>
      </c>
    </row>
    <row r="2585" spans="1:13" x14ac:dyDescent="0.35">
      <c r="A2585" t="s">
        <v>4080</v>
      </c>
      <c r="B2585" s="9">
        <v>46090</v>
      </c>
      <c r="C2585" t="s">
        <v>3429</v>
      </c>
      <c r="D2585" t="s">
        <v>61</v>
      </c>
      <c r="E2585" t="s">
        <v>16</v>
      </c>
      <c r="F2585" t="s">
        <v>17</v>
      </c>
      <c r="G2585" t="s">
        <v>18</v>
      </c>
      <c r="H2585">
        <v>1</v>
      </c>
      <c r="I2585" t="s">
        <v>479</v>
      </c>
      <c r="J2585" t="s">
        <v>71</v>
      </c>
      <c r="K2585">
        <v>520</v>
      </c>
      <c r="L2585" t="s">
        <v>21</v>
      </c>
      <c r="M2585" t="s">
        <v>22</v>
      </c>
    </row>
    <row r="2586" spans="1:13" x14ac:dyDescent="0.35">
      <c r="A2586" t="s">
        <v>4081</v>
      </c>
      <c r="B2586" s="9">
        <v>46163</v>
      </c>
      <c r="C2586" t="s">
        <v>1984</v>
      </c>
      <c r="D2586" t="s">
        <v>99</v>
      </c>
      <c r="E2586" t="s">
        <v>41</v>
      </c>
      <c r="F2586" t="s">
        <v>17</v>
      </c>
      <c r="G2586" t="s">
        <v>18</v>
      </c>
      <c r="H2586">
        <v>1</v>
      </c>
      <c r="I2586" t="s">
        <v>220</v>
      </c>
      <c r="J2586" t="s">
        <v>220</v>
      </c>
      <c r="K2586" t="s">
        <v>29</v>
      </c>
      <c r="L2586" t="s">
        <v>30</v>
      </c>
      <c r="M2586" t="s">
        <v>22</v>
      </c>
    </row>
    <row r="2587" spans="1:13" x14ac:dyDescent="0.35">
      <c r="A2587" t="s">
        <v>4082</v>
      </c>
      <c r="B2587" s="9">
        <v>46107</v>
      </c>
      <c r="C2587" t="s">
        <v>4083</v>
      </c>
      <c r="D2587" t="s">
        <v>46</v>
      </c>
      <c r="E2587" t="s">
        <v>25</v>
      </c>
      <c r="F2587" t="s">
        <v>47</v>
      </c>
      <c r="G2587" t="s">
        <v>48</v>
      </c>
      <c r="H2587">
        <v>1</v>
      </c>
      <c r="I2587" t="s">
        <v>132</v>
      </c>
      <c r="J2587" t="s">
        <v>132</v>
      </c>
      <c r="K2587">
        <v>380</v>
      </c>
      <c r="L2587" t="s">
        <v>21</v>
      </c>
      <c r="M2587" t="s">
        <v>22</v>
      </c>
    </row>
    <row r="2588" spans="1:13" x14ac:dyDescent="0.35">
      <c r="A2588" t="s">
        <v>4084</v>
      </c>
      <c r="B2588" s="9">
        <v>46200</v>
      </c>
      <c r="C2588" t="s">
        <v>529</v>
      </c>
      <c r="D2588" t="s">
        <v>61</v>
      </c>
      <c r="E2588" t="s">
        <v>25</v>
      </c>
      <c r="F2588" t="s">
        <v>47</v>
      </c>
      <c r="G2588" t="s">
        <v>48</v>
      </c>
      <c r="H2588">
        <v>2</v>
      </c>
      <c r="I2588" t="s">
        <v>68</v>
      </c>
      <c r="J2588" t="s">
        <v>248</v>
      </c>
      <c r="K2588" t="s">
        <v>50</v>
      </c>
      <c r="L2588" t="s">
        <v>30</v>
      </c>
      <c r="M2588" t="s">
        <v>58</v>
      </c>
    </row>
    <row r="2589" spans="1:13" x14ac:dyDescent="0.35">
      <c r="A2589" t="s">
        <v>4085</v>
      </c>
      <c r="B2589" s="9">
        <v>46045</v>
      </c>
      <c r="C2589" t="s">
        <v>2182</v>
      </c>
      <c r="D2589" t="s">
        <v>66</v>
      </c>
      <c r="E2589" t="s">
        <v>67</v>
      </c>
      <c r="F2589" t="s">
        <v>17</v>
      </c>
      <c r="G2589" t="s">
        <v>18</v>
      </c>
      <c r="H2589">
        <v>3</v>
      </c>
      <c r="I2589" t="s">
        <v>102</v>
      </c>
      <c r="J2589" t="s">
        <v>127</v>
      </c>
      <c r="K2589">
        <v>520</v>
      </c>
      <c r="L2589" t="s">
        <v>21</v>
      </c>
      <c r="M2589" t="s">
        <v>22</v>
      </c>
    </row>
    <row r="2590" spans="1:13" x14ac:dyDescent="0.35">
      <c r="A2590" t="s">
        <v>4086</v>
      </c>
      <c r="B2590" s="9">
        <v>46028</v>
      </c>
      <c r="C2590" t="s">
        <v>1872</v>
      </c>
      <c r="D2590" t="s">
        <v>66</v>
      </c>
      <c r="E2590" t="s">
        <v>34</v>
      </c>
      <c r="F2590" t="s">
        <v>26</v>
      </c>
      <c r="G2590" t="s">
        <v>27</v>
      </c>
      <c r="H2590">
        <v>3</v>
      </c>
      <c r="I2590" t="s">
        <v>28</v>
      </c>
      <c r="J2590" t="s">
        <v>568</v>
      </c>
      <c r="K2590">
        <v>520</v>
      </c>
      <c r="L2590" t="s">
        <v>21</v>
      </c>
      <c r="M2590" t="s">
        <v>22</v>
      </c>
    </row>
    <row r="2591" spans="1:13" x14ac:dyDescent="0.35">
      <c r="A2591" t="s">
        <v>4087</v>
      </c>
      <c r="B2591" s="9">
        <v>46184</v>
      </c>
      <c r="C2591" t="s">
        <v>1310</v>
      </c>
      <c r="D2591" t="s">
        <v>66</v>
      </c>
      <c r="E2591" t="s">
        <v>67</v>
      </c>
      <c r="F2591" t="s">
        <v>74</v>
      </c>
      <c r="G2591" t="s">
        <v>75</v>
      </c>
      <c r="H2591">
        <v>1</v>
      </c>
      <c r="I2591" t="s">
        <v>102</v>
      </c>
      <c r="J2591" t="s">
        <v>102</v>
      </c>
      <c r="K2591" t="s">
        <v>76</v>
      </c>
      <c r="L2591" t="s">
        <v>30</v>
      </c>
      <c r="M2591" t="s">
        <v>22</v>
      </c>
    </row>
    <row r="2592" spans="1:13" x14ac:dyDescent="0.35">
      <c r="A2592" t="s">
        <v>4088</v>
      </c>
      <c r="B2592" s="9">
        <v>46060</v>
      </c>
      <c r="C2592" t="s">
        <v>1725</v>
      </c>
      <c r="D2592" t="s">
        <v>40</v>
      </c>
      <c r="E2592" t="s">
        <v>25</v>
      </c>
      <c r="F2592" t="s">
        <v>42</v>
      </c>
      <c r="G2592" t="s">
        <v>43</v>
      </c>
      <c r="H2592">
        <v>1</v>
      </c>
      <c r="I2592" t="s">
        <v>85</v>
      </c>
      <c r="J2592" t="s">
        <v>85</v>
      </c>
      <c r="K2592">
        <v>190</v>
      </c>
      <c r="L2592" t="s">
        <v>30</v>
      </c>
      <c r="M2592" t="s">
        <v>22</v>
      </c>
    </row>
    <row r="2593" spans="1:13" x14ac:dyDescent="0.35">
      <c r="A2593" t="s">
        <v>4089</v>
      </c>
      <c r="B2593" s="9">
        <v>46025</v>
      </c>
      <c r="C2593" t="s">
        <v>4090</v>
      </c>
      <c r="D2593" t="s">
        <v>46</v>
      </c>
      <c r="E2593" t="s">
        <v>67</v>
      </c>
      <c r="F2593" t="s">
        <v>47</v>
      </c>
      <c r="G2593" t="s">
        <v>48</v>
      </c>
      <c r="H2593">
        <v>2</v>
      </c>
      <c r="I2593" t="s">
        <v>102</v>
      </c>
      <c r="J2593" t="s">
        <v>181</v>
      </c>
      <c r="K2593">
        <v>380</v>
      </c>
      <c r="L2593" t="s">
        <v>30</v>
      </c>
      <c r="M2593" t="s">
        <v>22</v>
      </c>
    </row>
    <row r="2594" spans="1:13" x14ac:dyDescent="0.35">
      <c r="A2594" t="s">
        <v>1513</v>
      </c>
      <c r="B2594" s="9">
        <v>46236</v>
      </c>
      <c r="C2594" t="s">
        <v>1514</v>
      </c>
      <c r="D2594" t="s">
        <v>40</v>
      </c>
      <c r="E2594" t="s">
        <v>25</v>
      </c>
      <c r="F2594" t="s">
        <v>47</v>
      </c>
      <c r="G2594" t="s">
        <v>48</v>
      </c>
      <c r="H2594">
        <v>1</v>
      </c>
      <c r="I2594" t="s">
        <v>254</v>
      </c>
      <c r="J2594" t="s">
        <v>254</v>
      </c>
      <c r="K2594">
        <v>380</v>
      </c>
      <c r="L2594" t="s">
        <v>21</v>
      </c>
      <c r="M2594" t="s">
        <v>22</v>
      </c>
    </row>
    <row r="2595" spans="1:13" x14ac:dyDescent="0.35">
      <c r="A2595" t="s">
        <v>4091</v>
      </c>
      <c r="B2595" s="9">
        <v>46074</v>
      </c>
      <c r="C2595" t="s">
        <v>1312</v>
      </c>
      <c r="D2595" t="s">
        <v>116</v>
      </c>
      <c r="E2595" t="s">
        <v>34</v>
      </c>
      <c r="F2595" t="s">
        <v>83</v>
      </c>
      <c r="G2595" t="s">
        <v>84</v>
      </c>
      <c r="H2595">
        <v>2</v>
      </c>
      <c r="I2595" t="s">
        <v>79</v>
      </c>
      <c r="J2595" t="s">
        <v>143</v>
      </c>
      <c r="K2595">
        <v>340</v>
      </c>
      <c r="L2595" t="s">
        <v>30</v>
      </c>
      <c r="M2595" t="s">
        <v>58</v>
      </c>
    </row>
    <row r="2596" spans="1:13" x14ac:dyDescent="0.35">
      <c r="A2596" t="s">
        <v>4092</v>
      </c>
      <c r="B2596" s="9">
        <v>46159</v>
      </c>
      <c r="C2596" t="s">
        <v>3277</v>
      </c>
      <c r="D2596" t="s">
        <v>53</v>
      </c>
      <c r="E2596" t="s">
        <v>25</v>
      </c>
      <c r="F2596" t="s">
        <v>17</v>
      </c>
      <c r="G2596" t="s">
        <v>18</v>
      </c>
      <c r="H2596">
        <v>1</v>
      </c>
      <c r="I2596" t="s">
        <v>254</v>
      </c>
      <c r="J2596" t="s">
        <v>3821</v>
      </c>
      <c r="K2596" t="s">
        <v>29</v>
      </c>
      <c r="L2596" t="s">
        <v>30</v>
      </c>
      <c r="M2596" t="s">
        <v>58</v>
      </c>
    </row>
    <row r="2597" spans="1:13" x14ac:dyDescent="0.35">
      <c r="A2597" t="s">
        <v>4093</v>
      </c>
      <c r="B2597" s="9">
        <v>46124</v>
      </c>
      <c r="C2597" t="s">
        <v>3849</v>
      </c>
      <c r="D2597" t="s">
        <v>40</v>
      </c>
      <c r="E2597" t="s">
        <v>16</v>
      </c>
      <c r="F2597" t="s">
        <v>83</v>
      </c>
      <c r="G2597" t="s">
        <v>84</v>
      </c>
      <c r="H2597">
        <v>1</v>
      </c>
      <c r="I2597" t="s">
        <v>71</v>
      </c>
      <c r="J2597" t="s">
        <v>71</v>
      </c>
      <c r="K2597">
        <v>340</v>
      </c>
      <c r="L2597" t="s">
        <v>21</v>
      </c>
      <c r="M2597" t="s">
        <v>58</v>
      </c>
    </row>
    <row r="2598" spans="1:13" x14ac:dyDescent="0.35">
      <c r="A2598" t="s">
        <v>4094</v>
      </c>
      <c r="B2598" t="s">
        <v>582</v>
      </c>
      <c r="C2598" t="s">
        <v>435</v>
      </c>
      <c r="D2598" t="s">
        <v>53</v>
      </c>
      <c r="E2598" t="s">
        <v>16</v>
      </c>
      <c r="F2598" t="s">
        <v>89</v>
      </c>
      <c r="G2598" t="s">
        <v>90</v>
      </c>
      <c r="H2598">
        <v>1</v>
      </c>
      <c r="I2598" t="s">
        <v>102</v>
      </c>
      <c r="J2598" t="s">
        <v>102</v>
      </c>
      <c r="K2598" t="s">
        <v>108</v>
      </c>
      <c r="L2598" t="s">
        <v>30</v>
      </c>
      <c r="M2598" t="s">
        <v>58</v>
      </c>
    </row>
    <row r="2599" spans="1:13" x14ac:dyDescent="0.35">
      <c r="A2599" t="s">
        <v>4095</v>
      </c>
      <c r="B2599" s="9">
        <v>46114</v>
      </c>
      <c r="C2599" t="s">
        <v>425</v>
      </c>
      <c r="D2599" t="s">
        <v>53</v>
      </c>
      <c r="E2599" t="s">
        <v>25</v>
      </c>
      <c r="F2599" t="s">
        <v>89</v>
      </c>
      <c r="G2599" t="s">
        <v>90</v>
      </c>
      <c r="H2599">
        <v>3</v>
      </c>
      <c r="I2599" t="s">
        <v>79</v>
      </c>
      <c r="J2599" t="s">
        <v>91</v>
      </c>
      <c r="K2599">
        <v>640</v>
      </c>
      <c r="L2599" t="s">
        <v>30</v>
      </c>
      <c r="M2599" t="s">
        <v>58</v>
      </c>
    </row>
    <row r="2600" spans="1:13" x14ac:dyDescent="0.35">
      <c r="A2600" t="s">
        <v>4096</v>
      </c>
      <c r="B2600" s="9">
        <v>46199</v>
      </c>
      <c r="C2600" t="s">
        <v>1196</v>
      </c>
      <c r="D2600" t="s">
        <v>46</v>
      </c>
      <c r="E2600" t="s">
        <v>25</v>
      </c>
      <c r="F2600" t="s">
        <v>42</v>
      </c>
      <c r="G2600" t="s">
        <v>43</v>
      </c>
      <c r="H2600">
        <v>1</v>
      </c>
      <c r="I2600" t="s">
        <v>62</v>
      </c>
      <c r="J2600" t="s">
        <v>62</v>
      </c>
      <c r="K2600" t="s">
        <v>111</v>
      </c>
      <c r="L2600" t="s">
        <v>30</v>
      </c>
      <c r="M2600" t="s">
        <v>22</v>
      </c>
    </row>
    <row r="2601" spans="1:13" x14ac:dyDescent="0.35">
      <c r="A2601" t="s">
        <v>4097</v>
      </c>
      <c r="B2601" s="9">
        <v>46129</v>
      </c>
      <c r="C2601" t="s">
        <v>1289</v>
      </c>
      <c r="D2601" t="s">
        <v>53</v>
      </c>
      <c r="E2601" t="s">
        <v>67</v>
      </c>
      <c r="F2601" t="s">
        <v>26</v>
      </c>
      <c r="G2601" t="s">
        <v>27</v>
      </c>
      <c r="H2601">
        <v>1</v>
      </c>
      <c r="I2601" t="s">
        <v>79</v>
      </c>
      <c r="J2601" t="s">
        <v>79</v>
      </c>
      <c r="K2601">
        <v>520</v>
      </c>
      <c r="L2601" t="s">
        <v>30</v>
      </c>
      <c r="M2601" t="s">
        <v>22</v>
      </c>
    </row>
    <row r="2602" spans="1:13" x14ac:dyDescent="0.35">
      <c r="A2602" t="s">
        <v>4098</v>
      </c>
      <c r="B2602" s="9">
        <v>46163</v>
      </c>
      <c r="C2602" t="s">
        <v>2086</v>
      </c>
      <c r="D2602" t="s">
        <v>99</v>
      </c>
      <c r="E2602" t="s">
        <v>16</v>
      </c>
      <c r="F2602" t="s">
        <v>47</v>
      </c>
      <c r="G2602" t="s">
        <v>48</v>
      </c>
      <c r="H2602">
        <v>1</v>
      </c>
      <c r="I2602" t="s">
        <v>79</v>
      </c>
      <c r="J2602" t="s">
        <v>79</v>
      </c>
      <c r="K2602" t="s">
        <v>50</v>
      </c>
      <c r="L2602" t="s">
        <v>30</v>
      </c>
      <c r="M2602" t="s">
        <v>22</v>
      </c>
    </row>
    <row r="2603" spans="1:13" x14ac:dyDescent="0.35">
      <c r="A2603" t="s">
        <v>4099</v>
      </c>
      <c r="B2603" s="9">
        <v>46151</v>
      </c>
      <c r="C2603" t="s">
        <v>2715</v>
      </c>
      <c r="D2603" t="s">
        <v>94</v>
      </c>
      <c r="E2603" t="s">
        <v>41</v>
      </c>
      <c r="F2603" t="s">
        <v>42</v>
      </c>
      <c r="G2603" t="s">
        <v>43</v>
      </c>
      <c r="H2603">
        <v>2</v>
      </c>
      <c r="I2603" t="s">
        <v>102</v>
      </c>
      <c r="J2603" t="s">
        <v>181</v>
      </c>
      <c r="K2603" t="s">
        <v>111</v>
      </c>
      <c r="L2603" t="s">
        <v>30</v>
      </c>
      <c r="M2603" t="s">
        <v>22</v>
      </c>
    </row>
    <row r="2604" spans="1:13" x14ac:dyDescent="0.35">
      <c r="A2604" t="s">
        <v>4100</v>
      </c>
      <c r="B2604" s="9">
        <v>46126</v>
      </c>
      <c r="C2604" t="s">
        <v>2534</v>
      </c>
      <c r="D2604" t="s">
        <v>116</v>
      </c>
      <c r="E2604" t="s">
        <v>67</v>
      </c>
      <c r="F2604" t="s">
        <v>35</v>
      </c>
      <c r="G2604" t="s">
        <v>36</v>
      </c>
      <c r="H2604">
        <v>2</v>
      </c>
      <c r="I2604" t="s">
        <v>85</v>
      </c>
      <c r="J2604" t="s">
        <v>267</v>
      </c>
      <c r="K2604">
        <v>85</v>
      </c>
      <c r="L2604" t="s">
        <v>30</v>
      </c>
      <c r="M2604" t="s">
        <v>22</v>
      </c>
    </row>
    <row r="2605" spans="1:13" x14ac:dyDescent="0.35">
      <c r="A2605" t="s">
        <v>4101</v>
      </c>
      <c r="B2605" t="s">
        <v>1294</v>
      </c>
      <c r="C2605" t="s">
        <v>147</v>
      </c>
      <c r="D2605" t="s">
        <v>94</v>
      </c>
      <c r="E2605" t="s">
        <v>41</v>
      </c>
      <c r="F2605" t="s">
        <v>89</v>
      </c>
      <c r="G2605" t="s">
        <v>90</v>
      </c>
      <c r="H2605">
        <v>1</v>
      </c>
      <c r="I2605" t="s">
        <v>220</v>
      </c>
      <c r="J2605" t="s">
        <v>220</v>
      </c>
      <c r="K2605" t="s">
        <v>108</v>
      </c>
      <c r="L2605" t="s">
        <v>30</v>
      </c>
      <c r="M2605" t="s">
        <v>22</v>
      </c>
    </row>
    <row r="2606" spans="1:13" x14ac:dyDescent="0.35">
      <c r="A2606" t="s">
        <v>4102</v>
      </c>
      <c r="B2606" s="9">
        <v>46141</v>
      </c>
      <c r="C2606" t="s">
        <v>1335</v>
      </c>
      <c r="D2606" t="s">
        <v>94</v>
      </c>
      <c r="E2606" t="s">
        <v>25</v>
      </c>
      <c r="F2606" t="s">
        <v>35</v>
      </c>
      <c r="G2606" t="s">
        <v>36</v>
      </c>
      <c r="H2606">
        <v>1</v>
      </c>
      <c r="I2606" t="s">
        <v>362</v>
      </c>
      <c r="J2606" t="s">
        <v>68</v>
      </c>
      <c r="K2606" t="s">
        <v>37</v>
      </c>
      <c r="L2606" t="s">
        <v>30</v>
      </c>
      <c r="M2606" t="s">
        <v>22</v>
      </c>
    </row>
    <row r="2607" spans="1:13" x14ac:dyDescent="0.35">
      <c r="A2607" t="s">
        <v>4103</v>
      </c>
      <c r="B2607" s="9">
        <v>46126</v>
      </c>
      <c r="C2607" t="s">
        <v>1608</v>
      </c>
      <c r="D2607" t="s">
        <v>94</v>
      </c>
      <c r="E2607" t="s">
        <v>41</v>
      </c>
      <c r="F2607" t="s">
        <v>83</v>
      </c>
      <c r="G2607" t="s">
        <v>84</v>
      </c>
      <c r="H2607">
        <v>1</v>
      </c>
      <c r="I2607" t="s">
        <v>132</v>
      </c>
      <c r="J2607" t="s">
        <v>132</v>
      </c>
      <c r="K2607">
        <v>340</v>
      </c>
      <c r="L2607" t="s">
        <v>21</v>
      </c>
      <c r="M2607" t="s">
        <v>22</v>
      </c>
    </row>
    <row r="2608" spans="1:13" x14ac:dyDescent="0.35">
      <c r="A2608" t="s">
        <v>4104</v>
      </c>
      <c r="B2608" s="9">
        <v>46084</v>
      </c>
      <c r="C2608" t="s">
        <v>940</v>
      </c>
      <c r="D2608" t="s">
        <v>99</v>
      </c>
      <c r="E2608" t="s">
        <v>67</v>
      </c>
      <c r="F2608" t="s">
        <v>83</v>
      </c>
      <c r="G2608" t="s">
        <v>84</v>
      </c>
      <c r="H2608">
        <v>1</v>
      </c>
      <c r="I2608" t="s">
        <v>68</v>
      </c>
      <c r="J2608" t="s">
        <v>68</v>
      </c>
      <c r="K2608">
        <v>340</v>
      </c>
      <c r="L2608" t="s">
        <v>30</v>
      </c>
      <c r="M2608" t="s">
        <v>22</v>
      </c>
    </row>
    <row r="2609" spans="1:13" x14ac:dyDescent="0.35">
      <c r="A2609" t="s">
        <v>4105</v>
      </c>
      <c r="B2609" s="9">
        <v>46104</v>
      </c>
      <c r="C2609" t="s">
        <v>283</v>
      </c>
      <c r="D2609" t="s">
        <v>99</v>
      </c>
      <c r="E2609" t="s">
        <v>25</v>
      </c>
      <c r="F2609" t="s">
        <v>89</v>
      </c>
      <c r="G2609" t="s">
        <v>90</v>
      </c>
      <c r="H2609">
        <v>1</v>
      </c>
      <c r="I2609" t="s">
        <v>79</v>
      </c>
      <c r="J2609" t="s">
        <v>79</v>
      </c>
      <c r="K2609">
        <v>640</v>
      </c>
      <c r="L2609" t="s">
        <v>30</v>
      </c>
      <c r="M2609" t="s">
        <v>22</v>
      </c>
    </row>
    <row r="2610" spans="1:13" x14ac:dyDescent="0.35">
      <c r="A2610" t="s">
        <v>4106</v>
      </c>
      <c r="B2610" s="9">
        <v>46156</v>
      </c>
      <c r="C2610" t="s">
        <v>4107</v>
      </c>
      <c r="D2610" t="s">
        <v>61</v>
      </c>
      <c r="E2610" t="s">
        <v>41</v>
      </c>
      <c r="F2610" t="s">
        <v>83</v>
      </c>
      <c r="G2610" t="s">
        <v>84</v>
      </c>
      <c r="H2610">
        <v>2</v>
      </c>
      <c r="I2610" t="s">
        <v>68</v>
      </c>
      <c r="J2610" t="s">
        <v>248</v>
      </c>
      <c r="K2610" t="s">
        <v>103</v>
      </c>
      <c r="L2610" t="s">
        <v>30</v>
      </c>
      <c r="M2610" t="s">
        <v>22</v>
      </c>
    </row>
    <row r="2611" spans="1:13" x14ac:dyDescent="0.35">
      <c r="A2611" t="s">
        <v>4108</v>
      </c>
      <c r="B2611" t="s">
        <v>1274</v>
      </c>
      <c r="C2611" t="s">
        <v>4109</v>
      </c>
      <c r="D2611" t="s">
        <v>61</v>
      </c>
      <c r="E2611" t="s">
        <v>41</v>
      </c>
      <c r="F2611" t="s">
        <v>47</v>
      </c>
      <c r="G2611" t="s">
        <v>48</v>
      </c>
      <c r="H2611">
        <v>2</v>
      </c>
      <c r="I2611" t="s">
        <v>132</v>
      </c>
      <c r="J2611" t="s">
        <v>133</v>
      </c>
      <c r="K2611" t="s">
        <v>50</v>
      </c>
      <c r="L2611" t="s">
        <v>30</v>
      </c>
      <c r="M2611" t="s">
        <v>22</v>
      </c>
    </row>
    <row r="2612" spans="1:13" x14ac:dyDescent="0.35">
      <c r="A2612" t="s">
        <v>4110</v>
      </c>
      <c r="B2612" s="9">
        <v>46121</v>
      </c>
      <c r="C2612" t="s">
        <v>1387</v>
      </c>
      <c r="D2612" t="s">
        <v>99</v>
      </c>
      <c r="E2612" t="s">
        <v>25</v>
      </c>
      <c r="F2612" t="s">
        <v>47</v>
      </c>
      <c r="G2612" t="s">
        <v>48</v>
      </c>
      <c r="H2612">
        <v>1</v>
      </c>
      <c r="I2612" t="s">
        <v>254</v>
      </c>
      <c r="J2612" t="s">
        <v>254</v>
      </c>
      <c r="K2612">
        <v>380</v>
      </c>
      <c r="L2612" t="s">
        <v>30</v>
      </c>
      <c r="M2612" t="s">
        <v>22</v>
      </c>
    </row>
    <row r="2613" spans="1:13" x14ac:dyDescent="0.35">
      <c r="A2613" t="s">
        <v>4111</v>
      </c>
      <c r="B2613" s="9">
        <v>46153</v>
      </c>
      <c r="C2613" t="s">
        <v>2701</v>
      </c>
      <c r="D2613" t="s">
        <v>33</v>
      </c>
      <c r="E2613" t="s">
        <v>41</v>
      </c>
      <c r="F2613" t="s">
        <v>47</v>
      </c>
      <c r="G2613" t="s">
        <v>48</v>
      </c>
      <c r="H2613">
        <v>3</v>
      </c>
      <c r="I2613" t="s">
        <v>79</v>
      </c>
      <c r="J2613" t="s">
        <v>91</v>
      </c>
      <c r="K2613" t="s">
        <v>50</v>
      </c>
      <c r="L2613" t="s">
        <v>30</v>
      </c>
      <c r="M2613" t="s">
        <v>22</v>
      </c>
    </row>
    <row r="2614" spans="1:13" x14ac:dyDescent="0.35">
      <c r="A2614" t="s">
        <v>4112</v>
      </c>
      <c r="B2614" s="9">
        <v>46206</v>
      </c>
      <c r="C2614" t="s">
        <v>2056</v>
      </c>
      <c r="D2614" t="s">
        <v>99</v>
      </c>
      <c r="E2614" t="s">
        <v>16</v>
      </c>
      <c r="F2614" t="s">
        <v>35</v>
      </c>
      <c r="G2614" t="s">
        <v>36</v>
      </c>
      <c r="H2614">
        <v>2</v>
      </c>
      <c r="I2614" t="s">
        <v>79</v>
      </c>
      <c r="J2614" t="s">
        <v>143</v>
      </c>
      <c r="K2614" t="s">
        <v>37</v>
      </c>
      <c r="L2614" t="s">
        <v>30</v>
      </c>
      <c r="M2614" t="s">
        <v>22</v>
      </c>
    </row>
    <row r="2615" spans="1:13" x14ac:dyDescent="0.35">
      <c r="A2615" t="s">
        <v>4113</v>
      </c>
      <c r="B2615" s="9">
        <v>46181</v>
      </c>
      <c r="C2615" t="s">
        <v>3633</v>
      </c>
      <c r="D2615" t="s">
        <v>15</v>
      </c>
      <c r="E2615" t="s">
        <v>41</v>
      </c>
      <c r="F2615" t="s">
        <v>83</v>
      </c>
      <c r="G2615" t="s">
        <v>84</v>
      </c>
      <c r="H2615">
        <v>3</v>
      </c>
      <c r="I2615" t="s">
        <v>68</v>
      </c>
      <c r="J2615" t="s">
        <v>205</v>
      </c>
      <c r="K2615" t="s">
        <v>103</v>
      </c>
      <c r="L2615" t="s">
        <v>30</v>
      </c>
      <c r="M2615" t="s">
        <v>58</v>
      </c>
    </row>
    <row r="2616" spans="1:13" x14ac:dyDescent="0.35">
      <c r="A2616" t="s">
        <v>4114</v>
      </c>
      <c r="B2616" s="9">
        <v>46086</v>
      </c>
      <c r="C2616" t="s">
        <v>2864</v>
      </c>
      <c r="D2616" t="s">
        <v>61</v>
      </c>
      <c r="E2616" t="s">
        <v>41</v>
      </c>
      <c r="F2616" t="s">
        <v>42</v>
      </c>
      <c r="G2616" t="s">
        <v>43</v>
      </c>
      <c r="H2616">
        <v>2</v>
      </c>
      <c r="I2616" t="s">
        <v>28</v>
      </c>
      <c r="J2616" t="s">
        <v>316</v>
      </c>
      <c r="K2616">
        <v>190</v>
      </c>
      <c r="L2616" t="s">
        <v>21</v>
      </c>
      <c r="M2616" t="s">
        <v>22</v>
      </c>
    </row>
    <row r="2617" spans="1:13" x14ac:dyDescent="0.35">
      <c r="A2617" t="s">
        <v>4115</v>
      </c>
      <c r="B2617" s="9">
        <v>46161</v>
      </c>
      <c r="C2617" t="s">
        <v>1280</v>
      </c>
      <c r="D2617" t="s">
        <v>46</v>
      </c>
      <c r="E2617" t="s">
        <v>67</v>
      </c>
      <c r="F2617" t="s">
        <v>83</v>
      </c>
      <c r="G2617" t="s">
        <v>84</v>
      </c>
      <c r="H2617">
        <v>1</v>
      </c>
      <c r="I2617" t="s">
        <v>132</v>
      </c>
      <c r="J2617" t="s">
        <v>132</v>
      </c>
      <c r="K2617" t="s">
        <v>103</v>
      </c>
      <c r="L2617" t="s">
        <v>30</v>
      </c>
      <c r="M2617" t="s">
        <v>22</v>
      </c>
    </row>
    <row r="2618" spans="1:13" x14ac:dyDescent="0.35">
      <c r="A2618" t="s">
        <v>4116</v>
      </c>
      <c r="B2618" s="9">
        <v>46057</v>
      </c>
      <c r="C2618" t="s">
        <v>1719</v>
      </c>
      <c r="D2618" t="s">
        <v>99</v>
      </c>
      <c r="E2618" t="s">
        <v>25</v>
      </c>
      <c r="F2618" t="s">
        <v>26</v>
      </c>
      <c r="G2618" t="s">
        <v>27</v>
      </c>
      <c r="H2618">
        <v>1</v>
      </c>
      <c r="I2618" t="s">
        <v>106</v>
      </c>
      <c r="J2618" t="s">
        <v>106</v>
      </c>
      <c r="K2618">
        <v>520</v>
      </c>
      <c r="L2618" t="s">
        <v>30</v>
      </c>
      <c r="M2618" t="s">
        <v>22</v>
      </c>
    </row>
    <row r="2619" spans="1:13" x14ac:dyDescent="0.35">
      <c r="A2619" t="s">
        <v>4117</v>
      </c>
      <c r="B2619" s="9">
        <v>46102</v>
      </c>
      <c r="C2619" t="s">
        <v>4118</v>
      </c>
      <c r="D2619" t="s">
        <v>66</v>
      </c>
      <c r="E2619" t="s">
        <v>25</v>
      </c>
      <c r="F2619" t="s">
        <v>83</v>
      </c>
      <c r="G2619" t="s">
        <v>84</v>
      </c>
      <c r="H2619">
        <v>1</v>
      </c>
      <c r="I2619" t="s">
        <v>220</v>
      </c>
      <c r="J2619" t="s">
        <v>220</v>
      </c>
      <c r="K2619">
        <v>340</v>
      </c>
      <c r="L2619" t="s">
        <v>30</v>
      </c>
      <c r="M2619" t="s">
        <v>22</v>
      </c>
    </row>
    <row r="2620" spans="1:13" x14ac:dyDescent="0.35">
      <c r="A2620" t="s">
        <v>4119</v>
      </c>
      <c r="B2620" s="9">
        <v>46046</v>
      </c>
      <c r="C2620" t="s">
        <v>1010</v>
      </c>
      <c r="D2620" t="s">
        <v>99</v>
      </c>
      <c r="E2620" t="s">
        <v>16</v>
      </c>
      <c r="F2620" t="s">
        <v>35</v>
      </c>
      <c r="G2620" t="s">
        <v>36</v>
      </c>
      <c r="H2620">
        <v>3</v>
      </c>
      <c r="I2620" t="s">
        <v>79</v>
      </c>
      <c r="J2620" t="s">
        <v>91</v>
      </c>
      <c r="K2620">
        <v>85</v>
      </c>
      <c r="L2620" t="s">
        <v>30</v>
      </c>
      <c r="M2620" t="s">
        <v>22</v>
      </c>
    </row>
    <row r="2621" spans="1:13" x14ac:dyDescent="0.35">
      <c r="A2621" t="s">
        <v>4120</v>
      </c>
      <c r="B2621" s="9">
        <v>46192</v>
      </c>
      <c r="C2621" t="s">
        <v>387</v>
      </c>
      <c r="D2621" t="s">
        <v>53</v>
      </c>
      <c r="E2621" t="s">
        <v>34</v>
      </c>
      <c r="F2621" t="s">
        <v>83</v>
      </c>
      <c r="G2621" t="s">
        <v>84</v>
      </c>
      <c r="H2621">
        <v>2</v>
      </c>
      <c r="I2621" t="s">
        <v>71</v>
      </c>
      <c r="J2621" t="s">
        <v>286</v>
      </c>
      <c r="K2621" t="s">
        <v>103</v>
      </c>
      <c r="L2621" t="s">
        <v>30</v>
      </c>
      <c r="M2621" t="s">
        <v>22</v>
      </c>
    </row>
    <row r="2622" spans="1:13" x14ac:dyDescent="0.35">
      <c r="A2622" t="s">
        <v>2528</v>
      </c>
      <c r="B2622" s="9">
        <v>46116</v>
      </c>
      <c r="C2622" t="s">
        <v>1115</v>
      </c>
      <c r="D2622" t="s">
        <v>99</v>
      </c>
      <c r="E2622" t="s">
        <v>16</v>
      </c>
      <c r="F2622" t="s">
        <v>26</v>
      </c>
      <c r="G2622" t="s">
        <v>27</v>
      </c>
      <c r="H2622">
        <v>2</v>
      </c>
      <c r="I2622" t="s">
        <v>85</v>
      </c>
      <c r="J2622" t="s">
        <v>267</v>
      </c>
      <c r="K2622">
        <v>520</v>
      </c>
      <c r="L2622" t="s">
        <v>21</v>
      </c>
      <c r="M2622" t="s">
        <v>22</v>
      </c>
    </row>
    <row r="2623" spans="1:13" x14ac:dyDescent="0.35">
      <c r="A2623" t="s">
        <v>4121</v>
      </c>
      <c r="B2623" s="9">
        <v>46183</v>
      </c>
      <c r="C2623" t="s">
        <v>1324</v>
      </c>
      <c r="D2623" t="s">
        <v>66</v>
      </c>
      <c r="E2623" t="s">
        <v>34</v>
      </c>
      <c r="F2623" t="s">
        <v>42</v>
      </c>
      <c r="G2623" t="s">
        <v>43</v>
      </c>
      <c r="H2623">
        <v>1</v>
      </c>
      <c r="I2623" t="s">
        <v>79</v>
      </c>
      <c r="J2623" t="s">
        <v>79</v>
      </c>
      <c r="K2623" t="s">
        <v>111</v>
      </c>
      <c r="L2623" t="s">
        <v>30</v>
      </c>
      <c r="M2623" t="s">
        <v>58</v>
      </c>
    </row>
    <row r="2624" spans="1:13" x14ac:dyDescent="0.35">
      <c r="A2624" t="s">
        <v>4122</v>
      </c>
      <c r="B2624" s="9">
        <v>46040</v>
      </c>
      <c r="C2624" t="s">
        <v>3460</v>
      </c>
      <c r="D2624" t="s">
        <v>99</v>
      </c>
      <c r="E2624" t="s">
        <v>41</v>
      </c>
      <c r="F2624" t="s">
        <v>35</v>
      </c>
      <c r="G2624" t="s">
        <v>36</v>
      </c>
      <c r="H2624">
        <v>1</v>
      </c>
      <c r="I2624" t="s">
        <v>102</v>
      </c>
      <c r="J2624" t="s">
        <v>102</v>
      </c>
      <c r="K2624">
        <v>85</v>
      </c>
      <c r="L2624" t="s">
        <v>30</v>
      </c>
      <c r="M2624" t="s">
        <v>58</v>
      </c>
    </row>
    <row r="2625" spans="1:13" x14ac:dyDescent="0.35">
      <c r="A2625" t="s">
        <v>4123</v>
      </c>
      <c r="B2625" s="9">
        <v>46033</v>
      </c>
      <c r="C2625" t="s">
        <v>129</v>
      </c>
      <c r="D2625" t="s">
        <v>15</v>
      </c>
      <c r="E2625" t="s">
        <v>41</v>
      </c>
      <c r="F2625" t="s">
        <v>17</v>
      </c>
      <c r="G2625" t="s">
        <v>18</v>
      </c>
      <c r="H2625">
        <v>1</v>
      </c>
      <c r="I2625" t="s">
        <v>2655</v>
      </c>
      <c r="J2625" t="s">
        <v>56</v>
      </c>
      <c r="K2625">
        <v>520</v>
      </c>
      <c r="L2625" t="s">
        <v>21</v>
      </c>
      <c r="M2625" t="s">
        <v>22</v>
      </c>
    </row>
    <row r="2626" spans="1:13" x14ac:dyDescent="0.35">
      <c r="A2626" t="s">
        <v>4124</v>
      </c>
      <c r="B2626" s="9">
        <v>46088</v>
      </c>
      <c r="C2626" t="s">
        <v>4125</v>
      </c>
      <c r="D2626" t="s">
        <v>15</v>
      </c>
      <c r="E2626" t="s">
        <v>25</v>
      </c>
      <c r="F2626" t="s">
        <v>17</v>
      </c>
      <c r="G2626" t="s">
        <v>18</v>
      </c>
      <c r="H2626">
        <v>1</v>
      </c>
      <c r="I2626" t="s">
        <v>68</v>
      </c>
      <c r="J2626" t="s">
        <v>68</v>
      </c>
      <c r="K2626" t="s">
        <v>29</v>
      </c>
      <c r="L2626" t="s">
        <v>30</v>
      </c>
      <c r="M2626" t="s">
        <v>22</v>
      </c>
    </row>
    <row r="2627" spans="1:13" x14ac:dyDescent="0.35">
      <c r="A2627" t="s">
        <v>4126</v>
      </c>
      <c r="B2627" s="9">
        <v>46079</v>
      </c>
      <c r="C2627" t="s">
        <v>4127</v>
      </c>
      <c r="D2627" t="s">
        <v>66</v>
      </c>
      <c r="E2627" t="s">
        <v>25</v>
      </c>
      <c r="F2627" t="s">
        <v>35</v>
      </c>
      <c r="G2627" t="s">
        <v>36</v>
      </c>
      <c r="H2627">
        <v>2</v>
      </c>
      <c r="I2627" t="s">
        <v>79</v>
      </c>
      <c r="J2627" t="s">
        <v>143</v>
      </c>
      <c r="K2627">
        <v>85</v>
      </c>
      <c r="L2627" t="s">
        <v>30</v>
      </c>
      <c r="M2627" t="s">
        <v>58</v>
      </c>
    </row>
    <row r="2628" spans="1:13" x14ac:dyDescent="0.35">
      <c r="A2628" t="s">
        <v>4128</v>
      </c>
      <c r="B2628" s="9">
        <v>46075</v>
      </c>
      <c r="C2628" t="s">
        <v>3212</v>
      </c>
      <c r="D2628" t="s">
        <v>116</v>
      </c>
      <c r="E2628" t="s">
        <v>34</v>
      </c>
      <c r="F2628" t="s">
        <v>35</v>
      </c>
      <c r="G2628" t="s">
        <v>36</v>
      </c>
      <c r="H2628">
        <v>1</v>
      </c>
      <c r="I2628" t="s">
        <v>19</v>
      </c>
      <c r="J2628" t="s">
        <v>19</v>
      </c>
      <c r="K2628">
        <v>85</v>
      </c>
      <c r="L2628" t="s">
        <v>30</v>
      </c>
      <c r="M2628" t="s">
        <v>22</v>
      </c>
    </row>
    <row r="2629" spans="1:13" x14ac:dyDescent="0.35">
      <c r="A2629" t="s">
        <v>4129</v>
      </c>
      <c r="B2629" s="9">
        <v>46089</v>
      </c>
      <c r="C2629" t="s">
        <v>513</v>
      </c>
      <c r="D2629" t="s">
        <v>94</v>
      </c>
      <c r="E2629" t="s">
        <v>25</v>
      </c>
      <c r="F2629" t="s">
        <v>42</v>
      </c>
      <c r="G2629" t="s">
        <v>43</v>
      </c>
      <c r="H2629">
        <v>2</v>
      </c>
      <c r="I2629" t="s">
        <v>85</v>
      </c>
      <c r="J2629" t="s">
        <v>267</v>
      </c>
      <c r="K2629">
        <v>190</v>
      </c>
      <c r="L2629" t="s">
        <v>30</v>
      </c>
      <c r="M2629" t="s">
        <v>22</v>
      </c>
    </row>
    <row r="2630" spans="1:13" x14ac:dyDescent="0.35">
      <c r="A2630" t="s">
        <v>4130</v>
      </c>
      <c r="B2630" s="9">
        <v>46108</v>
      </c>
      <c r="C2630" t="s">
        <v>1597</v>
      </c>
      <c r="D2630" t="s">
        <v>40</v>
      </c>
      <c r="E2630" t="s">
        <v>67</v>
      </c>
      <c r="F2630" t="s">
        <v>35</v>
      </c>
      <c r="G2630" t="s">
        <v>36</v>
      </c>
      <c r="H2630">
        <v>2</v>
      </c>
      <c r="I2630" t="s">
        <v>19</v>
      </c>
      <c r="J2630" t="s">
        <v>238</v>
      </c>
      <c r="K2630">
        <v>85</v>
      </c>
      <c r="L2630" t="s">
        <v>30</v>
      </c>
      <c r="M2630" t="s">
        <v>22</v>
      </c>
    </row>
    <row r="2631" spans="1:13" x14ac:dyDescent="0.35">
      <c r="A2631" t="s">
        <v>4131</v>
      </c>
      <c r="B2631" s="9">
        <v>46084</v>
      </c>
      <c r="C2631" t="s">
        <v>4132</v>
      </c>
      <c r="D2631" t="s">
        <v>66</v>
      </c>
      <c r="E2631" t="s">
        <v>41</v>
      </c>
      <c r="F2631" t="s">
        <v>74</v>
      </c>
      <c r="G2631" t="s">
        <v>75</v>
      </c>
      <c r="H2631">
        <v>2</v>
      </c>
      <c r="I2631" t="s">
        <v>68</v>
      </c>
      <c r="J2631" t="s">
        <v>248</v>
      </c>
      <c r="K2631">
        <v>410</v>
      </c>
      <c r="L2631" t="s">
        <v>30</v>
      </c>
      <c r="M2631" t="s">
        <v>22</v>
      </c>
    </row>
    <row r="2632" spans="1:13" x14ac:dyDescent="0.35">
      <c r="A2632" t="s">
        <v>4133</v>
      </c>
      <c r="B2632" s="9">
        <v>46190</v>
      </c>
      <c r="C2632" t="s">
        <v>387</v>
      </c>
      <c r="D2632" t="s">
        <v>116</v>
      </c>
      <c r="E2632" t="s">
        <v>16</v>
      </c>
      <c r="F2632" t="s">
        <v>17</v>
      </c>
      <c r="G2632" t="s">
        <v>18</v>
      </c>
      <c r="H2632">
        <v>3</v>
      </c>
      <c r="I2632" t="s">
        <v>132</v>
      </c>
      <c r="J2632" t="s">
        <v>232</v>
      </c>
      <c r="K2632" t="s">
        <v>29</v>
      </c>
      <c r="L2632" t="s">
        <v>30</v>
      </c>
      <c r="M2632" t="s">
        <v>58</v>
      </c>
    </row>
    <row r="2633" spans="1:13" x14ac:dyDescent="0.35">
      <c r="A2633" t="s">
        <v>4134</v>
      </c>
      <c r="B2633" t="s">
        <v>4135</v>
      </c>
      <c r="C2633" t="s">
        <v>1619</v>
      </c>
      <c r="D2633" t="s">
        <v>53</v>
      </c>
      <c r="E2633" t="s">
        <v>25</v>
      </c>
      <c r="F2633" t="s">
        <v>89</v>
      </c>
      <c r="G2633" t="s">
        <v>90</v>
      </c>
      <c r="H2633">
        <v>1</v>
      </c>
      <c r="I2633" t="s">
        <v>254</v>
      </c>
      <c r="J2633" t="s">
        <v>254</v>
      </c>
      <c r="K2633" t="s">
        <v>108</v>
      </c>
      <c r="L2633" t="s">
        <v>30</v>
      </c>
      <c r="M2633" t="s">
        <v>58</v>
      </c>
    </row>
    <row r="2634" spans="1:13" x14ac:dyDescent="0.35">
      <c r="A2634" t="s">
        <v>4136</v>
      </c>
      <c r="B2634" s="9">
        <v>46150</v>
      </c>
      <c r="C2634" t="s">
        <v>2369</v>
      </c>
      <c r="D2634" t="s">
        <v>33</v>
      </c>
      <c r="E2634" t="s">
        <v>25</v>
      </c>
      <c r="F2634" t="s">
        <v>17</v>
      </c>
      <c r="G2634" t="s">
        <v>18</v>
      </c>
      <c r="H2634">
        <v>2</v>
      </c>
      <c r="I2634" t="s">
        <v>19</v>
      </c>
      <c r="J2634" t="s">
        <v>238</v>
      </c>
      <c r="K2634" t="s">
        <v>29</v>
      </c>
      <c r="L2634" t="s">
        <v>30</v>
      </c>
      <c r="M2634" t="s">
        <v>22</v>
      </c>
    </row>
    <row r="2635" spans="1:13" x14ac:dyDescent="0.35">
      <c r="A2635" t="s">
        <v>4137</v>
      </c>
      <c r="B2635" s="9">
        <v>46206</v>
      </c>
      <c r="C2635" t="s">
        <v>2076</v>
      </c>
      <c r="D2635" t="s">
        <v>94</v>
      </c>
      <c r="E2635" t="s">
        <v>67</v>
      </c>
      <c r="F2635" t="s">
        <v>26</v>
      </c>
      <c r="G2635" t="s">
        <v>27</v>
      </c>
      <c r="H2635">
        <v>2</v>
      </c>
      <c r="I2635" t="s">
        <v>102</v>
      </c>
      <c r="J2635" t="s">
        <v>181</v>
      </c>
      <c r="K2635" t="s">
        <v>29</v>
      </c>
      <c r="L2635" t="s">
        <v>30</v>
      </c>
      <c r="M2635" t="s">
        <v>22</v>
      </c>
    </row>
    <row r="2636" spans="1:13" x14ac:dyDescent="0.35">
      <c r="A2636" t="s">
        <v>4138</v>
      </c>
      <c r="B2636" s="9">
        <v>46148</v>
      </c>
      <c r="C2636" t="s">
        <v>88</v>
      </c>
      <c r="D2636" t="s">
        <v>46</v>
      </c>
      <c r="E2636" t="s">
        <v>25</v>
      </c>
      <c r="F2636" t="s">
        <v>74</v>
      </c>
      <c r="G2636" t="s">
        <v>75</v>
      </c>
      <c r="H2636">
        <v>1</v>
      </c>
      <c r="I2636" t="s">
        <v>56</v>
      </c>
      <c r="J2636" t="s">
        <v>56</v>
      </c>
      <c r="K2636" t="s">
        <v>76</v>
      </c>
      <c r="L2636" t="s">
        <v>30</v>
      </c>
      <c r="M2636" t="s">
        <v>22</v>
      </c>
    </row>
    <row r="2637" spans="1:13" x14ac:dyDescent="0.35">
      <c r="A2637" t="s">
        <v>4139</v>
      </c>
      <c r="B2637" s="9">
        <v>46073</v>
      </c>
      <c r="C2637" t="s">
        <v>439</v>
      </c>
      <c r="D2637" t="s">
        <v>66</v>
      </c>
      <c r="E2637" t="s">
        <v>67</v>
      </c>
      <c r="F2637" t="s">
        <v>35</v>
      </c>
      <c r="G2637" t="s">
        <v>36</v>
      </c>
      <c r="H2637">
        <v>2</v>
      </c>
      <c r="I2637" t="s">
        <v>102</v>
      </c>
      <c r="J2637" t="s">
        <v>181</v>
      </c>
      <c r="K2637">
        <v>85</v>
      </c>
      <c r="L2637" t="s">
        <v>21</v>
      </c>
      <c r="M2637" t="s">
        <v>22</v>
      </c>
    </row>
    <row r="2638" spans="1:13" x14ac:dyDescent="0.35">
      <c r="A2638" t="s">
        <v>4140</v>
      </c>
      <c r="B2638" s="9">
        <v>46030</v>
      </c>
      <c r="C2638" t="s">
        <v>2933</v>
      </c>
      <c r="D2638" t="s">
        <v>66</v>
      </c>
      <c r="E2638" t="s">
        <v>25</v>
      </c>
      <c r="F2638" t="s">
        <v>83</v>
      </c>
      <c r="G2638" t="s">
        <v>84</v>
      </c>
      <c r="H2638">
        <v>3</v>
      </c>
      <c r="I2638" t="s">
        <v>49</v>
      </c>
      <c r="J2638" t="s">
        <v>257</v>
      </c>
      <c r="K2638">
        <v>340</v>
      </c>
      <c r="L2638" t="s">
        <v>30</v>
      </c>
      <c r="M2638" t="s">
        <v>22</v>
      </c>
    </row>
    <row r="2639" spans="1:13" x14ac:dyDescent="0.35">
      <c r="A2639" t="s">
        <v>4141</v>
      </c>
      <c r="B2639" s="9">
        <v>46085</v>
      </c>
      <c r="C2639" t="s">
        <v>1089</v>
      </c>
      <c r="D2639" t="s">
        <v>94</v>
      </c>
      <c r="E2639" t="s">
        <v>67</v>
      </c>
      <c r="F2639" t="s">
        <v>42</v>
      </c>
      <c r="G2639" t="s">
        <v>43</v>
      </c>
      <c r="H2639">
        <v>3</v>
      </c>
      <c r="I2639" t="s">
        <v>19</v>
      </c>
      <c r="J2639" t="s">
        <v>326</v>
      </c>
      <c r="K2639">
        <v>190</v>
      </c>
      <c r="L2639" t="s">
        <v>30</v>
      </c>
      <c r="M2639" t="s">
        <v>22</v>
      </c>
    </row>
    <row r="2640" spans="1:13" x14ac:dyDescent="0.35">
      <c r="A2640" t="s">
        <v>4142</v>
      </c>
      <c r="B2640" s="9">
        <v>46116</v>
      </c>
      <c r="C2640" t="s">
        <v>4060</v>
      </c>
      <c r="D2640" t="s">
        <v>116</v>
      </c>
      <c r="E2640" t="s">
        <v>16</v>
      </c>
      <c r="F2640" t="s">
        <v>83</v>
      </c>
      <c r="G2640" t="s">
        <v>84</v>
      </c>
      <c r="H2640">
        <v>1</v>
      </c>
      <c r="I2640" t="s">
        <v>758</v>
      </c>
      <c r="J2640" t="s">
        <v>49</v>
      </c>
      <c r="K2640">
        <v>340</v>
      </c>
      <c r="L2640" t="s">
        <v>30</v>
      </c>
      <c r="M2640" t="s">
        <v>22</v>
      </c>
    </row>
    <row r="2641" spans="1:13" x14ac:dyDescent="0.35">
      <c r="A2641" t="s">
        <v>4143</v>
      </c>
      <c r="B2641" s="9">
        <v>46085</v>
      </c>
      <c r="C2641" t="s">
        <v>271</v>
      </c>
      <c r="D2641" t="s">
        <v>33</v>
      </c>
      <c r="E2641" t="s">
        <v>67</v>
      </c>
      <c r="F2641" t="s">
        <v>26</v>
      </c>
      <c r="G2641" t="s">
        <v>27</v>
      </c>
      <c r="H2641">
        <v>1</v>
      </c>
      <c r="I2641" t="s">
        <v>362</v>
      </c>
      <c r="J2641" t="s">
        <v>68</v>
      </c>
      <c r="K2641">
        <v>520</v>
      </c>
      <c r="L2641" t="s">
        <v>30</v>
      </c>
      <c r="M2641" t="s">
        <v>22</v>
      </c>
    </row>
    <row r="2642" spans="1:13" x14ac:dyDescent="0.35">
      <c r="A2642" t="s">
        <v>4144</v>
      </c>
      <c r="B2642" s="9">
        <v>46031</v>
      </c>
      <c r="C2642" t="s">
        <v>2507</v>
      </c>
      <c r="D2642" t="s">
        <v>61</v>
      </c>
      <c r="E2642" t="s">
        <v>67</v>
      </c>
      <c r="F2642" t="s">
        <v>83</v>
      </c>
      <c r="G2642" t="s">
        <v>84</v>
      </c>
      <c r="H2642">
        <v>1</v>
      </c>
      <c r="I2642" t="s">
        <v>106</v>
      </c>
      <c r="J2642" t="s">
        <v>106</v>
      </c>
      <c r="K2642">
        <v>340</v>
      </c>
      <c r="L2642" t="s">
        <v>30</v>
      </c>
      <c r="M2642" t="s">
        <v>22</v>
      </c>
    </row>
    <row r="2643" spans="1:13" x14ac:dyDescent="0.35">
      <c r="A2643" t="s">
        <v>4145</v>
      </c>
      <c r="B2643" s="9">
        <v>46047</v>
      </c>
      <c r="C2643" t="s">
        <v>4146</v>
      </c>
      <c r="D2643" t="s">
        <v>53</v>
      </c>
      <c r="E2643" t="s">
        <v>34</v>
      </c>
      <c r="F2643" t="s">
        <v>74</v>
      </c>
      <c r="G2643" t="s">
        <v>75</v>
      </c>
      <c r="H2643">
        <v>2</v>
      </c>
      <c r="I2643" t="s">
        <v>254</v>
      </c>
      <c r="J2643" t="s">
        <v>156</v>
      </c>
      <c r="K2643">
        <v>410</v>
      </c>
      <c r="L2643" t="s">
        <v>30</v>
      </c>
      <c r="M2643" t="s">
        <v>22</v>
      </c>
    </row>
    <row r="2644" spans="1:13" x14ac:dyDescent="0.35">
      <c r="A2644" t="s">
        <v>4147</v>
      </c>
      <c r="B2644" s="9">
        <v>46177</v>
      </c>
      <c r="C2644" t="s">
        <v>4148</v>
      </c>
      <c r="D2644" t="s">
        <v>46</v>
      </c>
      <c r="E2644" t="s">
        <v>41</v>
      </c>
      <c r="F2644" t="s">
        <v>47</v>
      </c>
      <c r="G2644" t="s">
        <v>48</v>
      </c>
      <c r="H2644">
        <v>3</v>
      </c>
      <c r="I2644" t="s">
        <v>19</v>
      </c>
      <c r="J2644" t="s">
        <v>326</v>
      </c>
      <c r="K2644" t="s">
        <v>50</v>
      </c>
      <c r="L2644" t="s">
        <v>30</v>
      </c>
      <c r="M2644" t="s">
        <v>22</v>
      </c>
    </row>
    <row r="2645" spans="1:13" x14ac:dyDescent="0.35">
      <c r="A2645" t="s">
        <v>4149</v>
      </c>
      <c r="B2645" s="9">
        <v>46170</v>
      </c>
      <c r="C2645" t="s">
        <v>564</v>
      </c>
      <c r="D2645" t="s">
        <v>61</v>
      </c>
      <c r="E2645" t="s">
        <v>34</v>
      </c>
      <c r="F2645" t="s">
        <v>35</v>
      </c>
      <c r="G2645" t="s">
        <v>36</v>
      </c>
      <c r="H2645">
        <v>1</v>
      </c>
      <c r="I2645" t="s">
        <v>79</v>
      </c>
      <c r="J2645" t="s">
        <v>79</v>
      </c>
      <c r="K2645" t="s">
        <v>37</v>
      </c>
      <c r="L2645" t="s">
        <v>30</v>
      </c>
      <c r="M2645" t="s">
        <v>58</v>
      </c>
    </row>
    <row r="2646" spans="1:13" x14ac:dyDescent="0.35">
      <c r="A2646" t="s">
        <v>4150</v>
      </c>
      <c r="B2646" s="9">
        <v>46115</v>
      </c>
      <c r="C2646" t="s">
        <v>794</v>
      </c>
      <c r="D2646" t="s">
        <v>94</v>
      </c>
      <c r="E2646" t="s">
        <v>41</v>
      </c>
      <c r="F2646" t="s">
        <v>89</v>
      </c>
      <c r="G2646" t="s">
        <v>90</v>
      </c>
      <c r="H2646">
        <v>2</v>
      </c>
      <c r="I2646" t="s">
        <v>170</v>
      </c>
      <c r="J2646" t="s">
        <v>152</v>
      </c>
      <c r="K2646">
        <v>640</v>
      </c>
      <c r="L2646" t="s">
        <v>30</v>
      </c>
      <c r="M2646" t="s">
        <v>58</v>
      </c>
    </row>
    <row r="2647" spans="1:13" x14ac:dyDescent="0.35">
      <c r="A2647" t="s">
        <v>4151</v>
      </c>
      <c r="B2647" s="9">
        <v>46109</v>
      </c>
      <c r="C2647" t="s">
        <v>1669</v>
      </c>
      <c r="D2647" t="s">
        <v>61</v>
      </c>
      <c r="E2647" t="s">
        <v>16</v>
      </c>
      <c r="F2647" t="s">
        <v>17</v>
      </c>
      <c r="G2647" t="s">
        <v>18</v>
      </c>
      <c r="H2647">
        <v>2</v>
      </c>
      <c r="I2647" t="s">
        <v>170</v>
      </c>
      <c r="J2647" t="s">
        <v>152</v>
      </c>
      <c r="K2647">
        <v>520</v>
      </c>
      <c r="L2647" t="s">
        <v>30</v>
      </c>
      <c r="M2647" t="s">
        <v>22</v>
      </c>
    </row>
    <row r="2648" spans="1:13" x14ac:dyDescent="0.35">
      <c r="A2648" t="s">
        <v>4152</v>
      </c>
      <c r="B2648" s="9">
        <v>46045</v>
      </c>
      <c r="C2648" t="s">
        <v>3021</v>
      </c>
      <c r="D2648" t="s">
        <v>15</v>
      </c>
      <c r="E2648" t="s">
        <v>16</v>
      </c>
      <c r="F2648" t="s">
        <v>42</v>
      </c>
      <c r="G2648" t="s">
        <v>43</v>
      </c>
      <c r="H2648">
        <v>2</v>
      </c>
      <c r="I2648" t="s">
        <v>170</v>
      </c>
      <c r="J2648" t="s">
        <v>152</v>
      </c>
      <c r="K2648">
        <v>190</v>
      </c>
      <c r="L2648" t="s">
        <v>21</v>
      </c>
      <c r="M2648" t="s">
        <v>22</v>
      </c>
    </row>
    <row r="2649" spans="1:13" x14ac:dyDescent="0.35">
      <c r="A2649" t="s">
        <v>4153</v>
      </c>
      <c r="B2649" s="9">
        <v>46177</v>
      </c>
      <c r="C2649" t="s">
        <v>328</v>
      </c>
      <c r="D2649" t="s">
        <v>66</v>
      </c>
      <c r="E2649" t="s">
        <v>34</v>
      </c>
      <c r="F2649" t="s">
        <v>83</v>
      </c>
      <c r="G2649" t="s">
        <v>84</v>
      </c>
      <c r="H2649">
        <v>3</v>
      </c>
      <c r="I2649" t="s">
        <v>106</v>
      </c>
      <c r="J2649" t="s">
        <v>160</v>
      </c>
      <c r="K2649" t="s">
        <v>103</v>
      </c>
      <c r="L2649" t="s">
        <v>30</v>
      </c>
      <c r="M2649" t="s">
        <v>22</v>
      </c>
    </row>
    <row r="2650" spans="1:13" x14ac:dyDescent="0.35">
      <c r="A2650" t="s">
        <v>4154</v>
      </c>
      <c r="B2650" s="9">
        <v>46116</v>
      </c>
      <c r="C2650" t="s">
        <v>2414</v>
      </c>
      <c r="D2650" t="s">
        <v>116</v>
      </c>
      <c r="E2650" t="s">
        <v>67</v>
      </c>
      <c r="F2650" t="s">
        <v>47</v>
      </c>
      <c r="G2650" t="s">
        <v>48</v>
      </c>
      <c r="H2650">
        <v>2</v>
      </c>
      <c r="I2650" t="s">
        <v>102</v>
      </c>
      <c r="J2650" t="s">
        <v>181</v>
      </c>
      <c r="K2650">
        <v>380</v>
      </c>
      <c r="L2650" t="s">
        <v>30</v>
      </c>
      <c r="M2650" t="s">
        <v>22</v>
      </c>
    </row>
    <row r="2651" spans="1:13" x14ac:dyDescent="0.35">
      <c r="A2651" t="s">
        <v>4155</v>
      </c>
      <c r="B2651" s="9">
        <v>46177</v>
      </c>
      <c r="C2651" t="s">
        <v>3005</v>
      </c>
      <c r="D2651" t="s">
        <v>66</v>
      </c>
      <c r="E2651" t="s">
        <v>25</v>
      </c>
      <c r="F2651" t="s">
        <v>47</v>
      </c>
      <c r="G2651" t="s">
        <v>48</v>
      </c>
      <c r="H2651">
        <v>1</v>
      </c>
      <c r="I2651" t="s">
        <v>102</v>
      </c>
      <c r="J2651" t="s">
        <v>102</v>
      </c>
      <c r="K2651" t="s">
        <v>50</v>
      </c>
      <c r="L2651" t="s">
        <v>30</v>
      </c>
      <c r="M2651" t="s">
        <v>58</v>
      </c>
    </row>
    <row r="2652" spans="1:13" x14ac:dyDescent="0.35">
      <c r="A2652" t="s">
        <v>4156</v>
      </c>
      <c r="B2652" s="9">
        <v>46160</v>
      </c>
      <c r="C2652" t="s">
        <v>4157</v>
      </c>
      <c r="D2652" t="s">
        <v>99</v>
      </c>
      <c r="E2652" t="s">
        <v>41</v>
      </c>
      <c r="F2652" t="s">
        <v>35</v>
      </c>
      <c r="G2652" t="s">
        <v>36</v>
      </c>
      <c r="H2652">
        <v>2</v>
      </c>
      <c r="I2652" t="s">
        <v>254</v>
      </c>
      <c r="J2652" t="s">
        <v>156</v>
      </c>
      <c r="K2652" t="s">
        <v>37</v>
      </c>
      <c r="L2652" t="s">
        <v>21</v>
      </c>
      <c r="M2652" t="s">
        <v>22</v>
      </c>
    </row>
    <row r="2653" spans="1:13" x14ac:dyDescent="0.35">
      <c r="A2653" t="s">
        <v>4158</v>
      </c>
      <c r="B2653" s="9">
        <v>46103</v>
      </c>
      <c r="C2653" t="s">
        <v>3371</v>
      </c>
      <c r="D2653" t="s">
        <v>61</v>
      </c>
      <c r="E2653" t="s">
        <v>25</v>
      </c>
      <c r="F2653" t="s">
        <v>89</v>
      </c>
      <c r="G2653" t="s">
        <v>90</v>
      </c>
      <c r="H2653">
        <v>1</v>
      </c>
      <c r="I2653" t="s">
        <v>68</v>
      </c>
      <c r="J2653" t="s">
        <v>68</v>
      </c>
      <c r="K2653">
        <v>640</v>
      </c>
      <c r="L2653" t="s">
        <v>30</v>
      </c>
      <c r="M2653" t="s">
        <v>22</v>
      </c>
    </row>
    <row r="2654" spans="1:13" x14ac:dyDescent="0.35">
      <c r="A2654" t="s">
        <v>4159</v>
      </c>
      <c r="B2654" s="9">
        <v>46190</v>
      </c>
      <c r="C2654" t="s">
        <v>4160</v>
      </c>
      <c r="D2654" t="s">
        <v>33</v>
      </c>
      <c r="E2654" t="s">
        <v>34</v>
      </c>
      <c r="F2654" t="s">
        <v>26</v>
      </c>
      <c r="G2654" t="s">
        <v>27</v>
      </c>
      <c r="H2654">
        <v>1</v>
      </c>
      <c r="I2654" t="s">
        <v>170</v>
      </c>
      <c r="J2654" t="s">
        <v>170</v>
      </c>
      <c r="K2654" t="s">
        <v>29</v>
      </c>
      <c r="L2654" t="s">
        <v>30</v>
      </c>
      <c r="M2654" t="s">
        <v>22</v>
      </c>
    </row>
    <row r="2655" spans="1:13" x14ac:dyDescent="0.35">
      <c r="A2655" t="s">
        <v>4161</v>
      </c>
      <c r="B2655" s="9">
        <v>46065</v>
      </c>
      <c r="C2655" t="s">
        <v>3809</v>
      </c>
      <c r="D2655" t="s">
        <v>46</v>
      </c>
      <c r="E2655" t="s">
        <v>25</v>
      </c>
      <c r="F2655" t="s">
        <v>47</v>
      </c>
      <c r="G2655" t="s">
        <v>48</v>
      </c>
      <c r="H2655">
        <v>1</v>
      </c>
      <c r="I2655" t="s">
        <v>19</v>
      </c>
      <c r="J2655" t="s">
        <v>19</v>
      </c>
      <c r="K2655">
        <v>380</v>
      </c>
      <c r="L2655" t="s">
        <v>30</v>
      </c>
      <c r="M2655" t="s">
        <v>22</v>
      </c>
    </row>
    <row r="2656" spans="1:13" x14ac:dyDescent="0.35">
      <c r="A2656" t="s">
        <v>4162</v>
      </c>
      <c r="B2656" s="9">
        <v>46195</v>
      </c>
      <c r="C2656" t="s">
        <v>836</v>
      </c>
      <c r="D2656" t="s">
        <v>40</v>
      </c>
      <c r="E2656" t="s">
        <v>25</v>
      </c>
      <c r="F2656" t="s">
        <v>74</v>
      </c>
      <c r="G2656" t="s">
        <v>75</v>
      </c>
      <c r="H2656">
        <v>1</v>
      </c>
      <c r="I2656" t="s">
        <v>85</v>
      </c>
      <c r="J2656" t="s">
        <v>85</v>
      </c>
      <c r="K2656" t="s">
        <v>76</v>
      </c>
      <c r="L2656" t="s">
        <v>30</v>
      </c>
      <c r="M2656" t="s">
        <v>22</v>
      </c>
    </row>
    <row r="2657" spans="1:13" x14ac:dyDescent="0.35">
      <c r="A2657" t="s">
        <v>4163</v>
      </c>
      <c r="B2657" s="9">
        <v>46126</v>
      </c>
      <c r="C2657" t="s">
        <v>154</v>
      </c>
      <c r="D2657" t="s">
        <v>94</v>
      </c>
      <c r="E2657" t="s">
        <v>34</v>
      </c>
      <c r="F2657" t="s">
        <v>42</v>
      </c>
      <c r="G2657" t="s">
        <v>43</v>
      </c>
      <c r="H2657">
        <v>2</v>
      </c>
      <c r="I2657" t="s">
        <v>136</v>
      </c>
      <c r="J2657" t="s">
        <v>164</v>
      </c>
      <c r="K2657">
        <v>190</v>
      </c>
      <c r="L2657" t="s">
        <v>30</v>
      </c>
      <c r="M2657" t="s">
        <v>58</v>
      </c>
    </row>
    <row r="2658" spans="1:13" x14ac:dyDescent="0.35">
      <c r="A2658" t="s">
        <v>4164</v>
      </c>
      <c r="B2658" s="9">
        <v>46205</v>
      </c>
      <c r="C2658" t="s">
        <v>966</v>
      </c>
      <c r="D2658" t="s">
        <v>94</v>
      </c>
      <c r="E2658" t="s">
        <v>67</v>
      </c>
      <c r="F2658" t="s">
        <v>74</v>
      </c>
      <c r="G2658" t="s">
        <v>75</v>
      </c>
      <c r="H2658">
        <v>1</v>
      </c>
      <c r="I2658" t="s">
        <v>106</v>
      </c>
      <c r="J2658" t="s">
        <v>106</v>
      </c>
      <c r="K2658" t="s">
        <v>76</v>
      </c>
      <c r="L2658" t="s">
        <v>30</v>
      </c>
      <c r="M2658" t="s">
        <v>22</v>
      </c>
    </row>
    <row r="2659" spans="1:13" x14ac:dyDescent="0.35">
      <c r="A2659" t="s">
        <v>4165</v>
      </c>
      <c r="B2659" s="9">
        <v>46036</v>
      </c>
      <c r="C2659" t="s">
        <v>977</v>
      </c>
      <c r="D2659" t="s">
        <v>99</v>
      </c>
      <c r="E2659" t="s">
        <v>16</v>
      </c>
      <c r="F2659" t="s">
        <v>35</v>
      </c>
      <c r="G2659" t="s">
        <v>36</v>
      </c>
      <c r="H2659">
        <v>1</v>
      </c>
      <c r="I2659" t="s">
        <v>102</v>
      </c>
      <c r="J2659" t="s">
        <v>102</v>
      </c>
      <c r="K2659">
        <v>85</v>
      </c>
      <c r="L2659" t="s">
        <v>30</v>
      </c>
      <c r="M2659" t="s">
        <v>58</v>
      </c>
    </row>
    <row r="2660" spans="1:13" x14ac:dyDescent="0.35">
      <c r="A2660" t="s">
        <v>4166</v>
      </c>
      <c r="B2660" s="9">
        <v>46125</v>
      </c>
      <c r="C2660" t="s">
        <v>2100</v>
      </c>
      <c r="D2660" t="s">
        <v>46</v>
      </c>
      <c r="E2660" t="s">
        <v>16</v>
      </c>
      <c r="F2660" t="s">
        <v>74</v>
      </c>
      <c r="G2660" t="s">
        <v>75</v>
      </c>
      <c r="H2660">
        <v>1</v>
      </c>
      <c r="I2660" t="s">
        <v>19</v>
      </c>
      <c r="J2660" t="s">
        <v>19</v>
      </c>
      <c r="K2660">
        <v>410</v>
      </c>
      <c r="L2660" t="s">
        <v>30</v>
      </c>
      <c r="M2660" t="s">
        <v>22</v>
      </c>
    </row>
    <row r="2661" spans="1:13" x14ac:dyDescent="0.35">
      <c r="A2661" t="s">
        <v>4167</v>
      </c>
      <c r="B2661" t="s">
        <v>1820</v>
      </c>
      <c r="C2661" t="s">
        <v>1628</v>
      </c>
      <c r="D2661" t="s">
        <v>40</v>
      </c>
      <c r="E2661" t="s">
        <v>25</v>
      </c>
      <c r="F2661" t="s">
        <v>74</v>
      </c>
      <c r="G2661" t="s">
        <v>75</v>
      </c>
      <c r="H2661">
        <v>3</v>
      </c>
      <c r="I2661" t="s">
        <v>170</v>
      </c>
      <c r="J2661" t="s">
        <v>856</v>
      </c>
      <c r="K2661">
        <v>410</v>
      </c>
      <c r="L2661" t="s">
        <v>21</v>
      </c>
      <c r="M2661" t="s">
        <v>22</v>
      </c>
    </row>
    <row r="2662" spans="1:13" x14ac:dyDescent="0.35">
      <c r="A2662" t="s">
        <v>4168</v>
      </c>
      <c r="B2662" s="9">
        <v>46198</v>
      </c>
      <c r="C2662" t="s">
        <v>613</v>
      </c>
      <c r="D2662" t="s">
        <v>53</v>
      </c>
      <c r="E2662" t="s">
        <v>16</v>
      </c>
      <c r="F2662" t="s">
        <v>35</v>
      </c>
      <c r="G2662" t="s">
        <v>36</v>
      </c>
      <c r="H2662">
        <v>2</v>
      </c>
      <c r="I2662" t="s">
        <v>28</v>
      </c>
      <c r="J2662" t="s">
        <v>316</v>
      </c>
      <c r="K2662" t="s">
        <v>37</v>
      </c>
      <c r="L2662" t="s">
        <v>21</v>
      </c>
      <c r="M2662" t="s">
        <v>58</v>
      </c>
    </row>
    <row r="2663" spans="1:13" x14ac:dyDescent="0.35">
      <c r="A2663" t="s">
        <v>4169</v>
      </c>
      <c r="B2663" s="9">
        <v>46056</v>
      </c>
      <c r="C2663" t="s">
        <v>3229</v>
      </c>
      <c r="D2663" t="s">
        <v>61</v>
      </c>
      <c r="E2663" t="s">
        <v>67</v>
      </c>
      <c r="F2663" t="s">
        <v>83</v>
      </c>
      <c r="G2663" t="s">
        <v>84</v>
      </c>
      <c r="H2663">
        <v>2</v>
      </c>
      <c r="I2663" t="s">
        <v>102</v>
      </c>
      <c r="J2663" t="s">
        <v>181</v>
      </c>
      <c r="K2663">
        <v>340</v>
      </c>
      <c r="L2663" t="s">
        <v>30</v>
      </c>
      <c r="M2663" t="s">
        <v>22</v>
      </c>
    </row>
    <row r="2664" spans="1:13" x14ac:dyDescent="0.35">
      <c r="A2664" t="s">
        <v>4170</v>
      </c>
      <c r="B2664" t="s">
        <v>381</v>
      </c>
      <c r="C2664" t="s">
        <v>2740</v>
      </c>
      <c r="D2664" t="s">
        <v>99</v>
      </c>
      <c r="E2664" t="s">
        <v>67</v>
      </c>
      <c r="F2664" t="s">
        <v>26</v>
      </c>
      <c r="G2664" t="s">
        <v>27</v>
      </c>
      <c r="H2664">
        <v>2</v>
      </c>
      <c r="I2664" t="s">
        <v>19</v>
      </c>
      <c r="J2664" t="s">
        <v>238</v>
      </c>
      <c r="K2664">
        <v>520</v>
      </c>
      <c r="L2664" t="s">
        <v>30</v>
      </c>
      <c r="M2664" t="s">
        <v>58</v>
      </c>
    </row>
    <row r="2665" spans="1:13" x14ac:dyDescent="0.35">
      <c r="A2665" t="s">
        <v>4171</v>
      </c>
      <c r="B2665" s="9">
        <v>46080</v>
      </c>
      <c r="C2665" t="s">
        <v>1212</v>
      </c>
      <c r="D2665" t="s">
        <v>15</v>
      </c>
      <c r="E2665" t="s">
        <v>41</v>
      </c>
      <c r="F2665" t="s">
        <v>26</v>
      </c>
      <c r="G2665" t="s">
        <v>27</v>
      </c>
      <c r="H2665">
        <v>1</v>
      </c>
      <c r="I2665" t="s">
        <v>56</v>
      </c>
      <c r="J2665" t="s">
        <v>56</v>
      </c>
      <c r="K2665">
        <v>520</v>
      </c>
      <c r="L2665" t="s">
        <v>30</v>
      </c>
      <c r="M2665" t="s">
        <v>58</v>
      </c>
    </row>
    <row r="2666" spans="1:13" x14ac:dyDescent="0.35">
      <c r="A2666" t="s">
        <v>4172</v>
      </c>
      <c r="B2666" s="9">
        <v>46121</v>
      </c>
      <c r="C2666" t="s">
        <v>1229</v>
      </c>
      <c r="D2666" t="s">
        <v>66</v>
      </c>
      <c r="E2666" t="s">
        <v>25</v>
      </c>
      <c r="F2666" t="s">
        <v>26</v>
      </c>
      <c r="G2666" t="s">
        <v>27</v>
      </c>
      <c r="H2666">
        <v>3</v>
      </c>
      <c r="I2666" t="s">
        <v>68</v>
      </c>
      <c r="J2666" t="s">
        <v>205</v>
      </c>
      <c r="K2666">
        <v>520</v>
      </c>
      <c r="L2666" t="s">
        <v>21</v>
      </c>
      <c r="M2666" t="s">
        <v>58</v>
      </c>
    </row>
    <row r="2667" spans="1:13" x14ac:dyDescent="0.35">
      <c r="A2667" t="s">
        <v>4173</v>
      </c>
      <c r="B2667" s="9">
        <v>46042</v>
      </c>
      <c r="C2667" t="s">
        <v>409</v>
      </c>
      <c r="D2667" t="s">
        <v>116</v>
      </c>
      <c r="E2667" t="s">
        <v>16</v>
      </c>
      <c r="F2667" t="s">
        <v>74</v>
      </c>
      <c r="G2667" t="s">
        <v>75</v>
      </c>
      <c r="H2667">
        <v>3</v>
      </c>
      <c r="I2667" t="s">
        <v>49</v>
      </c>
      <c r="J2667" t="s">
        <v>257</v>
      </c>
      <c r="K2667">
        <v>410</v>
      </c>
      <c r="L2667" t="s">
        <v>30</v>
      </c>
      <c r="M2667" t="s">
        <v>22</v>
      </c>
    </row>
    <row r="2668" spans="1:13" x14ac:dyDescent="0.35">
      <c r="A2668" t="s">
        <v>4174</v>
      </c>
      <c r="B2668" s="9">
        <v>46148</v>
      </c>
      <c r="C2668" t="s">
        <v>4175</v>
      </c>
      <c r="D2668" t="s">
        <v>46</v>
      </c>
      <c r="E2668" t="s">
        <v>34</v>
      </c>
      <c r="F2668" t="s">
        <v>47</v>
      </c>
      <c r="G2668" t="s">
        <v>48</v>
      </c>
      <c r="H2668">
        <v>-1</v>
      </c>
      <c r="I2668" t="s">
        <v>220</v>
      </c>
      <c r="J2668" t="s">
        <v>2920</v>
      </c>
      <c r="K2668" t="s">
        <v>50</v>
      </c>
      <c r="L2668" t="s">
        <v>30</v>
      </c>
      <c r="M2668" t="s">
        <v>22</v>
      </c>
    </row>
    <row r="2669" spans="1:13" x14ac:dyDescent="0.35">
      <c r="A2669" t="s">
        <v>4176</v>
      </c>
      <c r="B2669" s="9">
        <v>46139</v>
      </c>
      <c r="C2669" t="s">
        <v>447</v>
      </c>
      <c r="D2669" t="s">
        <v>116</v>
      </c>
      <c r="E2669" t="s">
        <v>67</v>
      </c>
      <c r="F2669" t="s">
        <v>35</v>
      </c>
      <c r="G2669" t="s">
        <v>36</v>
      </c>
      <c r="H2669">
        <v>1</v>
      </c>
      <c r="I2669" t="s">
        <v>49</v>
      </c>
      <c r="J2669" t="s">
        <v>49</v>
      </c>
      <c r="K2669" t="s">
        <v>37</v>
      </c>
      <c r="L2669" t="s">
        <v>21</v>
      </c>
      <c r="M2669" t="s">
        <v>22</v>
      </c>
    </row>
    <row r="2670" spans="1:13" x14ac:dyDescent="0.35">
      <c r="A2670" t="s">
        <v>4177</v>
      </c>
      <c r="B2670" s="9">
        <v>46184</v>
      </c>
      <c r="C2670" t="s">
        <v>4178</v>
      </c>
      <c r="D2670" t="s">
        <v>94</v>
      </c>
      <c r="E2670" t="s">
        <v>67</v>
      </c>
      <c r="F2670" t="s">
        <v>83</v>
      </c>
      <c r="G2670" t="s">
        <v>84</v>
      </c>
      <c r="H2670">
        <v>1</v>
      </c>
      <c r="I2670" t="s">
        <v>588</v>
      </c>
      <c r="J2670" t="s">
        <v>62</v>
      </c>
      <c r="K2670" t="s">
        <v>103</v>
      </c>
      <c r="L2670" t="s">
        <v>30</v>
      </c>
      <c r="M2670" t="s">
        <v>22</v>
      </c>
    </row>
    <row r="2671" spans="1:13" x14ac:dyDescent="0.35">
      <c r="A2671" t="s">
        <v>4179</v>
      </c>
      <c r="B2671" t="s">
        <v>1900</v>
      </c>
      <c r="C2671" t="s">
        <v>1585</v>
      </c>
      <c r="D2671" t="s">
        <v>116</v>
      </c>
      <c r="E2671" t="s">
        <v>25</v>
      </c>
      <c r="F2671" t="s">
        <v>83</v>
      </c>
      <c r="G2671" t="s">
        <v>84</v>
      </c>
      <c r="H2671">
        <v>3</v>
      </c>
      <c r="I2671" t="s">
        <v>68</v>
      </c>
      <c r="J2671" t="s">
        <v>205</v>
      </c>
      <c r="K2671" t="s">
        <v>103</v>
      </c>
      <c r="L2671" t="s">
        <v>30</v>
      </c>
      <c r="M2671" t="s">
        <v>22</v>
      </c>
    </row>
    <row r="2672" spans="1:13" x14ac:dyDescent="0.35">
      <c r="A2672" t="s">
        <v>4180</v>
      </c>
      <c r="B2672" s="9">
        <v>46156</v>
      </c>
      <c r="C2672" t="s">
        <v>979</v>
      </c>
      <c r="D2672" t="s">
        <v>15</v>
      </c>
      <c r="E2672" t="s">
        <v>67</v>
      </c>
      <c r="F2672" t="s">
        <v>47</v>
      </c>
      <c r="G2672" t="s">
        <v>48</v>
      </c>
      <c r="H2672">
        <v>1</v>
      </c>
      <c r="I2672" t="s">
        <v>220</v>
      </c>
      <c r="J2672" t="s">
        <v>220</v>
      </c>
      <c r="K2672" t="s">
        <v>50</v>
      </c>
      <c r="L2672" t="s">
        <v>30</v>
      </c>
      <c r="M2672" t="s">
        <v>22</v>
      </c>
    </row>
    <row r="2673" spans="1:13" x14ac:dyDescent="0.35">
      <c r="A2673" t="s">
        <v>4181</v>
      </c>
      <c r="B2673" s="9">
        <v>46144</v>
      </c>
      <c r="C2673" t="s">
        <v>32</v>
      </c>
      <c r="D2673" t="s">
        <v>94</v>
      </c>
      <c r="E2673" t="s">
        <v>67</v>
      </c>
      <c r="F2673" t="s">
        <v>74</v>
      </c>
      <c r="G2673" t="s">
        <v>75</v>
      </c>
      <c r="H2673">
        <v>2</v>
      </c>
      <c r="I2673" t="s">
        <v>106</v>
      </c>
      <c r="J2673" t="s">
        <v>107</v>
      </c>
      <c r="K2673" t="s">
        <v>76</v>
      </c>
      <c r="L2673" t="s">
        <v>21</v>
      </c>
      <c r="M2673" t="s">
        <v>22</v>
      </c>
    </row>
    <row r="2674" spans="1:13" x14ac:dyDescent="0.35">
      <c r="A2674" t="s">
        <v>4182</v>
      </c>
      <c r="B2674" s="9">
        <v>46122</v>
      </c>
      <c r="C2674" t="s">
        <v>990</v>
      </c>
      <c r="D2674" t="s">
        <v>61</v>
      </c>
      <c r="E2674" t="s">
        <v>25</v>
      </c>
      <c r="F2674" t="s">
        <v>47</v>
      </c>
      <c r="G2674" t="s">
        <v>48</v>
      </c>
      <c r="H2674">
        <v>1</v>
      </c>
      <c r="I2674" t="s">
        <v>132</v>
      </c>
      <c r="J2674" t="s">
        <v>132</v>
      </c>
      <c r="K2674">
        <v>380</v>
      </c>
      <c r="L2674" t="s">
        <v>30</v>
      </c>
      <c r="M2674" t="s">
        <v>58</v>
      </c>
    </row>
    <row r="2675" spans="1:13" x14ac:dyDescent="0.35">
      <c r="A2675" t="s">
        <v>4183</v>
      </c>
      <c r="B2675" s="9">
        <v>46120</v>
      </c>
      <c r="C2675" t="s">
        <v>622</v>
      </c>
      <c r="D2675" t="s">
        <v>116</v>
      </c>
      <c r="E2675" t="s">
        <v>34</v>
      </c>
      <c r="F2675" t="s">
        <v>83</v>
      </c>
      <c r="G2675" t="s">
        <v>84</v>
      </c>
      <c r="H2675">
        <v>2</v>
      </c>
      <c r="I2675" t="s">
        <v>79</v>
      </c>
      <c r="J2675" t="s">
        <v>143</v>
      </c>
      <c r="K2675">
        <v>340</v>
      </c>
      <c r="L2675" t="s">
        <v>30</v>
      </c>
      <c r="M2675" t="s">
        <v>22</v>
      </c>
    </row>
    <row r="2676" spans="1:13" x14ac:dyDescent="0.35">
      <c r="A2676" t="s">
        <v>4184</v>
      </c>
      <c r="B2676" s="9">
        <v>46155</v>
      </c>
      <c r="C2676" t="s">
        <v>4185</v>
      </c>
      <c r="D2676" t="s">
        <v>94</v>
      </c>
      <c r="E2676" t="s">
        <v>16</v>
      </c>
      <c r="F2676" t="s">
        <v>89</v>
      </c>
      <c r="G2676" t="s">
        <v>90</v>
      </c>
      <c r="H2676">
        <v>1</v>
      </c>
      <c r="I2676" t="s">
        <v>19</v>
      </c>
      <c r="J2676" t="s">
        <v>19</v>
      </c>
      <c r="K2676" t="s">
        <v>108</v>
      </c>
      <c r="L2676" t="s">
        <v>30</v>
      </c>
      <c r="M2676" t="s">
        <v>22</v>
      </c>
    </row>
    <row r="2677" spans="1:13" x14ac:dyDescent="0.35">
      <c r="A2677" t="s">
        <v>4186</v>
      </c>
      <c r="B2677" s="9">
        <v>46199</v>
      </c>
      <c r="C2677" t="s">
        <v>1219</v>
      </c>
      <c r="D2677" t="s">
        <v>99</v>
      </c>
      <c r="E2677" t="s">
        <v>16</v>
      </c>
      <c r="F2677" t="s">
        <v>26</v>
      </c>
      <c r="G2677" t="s">
        <v>27</v>
      </c>
      <c r="H2677">
        <v>-1</v>
      </c>
      <c r="I2677" t="s">
        <v>19</v>
      </c>
      <c r="J2677" t="s">
        <v>393</v>
      </c>
      <c r="K2677" t="s">
        <v>29</v>
      </c>
      <c r="L2677" t="s">
        <v>21</v>
      </c>
      <c r="M2677" t="s">
        <v>58</v>
      </c>
    </row>
    <row r="2678" spans="1:13" x14ac:dyDescent="0.35">
      <c r="A2678" t="s">
        <v>4187</v>
      </c>
      <c r="B2678" s="9">
        <v>46149</v>
      </c>
      <c r="C2678" t="s">
        <v>685</v>
      </c>
      <c r="D2678" t="s">
        <v>53</v>
      </c>
      <c r="E2678" t="s">
        <v>25</v>
      </c>
      <c r="F2678" t="s">
        <v>89</v>
      </c>
      <c r="G2678" t="s">
        <v>90</v>
      </c>
      <c r="H2678">
        <v>1</v>
      </c>
      <c r="I2678" t="s">
        <v>170</v>
      </c>
      <c r="J2678" t="s">
        <v>170</v>
      </c>
      <c r="K2678" t="s">
        <v>108</v>
      </c>
      <c r="L2678" t="s">
        <v>30</v>
      </c>
      <c r="M2678" t="s">
        <v>22</v>
      </c>
    </row>
    <row r="2679" spans="1:13" x14ac:dyDescent="0.35">
      <c r="A2679" t="s">
        <v>4188</v>
      </c>
      <c r="B2679" s="9">
        <v>46124</v>
      </c>
      <c r="C2679" t="s">
        <v>4189</v>
      </c>
      <c r="D2679" t="s">
        <v>46</v>
      </c>
      <c r="E2679" t="s">
        <v>67</v>
      </c>
      <c r="F2679" t="s">
        <v>42</v>
      </c>
      <c r="G2679" t="s">
        <v>43</v>
      </c>
      <c r="H2679">
        <v>1</v>
      </c>
      <c r="I2679" t="s">
        <v>71</v>
      </c>
      <c r="J2679" t="s">
        <v>71</v>
      </c>
      <c r="K2679">
        <v>190</v>
      </c>
      <c r="L2679" t="s">
        <v>30</v>
      </c>
      <c r="M2679" t="s">
        <v>22</v>
      </c>
    </row>
    <row r="2680" spans="1:13" x14ac:dyDescent="0.35">
      <c r="A2680" t="s">
        <v>4190</v>
      </c>
      <c r="B2680" s="9">
        <v>46078</v>
      </c>
      <c r="C2680" t="s">
        <v>3571</v>
      </c>
      <c r="D2680" t="s">
        <v>94</v>
      </c>
      <c r="E2680" t="s">
        <v>16</v>
      </c>
      <c r="F2680" t="s">
        <v>17</v>
      </c>
      <c r="G2680" t="s">
        <v>18</v>
      </c>
      <c r="H2680">
        <v>1</v>
      </c>
      <c r="I2680" t="s">
        <v>19</v>
      </c>
      <c r="J2680" t="s">
        <v>19</v>
      </c>
      <c r="K2680">
        <v>520</v>
      </c>
      <c r="L2680" t="s">
        <v>21</v>
      </c>
      <c r="M2680" t="s">
        <v>58</v>
      </c>
    </row>
    <row r="2681" spans="1:13" x14ac:dyDescent="0.35">
      <c r="A2681" t="s">
        <v>4191</v>
      </c>
      <c r="B2681" s="9">
        <v>46183</v>
      </c>
      <c r="C2681" t="s">
        <v>1310</v>
      </c>
      <c r="D2681" t="s">
        <v>46</v>
      </c>
      <c r="E2681" t="s">
        <v>41</v>
      </c>
      <c r="F2681" t="s">
        <v>42</v>
      </c>
      <c r="G2681" t="s">
        <v>43</v>
      </c>
      <c r="H2681">
        <v>2</v>
      </c>
      <c r="I2681" t="s">
        <v>49</v>
      </c>
      <c r="J2681" t="s">
        <v>178</v>
      </c>
      <c r="K2681" t="s">
        <v>111</v>
      </c>
      <c r="L2681" t="s">
        <v>30</v>
      </c>
      <c r="M2681" t="s">
        <v>22</v>
      </c>
    </row>
    <row r="2682" spans="1:13" x14ac:dyDescent="0.35">
      <c r="A2682" t="s">
        <v>4192</v>
      </c>
      <c r="B2682" s="9">
        <v>46204</v>
      </c>
      <c r="C2682" t="s">
        <v>4118</v>
      </c>
      <c r="D2682" t="s">
        <v>66</v>
      </c>
      <c r="E2682" t="s">
        <v>34</v>
      </c>
      <c r="F2682" t="s">
        <v>17</v>
      </c>
      <c r="G2682" t="s">
        <v>18</v>
      </c>
      <c r="H2682">
        <v>3</v>
      </c>
      <c r="I2682" t="s">
        <v>132</v>
      </c>
      <c r="J2682" t="s">
        <v>232</v>
      </c>
      <c r="K2682">
        <v>520</v>
      </c>
      <c r="L2682" t="s">
        <v>21</v>
      </c>
      <c r="M2682" t="s">
        <v>22</v>
      </c>
    </row>
    <row r="2683" spans="1:13" x14ac:dyDescent="0.35">
      <c r="A2683" t="s">
        <v>4193</v>
      </c>
      <c r="B2683" s="9">
        <v>46028</v>
      </c>
      <c r="C2683" t="s">
        <v>4194</v>
      </c>
      <c r="D2683" t="s">
        <v>99</v>
      </c>
      <c r="E2683" t="s">
        <v>16</v>
      </c>
      <c r="F2683" t="s">
        <v>74</v>
      </c>
      <c r="G2683" t="s">
        <v>75</v>
      </c>
      <c r="H2683">
        <v>1</v>
      </c>
      <c r="I2683" t="s">
        <v>106</v>
      </c>
      <c r="J2683" t="s">
        <v>106</v>
      </c>
      <c r="K2683">
        <v>410</v>
      </c>
      <c r="L2683" t="s">
        <v>30</v>
      </c>
      <c r="M2683" t="s">
        <v>22</v>
      </c>
    </row>
    <row r="2684" spans="1:13" x14ac:dyDescent="0.35">
      <c r="A2684" t="s">
        <v>4195</v>
      </c>
      <c r="B2684" s="9">
        <v>46099</v>
      </c>
      <c r="C2684" t="s">
        <v>773</v>
      </c>
      <c r="D2684" t="s">
        <v>40</v>
      </c>
      <c r="E2684" t="s">
        <v>41</v>
      </c>
      <c r="F2684" t="s">
        <v>83</v>
      </c>
      <c r="G2684" t="s">
        <v>84</v>
      </c>
      <c r="H2684">
        <v>1</v>
      </c>
      <c r="I2684" t="s">
        <v>56</v>
      </c>
      <c r="J2684" t="s">
        <v>56</v>
      </c>
      <c r="K2684">
        <v>340</v>
      </c>
      <c r="L2684" t="s">
        <v>30</v>
      </c>
      <c r="M2684" t="s">
        <v>22</v>
      </c>
    </row>
    <row r="2685" spans="1:13" x14ac:dyDescent="0.35">
      <c r="A2685" t="s">
        <v>4196</v>
      </c>
      <c r="B2685" s="9">
        <v>46167</v>
      </c>
      <c r="C2685" t="s">
        <v>4197</v>
      </c>
      <c r="D2685" t="s">
        <v>46</v>
      </c>
      <c r="E2685" t="s">
        <v>16</v>
      </c>
      <c r="F2685" t="s">
        <v>35</v>
      </c>
      <c r="G2685" t="s">
        <v>36</v>
      </c>
      <c r="H2685">
        <v>1</v>
      </c>
      <c r="I2685" t="s">
        <v>71</v>
      </c>
      <c r="J2685" t="s">
        <v>71</v>
      </c>
      <c r="K2685" t="s">
        <v>37</v>
      </c>
      <c r="L2685" t="s">
        <v>30</v>
      </c>
      <c r="M2685" t="s">
        <v>22</v>
      </c>
    </row>
    <row r="2686" spans="1:13" x14ac:dyDescent="0.35">
      <c r="A2686" t="s">
        <v>4198</v>
      </c>
      <c r="B2686" s="9">
        <v>46207</v>
      </c>
      <c r="C2686" t="s">
        <v>4199</v>
      </c>
      <c r="D2686" t="s">
        <v>46</v>
      </c>
      <c r="E2686" t="s">
        <v>34</v>
      </c>
      <c r="F2686" t="s">
        <v>26</v>
      </c>
      <c r="G2686" t="s">
        <v>27</v>
      </c>
      <c r="H2686">
        <v>3</v>
      </c>
      <c r="I2686" t="s">
        <v>71</v>
      </c>
      <c r="J2686" t="s">
        <v>379</v>
      </c>
      <c r="K2686" t="s">
        <v>29</v>
      </c>
      <c r="L2686" t="s">
        <v>30</v>
      </c>
      <c r="M2686" t="s">
        <v>58</v>
      </c>
    </row>
    <row r="2687" spans="1:13" x14ac:dyDescent="0.35">
      <c r="A2687" t="s">
        <v>4200</v>
      </c>
      <c r="B2687" s="9">
        <v>46300</v>
      </c>
      <c r="C2687" t="s">
        <v>517</v>
      </c>
      <c r="D2687" t="s">
        <v>15</v>
      </c>
      <c r="E2687" t="s">
        <v>25</v>
      </c>
      <c r="F2687" t="s">
        <v>47</v>
      </c>
      <c r="G2687" t="s">
        <v>48</v>
      </c>
      <c r="H2687">
        <v>1</v>
      </c>
      <c r="I2687" t="s">
        <v>436</v>
      </c>
      <c r="J2687" t="s">
        <v>79</v>
      </c>
      <c r="K2687" t="s">
        <v>50</v>
      </c>
      <c r="L2687" t="s">
        <v>30</v>
      </c>
      <c r="M2687" t="s">
        <v>22</v>
      </c>
    </row>
    <row r="2688" spans="1:13" x14ac:dyDescent="0.35">
      <c r="A2688" t="s">
        <v>4201</v>
      </c>
      <c r="B2688" s="9">
        <v>46172</v>
      </c>
      <c r="C2688" t="s">
        <v>1488</v>
      </c>
      <c r="D2688" t="s">
        <v>40</v>
      </c>
      <c r="E2688" t="s">
        <v>25</v>
      </c>
      <c r="F2688" t="s">
        <v>17</v>
      </c>
      <c r="G2688" t="s">
        <v>18</v>
      </c>
      <c r="H2688">
        <v>1</v>
      </c>
      <c r="I2688" t="s">
        <v>155</v>
      </c>
      <c r="J2688" t="s">
        <v>254</v>
      </c>
      <c r="K2688" t="s">
        <v>29</v>
      </c>
      <c r="L2688" t="s">
        <v>21</v>
      </c>
      <c r="M2688" t="s">
        <v>22</v>
      </c>
    </row>
    <row r="2689" spans="1:13" x14ac:dyDescent="0.35">
      <c r="A2689" t="s">
        <v>4202</v>
      </c>
      <c r="B2689" s="9">
        <v>46155</v>
      </c>
      <c r="C2689" t="s">
        <v>1789</v>
      </c>
      <c r="D2689" t="s">
        <v>40</v>
      </c>
      <c r="E2689" t="s">
        <v>25</v>
      </c>
      <c r="F2689" t="s">
        <v>35</v>
      </c>
      <c r="G2689" t="s">
        <v>36</v>
      </c>
      <c r="H2689">
        <v>2</v>
      </c>
      <c r="I2689" t="s">
        <v>28</v>
      </c>
      <c r="J2689" t="s">
        <v>316</v>
      </c>
      <c r="K2689" t="s">
        <v>37</v>
      </c>
      <c r="L2689" t="s">
        <v>30</v>
      </c>
      <c r="M2689" t="s">
        <v>22</v>
      </c>
    </row>
    <row r="2690" spans="1:13" x14ac:dyDescent="0.35">
      <c r="A2690" t="s">
        <v>4203</v>
      </c>
      <c r="B2690" s="9">
        <v>46120</v>
      </c>
      <c r="C2690" t="s">
        <v>2521</v>
      </c>
      <c r="D2690" t="s">
        <v>40</v>
      </c>
      <c r="E2690" t="s">
        <v>67</v>
      </c>
      <c r="F2690" t="s">
        <v>35</v>
      </c>
      <c r="G2690" t="s">
        <v>36</v>
      </c>
      <c r="H2690">
        <v>1</v>
      </c>
      <c r="I2690" t="s">
        <v>220</v>
      </c>
      <c r="J2690" t="s">
        <v>220</v>
      </c>
      <c r="K2690">
        <v>85</v>
      </c>
      <c r="L2690" t="s">
        <v>21</v>
      </c>
      <c r="M2690" t="s">
        <v>58</v>
      </c>
    </row>
    <row r="2691" spans="1:13" x14ac:dyDescent="0.35">
      <c r="A2691" t="s">
        <v>4204</v>
      </c>
      <c r="B2691" s="9">
        <v>46129</v>
      </c>
      <c r="C2691" t="s">
        <v>3407</v>
      </c>
      <c r="D2691" t="s">
        <v>66</v>
      </c>
      <c r="E2691" t="s">
        <v>34</v>
      </c>
      <c r="F2691" t="s">
        <v>47</v>
      </c>
      <c r="G2691" t="s">
        <v>48</v>
      </c>
      <c r="H2691">
        <v>2</v>
      </c>
      <c r="I2691" t="s">
        <v>220</v>
      </c>
      <c r="J2691" t="s">
        <v>257</v>
      </c>
      <c r="K2691">
        <v>380</v>
      </c>
      <c r="L2691" t="s">
        <v>30</v>
      </c>
      <c r="M2691" t="s">
        <v>22</v>
      </c>
    </row>
    <row r="2692" spans="1:13" x14ac:dyDescent="0.35">
      <c r="A2692" t="s">
        <v>4205</v>
      </c>
      <c r="B2692" s="9">
        <v>46143</v>
      </c>
      <c r="C2692" t="s">
        <v>195</v>
      </c>
      <c r="D2692" t="s">
        <v>94</v>
      </c>
      <c r="E2692" t="s">
        <v>41</v>
      </c>
      <c r="F2692" t="s">
        <v>26</v>
      </c>
      <c r="G2692" t="s">
        <v>27</v>
      </c>
      <c r="H2692">
        <v>1</v>
      </c>
      <c r="I2692" t="s">
        <v>136</v>
      </c>
      <c r="J2692" t="s">
        <v>136</v>
      </c>
      <c r="K2692" t="s">
        <v>29</v>
      </c>
      <c r="L2692" t="s">
        <v>21</v>
      </c>
      <c r="M2692" t="s">
        <v>22</v>
      </c>
    </row>
    <row r="2693" spans="1:13" x14ac:dyDescent="0.35">
      <c r="A2693" t="s">
        <v>4206</v>
      </c>
      <c r="B2693" s="9">
        <v>46159</v>
      </c>
      <c r="C2693" t="s">
        <v>807</v>
      </c>
      <c r="D2693" t="s">
        <v>40</v>
      </c>
      <c r="E2693" t="s">
        <v>34</v>
      </c>
      <c r="F2693" t="s">
        <v>74</v>
      </c>
      <c r="G2693" t="s">
        <v>75</v>
      </c>
      <c r="H2693">
        <v>1</v>
      </c>
      <c r="I2693" t="s">
        <v>85</v>
      </c>
      <c r="J2693" t="s">
        <v>4207</v>
      </c>
      <c r="K2693" t="s">
        <v>76</v>
      </c>
      <c r="L2693" t="s">
        <v>30</v>
      </c>
      <c r="M2693" t="s">
        <v>58</v>
      </c>
    </row>
    <row r="2694" spans="1:13" x14ac:dyDescent="0.35">
      <c r="A2694" t="s">
        <v>4208</v>
      </c>
      <c r="B2694" t="s">
        <v>168</v>
      </c>
      <c r="C2694" t="s">
        <v>780</v>
      </c>
      <c r="D2694" t="s">
        <v>46</v>
      </c>
      <c r="E2694" t="s">
        <v>16</v>
      </c>
      <c r="F2694" t="s">
        <v>17</v>
      </c>
      <c r="G2694" t="s">
        <v>18</v>
      </c>
      <c r="H2694">
        <v>1</v>
      </c>
      <c r="I2694" t="s">
        <v>19</v>
      </c>
      <c r="J2694" t="s">
        <v>19</v>
      </c>
      <c r="K2694">
        <v>520</v>
      </c>
      <c r="L2694" t="s">
        <v>21</v>
      </c>
      <c r="M2694" t="s">
        <v>22</v>
      </c>
    </row>
    <row r="2695" spans="1:13" x14ac:dyDescent="0.35">
      <c r="A2695" t="s">
        <v>4209</v>
      </c>
      <c r="B2695" s="9">
        <v>46197</v>
      </c>
      <c r="C2695" t="s">
        <v>2619</v>
      </c>
      <c r="D2695" t="s">
        <v>15</v>
      </c>
      <c r="E2695" t="s">
        <v>67</v>
      </c>
      <c r="F2695" t="s">
        <v>26</v>
      </c>
      <c r="G2695" t="s">
        <v>27</v>
      </c>
      <c r="H2695">
        <v>2</v>
      </c>
      <c r="I2695" t="s">
        <v>106</v>
      </c>
      <c r="J2695" t="s">
        <v>107</v>
      </c>
      <c r="K2695" t="s">
        <v>29</v>
      </c>
      <c r="L2695" t="s">
        <v>30</v>
      </c>
      <c r="M2695" t="s">
        <v>22</v>
      </c>
    </row>
    <row r="2696" spans="1:13" x14ac:dyDescent="0.35">
      <c r="A2696" t="s">
        <v>4210</v>
      </c>
      <c r="B2696" s="9">
        <v>46155</v>
      </c>
      <c r="C2696" t="s">
        <v>2961</v>
      </c>
      <c r="D2696" t="s">
        <v>15</v>
      </c>
      <c r="E2696" t="s">
        <v>41</v>
      </c>
      <c r="F2696" t="s">
        <v>26</v>
      </c>
      <c r="G2696" t="s">
        <v>27</v>
      </c>
      <c r="H2696">
        <v>-1</v>
      </c>
      <c r="I2696" t="s">
        <v>71</v>
      </c>
      <c r="J2696" t="s">
        <v>1404</v>
      </c>
      <c r="K2696" t="s">
        <v>29</v>
      </c>
      <c r="L2696" t="s">
        <v>30</v>
      </c>
      <c r="M2696" t="s">
        <v>22</v>
      </c>
    </row>
    <row r="2697" spans="1:13" x14ac:dyDescent="0.35">
      <c r="A2697" t="s">
        <v>4211</v>
      </c>
      <c r="B2697" s="9">
        <v>46148</v>
      </c>
      <c r="C2697" t="s">
        <v>3740</v>
      </c>
      <c r="D2697" t="s">
        <v>61</v>
      </c>
      <c r="E2697" t="s">
        <v>25</v>
      </c>
      <c r="F2697" t="s">
        <v>83</v>
      </c>
      <c r="G2697" t="s">
        <v>84</v>
      </c>
      <c r="H2697">
        <v>1</v>
      </c>
      <c r="I2697" t="s">
        <v>254</v>
      </c>
      <c r="J2697" t="s">
        <v>254</v>
      </c>
      <c r="K2697" t="s">
        <v>103</v>
      </c>
      <c r="L2697" t="s">
        <v>30</v>
      </c>
      <c r="M2697" t="s">
        <v>22</v>
      </c>
    </row>
    <row r="2698" spans="1:13" x14ac:dyDescent="0.35">
      <c r="A2698" t="s">
        <v>4212</v>
      </c>
      <c r="B2698" s="9">
        <v>46039</v>
      </c>
      <c r="C2698" t="s">
        <v>1731</v>
      </c>
      <c r="D2698" t="s">
        <v>94</v>
      </c>
      <c r="E2698" t="s">
        <v>41</v>
      </c>
      <c r="F2698" t="s">
        <v>47</v>
      </c>
      <c r="G2698" t="s">
        <v>48</v>
      </c>
      <c r="H2698">
        <v>1</v>
      </c>
      <c r="I2698" t="s">
        <v>170</v>
      </c>
      <c r="J2698" t="s">
        <v>170</v>
      </c>
      <c r="K2698">
        <v>380</v>
      </c>
      <c r="L2698" t="s">
        <v>30</v>
      </c>
      <c r="M2698" t="s">
        <v>22</v>
      </c>
    </row>
    <row r="2699" spans="1:13" x14ac:dyDescent="0.35">
      <c r="A2699" t="s">
        <v>4213</v>
      </c>
      <c r="B2699" s="9">
        <v>46118</v>
      </c>
      <c r="C2699" t="s">
        <v>3133</v>
      </c>
      <c r="D2699" t="s">
        <v>99</v>
      </c>
      <c r="E2699" t="s">
        <v>16</v>
      </c>
      <c r="F2699" t="s">
        <v>83</v>
      </c>
      <c r="G2699" t="s">
        <v>84</v>
      </c>
      <c r="H2699">
        <v>1</v>
      </c>
      <c r="I2699" t="s">
        <v>71</v>
      </c>
      <c r="J2699" t="s">
        <v>71</v>
      </c>
      <c r="K2699">
        <v>340</v>
      </c>
      <c r="L2699" t="s">
        <v>21</v>
      </c>
      <c r="M2699" t="s">
        <v>22</v>
      </c>
    </row>
    <row r="2700" spans="1:13" x14ac:dyDescent="0.35">
      <c r="A2700" t="s">
        <v>4214</v>
      </c>
      <c r="B2700" s="9">
        <v>46038</v>
      </c>
      <c r="C2700" t="s">
        <v>2827</v>
      </c>
      <c r="D2700" t="s">
        <v>33</v>
      </c>
      <c r="E2700" t="s">
        <v>41</v>
      </c>
      <c r="F2700" t="s">
        <v>47</v>
      </c>
      <c r="G2700" t="s">
        <v>48</v>
      </c>
      <c r="H2700">
        <v>1</v>
      </c>
      <c r="I2700" t="s">
        <v>102</v>
      </c>
      <c r="J2700" t="s">
        <v>170</v>
      </c>
      <c r="K2700">
        <v>380</v>
      </c>
      <c r="L2700" t="s">
        <v>30</v>
      </c>
      <c r="M2700" t="s">
        <v>58</v>
      </c>
    </row>
    <row r="2701" spans="1:13" x14ac:dyDescent="0.35">
      <c r="A2701" t="s">
        <v>4215</v>
      </c>
      <c r="B2701" s="9">
        <v>46196</v>
      </c>
      <c r="C2701" t="s">
        <v>425</v>
      </c>
      <c r="D2701" t="s">
        <v>99</v>
      </c>
      <c r="E2701" t="s">
        <v>16</v>
      </c>
      <c r="F2701" t="s">
        <v>47</v>
      </c>
      <c r="G2701" t="s">
        <v>48</v>
      </c>
      <c r="H2701">
        <v>2</v>
      </c>
      <c r="I2701" t="s">
        <v>79</v>
      </c>
      <c r="J2701" t="s">
        <v>143</v>
      </c>
      <c r="K2701" t="s">
        <v>50</v>
      </c>
      <c r="L2701" t="s">
        <v>30</v>
      </c>
      <c r="M2701" t="s">
        <v>22</v>
      </c>
    </row>
    <row r="2702" spans="1:13" x14ac:dyDescent="0.35">
      <c r="A2702" t="s">
        <v>4216</v>
      </c>
      <c r="B2702" s="9">
        <v>46137</v>
      </c>
      <c r="C2702" t="s">
        <v>1161</v>
      </c>
      <c r="D2702" t="s">
        <v>40</v>
      </c>
      <c r="E2702" t="s">
        <v>67</v>
      </c>
      <c r="F2702" t="s">
        <v>17</v>
      </c>
      <c r="G2702" t="s">
        <v>18</v>
      </c>
      <c r="H2702">
        <v>3</v>
      </c>
      <c r="I2702" t="s">
        <v>1508</v>
      </c>
      <c r="J2702" t="s">
        <v>2828</v>
      </c>
      <c r="K2702" t="s">
        <v>29</v>
      </c>
      <c r="L2702" t="s">
        <v>21</v>
      </c>
      <c r="M2702" t="s">
        <v>22</v>
      </c>
    </row>
    <row r="2703" spans="1:13" x14ac:dyDescent="0.35">
      <c r="A2703" t="s">
        <v>4217</v>
      </c>
      <c r="B2703" t="s">
        <v>4218</v>
      </c>
      <c r="C2703" t="s">
        <v>3212</v>
      </c>
      <c r="D2703" t="s">
        <v>99</v>
      </c>
      <c r="E2703" t="s">
        <v>34</v>
      </c>
      <c r="F2703" t="s">
        <v>47</v>
      </c>
      <c r="G2703" t="s">
        <v>48</v>
      </c>
      <c r="H2703">
        <v>1</v>
      </c>
      <c r="I2703" t="s">
        <v>71</v>
      </c>
      <c r="J2703" t="s">
        <v>71</v>
      </c>
      <c r="K2703">
        <v>380</v>
      </c>
      <c r="L2703" t="s">
        <v>30</v>
      </c>
      <c r="M2703" t="s">
        <v>22</v>
      </c>
    </row>
    <row r="2704" spans="1:13" x14ac:dyDescent="0.35">
      <c r="A2704" t="s">
        <v>4219</v>
      </c>
      <c r="B2704" s="9">
        <v>46051</v>
      </c>
      <c r="C2704" t="s">
        <v>334</v>
      </c>
      <c r="D2704" t="s">
        <v>116</v>
      </c>
      <c r="E2704" t="s">
        <v>41</v>
      </c>
      <c r="F2704" t="s">
        <v>26</v>
      </c>
      <c r="G2704" t="s">
        <v>27</v>
      </c>
      <c r="H2704">
        <v>2</v>
      </c>
      <c r="I2704" t="s">
        <v>85</v>
      </c>
      <c r="J2704" t="s">
        <v>267</v>
      </c>
      <c r="K2704">
        <v>520</v>
      </c>
      <c r="L2704" t="s">
        <v>30</v>
      </c>
      <c r="M2704" t="s">
        <v>22</v>
      </c>
    </row>
    <row r="2705" spans="1:13" x14ac:dyDescent="0.35">
      <c r="A2705" t="s">
        <v>4220</v>
      </c>
      <c r="B2705" s="9">
        <v>46098</v>
      </c>
      <c r="C2705" t="s">
        <v>3064</v>
      </c>
      <c r="D2705" t="s">
        <v>94</v>
      </c>
      <c r="E2705" t="s">
        <v>67</v>
      </c>
      <c r="F2705" t="s">
        <v>42</v>
      </c>
      <c r="G2705" t="s">
        <v>43</v>
      </c>
      <c r="H2705">
        <v>3</v>
      </c>
      <c r="I2705" t="s">
        <v>132</v>
      </c>
      <c r="J2705" t="s">
        <v>232</v>
      </c>
      <c r="K2705">
        <v>190</v>
      </c>
      <c r="L2705" t="s">
        <v>30</v>
      </c>
      <c r="M2705" t="s">
        <v>22</v>
      </c>
    </row>
    <row r="2706" spans="1:13" x14ac:dyDescent="0.35">
      <c r="A2706" t="s">
        <v>4221</v>
      </c>
      <c r="B2706" s="9">
        <v>46128</v>
      </c>
      <c r="C2706" t="s">
        <v>990</v>
      </c>
      <c r="D2706" t="s">
        <v>53</v>
      </c>
      <c r="E2706" t="s">
        <v>25</v>
      </c>
      <c r="F2706" t="s">
        <v>42</v>
      </c>
      <c r="G2706" t="s">
        <v>43</v>
      </c>
      <c r="H2706">
        <v>1</v>
      </c>
      <c r="I2706" t="s">
        <v>132</v>
      </c>
      <c r="J2706" t="s">
        <v>132</v>
      </c>
      <c r="K2706">
        <v>190</v>
      </c>
      <c r="L2706" t="s">
        <v>30</v>
      </c>
      <c r="M2706" t="s">
        <v>22</v>
      </c>
    </row>
    <row r="2707" spans="1:13" x14ac:dyDescent="0.35">
      <c r="A2707" t="s">
        <v>4222</v>
      </c>
      <c r="B2707" s="9">
        <v>46115</v>
      </c>
      <c r="C2707" t="s">
        <v>3164</v>
      </c>
      <c r="D2707" t="s">
        <v>15</v>
      </c>
      <c r="E2707" t="s">
        <v>25</v>
      </c>
      <c r="F2707" t="s">
        <v>17</v>
      </c>
      <c r="G2707" t="s">
        <v>18</v>
      </c>
      <c r="H2707">
        <v>1</v>
      </c>
      <c r="I2707" t="s">
        <v>85</v>
      </c>
      <c r="J2707" t="s">
        <v>85</v>
      </c>
      <c r="K2707">
        <v>520</v>
      </c>
      <c r="L2707" t="s">
        <v>30</v>
      </c>
      <c r="M2707" t="s">
        <v>58</v>
      </c>
    </row>
    <row r="2708" spans="1:13" x14ac:dyDescent="0.35">
      <c r="A2708" t="s">
        <v>4223</v>
      </c>
      <c r="B2708" s="9">
        <v>46143</v>
      </c>
      <c r="C2708" t="s">
        <v>3200</v>
      </c>
      <c r="D2708" t="s">
        <v>116</v>
      </c>
      <c r="E2708" t="s">
        <v>16</v>
      </c>
      <c r="F2708" t="s">
        <v>74</v>
      </c>
      <c r="G2708" t="s">
        <v>75</v>
      </c>
      <c r="H2708">
        <v>2</v>
      </c>
      <c r="I2708" t="s">
        <v>136</v>
      </c>
      <c r="J2708" t="s">
        <v>164</v>
      </c>
      <c r="K2708" t="s">
        <v>76</v>
      </c>
      <c r="L2708" t="s">
        <v>30</v>
      </c>
      <c r="M2708" t="s">
        <v>58</v>
      </c>
    </row>
    <row r="2709" spans="1:13" x14ac:dyDescent="0.35">
      <c r="A2709" t="s">
        <v>4224</v>
      </c>
      <c r="B2709" s="9">
        <v>46051</v>
      </c>
      <c r="C2709" t="s">
        <v>4225</v>
      </c>
      <c r="D2709" t="s">
        <v>40</v>
      </c>
      <c r="E2709" t="s">
        <v>16</v>
      </c>
      <c r="F2709" t="s">
        <v>83</v>
      </c>
      <c r="G2709" t="s">
        <v>84</v>
      </c>
      <c r="H2709">
        <v>3</v>
      </c>
      <c r="I2709" t="s">
        <v>1002</v>
      </c>
      <c r="J2709" t="s">
        <v>91</v>
      </c>
      <c r="K2709">
        <v>340</v>
      </c>
      <c r="L2709" t="s">
        <v>30</v>
      </c>
      <c r="M2709" t="s">
        <v>22</v>
      </c>
    </row>
    <row r="2710" spans="1:13" x14ac:dyDescent="0.35">
      <c r="A2710" t="s">
        <v>4226</v>
      </c>
      <c r="B2710" s="9">
        <v>46112</v>
      </c>
      <c r="C2710" t="s">
        <v>1312</v>
      </c>
      <c r="D2710" t="s">
        <v>116</v>
      </c>
      <c r="E2710" t="s">
        <v>41</v>
      </c>
      <c r="F2710" t="s">
        <v>35</v>
      </c>
      <c r="G2710" t="s">
        <v>36</v>
      </c>
      <c r="H2710">
        <v>3</v>
      </c>
      <c r="I2710" t="s">
        <v>28</v>
      </c>
      <c r="J2710" t="s">
        <v>568</v>
      </c>
      <c r="K2710">
        <v>85</v>
      </c>
      <c r="L2710" t="s">
        <v>30</v>
      </c>
      <c r="M2710" t="s">
        <v>22</v>
      </c>
    </row>
    <row r="2711" spans="1:13" x14ac:dyDescent="0.35">
      <c r="A2711" t="s">
        <v>4227</v>
      </c>
      <c r="B2711" s="9">
        <v>46203</v>
      </c>
      <c r="C2711" t="s">
        <v>847</v>
      </c>
      <c r="D2711" t="s">
        <v>15</v>
      </c>
      <c r="E2711" t="s">
        <v>25</v>
      </c>
      <c r="F2711" t="s">
        <v>89</v>
      </c>
      <c r="G2711" t="s">
        <v>90</v>
      </c>
      <c r="H2711">
        <v>1</v>
      </c>
      <c r="I2711" t="s">
        <v>106</v>
      </c>
      <c r="J2711" t="s">
        <v>106</v>
      </c>
      <c r="K2711" t="s">
        <v>108</v>
      </c>
      <c r="L2711" t="s">
        <v>30</v>
      </c>
      <c r="M2711" t="s">
        <v>22</v>
      </c>
    </row>
    <row r="2712" spans="1:13" x14ac:dyDescent="0.35">
      <c r="A2712" t="s">
        <v>4228</v>
      </c>
      <c r="B2712" s="9">
        <v>46144</v>
      </c>
      <c r="C2712" t="s">
        <v>14</v>
      </c>
      <c r="D2712" t="s">
        <v>33</v>
      </c>
      <c r="E2712" t="s">
        <v>34</v>
      </c>
      <c r="F2712" t="s">
        <v>42</v>
      </c>
      <c r="G2712" t="s">
        <v>43</v>
      </c>
      <c r="H2712">
        <v>2</v>
      </c>
      <c r="I2712" t="s">
        <v>28</v>
      </c>
      <c r="J2712" t="s">
        <v>316</v>
      </c>
      <c r="K2712" t="s">
        <v>111</v>
      </c>
      <c r="L2712" t="s">
        <v>30</v>
      </c>
      <c r="M2712" t="s">
        <v>22</v>
      </c>
    </row>
    <row r="2713" spans="1:13" x14ac:dyDescent="0.35">
      <c r="A2713" t="s">
        <v>4229</v>
      </c>
      <c r="B2713" s="9">
        <v>46327</v>
      </c>
      <c r="C2713" t="s">
        <v>2635</v>
      </c>
      <c r="D2713" t="s">
        <v>94</v>
      </c>
      <c r="E2713" t="s">
        <v>25</v>
      </c>
      <c r="F2713" t="s">
        <v>26</v>
      </c>
      <c r="G2713" t="s">
        <v>27</v>
      </c>
      <c r="H2713">
        <v>-2</v>
      </c>
      <c r="I2713" t="s">
        <v>1213</v>
      </c>
      <c r="J2713" t="s">
        <v>2179</v>
      </c>
      <c r="K2713">
        <v>520</v>
      </c>
      <c r="L2713" t="s">
        <v>30</v>
      </c>
      <c r="M2713" t="s">
        <v>22</v>
      </c>
    </row>
    <row r="2714" spans="1:13" x14ac:dyDescent="0.35">
      <c r="A2714" t="s">
        <v>4230</v>
      </c>
      <c r="B2714" s="9">
        <v>46038</v>
      </c>
      <c r="C2714" t="s">
        <v>3014</v>
      </c>
      <c r="D2714" t="s">
        <v>53</v>
      </c>
      <c r="E2714" t="s">
        <v>16</v>
      </c>
      <c r="F2714" t="s">
        <v>42</v>
      </c>
      <c r="G2714" t="s">
        <v>43</v>
      </c>
      <c r="H2714">
        <v>1</v>
      </c>
      <c r="I2714" t="s">
        <v>1344</v>
      </c>
      <c r="J2714" t="s">
        <v>4231</v>
      </c>
      <c r="K2714">
        <v>190</v>
      </c>
      <c r="L2714" t="s">
        <v>30</v>
      </c>
      <c r="M2714" t="s">
        <v>22</v>
      </c>
    </row>
    <row r="2715" spans="1:13" x14ac:dyDescent="0.35">
      <c r="A2715" t="s">
        <v>4232</v>
      </c>
      <c r="B2715" s="9">
        <v>46358</v>
      </c>
      <c r="C2715" t="s">
        <v>2868</v>
      </c>
      <c r="D2715" t="s">
        <v>61</v>
      </c>
      <c r="E2715" t="s">
        <v>67</v>
      </c>
      <c r="F2715" t="s">
        <v>42</v>
      </c>
      <c r="G2715" t="s">
        <v>43</v>
      </c>
      <c r="H2715">
        <v>1</v>
      </c>
      <c r="I2715" t="s">
        <v>79</v>
      </c>
      <c r="J2715" t="s">
        <v>79</v>
      </c>
      <c r="K2715">
        <v>190</v>
      </c>
      <c r="L2715" t="s">
        <v>21</v>
      </c>
      <c r="M2715" t="s">
        <v>58</v>
      </c>
    </row>
    <row r="2716" spans="1:13" x14ac:dyDescent="0.35">
      <c r="A2716" t="s">
        <v>4233</v>
      </c>
      <c r="B2716" t="s">
        <v>4234</v>
      </c>
      <c r="C2716" t="s">
        <v>2868</v>
      </c>
      <c r="D2716" t="s">
        <v>53</v>
      </c>
      <c r="E2716" t="s">
        <v>16</v>
      </c>
      <c r="F2716" t="s">
        <v>47</v>
      </c>
      <c r="G2716" t="s">
        <v>48</v>
      </c>
      <c r="H2716">
        <v>1</v>
      </c>
      <c r="I2716" t="s">
        <v>68</v>
      </c>
      <c r="J2716" t="s">
        <v>359</v>
      </c>
      <c r="K2716">
        <v>380</v>
      </c>
      <c r="L2716" t="s">
        <v>30</v>
      </c>
      <c r="M2716" t="s">
        <v>22</v>
      </c>
    </row>
    <row r="2717" spans="1:13" x14ac:dyDescent="0.35">
      <c r="A2717" t="s">
        <v>4235</v>
      </c>
      <c r="B2717" s="9">
        <v>46080</v>
      </c>
      <c r="C2717" t="s">
        <v>4236</v>
      </c>
      <c r="D2717" t="s">
        <v>94</v>
      </c>
      <c r="E2717" t="s">
        <v>16</v>
      </c>
      <c r="F2717" t="s">
        <v>26</v>
      </c>
      <c r="G2717" t="s">
        <v>27</v>
      </c>
      <c r="H2717">
        <v>2</v>
      </c>
      <c r="I2717" t="s">
        <v>1213</v>
      </c>
      <c r="J2717" t="s">
        <v>107</v>
      </c>
      <c r="K2717">
        <v>520</v>
      </c>
      <c r="L2717" t="s">
        <v>30</v>
      </c>
      <c r="M2717" t="s">
        <v>58</v>
      </c>
    </row>
    <row r="2718" spans="1:13" x14ac:dyDescent="0.35">
      <c r="A2718" t="s">
        <v>4237</v>
      </c>
      <c r="B2718" s="9">
        <v>46155</v>
      </c>
      <c r="C2718" t="s">
        <v>2542</v>
      </c>
      <c r="D2718" t="s">
        <v>15</v>
      </c>
      <c r="E2718" t="s">
        <v>67</v>
      </c>
      <c r="F2718" t="s">
        <v>42</v>
      </c>
      <c r="G2718" t="s">
        <v>43</v>
      </c>
      <c r="H2718">
        <v>1</v>
      </c>
      <c r="I2718" t="s">
        <v>170</v>
      </c>
      <c r="J2718" t="s">
        <v>170</v>
      </c>
      <c r="K2718" t="s">
        <v>111</v>
      </c>
      <c r="L2718" t="s">
        <v>21</v>
      </c>
      <c r="M2718" t="s">
        <v>58</v>
      </c>
    </row>
    <row r="2719" spans="1:13" x14ac:dyDescent="0.35">
      <c r="A2719" t="s">
        <v>4238</v>
      </c>
      <c r="B2719" s="9">
        <v>46160</v>
      </c>
      <c r="C2719" t="s">
        <v>1109</v>
      </c>
      <c r="D2719" t="s">
        <v>40</v>
      </c>
      <c r="E2719" t="s">
        <v>25</v>
      </c>
      <c r="F2719" t="s">
        <v>83</v>
      </c>
      <c r="G2719" t="s">
        <v>84</v>
      </c>
      <c r="H2719">
        <v>1</v>
      </c>
      <c r="I2719" t="s">
        <v>56</v>
      </c>
      <c r="J2719" t="s">
        <v>56</v>
      </c>
      <c r="K2719" t="s">
        <v>103</v>
      </c>
      <c r="L2719" t="s">
        <v>30</v>
      </c>
      <c r="M2719" t="s">
        <v>58</v>
      </c>
    </row>
    <row r="2720" spans="1:13" x14ac:dyDescent="0.35">
      <c r="A2720" t="s">
        <v>4239</v>
      </c>
      <c r="B2720" t="s">
        <v>1748</v>
      </c>
      <c r="C2720" t="s">
        <v>890</v>
      </c>
      <c r="D2720" t="s">
        <v>53</v>
      </c>
      <c r="E2720" t="s">
        <v>41</v>
      </c>
      <c r="F2720" t="s">
        <v>83</v>
      </c>
      <c r="G2720" t="s">
        <v>84</v>
      </c>
      <c r="H2720">
        <v>1</v>
      </c>
      <c r="I2720" t="s">
        <v>132</v>
      </c>
      <c r="J2720" t="s">
        <v>132</v>
      </c>
      <c r="K2720" t="s">
        <v>103</v>
      </c>
      <c r="L2720" t="s">
        <v>21</v>
      </c>
      <c r="M2720" t="s">
        <v>58</v>
      </c>
    </row>
    <row r="2721" spans="1:13" x14ac:dyDescent="0.35">
      <c r="A2721" t="s">
        <v>4240</v>
      </c>
      <c r="B2721" t="s">
        <v>898</v>
      </c>
      <c r="C2721" t="s">
        <v>2297</v>
      </c>
      <c r="D2721" t="s">
        <v>61</v>
      </c>
      <c r="E2721" t="s">
        <v>16</v>
      </c>
      <c r="F2721" t="s">
        <v>83</v>
      </c>
      <c r="G2721" t="s">
        <v>84</v>
      </c>
      <c r="H2721">
        <v>1</v>
      </c>
      <c r="I2721" t="s">
        <v>62</v>
      </c>
      <c r="J2721" t="s">
        <v>62</v>
      </c>
      <c r="K2721" t="s">
        <v>103</v>
      </c>
      <c r="L2721" t="s">
        <v>21</v>
      </c>
      <c r="M2721" t="s">
        <v>22</v>
      </c>
    </row>
    <row r="2722" spans="1:13" x14ac:dyDescent="0.35">
      <c r="A2722" t="s">
        <v>4241</v>
      </c>
      <c r="B2722" s="9">
        <v>46039</v>
      </c>
      <c r="C2722" t="s">
        <v>3571</v>
      </c>
      <c r="D2722" t="s">
        <v>15</v>
      </c>
      <c r="E2722" t="s">
        <v>25</v>
      </c>
      <c r="F2722" t="s">
        <v>17</v>
      </c>
      <c r="G2722" t="s">
        <v>18</v>
      </c>
      <c r="H2722">
        <v>1</v>
      </c>
      <c r="I2722" t="s">
        <v>28</v>
      </c>
      <c r="J2722" t="s">
        <v>28</v>
      </c>
      <c r="K2722">
        <v>520</v>
      </c>
      <c r="L2722" t="s">
        <v>30</v>
      </c>
      <c r="M2722" t="s">
        <v>22</v>
      </c>
    </row>
    <row r="2723" spans="1:13" x14ac:dyDescent="0.35">
      <c r="A2723" t="s">
        <v>4242</v>
      </c>
      <c r="B2723" s="9">
        <v>46068</v>
      </c>
      <c r="C2723" t="s">
        <v>4107</v>
      </c>
      <c r="D2723" t="s">
        <v>99</v>
      </c>
      <c r="E2723" t="s">
        <v>25</v>
      </c>
      <c r="F2723" t="s">
        <v>89</v>
      </c>
      <c r="G2723" t="s">
        <v>90</v>
      </c>
      <c r="H2723">
        <v>2</v>
      </c>
      <c r="I2723" t="s">
        <v>85</v>
      </c>
      <c r="J2723" t="s">
        <v>267</v>
      </c>
      <c r="K2723">
        <v>640</v>
      </c>
      <c r="L2723" t="s">
        <v>30</v>
      </c>
      <c r="M2723" t="s">
        <v>22</v>
      </c>
    </row>
    <row r="2724" spans="1:13" x14ac:dyDescent="0.35">
      <c r="A2724" t="s">
        <v>4243</v>
      </c>
      <c r="B2724" s="9">
        <v>46360</v>
      </c>
      <c r="C2724" t="s">
        <v>2174</v>
      </c>
      <c r="D2724" t="s">
        <v>66</v>
      </c>
      <c r="E2724" t="s">
        <v>41</v>
      </c>
      <c r="F2724" t="s">
        <v>35</v>
      </c>
      <c r="G2724" t="s">
        <v>36</v>
      </c>
      <c r="H2724">
        <v>1</v>
      </c>
      <c r="I2724" t="s">
        <v>19</v>
      </c>
      <c r="J2724" t="s">
        <v>19</v>
      </c>
      <c r="K2724">
        <v>85</v>
      </c>
      <c r="L2724" t="s">
        <v>30</v>
      </c>
      <c r="M2724" t="s">
        <v>22</v>
      </c>
    </row>
    <row r="2725" spans="1:13" x14ac:dyDescent="0.35">
      <c r="A2725" t="s">
        <v>4244</v>
      </c>
      <c r="B2725" s="9">
        <v>46107</v>
      </c>
      <c r="C2725" t="s">
        <v>903</v>
      </c>
      <c r="D2725" t="s">
        <v>116</v>
      </c>
      <c r="E2725" t="s">
        <v>41</v>
      </c>
      <c r="F2725" t="s">
        <v>26</v>
      </c>
      <c r="G2725" t="s">
        <v>27</v>
      </c>
      <c r="H2725">
        <v>3</v>
      </c>
      <c r="I2725" t="s">
        <v>132</v>
      </c>
      <c r="J2725" t="s">
        <v>232</v>
      </c>
      <c r="K2725">
        <v>520</v>
      </c>
      <c r="L2725" t="s">
        <v>30</v>
      </c>
      <c r="M2725" t="s">
        <v>58</v>
      </c>
    </row>
    <row r="2726" spans="1:13" x14ac:dyDescent="0.35">
      <c r="A2726" t="s">
        <v>4245</v>
      </c>
      <c r="B2726" s="9">
        <v>46167</v>
      </c>
      <c r="C2726" t="s">
        <v>1064</v>
      </c>
      <c r="D2726" t="s">
        <v>94</v>
      </c>
      <c r="E2726" t="s">
        <v>41</v>
      </c>
      <c r="F2726" t="s">
        <v>74</v>
      </c>
      <c r="G2726" t="s">
        <v>75</v>
      </c>
      <c r="H2726">
        <v>2</v>
      </c>
      <c r="I2726" t="s">
        <v>19</v>
      </c>
      <c r="J2726" t="s">
        <v>238</v>
      </c>
      <c r="K2726" t="s">
        <v>76</v>
      </c>
      <c r="L2726" t="s">
        <v>21</v>
      </c>
      <c r="M2726" t="s">
        <v>22</v>
      </c>
    </row>
    <row r="2727" spans="1:13" x14ac:dyDescent="0.35">
      <c r="A2727" t="s">
        <v>3756</v>
      </c>
      <c r="B2727" s="9">
        <v>46032</v>
      </c>
      <c r="C2727" t="s">
        <v>422</v>
      </c>
      <c r="D2727" t="s">
        <v>99</v>
      </c>
      <c r="E2727" t="s">
        <v>25</v>
      </c>
      <c r="F2727" t="s">
        <v>26</v>
      </c>
      <c r="G2727" t="s">
        <v>27</v>
      </c>
      <c r="H2727">
        <v>3</v>
      </c>
      <c r="I2727" t="s">
        <v>56</v>
      </c>
      <c r="J2727" t="s">
        <v>57</v>
      </c>
      <c r="K2727">
        <v>520</v>
      </c>
      <c r="L2727" t="s">
        <v>21</v>
      </c>
      <c r="M2727" t="s">
        <v>58</v>
      </c>
    </row>
    <row r="2728" spans="1:13" x14ac:dyDescent="0.35">
      <c r="A2728" t="s">
        <v>4246</v>
      </c>
      <c r="B2728" s="9">
        <v>46204</v>
      </c>
      <c r="C2728" t="s">
        <v>4247</v>
      </c>
      <c r="D2728" t="s">
        <v>61</v>
      </c>
      <c r="E2728" t="s">
        <v>16</v>
      </c>
      <c r="F2728" t="s">
        <v>83</v>
      </c>
      <c r="G2728" t="s">
        <v>84</v>
      </c>
      <c r="H2728">
        <v>1</v>
      </c>
      <c r="I2728" t="s">
        <v>68</v>
      </c>
      <c r="J2728" t="s">
        <v>68</v>
      </c>
      <c r="K2728">
        <v>340</v>
      </c>
      <c r="L2728" t="s">
        <v>30</v>
      </c>
      <c r="M2728" t="s">
        <v>22</v>
      </c>
    </row>
    <row r="2729" spans="1:13" x14ac:dyDescent="0.35">
      <c r="A2729" t="s">
        <v>4248</v>
      </c>
      <c r="B2729" s="9">
        <v>46119</v>
      </c>
      <c r="C2729" t="s">
        <v>1207</v>
      </c>
      <c r="D2729" t="s">
        <v>46</v>
      </c>
      <c r="E2729" t="s">
        <v>41</v>
      </c>
      <c r="F2729" t="s">
        <v>17</v>
      </c>
      <c r="G2729" t="s">
        <v>18</v>
      </c>
      <c r="H2729">
        <v>2</v>
      </c>
      <c r="I2729" t="s">
        <v>106</v>
      </c>
      <c r="J2729" t="s">
        <v>107</v>
      </c>
      <c r="K2729">
        <v>520</v>
      </c>
      <c r="L2729" t="s">
        <v>30</v>
      </c>
      <c r="M2729" t="s">
        <v>22</v>
      </c>
    </row>
    <row r="2730" spans="1:13" x14ac:dyDescent="0.35">
      <c r="A2730" t="s">
        <v>4249</v>
      </c>
      <c r="B2730" t="s">
        <v>2567</v>
      </c>
      <c r="C2730" t="s">
        <v>1146</v>
      </c>
      <c r="D2730" t="s">
        <v>46</v>
      </c>
      <c r="E2730" t="s">
        <v>25</v>
      </c>
      <c r="F2730" t="s">
        <v>35</v>
      </c>
      <c r="G2730" t="s">
        <v>36</v>
      </c>
      <c r="H2730">
        <v>2</v>
      </c>
      <c r="I2730" t="s">
        <v>132</v>
      </c>
      <c r="J2730" t="s">
        <v>133</v>
      </c>
      <c r="K2730">
        <v>85</v>
      </c>
      <c r="L2730" t="s">
        <v>21</v>
      </c>
      <c r="M2730" t="s">
        <v>22</v>
      </c>
    </row>
    <row r="2731" spans="1:13" x14ac:dyDescent="0.35">
      <c r="A2731" t="s">
        <v>4250</v>
      </c>
      <c r="B2731" s="9">
        <v>46185</v>
      </c>
      <c r="C2731" t="s">
        <v>1517</v>
      </c>
      <c r="D2731" t="s">
        <v>15</v>
      </c>
      <c r="E2731" t="s">
        <v>16</v>
      </c>
      <c r="F2731" t="s">
        <v>35</v>
      </c>
      <c r="G2731" t="s">
        <v>36</v>
      </c>
      <c r="H2731">
        <v>1</v>
      </c>
      <c r="I2731" t="s">
        <v>170</v>
      </c>
      <c r="J2731" t="s">
        <v>170</v>
      </c>
      <c r="K2731" t="s">
        <v>37</v>
      </c>
      <c r="L2731" t="s">
        <v>30</v>
      </c>
      <c r="M2731" t="s">
        <v>58</v>
      </c>
    </row>
    <row r="2732" spans="1:13" x14ac:dyDescent="0.35">
      <c r="A2732" t="s">
        <v>4251</v>
      </c>
      <c r="B2732" s="9">
        <v>46044</v>
      </c>
      <c r="C2732" t="s">
        <v>2763</v>
      </c>
      <c r="D2732" t="s">
        <v>33</v>
      </c>
      <c r="E2732" t="s">
        <v>67</v>
      </c>
      <c r="F2732" t="s">
        <v>35</v>
      </c>
      <c r="G2732" t="s">
        <v>36</v>
      </c>
      <c r="H2732">
        <v>3</v>
      </c>
      <c r="I2732" t="s">
        <v>102</v>
      </c>
      <c r="J2732" t="s">
        <v>127</v>
      </c>
      <c r="K2732">
        <v>85</v>
      </c>
      <c r="L2732" t="s">
        <v>30</v>
      </c>
      <c r="M2732" t="s">
        <v>22</v>
      </c>
    </row>
    <row r="2733" spans="1:13" x14ac:dyDescent="0.35">
      <c r="A2733" t="s">
        <v>4252</v>
      </c>
      <c r="B2733" s="9">
        <v>46098</v>
      </c>
      <c r="C2733" t="s">
        <v>1570</v>
      </c>
      <c r="D2733" t="s">
        <v>66</v>
      </c>
      <c r="E2733" t="s">
        <v>34</v>
      </c>
      <c r="F2733" t="s">
        <v>35</v>
      </c>
      <c r="G2733" t="s">
        <v>36</v>
      </c>
      <c r="H2733">
        <v>2</v>
      </c>
      <c r="I2733" t="s">
        <v>71</v>
      </c>
      <c r="J2733" t="s">
        <v>286</v>
      </c>
      <c r="K2733">
        <v>85</v>
      </c>
      <c r="L2733" t="s">
        <v>30</v>
      </c>
      <c r="M2733" t="s">
        <v>22</v>
      </c>
    </row>
    <row r="2734" spans="1:13" x14ac:dyDescent="0.35">
      <c r="A2734" t="s">
        <v>4253</v>
      </c>
      <c r="B2734" s="9">
        <v>46177</v>
      </c>
      <c r="C2734" t="s">
        <v>4254</v>
      </c>
      <c r="D2734" t="s">
        <v>46</v>
      </c>
      <c r="E2734" t="s">
        <v>34</v>
      </c>
      <c r="F2734" t="s">
        <v>83</v>
      </c>
      <c r="G2734" t="s">
        <v>84</v>
      </c>
      <c r="H2734">
        <v>3</v>
      </c>
      <c r="I2734" t="s">
        <v>132</v>
      </c>
      <c r="J2734" t="s">
        <v>232</v>
      </c>
      <c r="K2734" t="s">
        <v>103</v>
      </c>
      <c r="L2734" t="s">
        <v>30</v>
      </c>
      <c r="M2734" t="s">
        <v>22</v>
      </c>
    </row>
    <row r="2735" spans="1:13" x14ac:dyDescent="0.35">
      <c r="A2735" t="s">
        <v>4255</v>
      </c>
      <c r="B2735" s="9">
        <v>46142</v>
      </c>
      <c r="C2735" t="s">
        <v>672</v>
      </c>
      <c r="D2735" t="s">
        <v>61</v>
      </c>
      <c r="E2735" t="s">
        <v>34</v>
      </c>
      <c r="F2735" t="s">
        <v>35</v>
      </c>
      <c r="G2735" t="s">
        <v>36</v>
      </c>
      <c r="H2735">
        <v>3</v>
      </c>
      <c r="I2735" t="s">
        <v>68</v>
      </c>
      <c r="J2735" t="s">
        <v>205</v>
      </c>
      <c r="K2735" t="s">
        <v>37</v>
      </c>
      <c r="L2735" t="s">
        <v>30</v>
      </c>
      <c r="M2735" t="s">
        <v>22</v>
      </c>
    </row>
    <row r="2736" spans="1:13" x14ac:dyDescent="0.35">
      <c r="A2736" t="s">
        <v>4256</v>
      </c>
      <c r="B2736" s="9">
        <v>46154</v>
      </c>
      <c r="C2736" t="s">
        <v>2320</v>
      </c>
      <c r="D2736" t="s">
        <v>53</v>
      </c>
      <c r="E2736" t="s">
        <v>67</v>
      </c>
      <c r="F2736" t="s">
        <v>74</v>
      </c>
      <c r="G2736" t="s">
        <v>75</v>
      </c>
      <c r="H2736">
        <v>2</v>
      </c>
      <c r="I2736" t="s">
        <v>79</v>
      </c>
      <c r="J2736" t="s">
        <v>143</v>
      </c>
      <c r="K2736" t="s">
        <v>76</v>
      </c>
      <c r="L2736" t="s">
        <v>30</v>
      </c>
      <c r="M2736" t="s">
        <v>58</v>
      </c>
    </row>
    <row r="2737" spans="1:13" x14ac:dyDescent="0.35">
      <c r="A2737" t="s">
        <v>4257</v>
      </c>
      <c r="B2737" s="9">
        <v>46103</v>
      </c>
      <c r="C2737" t="s">
        <v>1883</v>
      </c>
      <c r="D2737" t="s">
        <v>116</v>
      </c>
      <c r="E2737" t="s">
        <v>67</v>
      </c>
      <c r="F2737" t="s">
        <v>89</v>
      </c>
      <c r="G2737" t="s">
        <v>90</v>
      </c>
      <c r="H2737">
        <v>3</v>
      </c>
      <c r="I2737" t="s">
        <v>106</v>
      </c>
      <c r="J2737" t="s">
        <v>160</v>
      </c>
      <c r="K2737">
        <v>640</v>
      </c>
      <c r="L2737" t="s">
        <v>30</v>
      </c>
      <c r="M2737" t="s">
        <v>22</v>
      </c>
    </row>
    <row r="2738" spans="1:13" x14ac:dyDescent="0.35">
      <c r="A2738" t="s">
        <v>4258</v>
      </c>
      <c r="B2738" s="9">
        <v>46085</v>
      </c>
      <c r="C2738" t="s">
        <v>2493</v>
      </c>
      <c r="D2738" t="s">
        <v>99</v>
      </c>
      <c r="E2738" t="s">
        <v>25</v>
      </c>
      <c r="F2738" t="s">
        <v>74</v>
      </c>
      <c r="G2738" t="s">
        <v>75</v>
      </c>
      <c r="H2738">
        <v>3</v>
      </c>
      <c r="I2738" t="s">
        <v>79</v>
      </c>
      <c r="J2738" t="s">
        <v>91</v>
      </c>
      <c r="K2738">
        <v>410</v>
      </c>
      <c r="L2738" t="s">
        <v>30</v>
      </c>
      <c r="M2738" t="s">
        <v>58</v>
      </c>
    </row>
    <row r="2739" spans="1:13" x14ac:dyDescent="0.35">
      <c r="A2739" t="s">
        <v>4259</v>
      </c>
      <c r="B2739" s="9">
        <v>46145</v>
      </c>
      <c r="C2739" t="s">
        <v>1039</v>
      </c>
      <c r="D2739" t="s">
        <v>53</v>
      </c>
      <c r="E2739" t="s">
        <v>34</v>
      </c>
      <c r="F2739" t="s">
        <v>26</v>
      </c>
      <c r="G2739" t="s">
        <v>27</v>
      </c>
      <c r="H2739">
        <v>1</v>
      </c>
      <c r="I2739" t="s">
        <v>106</v>
      </c>
      <c r="J2739" t="s">
        <v>106</v>
      </c>
      <c r="K2739">
        <v>520</v>
      </c>
      <c r="L2739" t="s">
        <v>21</v>
      </c>
      <c r="M2739" t="s">
        <v>22</v>
      </c>
    </row>
    <row r="2740" spans="1:13" x14ac:dyDescent="0.35">
      <c r="A2740" t="s">
        <v>4260</v>
      </c>
      <c r="B2740" s="9">
        <v>46080</v>
      </c>
      <c r="C2740" t="s">
        <v>1173</v>
      </c>
      <c r="D2740" t="s">
        <v>40</v>
      </c>
      <c r="E2740" t="s">
        <v>25</v>
      </c>
      <c r="F2740" t="s">
        <v>26</v>
      </c>
      <c r="G2740" t="s">
        <v>27</v>
      </c>
      <c r="H2740">
        <v>2</v>
      </c>
      <c r="I2740" t="s">
        <v>71</v>
      </c>
      <c r="J2740" t="s">
        <v>286</v>
      </c>
      <c r="K2740">
        <v>520</v>
      </c>
      <c r="L2740" t="s">
        <v>30</v>
      </c>
      <c r="M2740" t="s">
        <v>22</v>
      </c>
    </row>
    <row r="2741" spans="1:13" x14ac:dyDescent="0.35">
      <c r="A2741" t="s">
        <v>4261</v>
      </c>
      <c r="B2741" s="9">
        <v>46060</v>
      </c>
      <c r="C2741" t="s">
        <v>509</v>
      </c>
      <c r="D2741" t="s">
        <v>40</v>
      </c>
      <c r="E2741" t="s">
        <v>16</v>
      </c>
      <c r="F2741" t="s">
        <v>17</v>
      </c>
      <c r="G2741" t="s">
        <v>18</v>
      </c>
      <c r="H2741">
        <v>2</v>
      </c>
      <c r="I2741" t="s">
        <v>132</v>
      </c>
      <c r="J2741" t="s">
        <v>133</v>
      </c>
      <c r="K2741">
        <v>520</v>
      </c>
      <c r="L2741" t="s">
        <v>30</v>
      </c>
      <c r="M2741" t="s">
        <v>22</v>
      </c>
    </row>
    <row r="2742" spans="1:13" x14ac:dyDescent="0.35">
      <c r="A2742" t="s">
        <v>4262</v>
      </c>
      <c r="B2742" s="9">
        <v>46205</v>
      </c>
      <c r="C2742" t="s">
        <v>1976</v>
      </c>
      <c r="D2742" t="s">
        <v>15</v>
      </c>
      <c r="E2742" t="s">
        <v>16</v>
      </c>
      <c r="F2742" t="s">
        <v>35</v>
      </c>
      <c r="G2742" t="s">
        <v>36</v>
      </c>
      <c r="H2742">
        <v>1</v>
      </c>
      <c r="I2742" t="s">
        <v>254</v>
      </c>
      <c r="J2742" t="s">
        <v>254</v>
      </c>
      <c r="K2742" t="s">
        <v>37</v>
      </c>
      <c r="L2742" t="s">
        <v>30</v>
      </c>
      <c r="M2742" t="s">
        <v>22</v>
      </c>
    </row>
    <row r="2743" spans="1:13" x14ac:dyDescent="0.35">
      <c r="A2743" t="s">
        <v>4263</v>
      </c>
      <c r="B2743" s="9">
        <v>46076</v>
      </c>
      <c r="C2743" t="s">
        <v>3697</v>
      </c>
      <c r="D2743" t="s">
        <v>33</v>
      </c>
      <c r="E2743" t="s">
        <v>67</v>
      </c>
      <c r="F2743" t="s">
        <v>35</v>
      </c>
      <c r="G2743" t="s">
        <v>36</v>
      </c>
      <c r="H2743">
        <v>3</v>
      </c>
      <c r="I2743" t="s">
        <v>62</v>
      </c>
      <c r="J2743" t="s">
        <v>488</v>
      </c>
      <c r="K2743">
        <v>85</v>
      </c>
      <c r="L2743" t="s">
        <v>30</v>
      </c>
      <c r="M2743" t="s">
        <v>22</v>
      </c>
    </row>
    <row r="2744" spans="1:13" x14ac:dyDescent="0.35">
      <c r="A2744" t="s">
        <v>4264</v>
      </c>
      <c r="B2744" s="9">
        <v>46186</v>
      </c>
      <c r="C2744" t="s">
        <v>3759</v>
      </c>
      <c r="D2744" t="s">
        <v>94</v>
      </c>
      <c r="E2744" t="s">
        <v>34</v>
      </c>
      <c r="F2744" t="s">
        <v>17</v>
      </c>
      <c r="G2744" t="s">
        <v>18</v>
      </c>
      <c r="H2744">
        <v>1</v>
      </c>
      <c r="I2744" t="s">
        <v>102</v>
      </c>
      <c r="J2744" t="s">
        <v>102</v>
      </c>
      <c r="K2744" t="s">
        <v>29</v>
      </c>
      <c r="L2744" t="s">
        <v>30</v>
      </c>
      <c r="M2744" t="s">
        <v>22</v>
      </c>
    </row>
    <row r="2745" spans="1:13" x14ac:dyDescent="0.35">
      <c r="A2745" t="s">
        <v>4265</v>
      </c>
      <c r="B2745" s="9">
        <v>46184</v>
      </c>
      <c r="C2745" t="s">
        <v>3158</v>
      </c>
      <c r="D2745" t="s">
        <v>61</v>
      </c>
      <c r="E2745" t="s">
        <v>34</v>
      </c>
      <c r="F2745" t="s">
        <v>83</v>
      </c>
      <c r="G2745" t="s">
        <v>84</v>
      </c>
      <c r="H2745">
        <v>1</v>
      </c>
      <c r="I2745" t="s">
        <v>49</v>
      </c>
      <c r="J2745" t="s">
        <v>49</v>
      </c>
      <c r="K2745" t="s">
        <v>103</v>
      </c>
      <c r="L2745" t="s">
        <v>30</v>
      </c>
      <c r="M2745" t="s">
        <v>22</v>
      </c>
    </row>
    <row r="2746" spans="1:13" x14ac:dyDescent="0.35">
      <c r="A2746" t="s">
        <v>4266</v>
      </c>
      <c r="B2746" s="9">
        <v>46198</v>
      </c>
      <c r="C2746" t="s">
        <v>873</v>
      </c>
      <c r="D2746" t="s">
        <v>61</v>
      </c>
      <c r="E2746" t="s">
        <v>16</v>
      </c>
      <c r="F2746" t="s">
        <v>35</v>
      </c>
      <c r="G2746" t="s">
        <v>36</v>
      </c>
      <c r="H2746">
        <v>1</v>
      </c>
      <c r="I2746" t="s">
        <v>170</v>
      </c>
      <c r="J2746" t="s">
        <v>170</v>
      </c>
      <c r="K2746" t="s">
        <v>37</v>
      </c>
      <c r="L2746" t="s">
        <v>30</v>
      </c>
      <c r="M2746" t="s">
        <v>22</v>
      </c>
    </row>
    <row r="2747" spans="1:13" x14ac:dyDescent="0.35">
      <c r="A2747" t="s">
        <v>4267</v>
      </c>
      <c r="B2747" s="9">
        <v>46184</v>
      </c>
      <c r="C2747" t="s">
        <v>4268</v>
      </c>
      <c r="D2747" t="s">
        <v>33</v>
      </c>
      <c r="E2747" t="s">
        <v>67</v>
      </c>
      <c r="F2747" t="s">
        <v>74</v>
      </c>
      <c r="G2747" t="s">
        <v>75</v>
      </c>
      <c r="H2747">
        <v>1</v>
      </c>
      <c r="I2747" t="s">
        <v>79</v>
      </c>
      <c r="J2747" t="s">
        <v>79</v>
      </c>
      <c r="K2747" t="s">
        <v>76</v>
      </c>
      <c r="L2747" t="s">
        <v>30</v>
      </c>
      <c r="M2747" t="s">
        <v>22</v>
      </c>
    </row>
    <row r="2748" spans="1:13" x14ac:dyDescent="0.35">
      <c r="A2748" t="s">
        <v>4269</v>
      </c>
      <c r="B2748" s="9">
        <v>46187</v>
      </c>
      <c r="C2748" t="s">
        <v>1888</v>
      </c>
      <c r="D2748" t="s">
        <v>66</v>
      </c>
      <c r="E2748" t="s">
        <v>67</v>
      </c>
      <c r="F2748" t="s">
        <v>42</v>
      </c>
      <c r="G2748" t="s">
        <v>43</v>
      </c>
      <c r="H2748">
        <v>1</v>
      </c>
      <c r="I2748" t="s">
        <v>79</v>
      </c>
      <c r="J2748" t="s">
        <v>79</v>
      </c>
      <c r="K2748" t="s">
        <v>111</v>
      </c>
      <c r="L2748" t="s">
        <v>21</v>
      </c>
      <c r="M2748" t="s">
        <v>22</v>
      </c>
    </row>
    <row r="2749" spans="1:13" x14ac:dyDescent="0.35">
      <c r="A2749" t="s">
        <v>4270</v>
      </c>
      <c r="B2749" s="9">
        <v>46085</v>
      </c>
      <c r="C2749" t="s">
        <v>4271</v>
      </c>
      <c r="D2749" t="s">
        <v>53</v>
      </c>
      <c r="E2749" t="s">
        <v>25</v>
      </c>
      <c r="F2749" t="s">
        <v>47</v>
      </c>
      <c r="G2749" t="s">
        <v>48</v>
      </c>
      <c r="H2749">
        <v>1</v>
      </c>
      <c r="I2749" t="s">
        <v>102</v>
      </c>
      <c r="J2749" t="s">
        <v>102</v>
      </c>
      <c r="K2749">
        <v>380</v>
      </c>
      <c r="L2749" t="s">
        <v>30</v>
      </c>
      <c r="M2749" t="s">
        <v>58</v>
      </c>
    </row>
    <row r="2750" spans="1:13" x14ac:dyDescent="0.35">
      <c r="A2750" t="s">
        <v>4272</v>
      </c>
      <c r="B2750" s="9">
        <v>46115</v>
      </c>
      <c r="C2750" t="s">
        <v>1066</v>
      </c>
      <c r="D2750" t="s">
        <v>66</v>
      </c>
      <c r="E2750" t="s">
        <v>41</v>
      </c>
      <c r="F2750" t="s">
        <v>42</v>
      </c>
      <c r="G2750" t="s">
        <v>43</v>
      </c>
      <c r="H2750">
        <v>1</v>
      </c>
      <c r="I2750" t="s">
        <v>102</v>
      </c>
      <c r="J2750" t="s">
        <v>102</v>
      </c>
      <c r="K2750">
        <v>190</v>
      </c>
      <c r="L2750" t="s">
        <v>30</v>
      </c>
      <c r="M2750" t="s">
        <v>22</v>
      </c>
    </row>
    <row r="2751" spans="1:13" x14ac:dyDescent="0.35">
      <c r="A2751" t="s">
        <v>4273</v>
      </c>
      <c r="B2751" s="9">
        <v>46141</v>
      </c>
      <c r="C2751" t="s">
        <v>2174</v>
      </c>
      <c r="D2751" t="s">
        <v>40</v>
      </c>
      <c r="E2751" t="s">
        <v>16</v>
      </c>
      <c r="F2751" t="s">
        <v>89</v>
      </c>
      <c r="G2751" t="s">
        <v>90</v>
      </c>
      <c r="H2751">
        <v>-1</v>
      </c>
      <c r="I2751" t="s">
        <v>19</v>
      </c>
      <c r="J2751" t="s">
        <v>393</v>
      </c>
      <c r="K2751" t="s">
        <v>108</v>
      </c>
      <c r="L2751" t="s">
        <v>21</v>
      </c>
      <c r="M2751" t="s">
        <v>22</v>
      </c>
    </row>
    <row r="2752" spans="1:13" x14ac:dyDescent="0.35">
      <c r="A2752" t="s">
        <v>4274</v>
      </c>
      <c r="B2752" s="9">
        <v>46208</v>
      </c>
      <c r="C2752" t="s">
        <v>4275</v>
      </c>
      <c r="D2752" t="s">
        <v>40</v>
      </c>
      <c r="E2752" t="s">
        <v>67</v>
      </c>
      <c r="F2752" t="s">
        <v>17</v>
      </c>
      <c r="G2752" t="s">
        <v>18</v>
      </c>
      <c r="H2752">
        <v>2</v>
      </c>
      <c r="I2752" t="s">
        <v>132</v>
      </c>
      <c r="J2752" t="s">
        <v>133</v>
      </c>
      <c r="K2752" t="s">
        <v>29</v>
      </c>
      <c r="L2752" t="s">
        <v>30</v>
      </c>
      <c r="M2752" t="s">
        <v>22</v>
      </c>
    </row>
    <row r="2753" spans="1:13" x14ac:dyDescent="0.35">
      <c r="A2753" t="s">
        <v>4276</v>
      </c>
      <c r="B2753" s="9">
        <v>46167</v>
      </c>
      <c r="C2753" t="s">
        <v>901</v>
      </c>
      <c r="D2753" t="s">
        <v>116</v>
      </c>
      <c r="E2753" t="s">
        <v>41</v>
      </c>
      <c r="F2753" t="s">
        <v>47</v>
      </c>
      <c r="G2753" t="s">
        <v>48</v>
      </c>
      <c r="H2753">
        <v>1</v>
      </c>
      <c r="I2753" t="s">
        <v>140</v>
      </c>
      <c r="J2753" t="s">
        <v>19</v>
      </c>
      <c r="K2753" t="s">
        <v>50</v>
      </c>
      <c r="L2753" t="s">
        <v>30</v>
      </c>
      <c r="M2753" t="s">
        <v>22</v>
      </c>
    </row>
    <row r="2754" spans="1:13" x14ac:dyDescent="0.35">
      <c r="A2754" t="s">
        <v>4277</v>
      </c>
      <c r="B2754" s="9">
        <v>46052</v>
      </c>
      <c r="C2754" t="s">
        <v>4278</v>
      </c>
      <c r="D2754" t="s">
        <v>99</v>
      </c>
      <c r="E2754" t="s">
        <v>67</v>
      </c>
      <c r="F2754" t="s">
        <v>35</v>
      </c>
      <c r="G2754" t="s">
        <v>36</v>
      </c>
      <c r="H2754">
        <v>1</v>
      </c>
      <c r="I2754" t="s">
        <v>62</v>
      </c>
      <c r="J2754" t="s">
        <v>62</v>
      </c>
      <c r="K2754">
        <v>85</v>
      </c>
      <c r="L2754" t="s">
        <v>30</v>
      </c>
      <c r="M2754" t="s">
        <v>22</v>
      </c>
    </row>
    <row r="2755" spans="1:13" x14ac:dyDescent="0.35">
      <c r="A2755" t="s">
        <v>4279</v>
      </c>
      <c r="B2755" s="9">
        <v>46155</v>
      </c>
      <c r="C2755" t="s">
        <v>3781</v>
      </c>
      <c r="D2755" t="s">
        <v>61</v>
      </c>
      <c r="E2755" t="s">
        <v>67</v>
      </c>
      <c r="F2755" t="s">
        <v>89</v>
      </c>
      <c r="G2755" t="s">
        <v>90</v>
      </c>
      <c r="H2755">
        <v>1</v>
      </c>
      <c r="I2755" t="s">
        <v>170</v>
      </c>
      <c r="J2755" t="s">
        <v>170</v>
      </c>
      <c r="K2755" t="s">
        <v>108</v>
      </c>
      <c r="L2755" t="s">
        <v>30</v>
      </c>
      <c r="M2755" t="s">
        <v>58</v>
      </c>
    </row>
    <row r="2756" spans="1:13" x14ac:dyDescent="0.35">
      <c r="A2756" t="s">
        <v>4280</v>
      </c>
      <c r="B2756" s="9">
        <v>46040</v>
      </c>
      <c r="C2756" t="s">
        <v>4157</v>
      </c>
      <c r="D2756" t="s">
        <v>40</v>
      </c>
      <c r="E2756" t="s">
        <v>25</v>
      </c>
      <c r="F2756" t="s">
        <v>74</v>
      </c>
      <c r="G2756" t="s">
        <v>75</v>
      </c>
      <c r="H2756">
        <v>2</v>
      </c>
      <c r="I2756" t="s">
        <v>102</v>
      </c>
      <c r="J2756" t="s">
        <v>181</v>
      </c>
      <c r="K2756">
        <v>410</v>
      </c>
      <c r="L2756" t="s">
        <v>30</v>
      </c>
      <c r="M2756" t="s">
        <v>58</v>
      </c>
    </row>
    <row r="2757" spans="1:13" x14ac:dyDescent="0.35">
      <c r="A2757" t="s">
        <v>4281</v>
      </c>
      <c r="B2757" t="s">
        <v>259</v>
      </c>
      <c r="C2757" t="s">
        <v>1048</v>
      </c>
      <c r="D2757" t="s">
        <v>40</v>
      </c>
      <c r="E2757" t="s">
        <v>16</v>
      </c>
      <c r="F2757" t="s">
        <v>26</v>
      </c>
      <c r="G2757" t="s">
        <v>27</v>
      </c>
      <c r="H2757">
        <v>-1</v>
      </c>
      <c r="I2757" t="s">
        <v>102</v>
      </c>
      <c r="J2757" t="s">
        <v>1136</v>
      </c>
      <c r="K2757" t="s">
        <v>29</v>
      </c>
      <c r="L2757" t="s">
        <v>30</v>
      </c>
      <c r="M2757" t="s">
        <v>22</v>
      </c>
    </row>
    <row r="2758" spans="1:13" x14ac:dyDescent="0.35">
      <c r="A2758" t="s">
        <v>4282</v>
      </c>
      <c r="B2758" s="9">
        <v>46044</v>
      </c>
      <c r="C2758" t="s">
        <v>4283</v>
      </c>
      <c r="D2758" t="s">
        <v>15</v>
      </c>
      <c r="E2758" t="s">
        <v>34</v>
      </c>
      <c r="F2758" t="s">
        <v>47</v>
      </c>
      <c r="G2758" t="s">
        <v>48</v>
      </c>
      <c r="H2758">
        <v>2</v>
      </c>
      <c r="I2758" t="s">
        <v>79</v>
      </c>
      <c r="J2758" t="s">
        <v>143</v>
      </c>
      <c r="K2758">
        <v>380</v>
      </c>
      <c r="L2758" t="s">
        <v>30</v>
      </c>
      <c r="M2758" t="s">
        <v>58</v>
      </c>
    </row>
    <row r="2759" spans="1:13" x14ac:dyDescent="0.35">
      <c r="A2759" t="s">
        <v>2726</v>
      </c>
      <c r="B2759" s="9">
        <v>46156</v>
      </c>
      <c r="C2759" t="s">
        <v>2366</v>
      </c>
      <c r="D2759" t="s">
        <v>99</v>
      </c>
      <c r="E2759" t="s">
        <v>25</v>
      </c>
      <c r="F2759" t="s">
        <v>35</v>
      </c>
      <c r="G2759" t="s">
        <v>36</v>
      </c>
      <c r="H2759">
        <v>1</v>
      </c>
      <c r="I2759" t="s">
        <v>28</v>
      </c>
      <c r="J2759" t="s">
        <v>28</v>
      </c>
      <c r="K2759" t="s">
        <v>37</v>
      </c>
      <c r="L2759" t="s">
        <v>30</v>
      </c>
      <c r="M2759" t="s">
        <v>22</v>
      </c>
    </row>
    <row r="2760" spans="1:13" x14ac:dyDescent="0.35">
      <c r="A2760" t="s">
        <v>4284</v>
      </c>
      <c r="B2760" t="s">
        <v>4285</v>
      </c>
      <c r="C2760" t="s">
        <v>4286</v>
      </c>
      <c r="D2760" t="s">
        <v>99</v>
      </c>
      <c r="E2760" t="s">
        <v>67</v>
      </c>
      <c r="F2760" t="s">
        <v>26</v>
      </c>
      <c r="G2760" t="s">
        <v>27</v>
      </c>
      <c r="H2760">
        <v>1</v>
      </c>
      <c r="I2760" t="s">
        <v>19</v>
      </c>
      <c r="J2760" t="s">
        <v>19</v>
      </c>
      <c r="K2760">
        <v>520</v>
      </c>
      <c r="L2760" t="s">
        <v>30</v>
      </c>
      <c r="M2760" t="s">
        <v>58</v>
      </c>
    </row>
    <row r="2761" spans="1:13" x14ac:dyDescent="0.35">
      <c r="A2761" t="s">
        <v>4287</v>
      </c>
      <c r="B2761" s="9">
        <v>46129</v>
      </c>
      <c r="C2761" t="s">
        <v>1885</v>
      </c>
      <c r="D2761" t="s">
        <v>33</v>
      </c>
      <c r="E2761" t="s">
        <v>41</v>
      </c>
      <c r="F2761" t="s">
        <v>74</v>
      </c>
      <c r="G2761" t="s">
        <v>75</v>
      </c>
      <c r="H2761">
        <v>1</v>
      </c>
      <c r="I2761" t="s">
        <v>68</v>
      </c>
      <c r="J2761" t="s">
        <v>68</v>
      </c>
      <c r="K2761">
        <v>410</v>
      </c>
      <c r="L2761" t="s">
        <v>21</v>
      </c>
      <c r="M2761" t="s">
        <v>22</v>
      </c>
    </row>
    <row r="2762" spans="1:13" x14ac:dyDescent="0.35">
      <c r="A2762" t="s">
        <v>4288</v>
      </c>
      <c r="B2762" s="9">
        <v>46054</v>
      </c>
      <c r="C2762" t="s">
        <v>2414</v>
      </c>
      <c r="D2762" t="s">
        <v>66</v>
      </c>
      <c r="E2762" t="s">
        <v>34</v>
      </c>
      <c r="F2762" t="s">
        <v>42</v>
      </c>
      <c r="G2762" t="s">
        <v>43</v>
      </c>
      <c r="H2762">
        <v>2</v>
      </c>
      <c r="I2762" t="s">
        <v>28</v>
      </c>
      <c r="J2762" t="s">
        <v>316</v>
      </c>
      <c r="K2762">
        <v>190</v>
      </c>
      <c r="L2762" t="s">
        <v>30</v>
      </c>
      <c r="M2762" t="s">
        <v>22</v>
      </c>
    </row>
    <row r="2763" spans="1:13" x14ac:dyDescent="0.35">
      <c r="A2763" t="s">
        <v>4289</v>
      </c>
      <c r="B2763" s="9">
        <v>46117</v>
      </c>
      <c r="C2763" t="s">
        <v>4031</v>
      </c>
      <c r="D2763" t="s">
        <v>116</v>
      </c>
      <c r="E2763" t="s">
        <v>41</v>
      </c>
      <c r="F2763" t="s">
        <v>74</v>
      </c>
      <c r="G2763" t="s">
        <v>75</v>
      </c>
      <c r="H2763">
        <v>1</v>
      </c>
      <c r="I2763" t="s">
        <v>28</v>
      </c>
      <c r="J2763" t="s">
        <v>28</v>
      </c>
      <c r="K2763" t="s">
        <v>76</v>
      </c>
      <c r="L2763" t="s">
        <v>30</v>
      </c>
      <c r="M2763" t="s">
        <v>22</v>
      </c>
    </row>
    <row r="2764" spans="1:13" x14ac:dyDescent="0.35">
      <c r="A2764" t="s">
        <v>4290</v>
      </c>
      <c r="B2764" s="9">
        <v>46089</v>
      </c>
      <c r="C2764" t="s">
        <v>189</v>
      </c>
      <c r="D2764" t="s">
        <v>66</v>
      </c>
      <c r="E2764" t="s">
        <v>67</v>
      </c>
      <c r="F2764" t="s">
        <v>26</v>
      </c>
      <c r="G2764" t="s">
        <v>27</v>
      </c>
      <c r="H2764">
        <v>3</v>
      </c>
      <c r="I2764" t="s">
        <v>85</v>
      </c>
      <c r="J2764" t="s">
        <v>86</v>
      </c>
      <c r="K2764">
        <v>520</v>
      </c>
      <c r="L2764" t="s">
        <v>21</v>
      </c>
      <c r="M2764" t="s">
        <v>58</v>
      </c>
    </row>
    <row r="2765" spans="1:13" x14ac:dyDescent="0.35">
      <c r="A2765" t="s">
        <v>4291</v>
      </c>
      <c r="B2765" s="9">
        <v>46143</v>
      </c>
      <c r="C2765" t="s">
        <v>4292</v>
      </c>
      <c r="D2765" t="s">
        <v>116</v>
      </c>
      <c r="E2765" t="s">
        <v>41</v>
      </c>
      <c r="F2765" t="s">
        <v>26</v>
      </c>
      <c r="G2765" t="s">
        <v>27</v>
      </c>
      <c r="H2765">
        <v>1</v>
      </c>
      <c r="I2765" t="s">
        <v>136</v>
      </c>
      <c r="J2765" t="s">
        <v>136</v>
      </c>
      <c r="K2765" t="s">
        <v>29</v>
      </c>
      <c r="L2765" t="s">
        <v>30</v>
      </c>
      <c r="M2765" t="s">
        <v>22</v>
      </c>
    </row>
    <row r="2766" spans="1:13" x14ac:dyDescent="0.35">
      <c r="A2766" t="s">
        <v>4293</v>
      </c>
      <c r="B2766" t="s">
        <v>4294</v>
      </c>
      <c r="C2766" t="s">
        <v>135</v>
      </c>
      <c r="D2766" t="s">
        <v>66</v>
      </c>
      <c r="E2766" t="s">
        <v>67</v>
      </c>
      <c r="F2766" t="s">
        <v>89</v>
      </c>
      <c r="G2766" t="s">
        <v>90</v>
      </c>
      <c r="H2766">
        <v>2</v>
      </c>
      <c r="I2766" t="s">
        <v>71</v>
      </c>
      <c r="J2766" t="s">
        <v>286</v>
      </c>
      <c r="K2766" t="s">
        <v>108</v>
      </c>
      <c r="L2766" t="s">
        <v>21</v>
      </c>
      <c r="M2766" t="s">
        <v>58</v>
      </c>
    </row>
    <row r="2767" spans="1:13" x14ac:dyDescent="0.35">
      <c r="A2767" t="s">
        <v>4295</v>
      </c>
      <c r="B2767" s="9">
        <v>46167</v>
      </c>
      <c r="C2767" t="s">
        <v>1454</v>
      </c>
      <c r="D2767" t="s">
        <v>53</v>
      </c>
      <c r="E2767" t="s">
        <v>34</v>
      </c>
      <c r="F2767" t="s">
        <v>74</v>
      </c>
      <c r="G2767" t="s">
        <v>75</v>
      </c>
      <c r="H2767">
        <v>1</v>
      </c>
      <c r="I2767" t="s">
        <v>71</v>
      </c>
      <c r="J2767" t="s">
        <v>71</v>
      </c>
      <c r="K2767" t="s">
        <v>76</v>
      </c>
      <c r="L2767" t="s">
        <v>30</v>
      </c>
      <c r="M2767" t="s">
        <v>58</v>
      </c>
    </row>
    <row r="2768" spans="1:13" x14ac:dyDescent="0.35">
      <c r="A2768" t="s">
        <v>4296</v>
      </c>
      <c r="B2768" s="9">
        <v>46034</v>
      </c>
      <c r="C2768" t="s">
        <v>115</v>
      </c>
      <c r="D2768" t="s">
        <v>66</v>
      </c>
      <c r="E2768" t="s">
        <v>25</v>
      </c>
      <c r="F2768" t="s">
        <v>17</v>
      </c>
      <c r="G2768" t="s">
        <v>18</v>
      </c>
      <c r="H2768">
        <v>1</v>
      </c>
      <c r="I2768" t="s">
        <v>79</v>
      </c>
      <c r="J2768" t="s">
        <v>79</v>
      </c>
      <c r="K2768">
        <v>520</v>
      </c>
      <c r="L2768" t="s">
        <v>30</v>
      </c>
      <c r="M2768" t="s">
        <v>22</v>
      </c>
    </row>
    <row r="2769" spans="1:13" x14ac:dyDescent="0.35">
      <c r="A2769" t="s">
        <v>4297</v>
      </c>
      <c r="B2769" s="9">
        <v>46049</v>
      </c>
      <c r="C2769" t="s">
        <v>1332</v>
      </c>
      <c r="D2769" t="s">
        <v>94</v>
      </c>
      <c r="E2769" t="s">
        <v>25</v>
      </c>
      <c r="F2769" t="s">
        <v>83</v>
      </c>
      <c r="G2769" t="s">
        <v>84</v>
      </c>
      <c r="H2769">
        <v>2</v>
      </c>
      <c r="I2769" t="s">
        <v>79</v>
      </c>
      <c r="J2769" t="s">
        <v>143</v>
      </c>
      <c r="K2769">
        <v>340</v>
      </c>
      <c r="L2769" t="s">
        <v>21</v>
      </c>
      <c r="M2769" t="s">
        <v>22</v>
      </c>
    </row>
    <row r="2770" spans="1:13" x14ac:dyDescent="0.35">
      <c r="A2770" t="s">
        <v>4298</v>
      </c>
      <c r="B2770" s="9">
        <v>46268</v>
      </c>
      <c r="C2770" t="s">
        <v>2977</v>
      </c>
      <c r="D2770" t="s">
        <v>15</v>
      </c>
      <c r="E2770" t="s">
        <v>16</v>
      </c>
      <c r="F2770" t="s">
        <v>35</v>
      </c>
      <c r="G2770" t="s">
        <v>36</v>
      </c>
      <c r="H2770">
        <v>3</v>
      </c>
      <c r="I2770" t="s">
        <v>28</v>
      </c>
      <c r="J2770" t="s">
        <v>568</v>
      </c>
      <c r="K2770">
        <v>85</v>
      </c>
      <c r="L2770" t="s">
        <v>30</v>
      </c>
      <c r="M2770" t="s">
        <v>22</v>
      </c>
    </row>
    <row r="2771" spans="1:13" x14ac:dyDescent="0.35">
      <c r="A2771" t="s">
        <v>4299</v>
      </c>
      <c r="B2771" t="s">
        <v>1807</v>
      </c>
      <c r="C2771" t="s">
        <v>1538</v>
      </c>
      <c r="D2771" t="s">
        <v>94</v>
      </c>
      <c r="E2771" t="s">
        <v>34</v>
      </c>
      <c r="F2771" t="s">
        <v>42</v>
      </c>
      <c r="G2771" t="s">
        <v>43</v>
      </c>
      <c r="H2771">
        <v>3</v>
      </c>
      <c r="I2771" t="s">
        <v>362</v>
      </c>
      <c r="J2771" t="s">
        <v>205</v>
      </c>
      <c r="K2771" t="s">
        <v>111</v>
      </c>
      <c r="L2771" t="s">
        <v>30</v>
      </c>
      <c r="M2771" t="s">
        <v>58</v>
      </c>
    </row>
    <row r="2772" spans="1:13" x14ac:dyDescent="0.35">
      <c r="A2772" t="s">
        <v>4300</v>
      </c>
      <c r="B2772" s="9">
        <v>46027</v>
      </c>
      <c r="C2772" t="s">
        <v>1651</v>
      </c>
      <c r="D2772" t="s">
        <v>33</v>
      </c>
      <c r="E2772" t="s">
        <v>41</v>
      </c>
      <c r="F2772" t="s">
        <v>42</v>
      </c>
      <c r="G2772" t="s">
        <v>43</v>
      </c>
      <c r="H2772">
        <v>1</v>
      </c>
      <c r="I2772" t="s">
        <v>132</v>
      </c>
      <c r="J2772" t="s">
        <v>132</v>
      </c>
      <c r="K2772" t="s">
        <v>111</v>
      </c>
      <c r="L2772" t="s">
        <v>30</v>
      </c>
      <c r="M2772" t="s">
        <v>22</v>
      </c>
    </row>
    <row r="2773" spans="1:13" x14ac:dyDescent="0.35">
      <c r="A2773" t="s">
        <v>4301</v>
      </c>
      <c r="B2773" t="s">
        <v>1548</v>
      </c>
      <c r="C2773" t="s">
        <v>4302</v>
      </c>
      <c r="D2773" t="s">
        <v>116</v>
      </c>
      <c r="E2773" t="s">
        <v>34</v>
      </c>
      <c r="F2773" t="s">
        <v>89</v>
      </c>
      <c r="G2773" t="s">
        <v>90</v>
      </c>
      <c r="H2773">
        <v>1</v>
      </c>
      <c r="I2773" t="s">
        <v>220</v>
      </c>
      <c r="J2773" t="s">
        <v>220</v>
      </c>
      <c r="K2773">
        <v>640</v>
      </c>
      <c r="L2773" t="s">
        <v>30</v>
      </c>
      <c r="M2773" t="s">
        <v>58</v>
      </c>
    </row>
    <row r="2774" spans="1:13" x14ac:dyDescent="0.35">
      <c r="A2774" t="s">
        <v>4303</v>
      </c>
      <c r="B2774" s="9">
        <v>46121</v>
      </c>
      <c r="C2774" t="s">
        <v>4304</v>
      </c>
      <c r="D2774" t="s">
        <v>116</v>
      </c>
      <c r="E2774" t="s">
        <v>67</v>
      </c>
      <c r="F2774" t="s">
        <v>17</v>
      </c>
      <c r="G2774" t="s">
        <v>18</v>
      </c>
      <c r="H2774">
        <v>2</v>
      </c>
      <c r="I2774" t="s">
        <v>62</v>
      </c>
      <c r="J2774" t="s">
        <v>826</v>
      </c>
      <c r="K2774">
        <v>520</v>
      </c>
      <c r="L2774" t="s">
        <v>30</v>
      </c>
      <c r="M2774" t="s">
        <v>22</v>
      </c>
    </row>
    <row r="2775" spans="1:13" x14ac:dyDescent="0.35">
      <c r="A2775" t="s">
        <v>4305</v>
      </c>
      <c r="B2775" s="9">
        <v>46094</v>
      </c>
      <c r="C2775" t="s">
        <v>1130</v>
      </c>
      <c r="D2775" t="s">
        <v>66</v>
      </c>
      <c r="E2775" t="s">
        <v>34</v>
      </c>
      <c r="F2775" t="s">
        <v>26</v>
      </c>
      <c r="G2775" t="s">
        <v>27</v>
      </c>
      <c r="H2775">
        <v>3</v>
      </c>
      <c r="I2775" t="s">
        <v>79</v>
      </c>
      <c r="J2775" t="s">
        <v>91</v>
      </c>
      <c r="K2775">
        <v>520</v>
      </c>
      <c r="L2775" t="s">
        <v>30</v>
      </c>
      <c r="M2775" t="s">
        <v>22</v>
      </c>
    </row>
    <row r="2776" spans="1:13" x14ac:dyDescent="0.35">
      <c r="A2776" t="s">
        <v>4306</v>
      </c>
      <c r="B2776" s="9">
        <v>46163</v>
      </c>
      <c r="C2776" t="s">
        <v>2341</v>
      </c>
      <c r="D2776" t="s">
        <v>46</v>
      </c>
      <c r="E2776" t="s">
        <v>41</v>
      </c>
      <c r="F2776" t="s">
        <v>89</v>
      </c>
      <c r="G2776" t="s">
        <v>90</v>
      </c>
      <c r="H2776">
        <v>1</v>
      </c>
      <c r="I2776" t="s">
        <v>68</v>
      </c>
      <c r="J2776" t="s">
        <v>68</v>
      </c>
      <c r="K2776" t="s">
        <v>108</v>
      </c>
      <c r="L2776" t="s">
        <v>30</v>
      </c>
      <c r="M2776" t="s">
        <v>58</v>
      </c>
    </row>
    <row r="2777" spans="1:13" x14ac:dyDescent="0.35">
      <c r="A2777" t="s">
        <v>4307</v>
      </c>
      <c r="B2777" s="9">
        <v>46163</v>
      </c>
      <c r="C2777" t="s">
        <v>2517</v>
      </c>
      <c r="D2777" t="s">
        <v>46</v>
      </c>
      <c r="E2777" t="s">
        <v>16</v>
      </c>
      <c r="F2777" t="s">
        <v>17</v>
      </c>
      <c r="G2777" t="s">
        <v>18</v>
      </c>
      <c r="H2777">
        <v>1</v>
      </c>
      <c r="I2777" t="s">
        <v>132</v>
      </c>
      <c r="J2777" t="s">
        <v>132</v>
      </c>
      <c r="K2777" t="s">
        <v>29</v>
      </c>
      <c r="L2777" t="s">
        <v>21</v>
      </c>
      <c r="M2777" t="s">
        <v>58</v>
      </c>
    </row>
    <row r="2778" spans="1:13" x14ac:dyDescent="0.35">
      <c r="A2778" t="s">
        <v>4308</v>
      </c>
      <c r="B2778" s="9">
        <v>46051</v>
      </c>
      <c r="C2778" t="s">
        <v>1013</v>
      </c>
      <c r="D2778" t="s">
        <v>53</v>
      </c>
      <c r="E2778" t="s">
        <v>67</v>
      </c>
      <c r="F2778" t="s">
        <v>17</v>
      </c>
      <c r="G2778" t="s">
        <v>18</v>
      </c>
      <c r="H2778">
        <v>2</v>
      </c>
      <c r="I2778" t="s">
        <v>155</v>
      </c>
      <c r="J2778" t="s">
        <v>156</v>
      </c>
      <c r="K2778">
        <v>520</v>
      </c>
      <c r="L2778" t="s">
        <v>30</v>
      </c>
      <c r="M2778" t="s">
        <v>22</v>
      </c>
    </row>
    <row r="2779" spans="1:13" x14ac:dyDescent="0.35">
      <c r="A2779" t="s">
        <v>4309</v>
      </c>
      <c r="B2779" s="9">
        <v>46064</v>
      </c>
      <c r="C2779" t="s">
        <v>3657</v>
      </c>
      <c r="D2779" t="s">
        <v>46</v>
      </c>
      <c r="E2779" t="s">
        <v>34</v>
      </c>
      <c r="F2779" t="s">
        <v>89</v>
      </c>
      <c r="G2779" t="s">
        <v>90</v>
      </c>
      <c r="H2779">
        <v>2</v>
      </c>
      <c r="I2779" t="s">
        <v>136</v>
      </c>
      <c r="J2779" t="s">
        <v>164</v>
      </c>
      <c r="K2779">
        <v>640</v>
      </c>
      <c r="L2779" t="s">
        <v>30</v>
      </c>
      <c r="M2779" t="s">
        <v>22</v>
      </c>
    </row>
    <row r="2780" spans="1:13" x14ac:dyDescent="0.35">
      <c r="A2780" t="s">
        <v>4310</v>
      </c>
      <c r="B2780" s="9">
        <v>46131</v>
      </c>
      <c r="C2780" t="s">
        <v>927</v>
      </c>
      <c r="D2780" t="s">
        <v>46</v>
      </c>
      <c r="E2780" t="s">
        <v>34</v>
      </c>
      <c r="F2780" t="s">
        <v>83</v>
      </c>
      <c r="G2780" t="s">
        <v>84</v>
      </c>
      <c r="H2780">
        <v>1</v>
      </c>
      <c r="I2780" t="s">
        <v>136</v>
      </c>
      <c r="J2780" t="s">
        <v>136</v>
      </c>
      <c r="K2780">
        <v>340</v>
      </c>
      <c r="L2780" t="s">
        <v>21</v>
      </c>
      <c r="M2780" t="s">
        <v>22</v>
      </c>
    </row>
    <row r="2781" spans="1:13" x14ac:dyDescent="0.35">
      <c r="A2781" t="s">
        <v>4311</v>
      </c>
      <c r="B2781" s="9">
        <v>46079</v>
      </c>
      <c r="C2781" t="s">
        <v>3018</v>
      </c>
      <c r="D2781" t="s">
        <v>94</v>
      </c>
      <c r="E2781" t="s">
        <v>67</v>
      </c>
      <c r="F2781" t="s">
        <v>35</v>
      </c>
      <c r="G2781" t="s">
        <v>36</v>
      </c>
      <c r="H2781">
        <v>1</v>
      </c>
      <c r="I2781" t="s">
        <v>254</v>
      </c>
      <c r="J2781" t="s">
        <v>254</v>
      </c>
      <c r="K2781">
        <v>85</v>
      </c>
      <c r="L2781" t="s">
        <v>30</v>
      </c>
      <c r="M2781" t="s">
        <v>58</v>
      </c>
    </row>
    <row r="2782" spans="1:13" x14ac:dyDescent="0.35">
      <c r="A2782" t="s">
        <v>4312</v>
      </c>
      <c r="B2782" s="9">
        <v>46106</v>
      </c>
      <c r="C2782" t="s">
        <v>2031</v>
      </c>
      <c r="D2782" t="s">
        <v>33</v>
      </c>
      <c r="E2782" t="s">
        <v>34</v>
      </c>
      <c r="F2782" t="s">
        <v>17</v>
      </c>
      <c r="G2782" t="s">
        <v>18</v>
      </c>
      <c r="H2782">
        <v>1</v>
      </c>
      <c r="I2782" t="s">
        <v>62</v>
      </c>
      <c r="J2782" t="s">
        <v>62</v>
      </c>
      <c r="K2782">
        <v>520</v>
      </c>
      <c r="L2782" t="s">
        <v>30</v>
      </c>
      <c r="M2782" t="s">
        <v>22</v>
      </c>
    </row>
    <row r="2783" spans="1:13" x14ac:dyDescent="0.35">
      <c r="A2783" t="s">
        <v>4313</v>
      </c>
      <c r="B2783" s="9">
        <v>46157</v>
      </c>
      <c r="C2783" t="s">
        <v>1023</v>
      </c>
      <c r="D2783" t="s">
        <v>40</v>
      </c>
      <c r="E2783" t="s">
        <v>67</v>
      </c>
      <c r="F2783" t="s">
        <v>42</v>
      </c>
      <c r="G2783" t="s">
        <v>43</v>
      </c>
      <c r="H2783">
        <v>3</v>
      </c>
      <c r="I2783" t="s">
        <v>136</v>
      </c>
      <c r="J2783" t="s">
        <v>137</v>
      </c>
      <c r="K2783" t="s">
        <v>111</v>
      </c>
      <c r="L2783" t="s">
        <v>30</v>
      </c>
      <c r="M2783" t="s">
        <v>22</v>
      </c>
    </row>
    <row r="2784" spans="1:13" x14ac:dyDescent="0.35">
      <c r="A2784" t="s">
        <v>4314</v>
      </c>
      <c r="B2784" t="s">
        <v>4285</v>
      </c>
      <c r="C2784" t="s">
        <v>3574</v>
      </c>
      <c r="D2784" t="s">
        <v>46</v>
      </c>
      <c r="E2784" t="s">
        <v>67</v>
      </c>
      <c r="F2784" t="s">
        <v>89</v>
      </c>
      <c r="G2784" t="s">
        <v>90</v>
      </c>
      <c r="H2784">
        <v>2</v>
      </c>
      <c r="I2784" t="s">
        <v>49</v>
      </c>
      <c r="J2784" t="s">
        <v>178</v>
      </c>
      <c r="K2784">
        <v>640</v>
      </c>
      <c r="L2784" t="s">
        <v>30</v>
      </c>
      <c r="M2784" t="s">
        <v>22</v>
      </c>
    </row>
    <row r="2785" spans="1:13" x14ac:dyDescent="0.35">
      <c r="A2785" t="s">
        <v>4315</v>
      </c>
      <c r="B2785" s="9">
        <v>46151</v>
      </c>
      <c r="C2785" t="s">
        <v>4316</v>
      </c>
      <c r="D2785" t="s">
        <v>33</v>
      </c>
      <c r="E2785" t="s">
        <v>34</v>
      </c>
      <c r="F2785" t="s">
        <v>83</v>
      </c>
      <c r="G2785" t="s">
        <v>84</v>
      </c>
      <c r="H2785">
        <v>2</v>
      </c>
      <c r="I2785" t="s">
        <v>106</v>
      </c>
      <c r="J2785" t="s">
        <v>107</v>
      </c>
      <c r="K2785" t="s">
        <v>103</v>
      </c>
      <c r="L2785" t="s">
        <v>30</v>
      </c>
      <c r="M2785" t="s">
        <v>22</v>
      </c>
    </row>
    <row r="2786" spans="1:13" x14ac:dyDescent="0.35">
      <c r="A2786" t="s">
        <v>4317</v>
      </c>
      <c r="B2786" s="9">
        <v>46153</v>
      </c>
      <c r="C2786" t="s">
        <v>1870</v>
      </c>
      <c r="D2786" t="s">
        <v>15</v>
      </c>
      <c r="E2786" t="s">
        <v>34</v>
      </c>
      <c r="F2786" t="s">
        <v>89</v>
      </c>
      <c r="G2786" t="s">
        <v>90</v>
      </c>
      <c r="H2786">
        <v>1</v>
      </c>
      <c r="I2786" t="s">
        <v>49</v>
      </c>
      <c r="J2786" t="s">
        <v>49</v>
      </c>
      <c r="K2786" t="s">
        <v>108</v>
      </c>
      <c r="L2786" t="s">
        <v>30</v>
      </c>
      <c r="M2786" t="s">
        <v>58</v>
      </c>
    </row>
    <row r="2787" spans="1:13" x14ac:dyDescent="0.35">
      <c r="A2787" t="s">
        <v>4318</v>
      </c>
      <c r="B2787" s="9">
        <v>46078</v>
      </c>
      <c r="C2787" t="s">
        <v>1258</v>
      </c>
      <c r="D2787" t="s">
        <v>46</v>
      </c>
      <c r="E2787" t="s">
        <v>34</v>
      </c>
      <c r="F2787" t="s">
        <v>74</v>
      </c>
      <c r="G2787" t="s">
        <v>75</v>
      </c>
      <c r="H2787">
        <v>3</v>
      </c>
      <c r="I2787" t="s">
        <v>254</v>
      </c>
      <c r="J2787" t="s">
        <v>390</v>
      </c>
      <c r="K2787">
        <v>410</v>
      </c>
      <c r="L2787" t="s">
        <v>30</v>
      </c>
      <c r="M2787" t="s">
        <v>58</v>
      </c>
    </row>
    <row r="2788" spans="1:13" x14ac:dyDescent="0.35">
      <c r="A2788" t="s">
        <v>4319</v>
      </c>
      <c r="B2788" s="9">
        <v>46118</v>
      </c>
      <c r="C2788" t="s">
        <v>1130</v>
      </c>
      <c r="D2788" t="s">
        <v>15</v>
      </c>
      <c r="E2788" t="s">
        <v>67</v>
      </c>
      <c r="F2788" t="s">
        <v>89</v>
      </c>
      <c r="G2788" t="s">
        <v>90</v>
      </c>
      <c r="H2788">
        <v>1</v>
      </c>
      <c r="I2788" t="s">
        <v>132</v>
      </c>
      <c r="J2788" t="s">
        <v>132</v>
      </c>
      <c r="K2788">
        <v>640</v>
      </c>
      <c r="L2788" t="s">
        <v>30</v>
      </c>
      <c r="M2788" t="s">
        <v>22</v>
      </c>
    </row>
    <row r="2789" spans="1:13" x14ac:dyDescent="0.35">
      <c r="A2789" t="s">
        <v>4320</v>
      </c>
      <c r="B2789" s="9">
        <v>46038</v>
      </c>
      <c r="C2789" t="s">
        <v>2806</v>
      </c>
      <c r="D2789" t="s">
        <v>94</v>
      </c>
      <c r="E2789" t="s">
        <v>41</v>
      </c>
      <c r="F2789" t="s">
        <v>35</v>
      </c>
      <c r="G2789" t="s">
        <v>36</v>
      </c>
      <c r="H2789">
        <v>1</v>
      </c>
      <c r="I2789" t="s">
        <v>254</v>
      </c>
      <c r="J2789" t="s">
        <v>254</v>
      </c>
      <c r="K2789">
        <v>85</v>
      </c>
      <c r="L2789" t="s">
        <v>21</v>
      </c>
      <c r="M2789" t="s">
        <v>22</v>
      </c>
    </row>
    <row r="2790" spans="1:13" x14ac:dyDescent="0.35">
      <c r="A2790" t="s">
        <v>4321</v>
      </c>
      <c r="B2790" s="9">
        <v>46098</v>
      </c>
      <c r="C2790" t="s">
        <v>1491</v>
      </c>
      <c r="D2790" t="s">
        <v>33</v>
      </c>
      <c r="E2790" t="s">
        <v>16</v>
      </c>
      <c r="F2790" t="s">
        <v>47</v>
      </c>
      <c r="G2790" t="s">
        <v>48</v>
      </c>
      <c r="H2790">
        <v>3</v>
      </c>
      <c r="I2790" t="s">
        <v>79</v>
      </c>
      <c r="J2790" t="s">
        <v>91</v>
      </c>
      <c r="K2790">
        <v>380</v>
      </c>
      <c r="L2790" t="s">
        <v>21</v>
      </c>
      <c r="M2790" t="s">
        <v>22</v>
      </c>
    </row>
    <row r="2791" spans="1:13" x14ac:dyDescent="0.35">
      <c r="A2791" t="s">
        <v>4322</v>
      </c>
      <c r="B2791" s="9">
        <v>46078</v>
      </c>
      <c r="C2791" t="s">
        <v>852</v>
      </c>
      <c r="D2791" t="s">
        <v>66</v>
      </c>
      <c r="E2791" t="s">
        <v>41</v>
      </c>
      <c r="F2791" t="s">
        <v>74</v>
      </c>
      <c r="G2791" t="s">
        <v>75</v>
      </c>
      <c r="H2791">
        <v>1</v>
      </c>
      <c r="I2791" t="s">
        <v>106</v>
      </c>
      <c r="J2791" t="s">
        <v>106</v>
      </c>
      <c r="K2791">
        <v>410</v>
      </c>
      <c r="L2791" t="s">
        <v>30</v>
      </c>
      <c r="M2791" t="s">
        <v>22</v>
      </c>
    </row>
    <row r="2792" spans="1:13" x14ac:dyDescent="0.35">
      <c r="A2792" t="s">
        <v>4323</v>
      </c>
      <c r="B2792" s="9">
        <v>46121</v>
      </c>
      <c r="C2792" t="s">
        <v>2482</v>
      </c>
      <c r="D2792" t="s">
        <v>116</v>
      </c>
      <c r="E2792" t="s">
        <v>16</v>
      </c>
      <c r="F2792" t="s">
        <v>47</v>
      </c>
      <c r="G2792" t="s">
        <v>48</v>
      </c>
      <c r="H2792">
        <v>2</v>
      </c>
      <c r="I2792" t="s">
        <v>102</v>
      </c>
      <c r="J2792" t="s">
        <v>181</v>
      </c>
      <c r="K2792">
        <v>380</v>
      </c>
      <c r="L2792" t="s">
        <v>30</v>
      </c>
      <c r="M2792" t="s">
        <v>22</v>
      </c>
    </row>
    <row r="2793" spans="1:13" x14ac:dyDescent="0.35">
      <c r="A2793" t="s">
        <v>4324</v>
      </c>
      <c r="B2793" s="9">
        <v>46104</v>
      </c>
      <c r="C2793" t="s">
        <v>3422</v>
      </c>
      <c r="D2793" t="s">
        <v>99</v>
      </c>
      <c r="E2793" t="s">
        <v>41</v>
      </c>
      <c r="F2793" t="s">
        <v>17</v>
      </c>
      <c r="G2793" t="s">
        <v>18</v>
      </c>
      <c r="H2793">
        <v>2</v>
      </c>
      <c r="I2793" t="s">
        <v>102</v>
      </c>
      <c r="J2793" t="s">
        <v>181</v>
      </c>
      <c r="K2793">
        <v>520</v>
      </c>
      <c r="L2793" t="s">
        <v>30</v>
      </c>
      <c r="M2793" t="s">
        <v>22</v>
      </c>
    </row>
    <row r="2794" spans="1:13" x14ac:dyDescent="0.35">
      <c r="A2794" t="s">
        <v>4325</v>
      </c>
      <c r="B2794" t="s">
        <v>4135</v>
      </c>
      <c r="C2794" t="s">
        <v>870</v>
      </c>
      <c r="D2794" t="s">
        <v>116</v>
      </c>
      <c r="E2794" t="s">
        <v>34</v>
      </c>
      <c r="F2794" t="s">
        <v>17</v>
      </c>
      <c r="G2794" t="s">
        <v>18</v>
      </c>
      <c r="H2794">
        <v>2</v>
      </c>
      <c r="I2794" t="s">
        <v>102</v>
      </c>
      <c r="J2794" t="s">
        <v>181</v>
      </c>
      <c r="K2794" t="s">
        <v>29</v>
      </c>
      <c r="L2794" t="s">
        <v>30</v>
      </c>
      <c r="M2794" t="s">
        <v>58</v>
      </c>
    </row>
    <row r="2795" spans="1:13" x14ac:dyDescent="0.35">
      <c r="A2795" t="s">
        <v>4326</v>
      </c>
      <c r="B2795" s="9">
        <v>46060</v>
      </c>
      <c r="C2795" t="s">
        <v>197</v>
      </c>
      <c r="D2795" t="s">
        <v>15</v>
      </c>
      <c r="E2795" t="s">
        <v>25</v>
      </c>
      <c r="F2795" t="s">
        <v>42</v>
      </c>
      <c r="G2795" t="s">
        <v>43</v>
      </c>
      <c r="H2795">
        <v>1</v>
      </c>
      <c r="I2795" t="s">
        <v>170</v>
      </c>
      <c r="J2795" t="s">
        <v>170</v>
      </c>
      <c r="K2795" t="s">
        <v>111</v>
      </c>
      <c r="L2795" t="s">
        <v>30</v>
      </c>
      <c r="M2795" t="s">
        <v>58</v>
      </c>
    </row>
    <row r="2796" spans="1:13" x14ac:dyDescent="0.35">
      <c r="A2796" t="s">
        <v>4327</v>
      </c>
      <c r="B2796" s="9">
        <v>46161</v>
      </c>
      <c r="C2796" t="s">
        <v>1585</v>
      </c>
      <c r="D2796" t="s">
        <v>40</v>
      </c>
      <c r="E2796" t="s">
        <v>34</v>
      </c>
      <c r="F2796" t="s">
        <v>47</v>
      </c>
      <c r="G2796" t="s">
        <v>48</v>
      </c>
      <c r="H2796">
        <v>3</v>
      </c>
      <c r="I2796" t="s">
        <v>254</v>
      </c>
      <c r="J2796" t="s">
        <v>390</v>
      </c>
      <c r="K2796" t="s">
        <v>50</v>
      </c>
      <c r="L2796" t="s">
        <v>30</v>
      </c>
      <c r="M2796" t="s">
        <v>22</v>
      </c>
    </row>
    <row r="2797" spans="1:13" x14ac:dyDescent="0.35">
      <c r="A2797" t="s">
        <v>4328</v>
      </c>
      <c r="B2797" s="9">
        <v>46166</v>
      </c>
      <c r="C2797" t="s">
        <v>1990</v>
      </c>
      <c r="D2797" t="s">
        <v>116</v>
      </c>
      <c r="E2797" t="s">
        <v>25</v>
      </c>
      <c r="F2797" t="s">
        <v>26</v>
      </c>
      <c r="G2797" t="s">
        <v>27</v>
      </c>
      <c r="H2797">
        <v>1</v>
      </c>
      <c r="I2797" t="s">
        <v>19</v>
      </c>
      <c r="J2797" t="s">
        <v>19</v>
      </c>
      <c r="K2797" t="s">
        <v>29</v>
      </c>
      <c r="L2797" t="s">
        <v>21</v>
      </c>
      <c r="M2797" t="s">
        <v>22</v>
      </c>
    </row>
    <row r="2798" spans="1:13" x14ac:dyDescent="0.35">
      <c r="A2798" t="s">
        <v>4329</v>
      </c>
      <c r="B2798" s="9">
        <v>46059</v>
      </c>
      <c r="C2798" t="s">
        <v>1733</v>
      </c>
      <c r="D2798" t="s">
        <v>66</v>
      </c>
      <c r="E2798" t="s">
        <v>67</v>
      </c>
      <c r="F2798" t="s">
        <v>42</v>
      </c>
      <c r="G2798" t="s">
        <v>43</v>
      </c>
      <c r="H2798">
        <v>2</v>
      </c>
      <c r="I2798" t="s">
        <v>49</v>
      </c>
      <c r="J2798" t="s">
        <v>178</v>
      </c>
      <c r="K2798">
        <v>190</v>
      </c>
      <c r="L2798" t="s">
        <v>21</v>
      </c>
      <c r="M2798" t="s">
        <v>22</v>
      </c>
    </row>
    <row r="2799" spans="1:13" x14ac:dyDescent="0.35">
      <c r="A2799" t="s">
        <v>4330</v>
      </c>
      <c r="B2799" t="s">
        <v>1439</v>
      </c>
      <c r="C2799" t="s">
        <v>1358</v>
      </c>
      <c r="D2799" t="s">
        <v>61</v>
      </c>
      <c r="E2799" t="s">
        <v>41</v>
      </c>
      <c r="F2799" t="s">
        <v>47</v>
      </c>
      <c r="G2799" t="s">
        <v>48</v>
      </c>
      <c r="H2799">
        <v>3</v>
      </c>
      <c r="I2799" t="s">
        <v>2655</v>
      </c>
      <c r="J2799" t="s">
        <v>57</v>
      </c>
      <c r="K2799">
        <v>380</v>
      </c>
      <c r="L2799" t="s">
        <v>21</v>
      </c>
      <c r="M2799" t="s">
        <v>22</v>
      </c>
    </row>
    <row r="2800" spans="1:13" x14ac:dyDescent="0.35">
      <c r="A2800" t="s">
        <v>4331</v>
      </c>
      <c r="B2800" s="9">
        <v>46141</v>
      </c>
      <c r="C2800" t="s">
        <v>1103</v>
      </c>
      <c r="D2800" t="s">
        <v>40</v>
      </c>
      <c r="E2800" t="s">
        <v>67</v>
      </c>
      <c r="F2800" t="s">
        <v>26</v>
      </c>
      <c r="G2800" t="s">
        <v>27</v>
      </c>
      <c r="H2800">
        <v>1</v>
      </c>
      <c r="I2800" t="s">
        <v>71</v>
      </c>
      <c r="J2800" t="s">
        <v>71</v>
      </c>
      <c r="K2800" t="s">
        <v>29</v>
      </c>
      <c r="L2800" t="s">
        <v>30</v>
      </c>
      <c r="M2800" t="s">
        <v>22</v>
      </c>
    </row>
    <row r="2801" spans="1:13" x14ac:dyDescent="0.35">
      <c r="A2801" t="s">
        <v>4332</v>
      </c>
      <c r="B2801" s="9">
        <v>46165</v>
      </c>
      <c r="C2801" t="s">
        <v>3679</v>
      </c>
      <c r="D2801" t="s">
        <v>66</v>
      </c>
      <c r="E2801" t="s">
        <v>34</v>
      </c>
      <c r="F2801" t="s">
        <v>42</v>
      </c>
      <c r="G2801" t="s">
        <v>43</v>
      </c>
      <c r="H2801">
        <v>1</v>
      </c>
      <c r="I2801" t="s">
        <v>28</v>
      </c>
      <c r="J2801" t="s">
        <v>28</v>
      </c>
      <c r="K2801" t="s">
        <v>111</v>
      </c>
      <c r="L2801" t="s">
        <v>30</v>
      </c>
      <c r="M2801" t="s">
        <v>22</v>
      </c>
    </row>
    <row r="2802" spans="1:13" x14ac:dyDescent="0.35">
      <c r="A2802" t="s">
        <v>4333</v>
      </c>
      <c r="B2802" s="9">
        <v>46147</v>
      </c>
      <c r="C2802" t="s">
        <v>718</v>
      </c>
      <c r="D2802" t="s">
        <v>53</v>
      </c>
      <c r="E2802" t="s">
        <v>67</v>
      </c>
      <c r="F2802" t="s">
        <v>89</v>
      </c>
      <c r="G2802" t="s">
        <v>90</v>
      </c>
      <c r="H2802">
        <v>1</v>
      </c>
      <c r="I2802" t="s">
        <v>28</v>
      </c>
      <c r="J2802" t="s">
        <v>28</v>
      </c>
      <c r="K2802" t="s">
        <v>108</v>
      </c>
      <c r="L2802" t="s">
        <v>21</v>
      </c>
      <c r="M2802" t="s">
        <v>22</v>
      </c>
    </row>
    <row r="2803" spans="1:13" x14ac:dyDescent="0.35">
      <c r="A2803" t="s">
        <v>4334</v>
      </c>
      <c r="B2803" s="9">
        <v>46184</v>
      </c>
      <c r="C2803" t="s">
        <v>2158</v>
      </c>
      <c r="D2803" t="s">
        <v>33</v>
      </c>
      <c r="E2803" t="s">
        <v>16</v>
      </c>
      <c r="F2803" t="s">
        <v>17</v>
      </c>
      <c r="G2803" t="s">
        <v>18</v>
      </c>
      <c r="H2803">
        <v>2</v>
      </c>
      <c r="I2803" t="s">
        <v>85</v>
      </c>
      <c r="J2803" t="s">
        <v>267</v>
      </c>
      <c r="K2803" t="s">
        <v>29</v>
      </c>
      <c r="L2803" t="s">
        <v>21</v>
      </c>
      <c r="M2803" t="s">
        <v>22</v>
      </c>
    </row>
    <row r="2804" spans="1:13" x14ac:dyDescent="0.35">
      <c r="A2804" t="s">
        <v>4335</v>
      </c>
      <c r="B2804" s="9">
        <v>46032</v>
      </c>
      <c r="C2804" t="s">
        <v>1868</v>
      </c>
      <c r="D2804" t="s">
        <v>53</v>
      </c>
      <c r="E2804" t="s">
        <v>41</v>
      </c>
      <c r="F2804" t="s">
        <v>74</v>
      </c>
      <c r="G2804" t="s">
        <v>75</v>
      </c>
      <c r="H2804">
        <v>2</v>
      </c>
      <c r="I2804" t="s">
        <v>79</v>
      </c>
      <c r="J2804" t="s">
        <v>143</v>
      </c>
      <c r="K2804">
        <v>410</v>
      </c>
      <c r="L2804" t="s">
        <v>30</v>
      </c>
      <c r="M2804" t="s">
        <v>22</v>
      </c>
    </row>
    <row r="2805" spans="1:13" x14ac:dyDescent="0.35">
      <c r="A2805" t="s">
        <v>4336</v>
      </c>
      <c r="B2805" t="s">
        <v>1414</v>
      </c>
      <c r="C2805" t="s">
        <v>2931</v>
      </c>
      <c r="D2805" t="s">
        <v>46</v>
      </c>
      <c r="E2805" t="s">
        <v>25</v>
      </c>
      <c r="F2805" t="s">
        <v>74</v>
      </c>
      <c r="G2805" t="s">
        <v>75</v>
      </c>
      <c r="H2805">
        <v>3</v>
      </c>
      <c r="I2805" t="s">
        <v>102</v>
      </c>
      <c r="J2805" t="s">
        <v>127</v>
      </c>
      <c r="K2805" t="s">
        <v>76</v>
      </c>
      <c r="L2805" t="s">
        <v>30</v>
      </c>
      <c r="M2805" t="s">
        <v>22</v>
      </c>
    </row>
    <row r="2806" spans="1:13" x14ac:dyDescent="0.35">
      <c r="A2806" t="s">
        <v>4337</v>
      </c>
      <c r="B2806" s="9">
        <v>46159</v>
      </c>
      <c r="C2806" t="s">
        <v>3538</v>
      </c>
      <c r="D2806" t="s">
        <v>15</v>
      </c>
      <c r="E2806" t="s">
        <v>16</v>
      </c>
      <c r="F2806" t="s">
        <v>83</v>
      </c>
      <c r="G2806" t="s">
        <v>84</v>
      </c>
      <c r="H2806">
        <v>1</v>
      </c>
      <c r="I2806" t="s">
        <v>102</v>
      </c>
      <c r="J2806" t="s">
        <v>102</v>
      </c>
      <c r="K2806" t="s">
        <v>103</v>
      </c>
      <c r="L2806" t="s">
        <v>30</v>
      </c>
      <c r="M2806" t="s">
        <v>22</v>
      </c>
    </row>
    <row r="2807" spans="1:13" x14ac:dyDescent="0.35">
      <c r="A2807" t="s">
        <v>4338</v>
      </c>
      <c r="B2807" s="9">
        <v>46114</v>
      </c>
      <c r="C2807" t="s">
        <v>1467</v>
      </c>
      <c r="D2807" t="s">
        <v>116</v>
      </c>
      <c r="E2807" t="s">
        <v>67</v>
      </c>
      <c r="F2807" t="s">
        <v>47</v>
      </c>
      <c r="G2807" t="s">
        <v>48</v>
      </c>
      <c r="H2807">
        <v>1</v>
      </c>
      <c r="I2807" t="s">
        <v>28</v>
      </c>
      <c r="J2807" t="s">
        <v>28</v>
      </c>
      <c r="K2807">
        <v>380</v>
      </c>
      <c r="L2807" t="s">
        <v>21</v>
      </c>
      <c r="M2807" t="s">
        <v>22</v>
      </c>
    </row>
    <row r="2808" spans="1:13" x14ac:dyDescent="0.35">
      <c r="A2808" t="s">
        <v>4339</v>
      </c>
      <c r="B2808" s="9">
        <v>46043</v>
      </c>
      <c r="C2808" t="s">
        <v>2426</v>
      </c>
      <c r="D2808" t="s">
        <v>46</v>
      </c>
      <c r="E2808" t="s">
        <v>16</v>
      </c>
      <c r="F2808" t="s">
        <v>17</v>
      </c>
      <c r="G2808" t="s">
        <v>18</v>
      </c>
      <c r="H2808">
        <v>2</v>
      </c>
      <c r="I2808" t="s">
        <v>49</v>
      </c>
      <c r="J2808" t="s">
        <v>178</v>
      </c>
      <c r="K2808">
        <v>520</v>
      </c>
      <c r="L2808" t="s">
        <v>30</v>
      </c>
      <c r="M2808" t="s">
        <v>58</v>
      </c>
    </row>
    <row r="2809" spans="1:13" x14ac:dyDescent="0.35">
      <c r="A2809" t="s">
        <v>4340</v>
      </c>
      <c r="B2809" s="9">
        <v>46154</v>
      </c>
      <c r="C2809" t="s">
        <v>288</v>
      </c>
      <c r="D2809" t="s">
        <v>33</v>
      </c>
      <c r="E2809" t="s">
        <v>67</v>
      </c>
      <c r="F2809" t="s">
        <v>89</v>
      </c>
      <c r="G2809" t="s">
        <v>90</v>
      </c>
      <c r="H2809">
        <v>3</v>
      </c>
      <c r="I2809" t="s">
        <v>220</v>
      </c>
      <c r="J2809" t="s">
        <v>494</v>
      </c>
      <c r="K2809" t="s">
        <v>108</v>
      </c>
      <c r="L2809" t="s">
        <v>21</v>
      </c>
      <c r="M2809" t="s">
        <v>22</v>
      </c>
    </row>
    <row r="2810" spans="1:13" x14ac:dyDescent="0.35">
      <c r="A2810" t="s">
        <v>4341</v>
      </c>
      <c r="B2810" s="9">
        <v>46198</v>
      </c>
      <c r="C2810" t="s">
        <v>3178</v>
      </c>
      <c r="D2810" t="s">
        <v>94</v>
      </c>
      <c r="E2810" t="s">
        <v>41</v>
      </c>
      <c r="F2810" t="s">
        <v>89</v>
      </c>
      <c r="G2810" t="s">
        <v>90</v>
      </c>
      <c r="H2810">
        <v>3</v>
      </c>
      <c r="I2810" t="s">
        <v>49</v>
      </c>
      <c r="J2810" t="s">
        <v>257</v>
      </c>
      <c r="K2810" t="s">
        <v>108</v>
      </c>
      <c r="L2810" t="s">
        <v>30</v>
      </c>
      <c r="M2810" t="s">
        <v>58</v>
      </c>
    </row>
    <row r="2811" spans="1:13" x14ac:dyDescent="0.35">
      <c r="A2811" t="s">
        <v>4342</v>
      </c>
      <c r="B2811" s="9">
        <v>46184</v>
      </c>
      <c r="C2811" t="s">
        <v>2238</v>
      </c>
      <c r="D2811" t="s">
        <v>116</v>
      </c>
      <c r="E2811" t="s">
        <v>67</v>
      </c>
      <c r="F2811" t="s">
        <v>35</v>
      </c>
      <c r="G2811" t="s">
        <v>36</v>
      </c>
      <c r="H2811">
        <v>2</v>
      </c>
      <c r="I2811" t="s">
        <v>28</v>
      </c>
      <c r="J2811" t="s">
        <v>316</v>
      </c>
      <c r="K2811" t="s">
        <v>37</v>
      </c>
      <c r="L2811" t="s">
        <v>30</v>
      </c>
      <c r="M2811" t="s">
        <v>22</v>
      </c>
    </row>
    <row r="2812" spans="1:13" x14ac:dyDescent="0.35">
      <c r="A2812" t="s">
        <v>4343</v>
      </c>
      <c r="B2812" s="9">
        <v>46071</v>
      </c>
      <c r="C2812" t="s">
        <v>2138</v>
      </c>
      <c r="D2812" t="s">
        <v>40</v>
      </c>
      <c r="E2812" t="s">
        <v>25</v>
      </c>
      <c r="F2812" t="s">
        <v>83</v>
      </c>
      <c r="G2812" t="s">
        <v>84</v>
      </c>
      <c r="H2812">
        <v>1</v>
      </c>
      <c r="I2812" t="s">
        <v>170</v>
      </c>
      <c r="J2812" t="s">
        <v>170</v>
      </c>
      <c r="K2812">
        <v>340</v>
      </c>
      <c r="L2812" t="s">
        <v>30</v>
      </c>
      <c r="M2812" t="s">
        <v>22</v>
      </c>
    </row>
    <row r="2813" spans="1:13" x14ac:dyDescent="0.35">
      <c r="A2813" t="s">
        <v>4344</v>
      </c>
      <c r="B2813" s="9">
        <v>46134</v>
      </c>
      <c r="C2813" t="s">
        <v>2701</v>
      </c>
      <c r="D2813" t="s">
        <v>40</v>
      </c>
      <c r="E2813" t="s">
        <v>41</v>
      </c>
      <c r="F2813" t="s">
        <v>42</v>
      </c>
      <c r="G2813" t="s">
        <v>43</v>
      </c>
      <c r="H2813">
        <v>2</v>
      </c>
      <c r="I2813" t="s">
        <v>71</v>
      </c>
      <c r="J2813" t="s">
        <v>286</v>
      </c>
      <c r="K2813" t="s">
        <v>111</v>
      </c>
      <c r="L2813" t="s">
        <v>30</v>
      </c>
      <c r="M2813" t="s">
        <v>22</v>
      </c>
    </row>
    <row r="2814" spans="1:13" x14ac:dyDescent="0.35">
      <c r="A2814" t="s">
        <v>4345</v>
      </c>
      <c r="B2814" s="9">
        <v>46097</v>
      </c>
      <c r="C2814" t="s">
        <v>4346</v>
      </c>
      <c r="D2814" t="s">
        <v>15</v>
      </c>
      <c r="E2814" t="s">
        <v>34</v>
      </c>
      <c r="F2814" t="s">
        <v>74</v>
      </c>
      <c r="G2814" t="s">
        <v>75</v>
      </c>
      <c r="H2814">
        <v>1</v>
      </c>
      <c r="I2814" t="s">
        <v>28</v>
      </c>
      <c r="J2814" t="s">
        <v>28</v>
      </c>
      <c r="K2814">
        <v>410</v>
      </c>
      <c r="L2814" t="s">
        <v>30</v>
      </c>
      <c r="M2814" t="s">
        <v>58</v>
      </c>
    </row>
    <row r="2815" spans="1:13" x14ac:dyDescent="0.35">
      <c r="A2815" t="s">
        <v>4347</v>
      </c>
      <c r="B2815" s="9">
        <v>46111</v>
      </c>
      <c r="C2815" t="s">
        <v>2993</v>
      </c>
      <c r="D2815" t="s">
        <v>40</v>
      </c>
      <c r="E2815" t="s">
        <v>67</v>
      </c>
      <c r="F2815" t="s">
        <v>35</v>
      </c>
      <c r="G2815" t="s">
        <v>36</v>
      </c>
      <c r="H2815">
        <v>2</v>
      </c>
      <c r="I2815" t="s">
        <v>136</v>
      </c>
      <c r="J2815" t="s">
        <v>164</v>
      </c>
      <c r="K2815">
        <v>85</v>
      </c>
      <c r="L2815" t="s">
        <v>21</v>
      </c>
      <c r="M2815" t="s">
        <v>22</v>
      </c>
    </row>
    <row r="2816" spans="1:13" x14ac:dyDescent="0.35">
      <c r="A2816" t="s">
        <v>4348</v>
      </c>
      <c r="B2816" s="9">
        <v>46055</v>
      </c>
      <c r="C2816" t="s">
        <v>4349</v>
      </c>
      <c r="D2816" t="s">
        <v>66</v>
      </c>
      <c r="E2816" t="s">
        <v>16</v>
      </c>
      <c r="F2816" t="s">
        <v>17</v>
      </c>
      <c r="G2816" t="s">
        <v>18</v>
      </c>
      <c r="H2816">
        <v>3</v>
      </c>
      <c r="I2816" t="s">
        <v>71</v>
      </c>
      <c r="J2816" t="s">
        <v>379</v>
      </c>
      <c r="K2816">
        <v>520</v>
      </c>
      <c r="L2816" t="s">
        <v>30</v>
      </c>
      <c r="M2816" t="s">
        <v>22</v>
      </c>
    </row>
    <row r="2817" spans="1:13" x14ac:dyDescent="0.35">
      <c r="A2817" t="s">
        <v>4350</v>
      </c>
      <c r="B2817" s="9">
        <v>46057</v>
      </c>
      <c r="C2817" t="s">
        <v>2348</v>
      </c>
      <c r="D2817" t="s">
        <v>99</v>
      </c>
      <c r="E2817" t="s">
        <v>41</v>
      </c>
      <c r="F2817" t="s">
        <v>83</v>
      </c>
      <c r="G2817" t="s">
        <v>84</v>
      </c>
      <c r="H2817">
        <v>-2</v>
      </c>
      <c r="I2817" t="s">
        <v>85</v>
      </c>
      <c r="J2817" t="s">
        <v>1617</v>
      </c>
      <c r="K2817">
        <v>340</v>
      </c>
      <c r="L2817" t="s">
        <v>30</v>
      </c>
      <c r="M2817" t="s">
        <v>22</v>
      </c>
    </row>
    <row r="2818" spans="1:13" x14ac:dyDescent="0.35">
      <c r="A2818" t="s">
        <v>4351</v>
      </c>
      <c r="B2818" s="9">
        <v>46121</v>
      </c>
      <c r="C2818" t="s">
        <v>901</v>
      </c>
      <c r="D2818" t="s">
        <v>94</v>
      </c>
      <c r="E2818" t="s">
        <v>16</v>
      </c>
      <c r="F2818" t="s">
        <v>74</v>
      </c>
      <c r="G2818" t="s">
        <v>75</v>
      </c>
      <c r="H2818">
        <v>1</v>
      </c>
      <c r="I2818" t="s">
        <v>132</v>
      </c>
      <c r="J2818" t="s">
        <v>132</v>
      </c>
      <c r="K2818">
        <v>410</v>
      </c>
      <c r="L2818" t="s">
        <v>21</v>
      </c>
      <c r="M2818" t="s">
        <v>22</v>
      </c>
    </row>
    <row r="2819" spans="1:13" x14ac:dyDescent="0.35">
      <c r="A2819" t="s">
        <v>4352</v>
      </c>
      <c r="B2819" s="9">
        <v>46207</v>
      </c>
      <c r="C2819" t="s">
        <v>3427</v>
      </c>
      <c r="D2819" t="s">
        <v>33</v>
      </c>
      <c r="E2819" t="s">
        <v>41</v>
      </c>
      <c r="F2819" t="s">
        <v>83</v>
      </c>
      <c r="G2819" t="s">
        <v>84</v>
      </c>
      <c r="H2819">
        <v>1</v>
      </c>
      <c r="I2819" t="s">
        <v>102</v>
      </c>
      <c r="J2819" t="s">
        <v>102</v>
      </c>
      <c r="K2819" t="s">
        <v>103</v>
      </c>
      <c r="L2819" t="s">
        <v>21</v>
      </c>
      <c r="M2819" t="s">
        <v>58</v>
      </c>
    </row>
    <row r="2820" spans="1:13" x14ac:dyDescent="0.35">
      <c r="A2820" t="s">
        <v>4353</v>
      </c>
      <c r="B2820" s="9">
        <v>46098</v>
      </c>
      <c r="C2820" t="s">
        <v>1346</v>
      </c>
      <c r="D2820" t="s">
        <v>53</v>
      </c>
      <c r="E2820" t="s">
        <v>34</v>
      </c>
      <c r="F2820" t="s">
        <v>83</v>
      </c>
      <c r="G2820" t="s">
        <v>84</v>
      </c>
      <c r="H2820">
        <v>1</v>
      </c>
      <c r="I2820" t="s">
        <v>2615</v>
      </c>
      <c r="J2820" t="s">
        <v>71</v>
      </c>
      <c r="K2820">
        <v>340</v>
      </c>
      <c r="L2820" t="s">
        <v>30</v>
      </c>
      <c r="M2820" t="s">
        <v>22</v>
      </c>
    </row>
    <row r="2821" spans="1:13" x14ac:dyDescent="0.35">
      <c r="A2821" t="s">
        <v>4354</v>
      </c>
      <c r="B2821" s="9">
        <v>46134</v>
      </c>
      <c r="C2821" t="s">
        <v>4355</v>
      </c>
      <c r="D2821" t="s">
        <v>99</v>
      </c>
      <c r="E2821" t="s">
        <v>25</v>
      </c>
      <c r="F2821" t="s">
        <v>26</v>
      </c>
      <c r="G2821" t="s">
        <v>27</v>
      </c>
      <c r="H2821">
        <v>1</v>
      </c>
      <c r="I2821" t="s">
        <v>220</v>
      </c>
      <c r="J2821" t="s">
        <v>220</v>
      </c>
      <c r="K2821" t="s">
        <v>29</v>
      </c>
      <c r="L2821" t="s">
        <v>21</v>
      </c>
      <c r="M2821" t="s">
        <v>22</v>
      </c>
    </row>
    <row r="2822" spans="1:13" x14ac:dyDescent="0.35">
      <c r="A2822" t="s">
        <v>4356</v>
      </c>
      <c r="B2822" s="9">
        <v>46159</v>
      </c>
      <c r="C2822" t="s">
        <v>545</v>
      </c>
      <c r="D2822" t="s">
        <v>40</v>
      </c>
      <c r="E2822" t="s">
        <v>25</v>
      </c>
      <c r="F2822" t="s">
        <v>89</v>
      </c>
      <c r="G2822" t="s">
        <v>90</v>
      </c>
      <c r="H2822">
        <v>2</v>
      </c>
      <c r="I2822" t="s">
        <v>56</v>
      </c>
      <c r="J2822" t="s">
        <v>193</v>
      </c>
      <c r="K2822" t="s">
        <v>108</v>
      </c>
      <c r="L2822" t="s">
        <v>30</v>
      </c>
      <c r="M2822" t="s">
        <v>58</v>
      </c>
    </row>
    <row r="2823" spans="1:13" x14ac:dyDescent="0.35">
      <c r="A2823" t="s">
        <v>4357</v>
      </c>
      <c r="B2823" s="9">
        <v>46145</v>
      </c>
      <c r="C2823" t="s">
        <v>1467</v>
      </c>
      <c r="D2823" t="s">
        <v>40</v>
      </c>
      <c r="E2823" t="s">
        <v>67</v>
      </c>
      <c r="F2823" t="s">
        <v>89</v>
      </c>
      <c r="G2823" t="s">
        <v>90</v>
      </c>
      <c r="H2823">
        <v>3</v>
      </c>
      <c r="I2823" t="s">
        <v>19</v>
      </c>
      <c r="J2823" t="s">
        <v>4358</v>
      </c>
      <c r="K2823" t="s">
        <v>108</v>
      </c>
      <c r="L2823" t="s">
        <v>30</v>
      </c>
      <c r="M2823" t="s">
        <v>58</v>
      </c>
    </row>
    <row r="2824" spans="1:13" x14ac:dyDescent="0.35">
      <c r="A2824" t="s">
        <v>4359</v>
      </c>
      <c r="B2824" s="9">
        <v>46074</v>
      </c>
      <c r="C2824" t="s">
        <v>1196</v>
      </c>
      <c r="D2824" t="s">
        <v>40</v>
      </c>
      <c r="E2824" t="s">
        <v>41</v>
      </c>
      <c r="F2824" t="s">
        <v>47</v>
      </c>
      <c r="G2824" t="s">
        <v>48</v>
      </c>
      <c r="H2824">
        <v>1</v>
      </c>
      <c r="I2824" t="s">
        <v>220</v>
      </c>
      <c r="J2824" t="s">
        <v>220</v>
      </c>
      <c r="K2824">
        <v>380</v>
      </c>
      <c r="L2824" t="s">
        <v>30</v>
      </c>
      <c r="M2824" t="s">
        <v>22</v>
      </c>
    </row>
    <row r="2825" spans="1:13" x14ac:dyDescent="0.35">
      <c r="A2825" t="s">
        <v>4360</v>
      </c>
      <c r="B2825" s="9">
        <v>46104</v>
      </c>
      <c r="C2825" t="s">
        <v>2031</v>
      </c>
      <c r="D2825" t="s">
        <v>61</v>
      </c>
      <c r="E2825" t="s">
        <v>25</v>
      </c>
      <c r="F2825" t="s">
        <v>26</v>
      </c>
      <c r="G2825" t="s">
        <v>27</v>
      </c>
      <c r="H2825">
        <v>1</v>
      </c>
      <c r="I2825" t="s">
        <v>79</v>
      </c>
      <c r="J2825" t="s">
        <v>79</v>
      </c>
      <c r="K2825">
        <v>520</v>
      </c>
      <c r="L2825" t="s">
        <v>30</v>
      </c>
      <c r="M2825" t="s">
        <v>22</v>
      </c>
    </row>
    <row r="2826" spans="1:13" x14ac:dyDescent="0.35">
      <c r="A2826" t="s">
        <v>4361</v>
      </c>
      <c r="B2826" t="s">
        <v>1926</v>
      </c>
      <c r="C2826" t="s">
        <v>2189</v>
      </c>
      <c r="D2826" t="s">
        <v>94</v>
      </c>
      <c r="E2826" t="s">
        <v>41</v>
      </c>
      <c r="F2826" t="s">
        <v>74</v>
      </c>
      <c r="G2826" t="s">
        <v>75</v>
      </c>
      <c r="H2826">
        <v>1</v>
      </c>
      <c r="I2826" t="s">
        <v>132</v>
      </c>
      <c r="J2826" t="s">
        <v>3159</v>
      </c>
      <c r="K2826" t="s">
        <v>76</v>
      </c>
      <c r="L2826" t="s">
        <v>30</v>
      </c>
      <c r="M2826" t="s">
        <v>58</v>
      </c>
    </row>
    <row r="2827" spans="1:13" x14ac:dyDescent="0.35">
      <c r="A2827" t="s">
        <v>4362</v>
      </c>
      <c r="B2827" s="9">
        <v>46203</v>
      </c>
      <c r="C2827" t="s">
        <v>1918</v>
      </c>
      <c r="D2827" t="s">
        <v>46</v>
      </c>
      <c r="E2827" t="s">
        <v>67</v>
      </c>
      <c r="F2827" t="s">
        <v>26</v>
      </c>
      <c r="G2827" t="s">
        <v>27</v>
      </c>
      <c r="H2827">
        <v>1</v>
      </c>
      <c r="I2827" t="s">
        <v>19</v>
      </c>
      <c r="J2827" t="s">
        <v>19</v>
      </c>
      <c r="K2827" t="s">
        <v>29</v>
      </c>
      <c r="L2827" t="s">
        <v>21</v>
      </c>
      <c r="M2827" t="s">
        <v>22</v>
      </c>
    </row>
    <row r="2828" spans="1:13" x14ac:dyDescent="0.35">
      <c r="A2828" t="s">
        <v>4363</v>
      </c>
      <c r="B2828" s="9">
        <v>46196</v>
      </c>
      <c r="C2828" t="s">
        <v>4364</v>
      </c>
      <c r="D2828" t="s">
        <v>53</v>
      </c>
      <c r="E2828" t="s">
        <v>67</v>
      </c>
      <c r="F2828" t="s">
        <v>42</v>
      </c>
      <c r="G2828" t="s">
        <v>43</v>
      </c>
      <c r="H2828">
        <v>1</v>
      </c>
      <c r="I2828" t="s">
        <v>56</v>
      </c>
      <c r="J2828" t="s">
        <v>56</v>
      </c>
      <c r="K2828" t="s">
        <v>111</v>
      </c>
      <c r="L2828" t="s">
        <v>30</v>
      </c>
      <c r="M2828" t="s">
        <v>58</v>
      </c>
    </row>
    <row r="2829" spans="1:13" x14ac:dyDescent="0.35">
      <c r="A2829" t="s">
        <v>4365</v>
      </c>
      <c r="B2829" s="9">
        <v>46135</v>
      </c>
      <c r="C2829" t="s">
        <v>295</v>
      </c>
      <c r="D2829" t="s">
        <v>116</v>
      </c>
      <c r="E2829" t="s">
        <v>34</v>
      </c>
      <c r="F2829" t="s">
        <v>83</v>
      </c>
      <c r="G2829" t="s">
        <v>84</v>
      </c>
      <c r="H2829">
        <v>1</v>
      </c>
      <c r="I2829" t="s">
        <v>106</v>
      </c>
      <c r="J2829" t="s">
        <v>106</v>
      </c>
      <c r="K2829" t="s">
        <v>103</v>
      </c>
      <c r="L2829" t="s">
        <v>30</v>
      </c>
      <c r="M2829" t="s">
        <v>58</v>
      </c>
    </row>
    <row r="2830" spans="1:13" x14ac:dyDescent="0.35">
      <c r="A2830" t="s">
        <v>4366</v>
      </c>
      <c r="B2830" s="9">
        <v>46052</v>
      </c>
      <c r="C2830" t="s">
        <v>2752</v>
      </c>
      <c r="D2830" t="s">
        <v>116</v>
      </c>
      <c r="E2830" t="s">
        <v>25</v>
      </c>
      <c r="F2830" t="s">
        <v>89</v>
      </c>
      <c r="G2830" t="s">
        <v>90</v>
      </c>
      <c r="H2830">
        <v>1</v>
      </c>
      <c r="I2830" t="s">
        <v>102</v>
      </c>
      <c r="J2830" t="s">
        <v>102</v>
      </c>
      <c r="K2830">
        <v>640</v>
      </c>
      <c r="L2830" t="s">
        <v>30</v>
      </c>
      <c r="M2830" t="s">
        <v>22</v>
      </c>
    </row>
    <row r="2831" spans="1:13" x14ac:dyDescent="0.35">
      <c r="A2831" t="s">
        <v>4367</v>
      </c>
      <c r="B2831" s="9">
        <v>46038</v>
      </c>
      <c r="C2831" t="s">
        <v>559</v>
      </c>
      <c r="D2831" t="s">
        <v>99</v>
      </c>
      <c r="E2831" t="s">
        <v>16</v>
      </c>
      <c r="F2831" t="s">
        <v>42</v>
      </c>
      <c r="G2831" t="s">
        <v>43</v>
      </c>
      <c r="H2831">
        <v>2</v>
      </c>
      <c r="I2831" t="s">
        <v>49</v>
      </c>
      <c r="J2831" t="s">
        <v>178</v>
      </c>
      <c r="K2831">
        <v>190</v>
      </c>
      <c r="L2831" t="s">
        <v>30</v>
      </c>
      <c r="M2831" t="s">
        <v>58</v>
      </c>
    </row>
    <row r="2832" spans="1:13" x14ac:dyDescent="0.35">
      <c r="A2832" t="s">
        <v>4368</v>
      </c>
      <c r="B2832" s="9">
        <v>46091</v>
      </c>
      <c r="C2832" t="s">
        <v>1976</v>
      </c>
      <c r="D2832" t="s">
        <v>99</v>
      </c>
      <c r="E2832" t="s">
        <v>16</v>
      </c>
      <c r="F2832" t="s">
        <v>35</v>
      </c>
      <c r="G2832" t="s">
        <v>36</v>
      </c>
      <c r="H2832">
        <v>2</v>
      </c>
      <c r="I2832" t="s">
        <v>170</v>
      </c>
      <c r="J2832" t="s">
        <v>152</v>
      </c>
      <c r="K2832">
        <v>85</v>
      </c>
      <c r="L2832" t="s">
        <v>30</v>
      </c>
      <c r="M2832" t="s">
        <v>58</v>
      </c>
    </row>
    <row r="2833" spans="1:13" x14ac:dyDescent="0.35">
      <c r="A2833" t="s">
        <v>4369</v>
      </c>
      <c r="B2833" s="9">
        <v>46079</v>
      </c>
      <c r="C2833" t="s">
        <v>2380</v>
      </c>
      <c r="D2833" t="s">
        <v>53</v>
      </c>
      <c r="E2833" t="s">
        <v>34</v>
      </c>
      <c r="F2833" t="s">
        <v>42</v>
      </c>
      <c r="G2833" t="s">
        <v>43</v>
      </c>
      <c r="H2833">
        <v>2</v>
      </c>
      <c r="I2833" t="s">
        <v>85</v>
      </c>
      <c r="J2833" t="s">
        <v>267</v>
      </c>
      <c r="K2833">
        <v>190</v>
      </c>
      <c r="L2833" t="s">
        <v>30</v>
      </c>
      <c r="M2833" t="s">
        <v>22</v>
      </c>
    </row>
    <row r="2834" spans="1:13" x14ac:dyDescent="0.35">
      <c r="A2834" t="s">
        <v>4370</v>
      </c>
      <c r="B2834" s="9">
        <v>46140</v>
      </c>
      <c r="C2834" t="s">
        <v>1175</v>
      </c>
      <c r="D2834" t="s">
        <v>94</v>
      </c>
      <c r="E2834" t="s">
        <v>16</v>
      </c>
      <c r="F2834" t="s">
        <v>47</v>
      </c>
      <c r="G2834" t="s">
        <v>48</v>
      </c>
      <c r="H2834">
        <v>2</v>
      </c>
      <c r="I2834" t="s">
        <v>79</v>
      </c>
      <c r="J2834" t="s">
        <v>1741</v>
      </c>
      <c r="K2834" t="s">
        <v>50</v>
      </c>
      <c r="L2834" t="s">
        <v>21</v>
      </c>
      <c r="M2834" t="s">
        <v>22</v>
      </c>
    </row>
    <row r="2835" spans="1:13" x14ac:dyDescent="0.35">
      <c r="A2835" t="s">
        <v>4371</v>
      </c>
      <c r="B2835" s="9">
        <v>46056</v>
      </c>
      <c r="C2835" t="s">
        <v>944</v>
      </c>
      <c r="D2835" t="s">
        <v>116</v>
      </c>
      <c r="E2835" t="s">
        <v>25</v>
      </c>
      <c r="F2835" t="s">
        <v>42</v>
      </c>
      <c r="G2835" t="s">
        <v>43</v>
      </c>
      <c r="H2835">
        <v>2</v>
      </c>
      <c r="I2835" t="s">
        <v>68</v>
      </c>
      <c r="J2835" t="s">
        <v>248</v>
      </c>
      <c r="K2835">
        <v>190</v>
      </c>
      <c r="L2835" t="s">
        <v>30</v>
      </c>
      <c r="M2835" t="s">
        <v>22</v>
      </c>
    </row>
    <row r="2836" spans="1:13" x14ac:dyDescent="0.35">
      <c r="A2836" t="s">
        <v>4372</v>
      </c>
      <c r="B2836" s="9">
        <v>46101</v>
      </c>
      <c r="C2836" t="s">
        <v>328</v>
      </c>
      <c r="D2836" t="s">
        <v>46</v>
      </c>
      <c r="E2836" t="s">
        <v>16</v>
      </c>
      <c r="F2836" t="s">
        <v>47</v>
      </c>
      <c r="G2836" t="s">
        <v>48</v>
      </c>
      <c r="H2836">
        <v>3</v>
      </c>
      <c r="I2836" t="s">
        <v>170</v>
      </c>
      <c r="J2836" t="s">
        <v>4373</v>
      </c>
      <c r="K2836">
        <v>380</v>
      </c>
      <c r="L2836" t="s">
        <v>21</v>
      </c>
      <c r="M2836" t="s">
        <v>22</v>
      </c>
    </row>
    <row r="2837" spans="1:13" x14ac:dyDescent="0.35">
      <c r="A2837" t="s">
        <v>4374</v>
      </c>
      <c r="B2837" s="9">
        <v>46093</v>
      </c>
      <c r="C2837" t="s">
        <v>3886</v>
      </c>
      <c r="D2837" t="s">
        <v>53</v>
      </c>
      <c r="E2837" t="s">
        <v>41</v>
      </c>
      <c r="F2837" t="s">
        <v>26</v>
      </c>
      <c r="G2837" t="s">
        <v>27</v>
      </c>
      <c r="H2837">
        <v>1</v>
      </c>
      <c r="I2837" t="s">
        <v>102</v>
      </c>
      <c r="J2837" t="s">
        <v>102</v>
      </c>
      <c r="K2837">
        <v>520</v>
      </c>
      <c r="L2837" t="s">
        <v>21</v>
      </c>
      <c r="M2837" t="s">
        <v>58</v>
      </c>
    </row>
    <row r="2838" spans="1:13" x14ac:dyDescent="0.35">
      <c r="A2838" t="s">
        <v>4375</v>
      </c>
      <c r="B2838" s="9">
        <v>46135</v>
      </c>
      <c r="C2838" t="s">
        <v>4376</v>
      </c>
      <c r="D2838" t="s">
        <v>33</v>
      </c>
      <c r="E2838" t="s">
        <v>67</v>
      </c>
      <c r="F2838" t="s">
        <v>74</v>
      </c>
      <c r="G2838" t="s">
        <v>75</v>
      </c>
      <c r="H2838">
        <v>2</v>
      </c>
      <c r="I2838" t="s">
        <v>49</v>
      </c>
      <c r="J2838" t="s">
        <v>178</v>
      </c>
      <c r="K2838" t="s">
        <v>76</v>
      </c>
      <c r="L2838" t="s">
        <v>30</v>
      </c>
      <c r="M2838" t="s">
        <v>22</v>
      </c>
    </row>
    <row r="2839" spans="1:13" x14ac:dyDescent="0.35">
      <c r="A2839" t="s">
        <v>4377</v>
      </c>
      <c r="B2839" s="9">
        <v>46167</v>
      </c>
      <c r="C2839" t="s">
        <v>1638</v>
      </c>
      <c r="D2839" t="s">
        <v>15</v>
      </c>
      <c r="E2839" t="s">
        <v>41</v>
      </c>
      <c r="F2839" t="s">
        <v>74</v>
      </c>
      <c r="G2839" t="s">
        <v>75</v>
      </c>
      <c r="H2839">
        <v>1</v>
      </c>
      <c r="I2839" t="s">
        <v>79</v>
      </c>
      <c r="J2839" t="s">
        <v>79</v>
      </c>
      <c r="K2839" t="s">
        <v>76</v>
      </c>
      <c r="L2839" t="s">
        <v>30</v>
      </c>
      <c r="M2839" t="s">
        <v>22</v>
      </c>
    </row>
    <row r="2840" spans="1:13" x14ac:dyDescent="0.35">
      <c r="A2840" t="s">
        <v>4378</v>
      </c>
      <c r="B2840" s="9">
        <v>46111</v>
      </c>
      <c r="C2840" t="s">
        <v>4379</v>
      </c>
      <c r="D2840" t="s">
        <v>116</v>
      </c>
      <c r="E2840" t="s">
        <v>16</v>
      </c>
      <c r="F2840" t="s">
        <v>17</v>
      </c>
      <c r="G2840" t="s">
        <v>18</v>
      </c>
      <c r="H2840">
        <v>-1</v>
      </c>
      <c r="I2840" t="s">
        <v>102</v>
      </c>
      <c r="J2840" t="s">
        <v>1136</v>
      </c>
      <c r="K2840">
        <v>520</v>
      </c>
      <c r="L2840" t="s">
        <v>21</v>
      </c>
      <c r="M2840" t="s">
        <v>22</v>
      </c>
    </row>
    <row r="2841" spans="1:13" x14ac:dyDescent="0.35">
      <c r="A2841" t="s">
        <v>4380</v>
      </c>
      <c r="B2841" t="s">
        <v>4381</v>
      </c>
      <c r="C2841" t="s">
        <v>3129</v>
      </c>
      <c r="D2841" t="s">
        <v>61</v>
      </c>
      <c r="E2841" t="s">
        <v>25</v>
      </c>
      <c r="F2841" t="s">
        <v>35</v>
      </c>
      <c r="G2841" t="s">
        <v>36</v>
      </c>
      <c r="H2841">
        <v>2</v>
      </c>
      <c r="I2841" t="s">
        <v>19</v>
      </c>
      <c r="J2841" t="s">
        <v>205</v>
      </c>
      <c r="K2841">
        <v>85</v>
      </c>
      <c r="L2841" t="s">
        <v>30</v>
      </c>
      <c r="M2841" t="s">
        <v>22</v>
      </c>
    </row>
    <row r="2842" spans="1:13" x14ac:dyDescent="0.35">
      <c r="A2842" t="s">
        <v>4382</v>
      </c>
      <c r="B2842" s="9">
        <v>46107</v>
      </c>
      <c r="C2842" t="s">
        <v>4383</v>
      </c>
      <c r="D2842" t="s">
        <v>40</v>
      </c>
      <c r="E2842" t="s">
        <v>67</v>
      </c>
      <c r="F2842" t="s">
        <v>83</v>
      </c>
      <c r="G2842" t="s">
        <v>84</v>
      </c>
      <c r="H2842">
        <v>1</v>
      </c>
      <c r="I2842" t="s">
        <v>102</v>
      </c>
      <c r="J2842" t="s">
        <v>102</v>
      </c>
      <c r="K2842">
        <v>340</v>
      </c>
      <c r="L2842" t="s">
        <v>30</v>
      </c>
      <c r="M2842" t="s">
        <v>22</v>
      </c>
    </row>
    <row r="2843" spans="1:13" x14ac:dyDescent="0.35">
      <c r="A2843" t="s">
        <v>4384</v>
      </c>
      <c r="B2843" s="9">
        <v>46332</v>
      </c>
      <c r="C2843" t="s">
        <v>736</v>
      </c>
      <c r="D2843" t="s">
        <v>33</v>
      </c>
      <c r="E2843" t="s">
        <v>41</v>
      </c>
      <c r="F2843" t="s">
        <v>74</v>
      </c>
      <c r="G2843" t="s">
        <v>75</v>
      </c>
      <c r="H2843">
        <v>1</v>
      </c>
      <c r="I2843" t="s">
        <v>106</v>
      </c>
      <c r="J2843" t="s">
        <v>106</v>
      </c>
      <c r="K2843" t="s">
        <v>76</v>
      </c>
      <c r="L2843" t="s">
        <v>21</v>
      </c>
      <c r="M2843" t="s">
        <v>58</v>
      </c>
    </row>
    <row r="2844" spans="1:13" x14ac:dyDescent="0.35">
      <c r="A2844" t="s">
        <v>4385</v>
      </c>
      <c r="B2844" s="9">
        <v>46172</v>
      </c>
      <c r="C2844" t="s">
        <v>1409</v>
      </c>
      <c r="D2844" t="s">
        <v>61</v>
      </c>
      <c r="E2844" t="s">
        <v>25</v>
      </c>
      <c r="F2844" t="s">
        <v>74</v>
      </c>
      <c r="G2844" t="s">
        <v>75</v>
      </c>
      <c r="H2844">
        <v>1</v>
      </c>
      <c r="I2844" t="s">
        <v>132</v>
      </c>
      <c r="J2844" t="s">
        <v>132</v>
      </c>
      <c r="K2844" t="s">
        <v>76</v>
      </c>
      <c r="L2844" t="s">
        <v>21</v>
      </c>
      <c r="M2844" t="s">
        <v>22</v>
      </c>
    </row>
    <row r="2845" spans="1:13" x14ac:dyDescent="0.35">
      <c r="A2845" t="s">
        <v>4386</v>
      </c>
      <c r="B2845" s="9">
        <v>46204</v>
      </c>
      <c r="C2845" t="s">
        <v>1678</v>
      </c>
      <c r="D2845" t="s">
        <v>40</v>
      </c>
      <c r="E2845" t="s">
        <v>67</v>
      </c>
      <c r="F2845" t="s">
        <v>17</v>
      </c>
      <c r="G2845" t="s">
        <v>18</v>
      </c>
      <c r="H2845">
        <v>3</v>
      </c>
      <c r="I2845" t="s">
        <v>106</v>
      </c>
      <c r="J2845" t="s">
        <v>160</v>
      </c>
      <c r="K2845" t="s">
        <v>29</v>
      </c>
      <c r="L2845" t="s">
        <v>30</v>
      </c>
      <c r="M2845" t="s">
        <v>58</v>
      </c>
    </row>
    <row r="2846" spans="1:13" x14ac:dyDescent="0.35">
      <c r="A2846" t="s">
        <v>4387</v>
      </c>
      <c r="B2846" s="9">
        <v>46176</v>
      </c>
      <c r="C2846" t="s">
        <v>4388</v>
      </c>
      <c r="D2846" t="s">
        <v>53</v>
      </c>
      <c r="E2846" t="s">
        <v>16</v>
      </c>
      <c r="F2846" t="s">
        <v>35</v>
      </c>
      <c r="G2846" t="s">
        <v>36</v>
      </c>
      <c r="H2846">
        <v>1</v>
      </c>
      <c r="I2846" t="s">
        <v>106</v>
      </c>
      <c r="J2846" t="s">
        <v>106</v>
      </c>
      <c r="K2846">
        <v>85</v>
      </c>
      <c r="L2846" t="s">
        <v>30</v>
      </c>
      <c r="M2846" t="s">
        <v>58</v>
      </c>
    </row>
    <row r="2847" spans="1:13" x14ac:dyDescent="0.35">
      <c r="A2847" t="s">
        <v>4389</v>
      </c>
      <c r="B2847" t="s">
        <v>2929</v>
      </c>
      <c r="C2847" t="s">
        <v>2020</v>
      </c>
      <c r="D2847" t="s">
        <v>33</v>
      </c>
      <c r="E2847" t="s">
        <v>25</v>
      </c>
      <c r="F2847" t="s">
        <v>83</v>
      </c>
      <c r="G2847" t="s">
        <v>84</v>
      </c>
      <c r="H2847">
        <v>3</v>
      </c>
      <c r="I2847" t="s">
        <v>254</v>
      </c>
      <c r="J2847" t="s">
        <v>390</v>
      </c>
      <c r="K2847">
        <v>340</v>
      </c>
      <c r="L2847" t="s">
        <v>30</v>
      </c>
      <c r="M2847" t="s">
        <v>58</v>
      </c>
    </row>
    <row r="2848" spans="1:13" x14ac:dyDescent="0.35">
      <c r="A2848" t="s">
        <v>4390</v>
      </c>
      <c r="B2848" s="9">
        <v>46063</v>
      </c>
      <c r="C2848" t="s">
        <v>420</v>
      </c>
      <c r="D2848" t="s">
        <v>94</v>
      </c>
      <c r="E2848" t="s">
        <v>34</v>
      </c>
      <c r="F2848" t="s">
        <v>35</v>
      </c>
      <c r="G2848" t="s">
        <v>36</v>
      </c>
      <c r="H2848">
        <v>1</v>
      </c>
      <c r="I2848" t="s">
        <v>28</v>
      </c>
      <c r="J2848" t="s">
        <v>28</v>
      </c>
      <c r="K2848">
        <v>85</v>
      </c>
      <c r="L2848" t="s">
        <v>30</v>
      </c>
      <c r="M2848" t="s">
        <v>58</v>
      </c>
    </row>
    <row r="2849" spans="1:13" x14ac:dyDescent="0.35">
      <c r="A2849" t="s">
        <v>4391</v>
      </c>
      <c r="B2849" s="9">
        <v>46153</v>
      </c>
      <c r="C2849" t="s">
        <v>1813</v>
      </c>
      <c r="D2849" t="s">
        <v>116</v>
      </c>
      <c r="E2849" t="s">
        <v>41</v>
      </c>
      <c r="F2849" t="s">
        <v>26</v>
      </c>
      <c r="G2849" t="s">
        <v>27</v>
      </c>
      <c r="H2849">
        <v>1</v>
      </c>
      <c r="I2849" t="s">
        <v>68</v>
      </c>
      <c r="J2849" t="s">
        <v>68</v>
      </c>
      <c r="K2849" t="s">
        <v>29</v>
      </c>
      <c r="L2849" t="s">
        <v>30</v>
      </c>
      <c r="M2849" t="s">
        <v>22</v>
      </c>
    </row>
    <row r="2850" spans="1:13" x14ac:dyDescent="0.35">
      <c r="A2850" t="s">
        <v>4392</v>
      </c>
      <c r="B2850" s="9">
        <v>46080</v>
      </c>
      <c r="C2850" t="s">
        <v>4185</v>
      </c>
      <c r="D2850" t="s">
        <v>33</v>
      </c>
      <c r="E2850" t="s">
        <v>16</v>
      </c>
      <c r="F2850" t="s">
        <v>83</v>
      </c>
      <c r="G2850" t="s">
        <v>84</v>
      </c>
      <c r="H2850">
        <v>2</v>
      </c>
      <c r="I2850" t="s">
        <v>19</v>
      </c>
      <c r="J2850" t="s">
        <v>238</v>
      </c>
      <c r="K2850">
        <v>340</v>
      </c>
      <c r="L2850" t="s">
        <v>21</v>
      </c>
      <c r="M2850" t="s">
        <v>22</v>
      </c>
    </row>
    <row r="2851" spans="1:13" x14ac:dyDescent="0.35">
      <c r="A2851" t="s">
        <v>4393</v>
      </c>
      <c r="B2851" s="9">
        <v>46169</v>
      </c>
      <c r="C2851" t="s">
        <v>1442</v>
      </c>
      <c r="D2851" t="s">
        <v>94</v>
      </c>
      <c r="E2851" t="s">
        <v>25</v>
      </c>
      <c r="F2851" t="s">
        <v>17</v>
      </c>
      <c r="G2851" t="s">
        <v>18</v>
      </c>
      <c r="H2851">
        <v>2</v>
      </c>
      <c r="I2851" t="s">
        <v>170</v>
      </c>
      <c r="J2851" t="s">
        <v>152</v>
      </c>
      <c r="K2851" t="s">
        <v>29</v>
      </c>
      <c r="L2851" t="s">
        <v>30</v>
      </c>
      <c r="M2851" t="s">
        <v>22</v>
      </c>
    </row>
    <row r="2852" spans="1:13" x14ac:dyDescent="0.35">
      <c r="A2852" t="s">
        <v>4394</v>
      </c>
      <c r="B2852" s="9">
        <v>46072</v>
      </c>
      <c r="C2852" t="s">
        <v>1647</v>
      </c>
      <c r="D2852" t="s">
        <v>40</v>
      </c>
      <c r="E2852" t="s">
        <v>16</v>
      </c>
      <c r="F2852" t="s">
        <v>35</v>
      </c>
      <c r="G2852" t="s">
        <v>36</v>
      </c>
      <c r="H2852">
        <v>1</v>
      </c>
      <c r="I2852" t="s">
        <v>79</v>
      </c>
      <c r="J2852" t="s">
        <v>79</v>
      </c>
      <c r="K2852">
        <v>85</v>
      </c>
      <c r="L2852" t="s">
        <v>21</v>
      </c>
      <c r="M2852" t="s">
        <v>22</v>
      </c>
    </row>
    <row r="2853" spans="1:13" x14ac:dyDescent="0.35">
      <c r="A2853" t="s">
        <v>4395</v>
      </c>
      <c r="B2853" s="9">
        <v>46151</v>
      </c>
      <c r="C2853" t="s">
        <v>1210</v>
      </c>
      <c r="D2853" t="s">
        <v>99</v>
      </c>
      <c r="E2853" t="s">
        <v>41</v>
      </c>
      <c r="F2853" t="s">
        <v>89</v>
      </c>
      <c r="G2853" t="s">
        <v>90</v>
      </c>
      <c r="H2853">
        <v>2</v>
      </c>
      <c r="I2853" t="s">
        <v>68</v>
      </c>
      <c r="J2853" t="s">
        <v>248</v>
      </c>
      <c r="K2853" t="s">
        <v>108</v>
      </c>
      <c r="L2853" t="s">
        <v>30</v>
      </c>
      <c r="M2853" t="s">
        <v>22</v>
      </c>
    </row>
    <row r="2854" spans="1:13" x14ac:dyDescent="0.35">
      <c r="A2854" t="s">
        <v>4396</v>
      </c>
      <c r="B2854" s="9">
        <v>46118</v>
      </c>
      <c r="C2854" t="s">
        <v>1314</v>
      </c>
      <c r="D2854" t="s">
        <v>94</v>
      </c>
      <c r="E2854" t="s">
        <v>67</v>
      </c>
      <c r="F2854" t="s">
        <v>89</v>
      </c>
      <c r="G2854" t="s">
        <v>90</v>
      </c>
      <c r="H2854">
        <v>1</v>
      </c>
      <c r="I2854" t="s">
        <v>170</v>
      </c>
      <c r="J2854" t="s">
        <v>170</v>
      </c>
      <c r="K2854">
        <v>640</v>
      </c>
      <c r="L2854" t="s">
        <v>30</v>
      </c>
      <c r="M2854" t="s">
        <v>22</v>
      </c>
    </row>
    <row r="2855" spans="1:13" x14ac:dyDescent="0.35">
      <c r="A2855" t="s">
        <v>4397</v>
      </c>
      <c r="B2855" s="9">
        <v>46174</v>
      </c>
      <c r="C2855" t="s">
        <v>1046</v>
      </c>
      <c r="D2855" t="s">
        <v>46</v>
      </c>
      <c r="E2855" t="s">
        <v>34</v>
      </c>
      <c r="F2855" t="s">
        <v>89</v>
      </c>
      <c r="G2855" t="s">
        <v>90</v>
      </c>
      <c r="H2855">
        <v>3</v>
      </c>
      <c r="I2855" t="s">
        <v>220</v>
      </c>
      <c r="J2855" t="s">
        <v>494</v>
      </c>
      <c r="K2855">
        <v>640</v>
      </c>
      <c r="L2855" t="s">
        <v>30</v>
      </c>
      <c r="M2855" t="s">
        <v>22</v>
      </c>
    </row>
    <row r="2856" spans="1:13" x14ac:dyDescent="0.35">
      <c r="A2856" t="s">
        <v>4398</v>
      </c>
      <c r="B2856" s="9">
        <v>46199</v>
      </c>
      <c r="C2856" t="s">
        <v>492</v>
      </c>
      <c r="D2856" t="s">
        <v>33</v>
      </c>
      <c r="E2856" t="s">
        <v>41</v>
      </c>
      <c r="F2856" t="s">
        <v>89</v>
      </c>
      <c r="G2856" t="s">
        <v>90</v>
      </c>
      <c r="H2856">
        <v>2</v>
      </c>
      <c r="I2856" t="s">
        <v>19</v>
      </c>
      <c r="J2856" t="s">
        <v>238</v>
      </c>
      <c r="K2856" t="s">
        <v>108</v>
      </c>
      <c r="L2856" t="s">
        <v>30</v>
      </c>
      <c r="M2856" t="s">
        <v>22</v>
      </c>
    </row>
    <row r="2857" spans="1:13" x14ac:dyDescent="0.35">
      <c r="A2857" t="s">
        <v>4399</v>
      </c>
      <c r="B2857" s="9">
        <v>46051</v>
      </c>
      <c r="C2857" t="s">
        <v>2281</v>
      </c>
      <c r="D2857" t="s">
        <v>94</v>
      </c>
      <c r="E2857" t="s">
        <v>41</v>
      </c>
      <c r="F2857" t="s">
        <v>35</v>
      </c>
      <c r="G2857" t="s">
        <v>36</v>
      </c>
      <c r="H2857">
        <v>1</v>
      </c>
      <c r="I2857" t="s">
        <v>85</v>
      </c>
      <c r="J2857" t="s">
        <v>85</v>
      </c>
      <c r="K2857">
        <v>85</v>
      </c>
      <c r="L2857" t="s">
        <v>21</v>
      </c>
      <c r="M2857" t="s">
        <v>22</v>
      </c>
    </row>
    <row r="2858" spans="1:13" x14ac:dyDescent="0.35">
      <c r="A2858" t="s">
        <v>4400</v>
      </c>
      <c r="B2858" s="9">
        <v>46131</v>
      </c>
      <c r="C2858" t="s">
        <v>385</v>
      </c>
      <c r="D2858" t="s">
        <v>33</v>
      </c>
      <c r="E2858" t="s">
        <v>16</v>
      </c>
      <c r="F2858" t="s">
        <v>74</v>
      </c>
      <c r="G2858" t="s">
        <v>75</v>
      </c>
      <c r="H2858">
        <v>1</v>
      </c>
      <c r="I2858" t="s">
        <v>79</v>
      </c>
      <c r="J2858" t="s">
        <v>79</v>
      </c>
      <c r="K2858">
        <v>410</v>
      </c>
      <c r="L2858" t="s">
        <v>30</v>
      </c>
      <c r="M2858" t="s">
        <v>22</v>
      </c>
    </row>
    <row r="2859" spans="1:13" x14ac:dyDescent="0.35">
      <c r="A2859" t="s">
        <v>4401</v>
      </c>
      <c r="B2859" s="9">
        <v>46050</v>
      </c>
      <c r="C2859" t="s">
        <v>696</v>
      </c>
      <c r="D2859" t="s">
        <v>99</v>
      </c>
      <c r="E2859" t="s">
        <v>34</v>
      </c>
      <c r="F2859" t="s">
        <v>83</v>
      </c>
      <c r="G2859" t="s">
        <v>84</v>
      </c>
      <c r="H2859">
        <v>2</v>
      </c>
      <c r="I2859" t="s">
        <v>102</v>
      </c>
      <c r="J2859" t="s">
        <v>181</v>
      </c>
      <c r="K2859">
        <v>340</v>
      </c>
      <c r="L2859" t="s">
        <v>30</v>
      </c>
      <c r="M2859" t="s">
        <v>22</v>
      </c>
    </row>
    <row r="2860" spans="1:13" x14ac:dyDescent="0.35">
      <c r="A2860" t="s">
        <v>4402</v>
      </c>
      <c r="B2860" s="9">
        <v>46043</v>
      </c>
      <c r="C2860" t="s">
        <v>1358</v>
      </c>
      <c r="D2860" t="s">
        <v>46</v>
      </c>
      <c r="E2860" t="s">
        <v>67</v>
      </c>
      <c r="F2860" t="s">
        <v>17</v>
      </c>
      <c r="G2860" t="s">
        <v>18</v>
      </c>
      <c r="H2860">
        <v>1</v>
      </c>
      <c r="I2860" t="s">
        <v>62</v>
      </c>
      <c r="J2860" t="s">
        <v>62</v>
      </c>
      <c r="K2860">
        <v>520</v>
      </c>
      <c r="L2860" t="s">
        <v>30</v>
      </c>
      <c r="M2860" t="s">
        <v>22</v>
      </c>
    </row>
    <row r="2861" spans="1:13" x14ac:dyDescent="0.35">
      <c r="A2861" t="s">
        <v>4403</v>
      </c>
      <c r="B2861" t="s">
        <v>4404</v>
      </c>
      <c r="C2861" t="s">
        <v>4405</v>
      </c>
      <c r="D2861" t="s">
        <v>40</v>
      </c>
      <c r="E2861" t="s">
        <v>25</v>
      </c>
      <c r="F2861" t="s">
        <v>74</v>
      </c>
      <c r="G2861" t="s">
        <v>75</v>
      </c>
      <c r="H2861">
        <v>3</v>
      </c>
      <c r="I2861" t="s">
        <v>102</v>
      </c>
      <c r="J2861" t="s">
        <v>127</v>
      </c>
      <c r="K2861">
        <v>410</v>
      </c>
      <c r="L2861" t="s">
        <v>21</v>
      </c>
      <c r="M2861" t="s">
        <v>22</v>
      </c>
    </row>
    <row r="2862" spans="1:13" x14ac:dyDescent="0.35">
      <c r="A2862" t="s">
        <v>4406</v>
      </c>
      <c r="B2862" s="9">
        <v>46116</v>
      </c>
      <c r="C2862" t="s">
        <v>4407</v>
      </c>
      <c r="D2862" t="s">
        <v>53</v>
      </c>
      <c r="E2862" t="s">
        <v>41</v>
      </c>
      <c r="F2862" t="s">
        <v>42</v>
      </c>
      <c r="G2862" t="s">
        <v>43</v>
      </c>
      <c r="H2862">
        <v>2</v>
      </c>
      <c r="I2862" t="s">
        <v>68</v>
      </c>
      <c r="J2862" t="s">
        <v>248</v>
      </c>
      <c r="K2862">
        <v>190</v>
      </c>
      <c r="L2862" t="s">
        <v>21</v>
      </c>
      <c r="M2862" t="s">
        <v>22</v>
      </c>
    </row>
    <row r="2863" spans="1:13" x14ac:dyDescent="0.35">
      <c r="A2863" t="s">
        <v>4408</v>
      </c>
      <c r="B2863" s="9">
        <v>46195</v>
      </c>
      <c r="C2863" t="s">
        <v>502</v>
      </c>
      <c r="D2863" t="s">
        <v>46</v>
      </c>
      <c r="E2863" t="s">
        <v>34</v>
      </c>
      <c r="F2863" t="s">
        <v>35</v>
      </c>
      <c r="G2863" t="s">
        <v>36</v>
      </c>
      <c r="H2863">
        <v>2</v>
      </c>
      <c r="I2863" t="s">
        <v>71</v>
      </c>
      <c r="J2863" t="s">
        <v>286</v>
      </c>
      <c r="K2863" t="s">
        <v>37</v>
      </c>
      <c r="L2863" t="s">
        <v>30</v>
      </c>
      <c r="M2863" t="s">
        <v>58</v>
      </c>
    </row>
    <row r="2864" spans="1:13" x14ac:dyDescent="0.35">
      <c r="A2864" t="s">
        <v>4409</v>
      </c>
      <c r="B2864" t="s">
        <v>2122</v>
      </c>
      <c r="C2864" t="s">
        <v>2264</v>
      </c>
      <c r="D2864" t="s">
        <v>94</v>
      </c>
      <c r="E2864" t="s">
        <v>25</v>
      </c>
      <c r="F2864" t="s">
        <v>17</v>
      </c>
      <c r="G2864" t="s">
        <v>18</v>
      </c>
      <c r="H2864">
        <v>1</v>
      </c>
      <c r="I2864" t="s">
        <v>56</v>
      </c>
      <c r="J2864" t="s">
        <v>56</v>
      </c>
      <c r="K2864">
        <v>520</v>
      </c>
      <c r="L2864" t="s">
        <v>30</v>
      </c>
      <c r="M2864" t="s">
        <v>22</v>
      </c>
    </row>
    <row r="2865" spans="1:13" x14ac:dyDescent="0.35">
      <c r="A2865" t="s">
        <v>4410</v>
      </c>
      <c r="B2865" s="9">
        <v>46203</v>
      </c>
      <c r="C2865" t="s">
        <v>4411</v>
      </c>
      <c r="D2865" t="s">
        <v>33</v>
      </c>
      <c r="E2865" t="s">
        <v>67</v>
      </c>
      <c r="F2865" t="s">
        <v>74</v>
      </c>
      <c r="G2865" t="s">
        <v>75</v>
      </c>
      <c r="H2865">
        <v>2</v>
      </c>
      <c r="I2865" t="s">
        <v>170</v>
      </c>
      <c r="J2865" t="s">
        <v>152</v>
      </c>
      <c r="K2865" t="s">
        <v>76</v>
      </c>
      <c r="L2865" t="s">
        <v>21</v>
      </c>
      <c r="M2865" t="s">
        <v>22</v>
      </c>
    </row>
    <row r="2866" spans="1:13" x14ac:dyDescent="0.35">
      <c r="A2866" t="s">
        <v>4412</v>
      </c>
      <c r="B2866" s="9">
        <v>46108</v>
      </c>
      <c r="C2866" t="s">
        <v>769</v>
      </c>
      <c r="D2866" t="s">
        <v>99</v>
      </c>
      <c r="E2866" t="s">
        <v>25</v>
      </c>
      <c r="F2866" t="s">
        <v>89</v>
      </c>
      <c r="G2866" t="s">
        <v>90</v>
      </c>
      <c r="H2866">
        <v>1</v>
      </c>
      <c r="I2866" t="s">
        <v>19</v>
      </c>
      <c r="J2866" t="s">
        <v>19</v>
      </c>
      <c r="K2866">
        <v>640</v>
      </c>
      <c r="L2866" t="s">
        <v>30</v>
      </c>
      <c r="M2866" t="s">
        <v>22</v>
      </c>
    </row>
    <row r="2867" spans="1:13" x14ac:dyDescent="0.35">
      <c r="A2867" t="s">
        <v>4413</v>
      </c>
      <c r="B2867" s="9">
        <v>46098</v>
      </c>
      <c r="C2867" t="s">
        <v>397</v>
      </c>
      <c r="D2867" t="s">
        <v>53</v>
      </c>
      <c r="E2867" t="s">
        <v>67</v>
      </c>
      <c r="F2867" t="s">
        <v>42</v>
      </c>
      <c r="G2867" t="s">
        <v>43</v>
      </c>
      <c r="H2867">
        <v>2</v>
      </c>
      <c r="I2867" t="s">
        <v>132</v>
      </c>
      <c r="J2867" t="s">
        <v>133</v>
      </c>
      <c r="K2867">
        <v>190</v>
      </c>
      <c r="L2867" t="s">
        <v>30</v>
      </c>
      <c r="M2867" t="s">
        <v>22</v>
      </c>
    </row>
    <row r="2868" spans="1:13" x14ac:dyDescent="0.35">
      <c r="A2868" t="s">
        <v>4414</v>
      </c>
      <c r="B2868" s="9">
        <v>46169</v>
      </c>
      <c r="C2868" t="s">
        <v>4415</v>
      </c>
      <c r="D2868" t="s">
        <v>94</v>
      </c>
      <c r="E2868" t="s">
        <v>34</v>
      </c>
      <c r="F2868" t="s">
        <v>89</v>
      </c>
      <c r="G2868" t="s">
        <v>90</v>
      </c>
      <c r="H2868">
        <v>1</v>
      </c>
      <c r="I2868" t="s">
        <v>79</v>
      </c>
      <c r="J2868" t="s">
        <v>1171</v>
      </c>
      <c r="K2868" t="s">
        <v>108</v>
      </c>
      <c r="L2868" t="s">
        <v>30</v>
      </c>
      <c r="M2868" t="s">
        <v>22</v>
      </c>
    </row>
    <row r="2869" spans="1:13" x14ac:dyDescent="0.35">
      <c r="A2869" t="s">
        <v>4416</v>
      </c>
      <c r="B2869" s="9">
        <v>46155</v>
      </c>
      <c r="C2869" t="s">
        <v>1369</v>
      </c>
      <c r="D2869" t="s">
        <v>99</v>
      </c>
      <c r="E2869" t="s">
        <v>41</v>
      </c>
      <c r="F2869" t="s">
        <v>47</v>
      </c>
      <c r="G2869" t="s">
        <v>48</v>
      </c>
      <c r="H2869">
        <v>3</v>
      </c>
      <c r="I2869" t="s">
        <v>102</v>
      </c>
      <c r="J2869" t="s">
        <v>127</v>
      </c>
      <c r="K2869" t="s">
        <v>50</v>
      </c>
      <c r="L2869" t="s">
        <v>30</v>
      </c>
      <c r="M2869" t="s">
        <v>22</v>
      </c>
    </row>
    <row r="2870" spans="1:13" x14ac:dyDescent="0.35">
      <c r="A2870" t="s">
        <v>4417</v>
      </c>
      <c r="B2870" t="s">
        <v>236</v>
      </c>
      <c r="C2870" t="s">
        <v>996</v>
      </c>
      <c r="D2870" t="s">
        <v>99</v>
      </c>
      <c r="E2870" t="s">
        <v>67</v>
      </c>
      <c r="F2870" t="s">
        <v>26</v>
      </c>
      <c r="G2870" t="s">
        <v>27</v>
      </c>
      <c r="H2870">
        <v>1</v>
      </c>
      <c r="I2870" t="s">
        <v>102</v>
      </c>
      <c r="J2870" t="s">
        <v>102</v>
      </c>
      <c r="K2870">
        <v>520</v>
      </c>
      <c r="L2870" t="s">
        <v>30</v>
      </c>
      <c r="M2870" t="s">
        <v>22</v>
      </c>
    </row>
    <row r="2871" spans="1:13" x14ac:dyDescent="0.35">
      <c r="A2871" t="s">
        <v>4418</v>
      </c>
      <c r="B2871" s="9">
        <v>46029</v>
      </c>
      <c r="C2871" t="s">
        <v>4349</v>
      </c>
      <c r="D2871" t="s">
        <v>99</v>
      </c>
      <c r="E2871" t="s">
        <v>16</v>
      </c>
      <c r="F2871" t="s">
        <v>35</v>
      </c>
      <c r="G2871" t="s">
        <v>36</v>
      </c>
      <c r="H2871">
        <v>2</v>
      </c>
      <c r="I2871" t="s">
        <v>62</v>
      </c>
      <c r="J2871" t="s">
        <v>63</v>
      </c>
      <c r="K2871">
        <v>85</v>
      </c>
      <c r="L2871" t="s">
        <v>30</v>
      </c>
      <c r="M2871" t="s">
        <v>58</v>
      </c>
    </row>
    <row r="2872" spans="1:13" x14ac:dyDescent="0.35">
      <c r="A2872" t="s">
        <v>4419</v>
      </c>
      <c r="B2872" t="s">
        <v>1063</v>
      </c>
      <c r="C2872" t="s">
        <v>720</v>
      </c>
      <c r="D2872" t="s">
        <v>33</v>
      </c>
      <c r="E2872" t="s">
        <v>34</v>
      </c>
      <c r="F2872" t="s">
        <v>47</v>
      </c>
      <c r="G2872" t="s">
        <v>48</v>
      </c>
      <c r="H2872">
        <v>2</v>
      </c>
      <c r="I2872" t="s">
        <v>254</v>
      </c>
      <c r="J2872" t="s">
        <v>156</v>
      </c>
      <c r="K2872">
        <v>380</v>
      </c>
      <c r="L2872" t="s">
        <v>21</v>
      </c>
      <c r="M2872" t="s">
        <v>22</v>
      </c>
    </row>
    <row r="2873" spans="1:13" x14ac:dyDescent="0.35">
      <c r="A2873" t="s">
        <v>4420</v>
      </c>
      <c r="B2873" s="9">
        <v>46088</v>
      </c>
      <c r="C2873" t="s">
        <v>4421</v>
      </c>
      <c r="D2873" t="s">
        <v>40</v>
      </c>
      <c r="E2873" t="s">
        <v>25</v>
      </c>
      <c r="F2873" t="s">
        <v>89</v>
      </c>
      <c r="G2873" t="s">
        <v>90</v>
      </c>
      <c r="H2873">
        <v>2</v>
      </c>
      <c r="I2873" t="s">
        <v>254</v>
      </c>
      <c r="J2873" t="s">
        <v>156</v>
      </c>
      <c r="K2873">
        <v>640</v>
      </c>
      <c r="L2873" t="s">
        <v>21</v>
      </c>
      <c r="M2873" t="s">
        <v>22</v>
      </c>
    </row>
    <row r="2874" spans="1:13" x14ac:dyDescent="0.35">
      <c r="A2874" t="s">
        <v>4422</v>
      </c>
      <c r="B2874" s="9">
        <v>46091</v>
      </c>
      <c r="C2874" t="s">
        <v>1459</v>
      </c>
      <c r="D2874" t="s">
        <v>94</v>
      </c>
      <c r="E2874" t="s">
        <v>34</v>
      </c>
      <c r="F2874" t="s">
        <v>17</v>
      </c>
      <c r="G2874" t="s">
        <v>18</v>
      </c>
      <c r="H2874">
        <v>1</v>
      </c>
      <c r="I2874" t="s">
        <v>79</v>
      </c>
      <c r="J2874" t="s">
        <v>79</v>
      </c>
      <c r="K2874">
        <v>520</v>
      </c>
      <c r="L2874" t="s">
        <v>30</v>
      </c>
      <c r="M2874" t="s">
        <v>22</v>
      </c>
    </row>
    <row r="2875" spans="1:13" x14ac:dyDescent="0.35">
      <c r="A2875" t="s">
        <v>4423</v>
      </c>
      <c r="B2875" t="s">
        <v>1439</v>
      </c>
      <c r="C2875" t="s">
        <v>1651</v>
      </c>
      <c r="D2875" t="s">
        <v>46</v>
      </c>
      <c r="E2875" t="s">
        <v>25</v>
      </c>
      <c r="F2875" t="s">
        <v>83</v>
      </c>
      <c r="G2875" t="s">
        <v>84</v>
      </c>
      <c r="H2875">
        <v>1</v>
      </c>
      <c r="I2875" t="s">
        <v>220</v>
      </c>
      <c r="J2875" t="s">
        <v>220</v>
      </c>
      <c r="K2875">
        <v>340</v>
      </c>
      <c r="L2875" t="s">
        <v>30</v>
      </c>
      <c r="M2875" t="s">
        <v>22</v>
      </c>
    </row>
    <row r="2876" spans="1:13" x14ac:dyDescent="0.35">
      <c r="A2876" t="s">
        <v>4424</v>
      </c>
      <c r="B2876" s="9">
        <v>46147</v>
      </c>
      <c r="C2876" t="s">
        <v>2995</v>
      </c>
      <c r="D2876" t="s">
        <v>33</v>
      </c>
      <c r="E2876" t="s">
        <v>41</v>
      </c>
      <c r="F2876" t="s">
        <v>47</v>
      </c>
      <c r="G2876" t="s">
        <v>48</v>
      </c>
      <c r="H2876">
        <v>1</v>
      </c>
      <c r="I2876" t="s">
        <v>254</v>
      </c>
      <c r="J2876" t="s">
        <v>254</v>
      </c>
      <c r="K2876" t="s">
        <v>50</v>
      </c>
      <c r="L2876" t="s">
        <v>30</v>
      </c>
      <c r="M2876" t="s">
        <v>22</v>
      </c>
    </row>
    <row r="2877" spans="1:13" x14ac:dyDescent="0.35">
      <c r="A2877" t="s">
        <v>4425</v>
      </c>
      <c r="B2877" s="9">
        <v>46153</v>
      </c>
      <c r="C2877" t="s">
        <v>1117</v>
      </c>
      <c r="D2877" t="s">
        <v>66</v>
      </c>
      <c r="E2877" t="s">
        <v>34</v>
      </c>
      <c r="F2877" t="s">
        <v>74</v>
      </c>
      <c r="G2877" t="s">
        <v>75</v>
      </c>
      <c r="H2877">
        <v>1</v>
      </c>
      <c r="I2877" t="s">
        <v>170</v>
      </c>
      <c r="J2877" t="s">
        <v>170</v>
      </c>
      <c r="K2877" t="s">
        <v>76</v>
      </c>
      <c r="L2877" t="s">
        <v>21</v>
      </c>
      <c r="M2877" t="s">
        <v>22</v>
      </c>
    </row>
    <row r="2878" spans="1:13" x14ac:dyDescent="0.35">
      <c r="A2878" t="s">
        <v>4426</v>
      </c>
      <c r="B2878" s="9">
        <v>46190</v>
      </c>
      <c r="C2878" t="s">
        <v>3795</v>
      </c>
      <c r="D2878" t="s">
        <v>116</v>
      </c>
      <c r="E2878" t="s">
        <v>25</v>
      </c>
      <c r="F2878" t="s">
        <v>83</v>
      </c>
      <c r="G2878" t="s">
        <v>84</v>
      </c>
      <c r="H2878">
        <v>3</v>
      </c>
      <c r="I2878" t="s">
        <v>170</v>
      </c>
      <c r="J2878" t="s">
        <v>856</v>
      </c>
      <c r="K2878" t="s">
        <v>103</v>
      </c>
      <c r="L2878" t="s">
        <v>30</v>
      </c>
      <c r="M2878" t="s">
        <v>22</v>
      </c>
    </row>
    <row r="2879" spans="1:13" x14ac:dyDescent="0.35">
      <c r="A2879" t="s">
        <v>4427</v>
      </c>
      <c r="B2879" s="9">
        <v>46065</v>
      </c>
      <c r="C2879" t="s">
        <v>1332</v>
      </c>
      <c r="D2879" t="s">
        <v>53</v>
      </c>
      <c r="E2879" t="s">
        <v>41</v>
      </c>
      <c r="F2879" t="s">
        <v>35</v>
      </c>
      <c r="G2879" t="s">
        <v>36</v>
      </c>
      <c r="H2879">
        <v>1</v>
      </c>
      <c r="I2879" t="s">
        <v>362</v>
      </c>
      <c r="J2879" t="s">
        <v>68</v>
      </c>
      <c r="K2879">
        <v>85</v>
      </c>
      <c r="L2879" t="s">
        <v>30</v>
      </c>
      <c r="M2879" t="s">
        <v>58</v>
      </c>
    </row>
    <row r="2880" spans="1:13" x14ac:dyDescent="0.35">
      <c r="A2880" t="s">
        <v>4428</v>
      </c>
      <c r="B2880" s="9">
        <v>46156</v>
      </c>
      <c r="C2880" t="s">
        <v>315</v>
      </c>
      <c r="D2880" t="s">
        <v>40</v>
      </c>
      <c r="E2880" t="s">
        <v>16</v>
      </c>
      <c r="F2880" t="s">
        <v>42</v>
      </c>
      <c r="G2880" t="s">
        <v>43</v>
      </c>
      <c r="H2880">
        <v>2</v>
      </c>
      <c r="I2880" t="s">
        <v>254</v>
      </c>
      <c r="J2880" t="s">
        <v>156</v>
      </c>
      <c r="K2880" t="s">
        <v>111</v>
      </c>
      <c r="L2880" t="s">
        <v>30</v>
      </c>
      <c r="M2880" t="s">
        <v>22</v>
      </c>
    </row>
    <row r="2881" spans="1:13" x14ac:dyDescent="0.35">
      <c r="A2881" t="s">
        <v>4429</v>
      </c>
      <c r="B2881" s="9">
        <v>46029</v>
      </c>
      <c r="C2881" t="s">
        <v>938</v>
      </c>
      <c r="D2881" t="s">
        <v>15</v>
      </c>
      <c r="E2881" t="s">
        <v>34</v>
      </c>
      <c r="F2881" t="s">
        <v>47</v>
      </c>
      <c r="G2881" t="s">
        <v>48</v>
      </c>
      <c r="H2881">
        <v>2</v>
      </c>
      <c r="I2881" t="s">
        <v>170</v>
      </c>
      <c r="J2881" t="s">
        <v>1573</v>
      </c>
      <c r="K2881">
        <v>380</v>
      </c>
      <c r="L2881" t="s">
        <v>30</v>
      </c>
      <c r="M2881" t="s">
        <v>22</v>
      </c>
    </row>
    <row r="2882" spans="1:13" x14ac:dyDescent="0.35">
      <c r="A2882" t="s">
        <v>4430</v>
      </c>
      <c r="B2882" s="9">
        <v>46183</v>
      </c>
      <c r="C2882" t="s">
        <v>509</v>
      </c>
      <c r="D2882" t="s">
        <v>61</v>
      </c>
      <c r="E2882" t="s">
        <v>25</v>
      </c>
      <c r="F2882" t="s">
        <v>26</v>
      </c>
      <c r="G2882" t="s">
        <v>27</v>
      </c>
      <c r="H2882">
        <v>1</v>
      </c>
      <c r="I2882" t="s">
        <v>71</v>
      </c>
      <c r="J2882" t="s">
        <v>71</v>
      </c>
      <c r="K2882" t="s">
        <v>29</v>
      </c>
      <c r="L2882" t="s">
        <v>21</v>
      </c>
      <c r="M2882" t="s">
        <v>22</v>
      </c>
    </row>
    <row r="2883" spans="1:13" x14ac:dyDescent="0.35">
      <c r="A2883" t="s">
        <v>4431</v>
      </c>
      <c r="B2883" s="9">
        <v>46064</v>
      </c>
      <c r="C2883" t="s">
        <v>328</v>
      </c>
      <c r="D2883" t="s">
        <v>99</v>
      </c>
      <c r="E2883" t="s">
        <v>41</v>
      </c>
      <c r="F2883" t="s">
        <v>17</v>
      </c>
      <c r="G2883" t="s">
        <v>18</v>
      </c>
      <c r="H2883">
        <v>1</v>
      </c>
      <c r="I2883" t="s">
        <v>79</v>
      </c>
      <c r="J2883" t="s">
        <v>79</v>
      </c>
      <c r="K2883">
        <v>520</v>
      </c>
      <c r="L2883" t="s">
        <v>21</v>
      </c>
      <c r="M2883" t="s">
        <v>22</v>
      </c>
    </row>
    <row r="2884" spans="1:13" x14ac:dyDescent="0.35">
      <c r="A2884" t="s">
        <v>4432</v>
      </c>
      <c r="B2884" t="s">
        <v>1398</v>
      </c>
      <c r="C2884" t="s">
        <v>1540</v>
      </c>
      <c r="D2884" t="s">
        <v>66</v>
      </c>
      <c r="E2884" t="s">
        <v>25</v>
      </c>
      <c r="F2884" t="s">
        <v>83</v>
      </c>
      <c r="G2884" t="s">
        <v>84</v>
      </c>
      <c r="H2884">
        <v>1</v>
      </c>
      <c r="I2884" t="s">
        <v>254</v>
      </c>
      <c r="J2884" t="s">
        <v>254</v>
      </c>
      <c r="K2884">
        <v>340</v>
      </c>
      <c r="L2884" t="s">
        <v>30</v>
      </c>
      <c r="M2884" t="s">
        <v>22</v>
      </c>
    </row>
    <row r="2885" spans="1:13" x14ac:dyDescent="0.35">
      <c r="A2885" t="s">
        <v>4433</v>
      </c>
      <c r="B2885" s="9">
        <v>46130</v>
      </c>
      <c r="C2885" t="s">
        <v>940</v>
      </c>
      <c r="D2885" t="s">
        <v>33</v>
      </c>
      <c r="E2885" t="s">
        <v>67</v>
      </c>
      <c r="F2885" t="s">
        <v>17</v>
      </c>
      <c r="G2885" t="s">
        <v>18</v>
      </c>
      <c r="H2885">
        <v>3</v>
      </c>
      <c r="I2885" t="s">
        <v>28</v>
      </c>
      <c r="J2885" t="s">
        <v>568</v>
      </c>
      <c r="K2885">
        <v>520</v>
      </c>
      <c r="L2885" t="s">
        <v>30</v>
      </c>
      <c r="M2885" t="s">
        <v>58</v>
      </c>
    </row>
    <row r="2886" spans="1:13" x14ac:dyDescent="0.35">
      <c r="A2886" t="s">
        <v>4434</v>
      </c>
      <c r="B2886" s="9">
        <v>46134</v>
      </c>
      <c r="C2886" t="s">
        <v>3479</v>
      </c>
      <c r="D2886" t="s">
        <v>116</v>
      </c>
      <c r="E2886" t="s">
        <v>16</v>
      </c>
      <c r="F2886" t="s">
        <v>26</v>
      </c>
      <c r="G2886" t="s">
        <v>27</v>
      </c>
      <c r="H2886">
        <v>1</v>
      </c>
      <c r="I2886" t="s">
        <v>1213</v>
      </c>
      <c r="J2886" t="s">
        <v>1049</v>
      </c>
      <c r="K2886" t="s">
        <v>29</v>
      </c>
      <c r="L2886" t="s">
        <v>21</v>
      </c>
      <c r="M2886" t="s">
        <v>22</v>
      </c>
    </row>
    <row r="2887" spans="1:13" x14ac:dyDescent="0.35">
      <c r="A2887" t="s">
        <v>4435</v>
      </c>
      <c r="B2887" s="9">
        <v>46181</v>
      </c>
      <c r="C2887" t="s">
        <v>4436</v>
      </c>
      <c r="D2887" t="s">
        <v>53</v>
      </c>
      <c r="E2887" t="s">
        <v>41</v>
      </c>
      <c r="F2887" t="s">
        <v>83</v>
      </c>
      <c r="G2887" t="s">
        <v>84</v>
      </c>
      <c r="H2887">
        <v>2</v>
      </c>
      <c r="I2887" t="s">
        <v>220</v>
      </c>
      <c r="J2887" t="s">
        <v>4437</v>
      </c>
      <c r="K2887" t="s">
        <v>103</v>
      </c>
      <c r="L2887" t="s">
        <v>30</v>
      </c>
      <c r="M2887" t="s">
        <v>22</v>
      </c>
    </row>
    <row r="2888" spans="1:13" x14ac:dyDescent="0.35">
      <c r="A2888" t="s">
        <v>4438</v>
      </c>
      <c r="B2888" s="9">
        <v>46157</v>
      </c>
      <c r="C2888" t="s">
        <v>580</v>
      </c>
      <c r="D2888" t="s">
        <v>61</v>
      </c>
      <c r="E2888" t="s">
        <v>16</v>
      </c>
      <c r="F2888" t="s">
        <v>42</v>
      </c>
      <c r="G2888" t="s">
        <v>43</v>
      </c>
      <c r="H2888">
        <v>1</v>
      </c>
      <c r="I2888" t="s">
        <v>68</v>
      </c>
      <c r="J2888" t="s">
        <v>68</v>
      </c>
      <c r="K2888" t="s">
        <v>111</v>
      </c>
      <c r="L2888" t="s">
        <v>21</v>
      </c>
      <c r="M2888" t="s">
        <v>22</v>
      </c>
    </row>
    <row r="2889" spans="1:13" x14ac:dyDescent="0.35">
      <c r="A2889" t="s">
        <v>4439</v>
      </c>
      <c r="B2889" s="9">
        <v>46029</v>
      </c>
      <c r="C2889" t="s">
        <v>2112</v>
      </c>
      <c r="D2889" t="s">
        <v>33</v>
      </c>
      <c r="E2889" t="s">
        <v>25</v>
      </c>
      <c r="F2889" t="s">
        <v>74</v>
      </c>
      <c r="G2889" t="s">
        <v>75</v>
      </c>
      <c r="H2889">
        <v>1</v>
      </c>
      <c r="I2889" t="s">
        <v>62</v>
      </c>
      <c r="J2889" t="s">
        <v>62</v>
      </c>
      <c r="K2889">
        <v>410</v>
      </c>
      <c r="L2889" t="s">
        <v>30</v>
      </c>
      <c r="M2889" t="s">
        <v>22</v>
      </c>
    </row>
    <row r="2890" spans="1:13" x14ac:dyDescent="0.35">
      <c r="A2890" t="s">
        <v>4440</v>
      </c>
      <c r="B2890" s="9">
        <v>46159</v>
      </c>
      <c r="C2890" t="s">
        <v>4441</v>
      </c>
      <c r="D2890" t="s">
        <v>66</v>
      </c>
      <c r="E2890" t="s">
        <v>34</v>
      </c>
      <c r="F2890" t="s">
        <v>47</v>
      </c>
      <c r="G2890" t="s">
        <v>48</v>
      </c>
      <c r="H2890">
        <v>1</v>
      </c>
      <c r="I2890" t="s">
        <v>132</v>
      </c>
      <c r="J2890" t="s">
        <v>132</v>
      </c>
      <c r="K2890" t="s">
        <v>50</v>
      </c>
      <c r="L2890" t="s">
        <v>21</v>
      </c>
      <c r="M2890" t="s">
        <v>22</v>
      </c>
    </row>
    <row r="2891" spans="1:13" x14ac:dyDescent="0.35">
      <c r="A2891" t="s">
        <v>4442</v>
      </c>
      <c r="B2891" s="9">
        <v>46102</v>
      </c>
      <c r="C2891" t="s">
        <v>4107</v>
      </c>
      <c r="D2891" t="s">
        <v>99</v>
      </c>
      <c r="E2891" t="s">
        <v>67</v>
      </c>
      <c r="F2891" t="s">
        <v>26</v>
      </c>
      <c r="G2891" t="s">
        <v>27</v>
      </c>
      <c r="H2891">
        <v>3</v>
      </c>
      <c r="I2891" t="s">
        <v>479</v>
      </c>
      <c r="J2891" t="s">
        <v>379</v>
      </c>
      <c r="K2891">
        <v>520</v>
      </c>
      <c r="L2891" t="s">
        <v>21</v>
      </c>
      <c r="M2891" t="s">
        <v>22</v>
      </c>
    </row>
    <row r="2892" spans="1:13" x14ac:dyDescent="0.35">
      <c r="A2892" t="s">
        <v>4443</v>
      </c>
      <c r="B2892" s="9">
        <v>46095</v>
      </c>
      <c r="C2892" t="s">
        <v>564</v>
      </c>
      <c r="D2892" t="s">
        <v>33</v>
      </c>
      <c r="E2892" t="s">
        <v>25</v>
      </c>
      <c r="F2892" t="s">
        <v>74</v>
      </c>
      <c r="G2892" t="s">
        <v>75</v>
      </c>
      <c r="H2892">
        <v>2</v>
      </c>
      <c r="I2892" t="s">
        <v>106</v>
      </c>
      <c r="J2892" t="s">
        <v>107</v>
      </c>
      <c r="K2892">
        <v>410</v>
      </c>
      <c r="L2892" t="s">
        <v>30</v>
      </c>
      <c r="M2892" t="s">
        <v>22</v>
      </c>
    </row>
    <row r="2893" spans="1:13" x14ac:dyDescent="0.35">
      <c r="A2893" t="s">
        <v>4444</v>
      </c>
      <c r="B2893" s="9">
        <v>46085</v>
      </c>
      <c r="C2893" t="s">
        <v>4445</v>
      </c>
      <c r="D2893" t="s">
        <v>61</v>
      </c>
      <c r="E2893" t="s">
        <v>25</v>
      </c>
      <c r="F2893" t="s">
        <v>35</v>
      </c>
      <c r="G2893" t="s">
        <v>36</v>
      </c>
      <c r="H2893">
        <v>3</v>
      </c>
      <c r="I2893" t="s">
        <v>71</v>
      </c>
      <c r="J2893" t="s">
        <v>379</v>
      </c>
      <c r="K2893">
        <v>85</v>
      </c>
      <c r="L2893" t="s">
        <v>30</v>
      </c>
      <c r="M2893" t="s">
        <v>58</v>
      </c>
    </row>
    <row r="2894" spans="1:13" x14ac:dyDescent="0.35">
      <c r="A2894" t="s">
        <v>4446</v>
      </c>
      <c r="B2894" s="9">
        <v>46196</v>
      </c>
      <c r="C2894" t="s">
        <v>1124</v>
      </c>
      <c r="D2894" t="s">
        <v>116</v>
      </c>
      <c r="E2894" t="s">
        <v>25</v>
      </c>
      <c r="F2894" t="s">
        <v>74</v>
      </c>
      <c r="G2894" t="s">
        <v>75</v>
      </c>
      <c r="H2894">
        <v>1</v>
      </c>
      <c r="I2894" t="s">
        <v>1213</v>
      </c>
      <c r="J2894" t="s">
        <v>106</v>
      </c>
      <c r="K2894" t="s">
        <v>76</v>
      </c>
      <c r="L2894" t="s">
        <v>30</v>
      </c>
      <c r="M2894" t="s">
        <v>22</v>
      </c>
    </row>
    <row r="2895" spans="1:13" x14ac:dyDescent="0.35">
      <c r="A2895" t="s">
        <v>4447</v>
      </c>
      <c r="B2895" s="9">
        <v>46066</v>
      </c>
      <c r="C2895" t="s">
        <v>613</v>
      </c>
      <c r="D2895" t="s">
        <v>66</v>
      </c>
      <c r="E2895" t="s">
        <v>16</v>
      </c>
      <c r="F2895" t="s">
        <v>47</v>
      </c>
      <c r="G2895" t="s">
        <v>48</v>
      </c>
      <c r="H2895">
        <v>2</v>
      </c>
      <c r="I2895" t="s">
        <v>19</v>
      </c>
      <c r="J2895" t="s">
        <v>238</v>
      </c>
      <c r="K2895">
        <v>380</v>
      </c>
      <c r="L2895" t="s">
        <v>21</v>
      </c>
      <c r="M2895" t="s">
        <v>22</v>
      </c>
    </row>
    <row r="2896" spans="1:13" x14ac:dyDescent="0.35">
      <c r="A2896" t="s">
        <v>4448</v>
      </c>
      <c r="B2896" s="9">
        <v>46098</v>
      </c>
      <c r="C2896" t="s">
        <v>2273</v>
      </c>
      <c r="D2896" t="s">
        <v>40</v>
      </c>
      <c r="E2896" t="s">
        <v>41</v>
      </c>
      <c r="F2896" t="s">
        <v>35</v>
      </c>
      <c r="G2896" t="s">
        <v>36</v>
      </c>
      <c r="H2896">
        <v>1</v>
      </c>
      <c r="I2896" t="s">
        <v>254</v>
      </c>
      <c r="J2896" t="s">
        <v>254</v>
      </c>
      <c r="K2896">
        <v>85</v>
      </c>
      <c r="L2896" t="s">
        <v>21</v>
      </c>
      <c r="M2896" t="s">
        <v>58</v>
      </c>
    </row>
    <row r="2897" spans="1:13" x14ac:dyDescent="0.35">
      <c r="A2897" t="s">
        <v>4449</v>
      </c>
      <c r="B2897" s="9">
        <v>46199</v>
      </c>
      <c r="C2897" t="s">
        <v>3847</v>
      </c>
      <c r="D2897" t="s">
        <v>40</v>
      </c>
      <c r="E2897" t="s">
        <v>16</v>
      </c>
      <c r="F2897" t="s">
        <v>89</v>
      </c>
      <c r="G2897" t="s">
        <v>90</v>
      </c>
      <c r="H2897">
        <v>1</v>
      </c>
      <c r="I2897" t="s">
        <v>136</v>
      </c>
      <c r="J2897" t="s">
        <v>136</v>
      </c>
      <c r="K2897" t="s">
        <v>108</v>
      </c>
      <c r="L2897" t="s">
        <v>30</v>
      </c>
      <c r="M2897" t="s">
        <v>22</v>
      </c>
    </row>
    <row r="2898" spans="1:13" x14ac:dyDescent="0.35">
      <c r="A2898" t="s">
        <v>4450</v>
      </c>
      <c r="B2898" s="9">
        <v>46121</v>
      </c>
      <c r="C2898" t="s">
        <v>2633</v>
      </c>
      <c r="D2898" t="s">
        <v>46</v>
      </c>
      <c r="E2898" t="s">
        <v>67</v>
      </c>
      <c r="F2898" t="s">
        <v>35</v>
      </c>
      <c r="G2898" t="s">
        <v>36</v>
      </c>
      <c r="H2898">
        <v>1</v>
      </c>
      <c r="I2898" t="s">
        <v>49</v>
      </c>
      <c r="J2898" t="s">
        <v>49</v>
      </c>
      <c r="K2898">
        <v>85</v>
      </c>
      <c r="L2898" t="s">
        <v>30</v>
      </c>
      <c r="M2898" t="s">
        <v>22</v>
      </c>
    </row>
    <row r="2899" spans="1:13" x14ac:dyDescent="0.35">
      <c r="A2899" t="s">
        <v>4451</v>
      </c>
      <c r="B2899" s="9">
        <v>46083</v>
      </c>
      <c r="C2899" t="s">
        <v>2187</v>
      </c>
      <c r="D2899" t="s">
        <v>66</v>
      </c>
      <c r="E2899" t="s">
        <v>25</v>
      </c>
      <c r="F2899" t="s">
        <v>74</v>
      </c>
      <c r="G2899" t="s">
        <v>75</v>
      </c>
      <c r="H2899">
        <v>2</v>
      </c>
      <c r="I2899" t="s">
        <v>136</v>
      </c>
      <c r="J2899" t="s">
        <v>164</v>
      </c>
      <c r="K2899">
        <v>410</v>
      </c>
      <c r="L2899" t="s">
        <v>30</v>
      </c>
      <c r="M2899" t="s">
        <v>22</v>
      </c>
    </row>
    <row r="2900" spans="1:13" x14ac:dyDescent="0.35">
      <c r="A2900" t="s">
        <v>4452</v>
      </c>
      <c r="B2900" s="9">
        <v>46182</v>
      </c>
      <c r="C2900" t="s">
        <v>4453</v>
      </c>
      <c r="D2900" t="s">
        <v>99</v>
      </c>
      <c r="E2900" t="s">
        <v>25</v>
      </c>
      <c r="F2900" t="s">
        <v>74</v>
      </c>
      <c r="G2900" t="s">
        <v>75</v>
      </c>
      <c r="H2900">
        <v>3</v>
      </c>
      <c r="I2900" t="s">
        <v>106</v>
      </c>
      <c r="J2900" t="s">
        <v>160</v>
      </c>
      <c r="K2900" t="s">
        <v>76</v>
      </c>
      <c r="L2900" t="s">
        <v>30</v>
      </c>
      <c r="M2900" t="s">
        <v>22</v>
      </c>
    </row>
    <row r="2901" spans="1:13" x14ac:dyDescent="0.35">
      <c r="A2901" t="s">
        <v>4454</v>
      </c>
      <c r="B2901" s="9">
        <v>46181</v>
      </c>
      <c r="C2901" t="s">
        <v>3251</v>
      </c>
      <c r="D2901" t="s">
        <v>15</v>
      </c>
      <c r="E2901" t="s">
        <v>34</v>
      </c>
      <c r="F2901" t="s">
        <v>47</v>
      </c>
      <c r="G2901" t="s">
        <v>48</v>
      </c>
      <c r="H2901">
        <v>2</v>
      </c>
      <c r="I2901" t="s">
        <v>102</v>
      </c>
      <c r="J2901" t="s">
        <v>181</v>
      </c>
      <c r="K2901" t="s">
        <v>50</v>
      </c>
      <c r="L2901" t="s">
        <v>30</v>
      </c>
      <c r="M2901" t="s">
        <v>22</v>
      </c>
    </row>
    <row r="2902" spans="1:13" x14ac:dyDescent="0.35">
      <c r="A2902" t="s">
        <v>4455</v>
      </c>
      <c r="B2902" s="9">
        <v>46172</v>
      </c>
      <c r="C2902" t="s">
        <v>2650</v>
      </c>
      <c r="D2902" t="s">
        <v>116</v>
      </c>
      <c r="E2902" t="s">
        <v>34</v>
      </c>
      <c r="F2902" t="s">
        <v>89</v>
      </c>
      <c r="G2902" t="s">
        <v>90</v>
      </c>
      <c r="H2902">
        <v>2</v>
      </c>
      <c r="I2902" t="s">
        <v>19</v>
      </c>
      <c r="J2902" t="s">
        <v>238</v>
      </c>
      <c r="K2902" t="s">
        <v>108</v>
      </c>
      <c r="L2902" t="s">
        <v>30</v>
      </c>
      <c r="M2902" t="s">
        <v>22</v>
      </c>
    </row>
    <row r="2903" spans="1:13" x14ac:dyDescent="0.35">
      <c r="A2903" t="s">
        <v>4456</v>
      </c>
      <c r="B2903" s="9">
        <v>46162</v>
      </c>
      <c r="C2903" t="s">
        <v>1243</v>
      </c>
      <c r="D2903" t="s">
        <v>66</v>
      </c>
      <c r="E2903" t="s">
        <v>41</v>
      </c>
      <c r="F2903" t="s">
        <v>26</v>
      </c>
      <c r="G2903" t="s">
        <v>27</v>
      </c>
      <c r="H2903">
        <v>2</v>
      </c>
      <c r="I2903" t="s">
        <v>170</v>
      </c>
      <c r="J2903" t="s">
        <v>152</v>
      </c>
      <c r="K2903" t="s">
        <v>29</v>
      </c>
      <c r="L2903" t="s">
        <v>30</v>
      </c>
      <c r="M2903" t="s">
        <v>22</v>
      </c>
    </row>
    <row r="2904" spans="1:13" x14ac:dyDescent="0.35">
      <c r="A2904" t="s">
        <v>4457</v>
      </c>
      <c r="B2904" t="s">
        <v>4458</v>
      </c>
      <c r="C2904" t="s">
        <v>3244</v>
      </c>
      <c r="D2904" t="s">
        <v>15</v>
      </c>
      <c r="E2904" t="s">
        <v>34</v>
      </c>
      <c r="F2904" t="s">
        <v>83</v>
      </c>
      <c r="G2904" t="s">
        <v>84</v>
      </c>
      <c r="H2904">
        <v>1</v>
      </c>
      <c r="I2904" t="s">
        <v>220</v>
      </c>
      <c r="J2904" t="s">
        <v>2206</v>
      </c>
      <c r="K2904" t="s">
        <v>103</v>
      </c>
      <c r="L2904" t="s">
        <v>30</v>
      </c>
      <c r="M2904" t="s">
        <v>22</v>
      </c>
    </row>
    <row r="2905" spans="1:13" x14ac:dyDescent="0.35">
      <c r="A2905" t="s">
        <v>4459</v>
      </c>
      <c r="B2905" s="9">
        <v>46119</v>
      </c>
      <c r="C2905" t="s">
        <v>585</v>
      </c>
      <c r="D2905" t="s">
        <v>116</v>
      </c>
      <c r="E2905" t="s">
        <v>25</v>
      </c>
      <c r="F2905" t="s">
        <v>42</v>
      </c>
      <c r="G2905" t="s">
        <v>43</v>
      </c>
      <c r="H2905">
        <v>1</v>
      </c>
      <c r="I2905" t="s">
        <v>645</v>
      </c>
      <c r="J2905" t="s">
        <v>102</v>
      </c>
      <c r="K2905">
        <v>190</v>
      </c>
      <c r="L2905" t="s">
        <v>30</v>
      </c>
      <c r="M2905" t="s">
        <v>22</v>
      </c>
    </row>
    <row r="2906" spans="1:13" x14ac:dyDescent="0.35">
      <c r="A2906" t="s">
        <v>4460</v>
      </c>
      <c r="B2906" s="9">
        <v>46188</v>
      </c>
      <c r="C2906" t="s">
        <v>4225</v>
      </c>
      <c r="D2906" t="s">
        <v>94</v>
      </c>
      <c r="E2906" t="s">
        <v>16</v>
      </c>
      <c r="F2906" t="s">
        <v>35</v>
      </c>
      <c r="G2906" t="s">
        <v>36</v>
      </c>
      <c r="H2906">
        <v>2</v>
      </c>
      <c r="I2906" t="s">
        <v>106</v>
      </c>
      <c r="J2906" t="s">
        <v>107</v>
      </c>
      <c r="K2906" t="s">
        <v>37</v>
      </c>
      <c r="L2906" t="s">
        <v>30</v>
      </c>
      <c r="M2906" t="s">
        <v>22</v>
      </c>
    </row>
    <row r="2907" spans="1:13" x14ac:dyDescent="0.35">
      <c r="A2907" t="s">
        <v>4461</v>
      </c>
      <c r="B2907" t="s">
        <v>590</v>
      </c>
      <c r="C2907" t="s">
        <v>1437</v>
      </c>
      <c r="D2907" t="s">
        <v>61</v>
      </c>
      <c r="E2907" t="s">
        <v>67</v>
      </c>
      <c r="F2907" t="s">
        <v>83</v>
      </c>
      <c r="G2907" t="s">
        <v>84</v>
      </c>
      <c r="H2907">
        <v>2</v>
      </c>
      <c r="I2907" t="s">
        <v>2615</v>
      </c>
      <c r="J2907" t="s">
        <v>286</v>
      </c>
      <c r="K2907">
        <v>340</v>
      </c>
      <c r="L2907" t="s">
        <v>30</v>
      </c>
      <c r="M2907" t="s">
        <v>22</v>
      </c>
    </row>
    <row r="2908" spans="1:13" x14ac:dyDescent="0.35">
      <c r="A2908" t="s">
        <v>4462</v>
      </c>
      <c r="B2908" s="9">
        <v>46082</v>
      </c>
      <c r="C2908" t="s">
        <v>256</v>
      </c>
      <c r="D2908" t="s">
        <v>116</v>
      </c>
      <c r="E2908" t="s">
        <v>67</v>
      </c>
      <c r="F2908" t="s">
        <v>89</v>
      </c>
      <c r="G2908" t="s">
        <v>90</v>
      </c>
      <c r="H2908">
        <v>1</v>
      </c>
      <c r="I2908" t="s">
        <v>106</v>
      </c>
      <c r="J2908" t="s">
        <v>106</v>
      </c>
      <c r="K2908">
        <v>640</v>
      </c>
      <c r="L2908" t="s">
        <v>30</v>
      </c>
      <c r="M2908" t="s">
        <v>22</v>
      </c>
    </row>
    <row r="2909" spans="1:13" x14ac:dyDescent="0.35">
      <c r="A2909" t="s">
        <v>4463</v>
      </c>
      <c r="B2909" s="9">
        <v>46194</v>
      </c>
      <c r="C2909" t="s">
        <v>3033</v>
      </c>
      <c r="D2909" t="s">
        <v>53</v>
      </c>
      <c r="E2909" t="s">
        <v>16</v>
      </c>
      <c r="F2909" t="s">
        <v>74</v>
      </c>
      <c r="G2909" t="s">
        <v>75</v>
      </c>
      <c r="H2909">
        <v>2</v>
      </c>
      <c r="I2909" t="s">
        <v>170</v>
      </c>
      <c r="J2909" t="s">
        <v>152</v>
      </c>
      <c r="K2909" t="s">
        <v>76</v>
      </c>
      <c r="L2909" t="s">
        <v>30</v>
      </c>
      <c r="M2909" t="s">
        <v>22</v>
      </c>
    </row>
    <row r="2910" spans="1:13" x14ac:dyDescent="0.35">
      <c r="A2910" t="s">
        <v>4464</v>
      </c>
      <c r="B2910" s="9">
        <v>46148</v>
      </c>
      <c r="C2910" t="s">
        <v>703</v>
      </c>
      <c r="D2910" t="s">
        <v>53</v>
      </c>
      <c r="E2910" t="s">
        <v>41</v>
      </c>
      <c r="F2910" t="s">
        <v>74</v>
      </c>
      <c r="G2910" t="s">
        <v>75</v>
      </c>
      <c r="H2910">
        <v>1</v>
      </c>
      <c r="I2910" t="s">
        <v>79</v>
      </c>
      <c r="J2910" t="s">
        <v>79</v>
      </c>
      <c r="K2910" t="s">
        <v>76</v>
      </c>
      <c r="L2910" t="s">
        <v>30</v>
      </c>
      <c r="M2910" t="s">
        <v>22</v>
      </c>
    </row>
    <row r="2911" spans="1:13" x14ac:dyDescent="0.35">
      <c r="A2911" t="s">
        <v>4465</v>
      </c>
      <c r="B2911" s="9">
        <v>46049</v>
      </c>
      <c r="C2911" t="s">
        <v>4466</v>
      </c>
      <c r="D2911" t="s">
        <v>33</v>
      </c>
      <c r="E2911" t="s">
        <v>16</v>
      </c>
      <c r="F2911" t="s">
        <v>35</v>
      </c>
      <c r="G2911" t="s">
        <v>36</v>
      </c>
      <c r="H2911">
        <v>1</v>
      </c>
      <c r="I2911" t="s">
        <v>79</v>
      </c>
      <c r="J2911" t="s">
        <v>79</v>
      </c>
      <c r="K2911">
        <v>85</v>
      </c>
      <c r="L2911" t="s">
        <v>30</v>
      </c>
      <c r="M2911" t="s">
        <v>22</v>
      </c>
    </row>
    <row r="2912" spans="1:13" x14ac:dyDescent="0.35">
      <c r="A2912" t="s">
        <v>4467</v>
      </c>
      <c r="B2912" s="9">
        <v>46136</v>
      </c>
      <c r="C2912" t="s">
        <v>358</v>
      </c>
      <c r="D2912" t="s">
        <v>33</v>
      </c>
      <c r="E2912" t="s">
        <v>34</v>
      </c>
      <c r="F2912" t="s">
        <v>47</v>
      </c>
      <c r="G2912" t="s">
        <v>48</v>
      </c>
      <c r="H2912">
        <v>1</v>
      </c>
      <c r="I2912" t="s">
        <v>28</v>
      </c>
      <c r="J2912" t="s">
        <v>28</v>
      </c>
      <c r="K2912" t="s">
        <v>50</v>
      </c>
      <c r="L2912" t="s">
        <v>30</v>
      </c>
      <c r="M2912" t="s">
        <v>58</v>
      </c>
    </row>
    <row r="2913" spans="1:13" x14ac:dyDescent="0.35">
      <c r="A2913" t="s">
        <v>4468</v>
      </c>
      <c r="B2913" s="9">
        <v>46207</v>
      </c>
      <c r="C2913" t="s">
        <v>2993</v>
      </c>
      <c r="D2913" t="s">
        <v>33</v>
      </c>
      <c r="E2913" t="s">
        <v>25</v>
      </c>
      <c r="F2913" t="s">
        <v>26</v>
      </c>
      <c r="G2913" t="s">
        <v>27</v>
      </c>
      <c r="H2913">
        <v>1</v>
      </c>
      <c r="I2913" t="s">
        <v>608</v>
      </c>
      <c r="J2913" t="s">
        <v>132</v>
      </c>
      <c r="K2913" t="s">
        <v>29</v>
      </c>
      <c r="L2913" t="s">
        <v>30</v>
      </c>
      <c r="M2913" t="s">
        <v>58</v>
      </c>
    </row>
    <row r="2914" spans="1:13" x14ac:dyDescent="0.35">
      <c r="A2914" t="s">
        <v>4469</v>
      </c>
      <c r="B2914" s="9">
        <v>46204</v>
      </c>
      <c r="C2914" t="s">
        <v>1642</v>
      </c>
      <c r="D2914" t="s">
        <v>53</v>
      </c>
      <c r="E2914" t="s">
        <v>67</v>
      </c>
      <c r="F2914" t="s">
        <v>42</v>
      </c>
      <c r="G2914" t="s">
        <v>43</v>
      </c>
      <c r="H2914">
        <v>2</v>
      </c>
      <c r="I2914" t="s">
        <v>28</v>
      </c>
      <c r="J2914" t="s">
        <v>3461</v>
      </c>
      <c r="K2914" t="s">
        <v>111</v>
      </c>
      <c r="L2914" t="s">
        <v>30</v>
      </c>
      <c r="M2914" t="s">
        <v>22</v>
      </c>
    </row>
    <row r="2915" spans="1:13" x14ac:dyDescent="0.35">
      <c r="A2915" t="s">
        <v>4470</v>
      </c>
      <c r="B2915" s="9">
        <v>46163</v>
      </c>
      <c r="C2915" t="s">
        <v>1628</v>
      </c>
      <c r="D2915" t="s">
        <v>66</v>
      </c>
      <c r="E2915" t="s">
        <v>34</v>
      </c>
      <c r="F2915" t="s">
        <v>35</v>
      </c>
      <c r="G2915" t="s">
        <v>36</v>
      </c>
      <c r="H2915">
        <v>1</v>
      </c>
      <c r="I2915" t="s">
        <v>79</v>
      </c>
      <c r="J2915" t="s">
        <v>79</v>
      </c>
      <c r="K2915" t="s">
        <v>37</v>
      </c>
      <c r="L2915" t="s">
        <v>30</v>
      </c>
      <c r="M2915" t="s">
        <v>22</v>
      </c>
    </row>
    <row r="2916" spans="1:13" x14ac:dyDescent="0.35">
      <c r="A2916" t="s">
        <v>4471</v>
      </c>
      <c r="B2916" s="9">
        <v>46031</v>
      </c>
      <c r="C2916" t="s">
        <v>3172</v>
      </c>
      <c r="D2916" t="s">
        <v>66</v>
      </c>
      <c r="E2916" t="s">
        <v>16</v>
      </c>
      <c r="F2916" t="s">
        <v>74</v>
      </c>
      <c r="G2916" t="s">
        <v>75</v>
      </c>
      <c r="H2916">
        <v>3</v>
      </c>
      <c r="I2916" t="s">
        <v>19</v>
      </c>
      <c r="J2916" t="s">
        <v>326</v>
      </c>
      <c r="K2916">
        <v>410</v>
      </c>
      <c r="L2916" t="s">
        <v>30</v>
      </c>
      <c r="M2916" t="s">
        <v>22</v>
      </c>
    </row>
    <row r="2917" spans="1:13" x14ac:dyDescent="0.35">
      <c r="A2917" t="s">
        <v>4472</v>
      </c>
      <c r="B2917" s="9">
        <v>46140</v>
      </c>
      <c r="C2917" t="s">
        <v>288</v>
      </c>
      <c r="D2917" t="s">
        <v>116</v>
      </c>
      <c r="E2917" t="s">
        <v>34</v>
      </c>
      <c r="F2917" t="s">
        <v>26</v>
      </c>
      <c r="G2917" t="s">
        <v>27</v>
      </c>
      <c r="H2917">
        <v>-1</v>
      </c>
      <c r="I2917" t="s">
        <v>102</v>
      </c>
      <c r="J2917" t="s">
        <v>1136</v>
      </c>
      <c r="K2917" t="s">
        <v>29</v>
      </c>
      <c r="L2917" t="s">
        <v>30</v>
      </c>
      <c r="M2917" t="s">
        <v>22</v>
      </c>
    </row>
    <row r="2918" spans="1:13" x14ac:dyDescent="0.35">
      <c r="A2918" t="s">
        <v>4473</v>
      </c>
      <c r="B2918" t="s">
        <v>4474</v>
      </c>
      <c r="C2918" t="s">
        <v>1888</v>
      </c>
      <c r="D2918" t="s">
        <v>61</v>
      </c>
      <c r="E2918" t="s">
        <v>16</v>
      </c>
      <c r="F2918" t="s">
        <v>17</v>
      </c>
      <c r="G2918" t="s">
        <v>18</v>
      </c>
      <c r="H2918">
        <v>2</v>
      </c>
      <c r="I2918" t="s">
        <v>68</v>
      </c>
      <c r="J2918" t="s">
        <v>248</v>
      </c>
      <c r="K2918" t="s">
        <v>29</v>
      </c>
      <c r="L2918" t="s">
        <v>30</v>
      </c>
      <c r="M2918" t="s">
        <v>22</v>
      </c>
    </row>
    <row r="2919" spans="1:13" x14ac:dyDescent="0.35">
      <c r="A2919" t="s">
        <v>4475</v>
      </c>
      <c r="B2919" s="9">
        <v>46093</v>
      </c>
      <c r="C2919" t="s">
        <v>694</v>
      </c>
      <c r="D2919" t="s">
        <v>94</v>
      </c>
      <c r="E2919" t="s">
        <v>67</v>
      </c>
      <c r="F2919" t="s">
        <v>74</v>
      </c>
      <c r="G2919" t="s">
        <v>75</v>
      </c>
      <c r="H2919">
        <v>1</v>
      </c>
      <c r="I2919" t="s">
        <v>737</v>
      </c>
      <c r="J2919" t="s">
        <v>102</v>
      </c>
      <c r="K2919">
        <v>410</v>
      </c>
      <c r="L2919" t="s">
        <v>21</v>
      </c>
      <c r="M2919" t="s">
        <v>22</v>
      </c>
    </row>
    <row r="2920" spans="1:13" x14ac:dyDescent="0.35">
      <c r="A2920" t="s">
        <v>4476</v>
      </c>
      <c r="B2920" s="9">
        <v>46137</v>
      </c>
      <c r="C2920" t="s">
        <v>2779</v>
      </c>
      <c r="D2920" t="s">
        <v>15</v>
      </c>
      <c r="E2920" t="s">
        <v>25</v>
      </c>
      <c r="F2920" t="s">
        <v>42</v>
      </c>
      <c r="G2920" t="s">
        <v>43</v>
      </c>
      <c r="H2920">
        <v>1</v>
      </c>
      <c r="I2920" t="s">
        <v>132</v>
      </c>
      <c r="J2920" t="s">
        <v>132</v>
      </c>
      <c r="K2920" t="s">
        <v>111</v>
      </c>
      <c r="L2920" t="s">
        <v>30</v>
      </c>
      <c r="M2920" t="s">
        <v>22</v>
      </c>
    </row>
    <row r="2921" spans="1:13" x14ac:dyDescent="0.35">
      <c r="A2921" t="s">
        <v>4477</v>
      </c>
      <c r="B2921" s="9">
        <v>46076</v>
      </c>
      <c r="C2921" t="s">
        <v>832</v>
      </c>
      <c r="D2921" t="s">
        <v>40</v>
      </c>
      <c r="E2921" t="s">
        <v>34</v>
      </c>
      <c r="F2921" t="s">
        <v>74</v>
      </c>
      <c r="G2921" t="s">
        <v>75</v>
      </c>
      <c r="H2921">
        <v>1</v>
      </c>
      <c r="I2921" t="s">
        <v>102</v>
      </c>
      <c r="J2921" t="s">
        <v>102</v>
      </c>
      <c r="K2921">
        <v>410</v>
      </c>
      <c r="L2921" t="s">
        <v>30</v>
      </c>
      <c r="M2921" t="s">
        <v>22</v>
      </c>
    </row>
    <row r="2922" spans="1:13" x14ac:dyDescent="0.35">
      <c r="A2922" t="s">
        <v>4478</v>
      </c>
      <c r="B2922" s="9">
        <v>46038</v>
      </c>
      <c r="C2922" t="s">
        <v>1407</v>
      </c>
      <c r="D2922" t="s">
        <v>53</v>
      </c>
      <c r="E2922" t="s">
        <v>16</v>
      </c>
      <c r="F2922" t="s">
        <v>17</v>
      </c>
      <c r="G2922" t="s">
        <v>18</v>
      </c>
      <c r="H2922">
        <v>1</v>
      </c>
      <c r="I2922" t="s">
        <v>28</v>
      </c>
      <c r="J2922" t="s">
        <v>28</v>
      </c>
      <c r="K2922">
        <v>520</v>
      </c>
      <c r="L2922" t="s">
        <v>30</v>
      </c>
      <c r="M2922" t="s">
        <v>22</v>
      </c>
    </row>
    <row r="2923" spans="1:13" x14ac:dyDescent="0.35">
      <c r="A2923" t="s">
        <v>4479</v>
      </c>
      <c r="B2923" s="9">
        <v>46298</v>
      </c>
      <c r="C2923" t="s">
        <v>1072</v>
      </c>
      <c r="D2923" t="s">
        <v>99</v>
      </c>
      <c r="E2923" t="s">
        <v>16</v>
      </c>
      <c r="F2923" t="s">
        <v>83</v>
      </c>
      <c r="G2923" t="s">
        <v>84</v>
      </c>
      <c r="H2923">
        <v>2</v>
      </c>
      <c r="I2923" t="s">
        <v>68</v>
      </c>
      <c r="J2923" t="s">
        <v>248</v>
      </c>
      <c r="K2923">
        <v>340</v>
      </c>
      <c r="L2923" t="s">
        <v>30</v>
      </c>
      <c r="M2923" t="s">
        <v>22</v>
      </c>
    </row>
    <row r="2924" spans="1:13" x14ac:dyDescent="0.35">
      <c r="A2924" t="s">
        <v>4480</v>
      </c>
      <c r="B2924" s="9">
        <v>46058</v>
      </c>
      <c r="C2924" t="s">
        <v>3589</v>
      </c>
      <c r="D2924" t="s">
        <v>61</v>
      </c>
      <c r="E2924" t="s">
        <v>16</v>
      </c>
      <c r="F2924" t="s">
        <v>89</v>
      </c>
      <c r="G2924" t="s">
        <v>90</v>
      </c>
      <c r="H2924">
        <v>2</v>
      </c>
      <c r="I2924" t="s">
        <v>254</v>
      </c>
      <c r="J2924" t="s">
        <v>156</v>
      </c>
      <c r="K2924" t="s">
        <v>108</v>
      </c>
      <c r="L2924" t="s">
        <v>30</v>
      </c>
      <c r="M2924" t="s">
        <v>58</v>
      </c>
    </row>
    <row r="2925" spans="1:13" x14ac:dyDescent="0.35">
      <c r="A2925" t="s">
        <v>4481</v>
      </c>
      <c r="B2925" s="9">
        <v>46045</v>
      </c>
      <c r="C2925" t="s">
        <v>139</v>
      </c>
      <c r="D2925" t="s">
        <v>46</v>
      </c>
      <c r="E2925" t="s">
        <v>34</v>
      </c>
      <c r="F2925" t="s">
        <v>35</v>
      </c>
      <c r="G2925" t="s">
        <v>36</v>
      </c>
      <c r="H2925">
        <v>2</v>
      </c>
      <c r="I2925" t="s">
        <v>71</v>
      </c>
      <c r="J2925" t="s">
        <v>286</v>
      </c>
      <c r="K2925">
        <v>85</v>
      </c>
      <c r="L2925" t="s">
        <v>30</v>
      </c>
      <c r="M2925" t="s">
        <v>22</v>
      </c>
    </row>
    <row r="2926" spans="1:13" x14ac:dyDescent="0.35">
      <c r="A2926" t="s">
        <v>4482</v>
      </c>
      <c r="B2926" s="9">
        <v>46029</v>
      </c>
      <c r="C2926" t="s">
        <v>2199</v>
      </c>
      <c r="D2926" t="s">
        <v>33</v>
      </c>
      <c r="E2926" t="s">
        <v>34</v>
      </c>
      <c r="F2926" t="s">
        <v>35</v>
      </c>
      <c r="G2926" t="s">
        <v>36</v>
      </c>
      <c r="H2926">
        <v>-2</v>
      </c>
      <c r="I2926" t="s">
        <v>68</v>
      </c>
      <c r="J2926" t="s">
        <v>1084</v>
      </c>
      <c r="K2926">
        <v>85</v>
      </c>
      <c r="L2926" t="s">
        <v>21</v>
      </c>
      <c r="M2926" t="s">
        <v>22</v>
      </c>
    </row>
    <row r="2927" spans="1:13" x14ac:dyDescent="0.35">
      <c r="A2927" t="s">
        <v>4483</v>
      </c>
      <c r="B2927" s="9">
        <v>46092</v>
      </c>
      <c r="C2927" t="s">
        <v>3138</v>
      </c>
      <c r="D2927" t="s">
        <v>33</v>
      </c>
      <c r="E2927" t="s">
        <v>67</v>
      </c>
      <c r="F2927" t="s">
        <v>35</v>
      </c>
      <c r="G2927" t="s">
        <v>36</v>
      </c>
      <c r="H2927">
        <v>1</v>
      </c>
      <c r="I2927" t="s">
        <v>68</v>
      </c>
      <c r="J2927" t="s">
        <v>68</v>
      </c>
      <c r="K2927">
        <v>85</v>
      </c>
      <c r="L2927" t="s">
        <v>30</v>
      </c>
      <c r="M2927" t="s">
        <v>58</v>
      </c>
    </row>
    <row r="2928" spans="1:13" x14ac:dyDescent="0.35">
      <c r="A2928" t="s">
        <v>4484</v>
      </c>
      <c r="B2928" s="9">
        <v>46049</v>
      </c>
      <c r="C2928" t="s">
        <v>3149</v>
      </c>
      <c r="D2928" t="s">
        <v>33</v>
      </c>
      <c r="E2928" t="s">
        <v>67</v>
      </c>
      <c r="F2928" t="s">
        <v>74</v>
      </c>
      <c r="G2928" t="s">
        <v>75</v>
      </c>
      <c r="H2928">
        <v>3</v>
      </c>
      <c r="I2928" t="s">
        <v>132</v>
      </c>
      <c r="J2928" t="s">
        <v>232</v>
      </c>
      <c r="K2928">
        <v>410</v>
      </c>
      <c r="L2928" t="s">
        <v>21</v>
      </c>
      <c r="M2928" t="s">
        <v>58</v>
      </c>
    </row>
    <row r="2929" spans="1:13" x14ac:dyDescent="0.35">
      <c r="A2929" t="s">
        <v>4485</v>
      </c>
      <c r="B2929" s="9">
        <v>46035</v>
      </c>
      <c r="C2929" t="s">
        <v>2348</v>
      </c>
      <c r="D2929" t="s">
        <v>61</v>
      </c>
      <c r="E2929" t="s">
        <v>41</v>
      </c>
      <c r="F2929" t="s">
        <v>42</v>
      </c>
      <c r="G2929" t="s">
        <v>43</v>
      </c>
      <c r="H2929">
        <v>1</v>
      </c>
      <c r="I2929" t="s">
        <v>254</v>
      </c>
      <c r="J2929" t="s">
        <v>254</v>
      </c>
      <c r="K2929">
        <v>190</v>
      </c>
      <c r="L2929" t="s">
        <v>21</v>
      </c>
      <c r="M2929" t="s">
        <v>22</v>
      </c>
    </row>
    <row r="2930" spans="1:13" x14ac:dyDescent="0.35">
      <c r="A2930" t="s">
        <v>4486</v>
      </c>
      <c r="B2930" s="9">
        <v>46130</v>
      </c>
      <c r="C2930" t="s">
        <v>389</v>
      </c>
      <c r="D2930" t="s">
        <v>99</v>
      </c>
      <c r="E2930" t="s">
        <v>16</v>
      </c>
      <c r="F2930" t="s">
        <v>74</v>
      </c>
      <c r="G2930" t="s">
        <v>75</v>
      </c>
      <c r="H2930">
        <v>3</v>
      </c>
      <c r="I2930" t="s">
        <v>49</v>
      </c>
      <c r="J2930" t="s">
        <v>257</v>
      </c>
      <c r="K2930">
        <v>410</v>
      </c>
      <c r="L2930" t="s">
        <v>30</v>
      </c>
      <c r="M2930" t="s">
        <v>58</v>
      </c>
    </row>
    <row r="2931" spans="1:13" x14ac:dyDescent="0.35">
      <c r="A2931" t="s">
        <v>4487</v>
      </c>
      <c r="B2931" s="9">
        <v>46117</v>
      </c>
      <c r="C2931" t="s">
        <v>537</v>
      </c>
      <c r="D2931" t="s">
        <v>66</v>
      </c>
      <c r="E2931" t="s">
        <v>16</v>
      </c>
      <c r="F2931" t="s">
        <v>89</v>
      </c>
      <c r="G2931" t="s">
        <v>90</v>
      </c>
      <c r="H2931">
        <v>1</v>
      </c>
      <c r="I2931" t="s">
        <v>85</v>
      </c>
      <c r="J2931" t="s">
        <v>85</v>
      </c>
      <c r="K2931">
        <v>640</v>
      </c>
      <c r="L2931" t="s">
        <v>30</v>
      </c>
      <c r="M2931" t="s">
        <v>22</v>
      </c>
    </row>
    <row r="2932" spans="1:13" x14ac:dyDescent="0.35">
      <c r="A2932" t="s">
        <v>4488</v>
      </c>
      <c r="B2932" s="9">
        <v>46207</v>
      </c>
      <c r="C2932" t="s">
        <v>2550</v>
      </c>
      <c r="D2932" t="s">
        <v>99</v>
      </c>
      <c r="E2932" t="s">
        <v>67</v>
      </c>
      <c r="F2932" t="s">
        <v>47</v>
      </c>
      <c r="G2932" t="s">
        <v>48</v>
      </c>
      <c r="H2932">
        <v>2</v>
      </c>
      <c r="I2932" t="s">
        <v>102</v>
      </c>
      <c r="J2932" t="s">
        <v>1565</v>
      </c>
      <c r="K2932" t="s">
        <v>50</v>
      </c>
      <c r="L2932" t="s">
        <v>30</v>
      </c>
      <c r="M2932" t="s">
        <v>22</v>
      </c>
    </row>
    <row r="2933" spans="1:13" x14ac:dyDescent="0.35">
      <c r="A2933" t="s">
        <v>4489</v>
      </c>
      <c r="B2933" s="9">
        <v>46087</v>
      </c>
      <c r="C2933" t="s">
        <v>159</v>
      </c>
      <c r="D2933" t="s">
        <v>33</v>
      </c>
      <c r="E2933" t="s">
        <v>67</v>
      </c>
      <c r="F2933" t="s">
        <v>89</v>
      </c>
      <c r="G2933" t="s">
        <v>90</v>
      </c>
      <c r="H2933">
        <v>-2</v>
      </c>
      <c r="I2933" t="s">
        <v>56</v>
      </c>
      <c r="J2933" t="s">
        <v>4490</v>
      </c>
      <c r="K2933">
        <v>640</v>
      </c>
      <c r="L2933" t="s">
        <v>21</v>
      </c>
      <c r="M2933" t="s">
        <v>22</v>
      </c>
    </row>
    <row r="2934" spans="1:13" x14ac:dyDescent="0.35">
      <c r="A2934" t="s">
        <v>4491</v>
      </c>
      <c r="B2934" s="9">
        <v>46186</v>
      </c>
      <c r="C2934" t="s">
        <v>905</v>
      </c>
      <c r="D2934" t="s">
        <v>15</v>
      </c>
      <c r="E2934" t="s">
        <v>67</v>
      </c>
      <c r="F2934" t="s">
        <v>74</v>
      </c>
      <c r="G2934" t="s">
        <v>75</v>
      </c>
      <c r="H2934">
        <v>3</v>
      </c>
      <c r="I2934" t="s">
        <v>132</v>
      </c>
      <c r="J2934" t="s">
        <v>4492</v>
      </c>
      <c r="K2934" t="s">
        <v>76</v>
      </c>
      <c r="L2934" t="s">
        <v>30</v>
      </c>
      <c r="M2934" t="s">
        <v>22</v>
      </c>
    </row>
    <row r="2935" spans="1:13" x14ac:dyDescent="0.35">
      <c r="A2935" t="s">
        <v>4493</v>
      </c>
      <c r="B2935" s="9">
        <v>46044</v>
      </c>
      <c r="C2935" t="s">
        <v>4355</v>
      </c>
      <c r="D2935" t="s">
        <v>15</v>
      </c>
      <c r="E2935" t="s">
        <v>67</v>
      </c>
      <c r="F2935" t="s">
        <v>42</v>
      </c>
      <c r="G2935" t="s">
        <v>43</v>
      </c>
      <c r="H2935">
        <v>2</v>
      </c>
      <c r="I2935" t="s">
        <v>19</v>
      </c>
      <c r="J2935" t="s">
        <v>238</v>
      </c>
      <c r="K2935">
        <v>190</v>
      </c>
      <c r="L2935" t="s">
        <v>30</v>
      </c>
      <c r="M2935" t="s">
        <v>22</v>
      </c>
    </row>
    <row r="2936" spans="1:13" x14ac:dyDescent="0.35">
      <c r="A2936" t="s">
        <v>4494</v>
      </c>
      <c r="B2936" s="9">
        <v>46151</v>
      </c>
      <c r="C2936" t="s">
        <v>4495</v>
      </c>
      <c r="D2936" t="s">
        <v>15</v>
      </c>
      <c r="E2936" t="s">
        <v>16</v>
      </c>
      <c r="F2936" t="s">
        <v>74</v>
      </c>
      <c r="G2936" t="s">
        <v>75</v>
      </c>
      <c r="H2936">
        <v>1</v>
      </c>
      <c r="I2936" t="s">
        <v>85</v>
      </c>
      <c r="J2936" t="s">
        <v>550</v>
      </c>
      <c r="K2936" t="s">
        <v>76</v>
      </c>
      <c r="L2936" t="s">
        <v>21</v>
      </c>
      <c r="M2936" t="s">
        <v>22</v>
      </c>
    </row>
    <row r="2937" spans="1:13" x14ac:dyDescent="0.35">
      <c r="A2937" t="s">
        <v>4496</v>
      </c>
      <c r="B2937" s="9">
        <v>46149</v>
      </c>
      <c r="C2937" t="s">
        <v>1221</v>
      </c>
      <c r="D2937" t="s">
        <v>40</v>
      </c>
      <c r="E2937" t="s">
        <v>41</v>
      </c>
      <c r="F2937" t="s">
        <v>74</v>
      </c>
      <c r="G2937" t="s">
        <v>75</v>
      </c>
      <c r="H2937">
        <v>2</v>
      </c>
      <c r="I2937" t="s">
        <v>136</v>
      </c>
      <c r="J2937" t="s">
        <v>164</v>
      </c>
      <c r="K2937" t="s">
        <v>76</v>
      </c>
      <c r="L2937" t="s">
        <v>30</v>
      </c>
      <c r="M2937" t="s">
        <v>22</v>
      </c>
    </row>
    <row r="2938" spans="1:13" x14ac:dyDescent="0.35">
      <c r="A2938" t="s">
        <v>4497</v>
      </c>
      <c r="B2938" s="9">
        <v>46097</v>
      </c>
      <c r="C2938" t="s">
        <v>2273</v>
      </c>
      <c r="D2938" t="s">
        <v>46</v>
      </c>
      <c r="E2938" t="s">
        <v>34</v>
      </c>
      <c r="F2938" t="s">
        <v>42</v>
      </c>
      <c r="G2938" t="s">
        <v>43</v>
      </c>
      <c r="H2938">
        <v>1</v>
      </c>
      <c r="I2938" t="s">
        <v>62</v>
      </c>
      <c r="J2938" t="s">
        <v>62</v>
      </c>
      <c r="K2938">
        <v>190</v>
      </c>
      <c r="L2938" t="s">
        <v>30</v>
      </c>
      <c r="M2938" t="s">
        <v>22</v>
      </c>
    </row>
    <row r="2939" spans="1:13" x14ac:dyDescent="0.35">
      <c r="A2939" t="s">
        <v>4498</v>
      </c>
      <c r="B2939" s="9">
        <v>46048</v>
      </c>
      <c r="C2939" t="s">
        <v>2489</v>
      </c>
      <c r="D2939" t="s">
        <v>116</v>
      </c>
      <c r="E2939" t="s">
        <v>67</v>
      </c>
      <c r="F2939" t="s">
        <v>35</v>
      </c>
      <c r="G2939" t="s">
        <v>36</v>
      </c>
      <c r="H2939">
        <v>2</v>
      </c>
      <c r="I2939" t="s">
        <v>254</v>
      </c>
      <c r="J2939" t="s">
        <v>156</v>
      </c>
      <c r="K2939">
        <v>85</v>
      </c>
      <c r="L2939" t="s">
        <v>30</v>
      </c>
      <c r="M2939" t="s">
        <v>58</v>
      </c>
    </row>
    <row r="2940" spans="1:13" x14ac:dyDescent="0.35">
      <c r="A2940" t="s">
        <v>4499</v>
      </c>
      <c r="B2940" s="9">
        <v>46153</v>
      </c>
      <c r="C2940" t="s">
        <v>1986</v>
      </c>
      <c r="D2940" t="s">
        <v>53</v>
      </c>
      <c r="E2940" t="s">
        <v>34</v>
      </c>
      <c r="F2940" t="s">
        <v>74</v>
      </c>
      <c r="G2940" t="s">
        <v>75</v>
      </c>
      <c r="H2940">
        <v>1</v>
      </c>
      <c r="I2940" t="s">
        <v>28</v>
      </c>
      <c r="J2940" t="s">
        <v>28</v>
      </c>
      <c r="K2940" t="s">
        <v>76</v>
      </c>
      <c r="L2940" t="s">
        <v>30</v>
      </c>
      <c r="M2940" t="s">
        <v>22</v>
      </c>
    </row>
    <row r="2941" spans="1:13" x14ac:dyDescent="0.35">
      <c r="A2941" t="s">
        <v>4500</v>
      </c>
      <c r="B2941" s="9">
        <v>46116</v>
      </c>
      <c r="C2941" t="s">
        <v>1931</v>
      </c>
      <c r="D2941" t="s">
        <v>61</v>
      </c>
      <c r="E2941" t="s">
        <v>67</v>
      </c>
      <c r="F2941" t="s">
        <v>74</v>
      </c>
      <c r="G2941" t="s">
        <v>75</v>
      </c>
      <c r="H2941">
        <v>2</v>
      </c>
      <c r="I2941" t="s">
        <v>56</v>
      </c>
      <c r="J2941" t="s">
        <v>193</v>
      </c>
      <c r="K2941">
        <v>410</v>
      </c>
      <c r="L2941" t="s">
        <v>30</v>
      </c>
      <c r="M2941" t="s">
        <v>22</v>
      </c>
    </row>
    <row r="2942" spans="1:13" x14ac:dyDescent="0.35">
      <c r="A2942" t="s">
        <v>4501</v>
      </c>
      <c r="B2942" s="9">
        <v>46173</v>
      </c>
      <c r="C2942" t="s">
        <v>537</v>
      </c>
      <c r="D2942" t="s">
        <v>66</v>
      </c>
      <c r="E2942" t="s">
        <v>25</v>
      </c>
      <c r="F2942" t="s">
        <v>26</v>
      </c>
      <c r="G2942" t="s">
        <v>27</v>
      </c>
      <c r="H2942">
        <v>1</v>
      </c>
      <c r="I2942" t="s">
        <v>106</v>
      </c>
      <c r="J2942" t="s">
        <v>106</v>
      </c>
      <c r="K2942" t="s">
        <v>29</v>
      </c>
      <c r="L2942" t="s">
        <v>21</v>
      </c>
      <c r="M2942" t="s">
        <v>22</v>
      </c>
    </row>
    <row r="2943" spans="1:13" x14ac:dyDescent="0.35">
      <c r="A2943" t="s">
        <v>4502</v>
      </c>
      <c r="B2943" s="9">
        <v>46092</v>
      </c>
      <c r="C2943" t="s">
        <v>4503</v>
      </c>
      <c r="D2943" t="s">
        <v>99</v>
      </c>
      <c r="E2943" t="s">
        <v>67</v>
      </c>
      <c r="F2943" t="s">
        <v>47</v>
      </c>
      <c r="G2943" t="s">
        <v>48</v>
      </c>
      <c r="H2943">
        <v>3</v>
      </c>
      <c r="I2943" t="s">
        <v>254</v>
      </c>
      <c r="J2943" t="s">
        <v>390</v>
      </c>
      <c r="K2943">
        <v>380</v>
      </c>
      <c r="L2943" t="s">
        <v>30</v>
      </c>
      <c r="M2943" t="s">
        <v>22</v>
      </c>
    </row>
    <row r="2944" spans="1:13" x14ac:dyDescent="0.35">
      <c r="A2944" t="s">
        <v>4504</v>
      </c>
      <c r="B2944" s="9">
        <v>46043</v>
      </c>
      <c r="C2944" t="s">
        <v>1688</v>
      </c>
      <c r="D2944" t="s">
        <v>15</v>
      </c>
      <c r="E2944" t="s">
        <v>41</v>
      </c>
      <c r="F2944" t="s">
        <v>35</v>
      </c>
      <c r="G2944" t="s">
        <v>36</v>
      </c>
      <c r="H2944">
        <v>1</v>
      </c>
      <c r="I2944" t="s">
        <v>49</v>
      </c>
      <c r="J2944" t="s">
        <v>49</v>
      </c>
      <c r="K2944">
        <v>85</v>
      </c>
      <c r="L2944" t="s">
        <v>30</v>
      </c>
      <c r="M2944" t="s">
        <v>22</v>
      </c>
    </row>
    <row r="2945" spans="1:13" x14ac:dyDescent="0.35">
      <c r="A2945" t="s">
        <v>4505</v>
      </c>
      <c r="B2945" s="9">
        <v>46329</v>
      </c>
      <c r="C2945" t="s">
        <v>1608</v>
      </c>
      <c r="D2945" t="s">
        <v>61</v>
      </c>
      <c r="E2945" t="s">
        <v>41</v>
      </c>
      <c r="F2945" t="s">
        <v>83</v>
      </c>
      <c r="G2945" t="s">
        <v>84</v>
      </c>
      <c r="H2945">
        <v>2</v>
      </c>
      <c r="I2945" t="s">
        <v>71</v>
      </c>
      <c r="J2945" t="s">
        <v>286</v>
      </c>
      <c r="K2945">
        <v>340</v>
      </c>
      <c r="L2945" t="s">
        <v>30</v>
      </c>
      <c r="M2945" t="s">
        <v>22</v>
      </c>
    </row>
    <row r="2946" spans="1:13" x14ac:dyDescent="0.35">
      <c r="A2946" t="s">
        <v>4338</v>
      </c>
      <c r="B2946" s="9">
        <v>46114</v>
      </c>
      <c r="C2946" t="s">
        <v>1467</v>
      </c>
      <c r="D2946" t="s">
        <v>116</v>
      </c>
      <c r="E2946" t="s">
        <v>67</v>
      </c>
      <c r="F2946" t="s">
        <v>47</v>
      </c>
      <c r="G2946" t="s">
        <v>48</v>
      </c>
      <c r="H2946">
        <v>1</v>
      </c>
      <c r="I2946" t="s">
        <v>28</v>
      </c>
      <c r="J2946" t="s">
        <v>28</v>
      </c>
      <c r="K2946">
        <v>380</v>
      </c>
      <c r="L2946" t="s">
        <v>21</v>
      </c>
      <c r="M2946" t="s">
        <v>22</v>
      </c>
    </row>
    <row r="2947" spans="1:13" x14ac:dyDescent="0.35">
      <c r="A2947" t="s">
        <v>4506</v>
      </c>
      <c r="B2947" s="9">
        <v>46114</v>
      </c>
      <c r="C2947" t="s">
        <v>1036</v>
      </c>
      <c r="D2947" t="s">
        <v>99</v>
      </c>
      <c r="E2947" t="s">
        <v>41</v>
      </c>
      <c r="F2947" t="s">
        <v>35</v>
      </c>
      <c r="G2947" t="s">
        <v>36</v>
      </c>
      <c r="H2947">
        <v>1</v>
      </c>
      <c r="I2947" t="s">
        <v>56</v>
      </c>
      <c r="J2947" t="s">
        <v>56</v>
      </c>
      <c r="K2947">
        <v>85</v>
      </c>
      <c r="L2947" t="s">
        <v>30</v>
      </c>
      <c r="M2947" t="s">
        <v>58</v>
      </c>
    </row>
    <row r="2948" spans="1:13" x14ac:dyDescent="0.35">
      <c r="A2948" t="s">
        <v>4507</v>
      </c>
      <c r="B2948" t="s">
        <v>590</v>
      </c>
      <c r="C2948" t="s">
        <v>1142</v>
      </c>
      <c r="D2948" t="s">
        <v>94</v>
      </c>
      <c r="E2948" t="s">
        <v>67</v>
      </c>
      <c r="F2948" t="s">
        <v>83</v>
      </c>
      <c r="G2948" t="s">
        <v>84</v>
      </c>
      <c r="H2948">
        <v>2</v>
      </c>
      <c r="I2948" t="s">
        <v>170</v>
      </c>
      <c r="J2948" t="s">
        <v>152</v>
      </c>
      <c r="K2948">
        <v>340</v>
      </c>
      <c r="L2948" t="s">
        <v>30</v>
      </c>
      <c r="M2948" t="s">
        <v>22</v>
      </c>
    </row>
    <row r="2949" spans="1:13" x14ac:dyDescent="0.35">
      <c r="A2949" t="s">
        <v>4508</v>
      </c>
      <c r="B2949" s="9">
        <v>46156</v>
      </c>
      <c r="C2949" t="s">
        <v>1076</v>
      </c>
      <c r="D2949" t="s">
        <v>116</v>
      </c>
      <c r="E2949" t="s">
        <v>25</v>
      </c>
      <c r="F2949" t="s">
        <v>74</v>
      </c>
      <c r="G2949" t="s">
        <v>75</v>
      </c>
      <c r="H2949">
        <v>3</v>
      </c>
      <c r="I2949" t="s">
        <v>62</v>
      </c>
      <c r="J2949" t="s">
        <v>488</v>
      </c>
      <c r="K2949" t="s">
        <v>76</v>
      </c>
      <c r="L2949" t="s">
        <v>30</v>
      </c>
      <c r="M2949" t="s">
        <v>22</v>
      </c>
    </row>
    <row r="2950" spans="1:13" x14ac:dyDescent="0.35">
      <c r="A2950" t="s">
        <v>4509</v>
      </c>
      <c r="B2950" s="9">
        <v>46038</v>
      </c>
      <c r="C2950" t="s">
        <v>2468</v>
      </c>
      <c r="D2950" t="s">
        <v>66</v>
      </c>
      <c r="E2950" t="s">
        <v>34</v>
      </c>
      <c r="F2950" t="s">
        <v>17</v>
      </c>
      <c r="G2950" t="s">
        <v>18</v>
      </c>
      <c r="H2950">
        <v>3</v>
      </c>
      <c r="I2950" t="s">
        <v>220</v>
      </c>
      <c r="J2950" t="s">
        <v>494</v>
      </c>
      <c r="K2950">
        <v>520</v>
      </c>
      <c r="L2950" t="s">
        <v>21</v>
      </c>
      <c r="M2950" t="s">
        <v>22</v>
      </c>
    </row>
    <row r="2951" spans="1:13" x14ac:dyDescent="0.35">
      <c r="A2951" t="s">
        <v>4510</v>
      </c>
      <c r="B2951" s="9">
        <v>46164</v>
      </c>
      <c r="C2951" t="s">
        <v>473</v>
      </c>
      <c r="D2951" t="s">
        <v>66</v>
      </c>
      <c r="E2951" t="s">
        <v>25</v>
      </c>
      <c r="F2951" t="s">
        <v>35</v>
      </c>
      <c r="G2951" t="s">
        <v>36</v>
      </c>
      <c r="H2951">
        <v>1</v>
      </c>
      <c r="I2951" t="s">
        <v>71</v>
      </c>
      <c r="J2951" t="s">
        <v>71</v>
      </c>
      <c r="K2951" t="s">
        <v>37</v>
      </c>
      <c r="L2951" t="s">
        <v>21</v>
      </c>
      <c r="M2951" t="s">
        <v>22</v>
      </c>
    </row>
    <row r="2952" spans="1:13" x14ac:dyDescent="0.35">
      <c r="A2952" t="s">
        <v>2821</v>
      </c>
      <c r="B2952" s="9">
        <v>46060</v>
      </c>
      <c r="C2952" t="s">
        <v>2822</v>
      </c>
      <c r="D2952" t="s">
        <v>15</v>
      </c>
      <c r="E2952" t="s">
        <v>67</v>
      </c>
      <c r="F2952" t="s">
        <v>17</v>
      </c>
      <c r="G2952" t="s">
        <v>18</v>
      </c>
      <c r="H2952">
        <v>1</v>
      </c>
      <c r="I2952" t="s">
        <v>28</v>
      </c>
      <c r="J2952" t="s">
        <v>28</v>
      </c>
      <c r="K2952">
        <v>520</v>
      </c>
      <c r="L2952" t="s">
        <v>30</v>
      </c>
      <c r="M2952" t="s">
        <v>58</v>
      </c>
    </row>
    <row r="2953" spans="1:13" x14ac:dyDescent="0.35">
      <c r="A2953" t="s">
        <v>4511</v>
      </c>
      <c r="B2953" s="9">
        <v>46162</v>
      </c>
      <c r="C2953" t="s">
        <v>947</v>
      </c>
      <c r="D2953" t="s">
        <v>15</v>
      </c>
      <c r="E2953" t="s">
        <v>34</v>
      </c>
      <c r="F2953" t="s">
        <v>89</v>
      </c>
      <c r="G2953" t="s">
        <v>90</v>
      </c>
      <c r="H2953">
        <v>2</v>
      </c>
      <c r="I2953" t="s">
        <v>28</v>
      </c>
      <c r="J2953" t="s">
        <v>316</v>
      </c>
      <c r="K2953" t="s">
        <v>108</v>
      </c>
      <c r="L2953" t="s">
        <v>30</v>
      </c>
      <c r="M2953" t="s">
        <v>58</v>
      </c>
    </row>
    <row r="2954" spans="1:13" x14ac:dyDescent="0.35">
      <c r="A2954" t="s">
        <v>4512</v>
      </c>
      <c r="B2954" s="9">
        <v>46155</v>
      </c>
      <c r="C2954" t="s">
        <v>3669</v>
      </c>
      <c r="D2954" t="s">
        <v>94</v>
      </c>
      <c r="E2954" t="s">
        <v>34</v>
      </c>
      <c r="F2954" t="s">
        <v>26</v>
      </c>
      <c r="G2954" t="s">
        <v>27</v>
      </c>
      <c r="H2954">
        <v>1</v>
      </c>
      <c r="I2954" t="s">
        <v>19</v>
      </c>
      <c r="J2954" t="s">
        <v>19</v>
      </c>
      <c r="K2954" t="s">
        <v>29</v>
      </c>
      <c r="L2954" t="s">
        <v>30</v>
      </c>
      <c r="M2954" t="s">
        <v>22</v>
      </c>
    </row>
    <row r="2955" spans="1:13" x14ac:dyDescent="0.35">
      <c r="A2955" t="s">
        <v>4513</v>
      </c>
      <c r="B2955" s="9">
        <v>46196</v>
      </c>
      <c r="C2955" t="s">
        <v>2660</v>
      </c>
      <c r="D2955" t="s">
        <v>46</v>
      </c>
      <c r="E2955" t="s">
        <v>41</v>
      </c>
      <c r="F2955" t="s">
        <v>47</v>
      </c>
      <c r="G2955" t="s">
        <v>48</v>
      </c>
      <c r="H2955">
        <v>1</v>
      </c>
      <c r="I2955" t="s">
        <v>106</v>
      </c>
      <c r="J2955" t="s">
        <v>106</v>
      </c>
      <c r="K2955" t="s">
        <v>50</v>
      </c>
      <c r="L2955" t="s">
        <v>21</v>
      </c>
      <c r="M2955" t="s">
        <v>22</v>
      </c>
    </row>
    <row r="2956" spans="1:13" x14ac:dyDescent="0.35">
      <c r="A2956" t="s">
        <v>4514</v>
      </c>
      <c r="B2956" t="s">
        <v>1530</v>
      </c>
      <c r="C2956" t="s">
        <v>2315</v>
      </c>
      <c r="D2956" t="s">
        <v>116</v>
      </c>
      <c r="E2956" t="s">
        <v>25</v>
      </c>
      <c r="F2956" t="s">
        <v>47</v>
      </c>
      <c r="G2956" t="s">
        <v>48</v>
      </c>
      <c r="H2956">
        <v>1</v>
      </c>
      <c r="I2956" t="s">
        <v>28</v>
      </c>
      <c r="J2956" t="s">
        <v>28</v>
      </c>
      <c r="K2956">
        <v>380</v>
      </c>
      <c r="L2956" t="s">
        <v>30</v>
      </c>
      <c r="M2956" t="s">
        <v>58</v>
      </c>
    </row>
    <row r="2957" spans="1:13" x14ac:dyDescent="0.35">
      <c r="A2957" t="s">
        <v>4515</v>
      </c>
      <c r="B2957" s="9">
        <v>46028</v>
      </c>
      <c r="C2957" t="s">
        <v>1777</v>
      </c>
      <c r="D2957" t="s">
        <v>33</v>
      </c>
      <c r="E2957" t="s">
        <v>16</v>
      </c>
      <c r="F2957" t="s">
        <v>89</v>
      </c>
      <c r="G2957" t="s">
        <v>90</v>
      </c>
      <c r="H2957">
        <v>-1</v>
      </c>
      <c r="I2957" t="s">
        <v>85</v>
      </c>
      <c r="J2957" t="s">
        <v>3396</v>
      </c>
      <c r="K2957">
        <v>640</v>
      </c>
      <c r="L2957" t="s">
        <v>21</v>
      </c>
      <c r="M2957" t="s">
        <v>22</v>
      </c>
    </row>
    <row r="2958" spans="1:13" x14ac:dyDescent="0.35">
      <c r="A2958" t="s">
        <v>4516</v>
      </c>
      <c r="B2958" s="9">
        <v>46029</v>
      </c>
      <c r="C2958" t="s">
        <v>368</v>
      </c>
      <c r="D2958" t="s">
        <v>33</v>
      </c>
      <c r="E2958" t="s">
        <v>41</v>
      </c>
      <c r="F2958" t="s">
        <v>35</v>
      </c>
      <c r="G2958" t="s">
        <v>36</v>
      </c>
      <c r="H2958">
        <v>1</v>
      </c>
      <c r="I2958" t="s">
        <v>68</v>
      </c>
      <c r="J2958" t="s">
        <v>68</v>
      </c>
      <c r="K2958" t="s">
        <v>37</v>
      </c>
      <c r="L2958" t="s">
        <v>21</v>
      </c>
      <c r="M2958" t="s">
        <v>22</v>
      </c>
    </row>
    <row r="2959" spans="1:13" x14ac:dyDescent="0.35">
      <c r="A2959" t="s">
        <v>4517</v>
      </c>
      <c r="B2959" s="9">
        <v>46090</v>
      </c>
      <c r="C2959" t="s">
        <v>4050</v>
      </c>
      <c r="D2959" t="s">
        <v>15</v>
      </c>
      <c r="E2959" t="s">
        <v>25</v>
      </c>
      <c r="F2959" t="s">
        <v>89</v>
      </c>
      <c r="G2959" t="s">
        <v>90</v>
      </c>
      <c r="H2959">
        <v>2</v>
      </c>
      <c r="I2959" t="s">
        <v>68</v>
      </c>
      <c r="J2959" t="s">
        <v>248</v>
      </c>
      <c r="K2959">
        <v>640</v>
      </c>
      <c r="L2959" t="s">
        <v>21</v>
      </c>
      <c r="M2959" t="s">
        <v>22</v>
      </c>
    </row>
    <row r="2960" spans="1:13" x14ac:dyDescent="0.35">
      <c r="A2960" t="s">
        <v>4518</v>
      </c>
      <c r="B2960" s="9">
        <v>46110</v>
      </c>
      <c r="C2960" t="s">
        <v>3084</v>
      </c>
      <c r="D2960" t="s">
        <v>99</v>
      </c>
      <c r="E2960" t="s">
        <v>16</v>
      </c>
      <c r="F2960" t="s">
        <v>47</v>
      </c>
      <c r="G2960" t="s">
        <v>48</v>
      </c>
      <c r="H2960">
        <v>2</v>
      </c>
      <c r="I2960" t="s">
        <v>71</v>
      </c>
      <c r="J2960" t="s">
        <v>286</v>
      </c>
      <c r="K2960">
        <v>380</v>
      </c>
      <c r="L2960" t="s">
        <v>30</v>
      </c>
      <c r="M2960" t="s">
        <v>58</v>
      </c>
    </row>
    <row r="2961" spans="1:13" x14ac:dyDescent="0.35">
      <c r="A2961" t="s">
        <v>4519</v>
      </c>
      <c r="B2961" s="9">
        <v>46117</v>
      </c>
      <c r="C2961" t="s">
        <v>3257</v>
      </c>
      <c r="D2961" t="s">
        <v>40</v>
      </c>
      <c r="E2961" t="s">
        <v>34</v>
      </c>
      <c r="F2961" t="s">
        <v>35</v>
      </c>
      <c r="G2961" t="s">
        <v>36</v>
      </c>
      <c r="H2961">
        <v>1</v>
      </c>
      <c r="I2961" t="s">
        <v>71</v>
      </c>
      <c r="J2961" t="s">
        <v>71</v>
      </c>
      <c r="K2961">
        <v>85</v>
      </c>
      <c r="L2961" t="s">
        <v>30</v>
      </c>
      <c r="M2961" t="s">
        <v>22</v>
      </c>
    </row>
    <row r="2962" spans="1:13" x14ac:dyDescent="0.35">
      <c r="A2962" t="s">
        <v>4520</v>
      </c>
      <c r="B2962" s="9">
        <v>46042</v>
      </c>
      <c r="C2962" t="s">
        <v>4521</v>
      </c>
      <c r="D2962" t="s">
        <v>33</v>
      </c>
      <c r="E2962" t="s">
        <v>41</v>
      </c>
      <c r="F2962" t="s">
        <v>17</v>
      </c>
      <c r="G2962" t="s">
        <v>18</v>
      </c>
      <c r="H2962">
        <v>2</v>
      </c>
      <c r="I2962" t="s">
        <v>254</v>
      </c>
      <c r="J2962" t="s">
        <v>156</v>
      </c>
      <c r="K2962">
        <v>520</v>
      </c>
      <c r="L2962" t="s">
        <v>30</v>
      </c>
      <c r="M2962" t="s">
        <v>58</v>
      </c>
    </row>
    <row r="2963" spans="1:13" x14ac:dyDescent="0.35">
      <c r="A2963" t="s">
        <v>4522</v>
      </c>
      <c r="B2963" s="9">
        <v>46190</v>
      </c>
      <c r="C2963" t="s">
        <v>2908</v>
      </c>
      <c r="D2963" t="s">
        <v>66</v>
      </c>
      <c r="E2963" t="s">
        <v>34</v>
      </c>
      <c r="F2963" t="s">
        <v>47</v>
      </c>
      <c r="G2963" t="s">
        <v>48</v>
      </c>
      <c r="H2963">
        <v>2</v>
      </c>
      <c r="I2963" t="s">
        <v>71</v>
      </c>
      <c r="J2963" t="s">
        <v>286</v>
      </c>
      <c r="K2963" t="s">
        <v>50</v>
      </c>
      <c r="L2963" t="s">
        <v>30</v>
      </c>
      <c r="M2963" t="s">
        <v>22</v>
      </c>
    </row>
    <row r="2964" spans="1:13" x14ac:dyDescent="0.35">
      <c r="A2964" t="s">
        <v>4523</v>
      </c>
      <c r="B2964" s="9">
        <v>46144</v>
      </c>
      <c r="C2964" t="s">
        <v>1850</v>
      </c>
      <c r="D2964" t="s">
        <v>116</v>
      </c>
      <c r="E2964" t="s">
        <v>34</v>
      </c>
      <c r="F2964" t="s">
        <v>35</v>
      </c>
      <c r="G2964" t="s">
        <v>36</v>
      </c>
      <c r="H2964">
        <v>3</v>
      </c>
      <c r="I2964" t="s">
        <v>608</v>
      </c>
      <c r="J2964" t="s">
        <v>232</v>
      </c>
      <c r="K2964" t="s">
        <v>37</v>
      </c>
      <c r="L2964" t="s">
        <v>30</v>
      </c>
      <c r="M2964" t="s">
        <v>58</v>
      </c>
    </row>
    <row r="2965" spans="1:13" x14ac:dyDescent="0.35">
      <c r="A2965" t="s">
        <v>4524</v>
      </c>
      <c r="B2965" s="9">
        <v>46121</v>
      </c>
      <c r="C2965" t="s">
        <v>1130</v>
      </c>
      <c r="D2965" t="s">
        <v>40</v>
      </c>
      <c r="E2965" t="s">
        <v>41</v>
      </c>
      <c r="F2965" t="s">
        <v>17</v>
      </c>
      <c r="G2965" t="s">
        <v>18</v>
      </c>
      <c r="H2965">
        <v>3</v>
      </c>
      <c r="I2965" t="s">
        <v>106</v>
      </c>
      <c r="J2965" t="s">
        <v>160</v>
      </c>
      <c r="K2965">
        <v>520</v>
      </c>
      <c r="L2965" t="s">
        <v>21</v>
      </c>
      <c r="M2965" t="s">
        <v>58</v>
      </c>
    </row>
    <row r="2966" spans="1:13" x14ac:dyDescent="0.35">
      <c r="A2966" t="s">
        <v>188</v>
      </c>
      <c r="B2966" s="9">
        <v>46163</v>
      </c>
      <c r="C2966" t="s">
        <v>189</v>
      </c>
      <c r="D2966" t="s">
        <v>61</v>
      </c>
      <c r="E2966" t="s">
        <v>67</v>
      </c>
      <c r="F2966" t="s">
        <v>74</v>
      </c>
      <c r="G2966" t="s">
        <v>75</v>
      </c>
      <c r="H2966">
        <v>2</v>
      </c>
      <c r="I2966" t="s">
        <v>79</v>
      </c>
      <c r="J2966" t="s">
        <v>143</v>
      </c>
      <c r="K2966" t="s">
        <v>76</v>
      </c>
      <c r="L2966" t="s">
        <v>30</v>
      </c>
      <c r="M2966" t="s">
        <v>22</v>
      </c>
    </row>
    <row r="2967" spans="1:13" x14ac:dyDescent="0.35">
      <c r="A2967" t="s">
        <v>1090</v>
      </c>
      <c r="B2967" t="s">
        <v>290</v>
      </c>
      <c r="C2967" t="s">
        <v>1091</v>
      </c>
      <c r="D2967" t="s">
        <v>66</v>
      </c>
      <c r="E2967" t="s">
        <v>67</v>
      </c>
      <c r="F2967" t="s">
        <v>89</v>
      </c>
      <c r="G2967" t="s">
        <v>90</v>
      </c>
      <c r="H2967">
        <v>3</v>
      </c>
      <c r="I2967" t="s">
        <v>106</v>
      </c>
      <c r="J2967" t="s">
        <v>160</v>
      </c>
      <c r="K2967">
        <v>640</v>
      </c>
      <c r="L2967" t="s">
        <v>21</v>
      </c>
      <c r="M2967" t="s">
        <v>22</v>
      </c>
    </row>
    <row r="2968" spans="1:13" x14ac:dyDescent="0.35">
      <c r="A2968" t="s">
        <v>4525</v>
      </c>
      <c r="B2968" t="s">
        <v>339</v>
      </c>
      <c r="C2968" t="s">
        <v>1597</v>
      </c>
      <c r="D2968" t="s">
        <v>46</v>
      </c>
      <c r="E2968" t="s">
        <v>41</v>
      </c>
      <c r="F2968" t="s">
        <v>74</v>
      </c>
      <c r="G2968" t="s">
        <v>75</v>
      </c>
      <c r="H2968">
        <v>3</v>
      </c>
      <c r="I2968" t="s">
        <v>62</v>
      </c>
      <c r="J2968" t="s">
        <v>488</v>
      </c>
      <c r="K2968">
        <v>410</v>
      </c>
      <c r="L2968" t="s">
        <v>30</v>
      </c>
      <c r="M2968" t="s">
        <v>22</v>
      </c>
    </row>
    <row r="2969" spans="1:13" x14ac:dyDescent="0.35">
      <c r="A2969" t="s">
        <v>4526</v>
      </c>
      <c r="B2969" s="9">
        <v>46205</v>
      </c>
      <c r="C2969" t="s">
        <v>2003</v>
      </c>
      <c r="D2969" t="s">
        <v>61</v>
      </c>
      <c r="E2969" t="s">
        <v>16</v>
      </c>
      <c r="F2969" t="s">
        <v>74</v>
      </c>
      <c r="G2969" t="s">
        <v>75</v>
      </c>
      <c r="H2969">
        <v>1</v>
      </c>
      <c r="I2969" t="s">
        <v>68</v>
      </c>
      <c r="J2969" t="s">
        <v>68</v>
      </c>
      <c r="K2969">
        <v>410</v>
      </c>
      <c r="L2969" t="s">
        <v>21</v>
      </c>
      <c r="M2969" t="s">
        <v>58</v>
      </c>
    </row>
    <row r="2970" spans="1:13" x14ac:dyDescent="0.35">
      <c r="A2970" t="s">
        <v>4527</v>
      </c>
      <c r="B2970" s="9">
        <v>46117</v>
      </c>
      <c r="C2970" t="s">
        <v>4528</v>
      </c>
      <c r="D2970" t="s">
        <v>66</v>
      </c>
      <c r="E2970" t="s">
        <v>41</v>
      </c>
      <c r="F2970" t="s">
        <v>17</v>
      </c>
      <c r="G2970" t="s">
        <v>18</v>
      </c>
      <c r="H2970">
        <v>3</v>
      </c>
      <c r="I2970" t="s">
        <v>71</v>
      </c>
      <c r="J2970" t="s">
        <v>379</v>
      </c>
      <c r="K2970" t="s">
        <v>29</v>
      </c>
      <c r="L2970" t="s">
        <v>30</v>
      </c>
      <c r="M2970" t="s">
        <v>58</v>
      </c>
    </row>
    <row r="2971" spans="1:13" x14ac:dyDescent="0.35">
      <c r="A2971" t="s">
        <v>4529</v>
      </c>
      <c r="B2971" s="9">
        <v>46052</v>
      </c>
      <c r="C2971" t="s">
        <v>844</v>
      </c>
      <c r="D2971" t="s">
        <v>66</v>
      </c>
      <c r="E2971" t="s">
        <v>41</v>
      </c>
      <c r="F2971" t="s">
        <v>17</v>
      </c>
      <c r="G2971" t="s">
        <v>18</v>
      </c>
      <c r="H2971">
        <v>3</v>
      </c>
      <c r="I2971" t="s">
        <v>220</v>
      </c>
      <c r="J2971" t="s">
        <v>494</v>
      </c>
      <c r="K2971">
        <v>520</v>
      </c>
      <c r="L2971" t="s">
        <v>30</v>
      </c>
      <c r="M2971" t="s">
        <v>22</v>
      </c>
    </row>
    <row r="2972" spans="1:13" x14ac:dyDescent="0.35">
      <c r="A2972" t="s">
        <v>4530</v>
      </c>
      <c r="B2972" s="9">
        <v>46142</v>
      </c>
      <c r="C2972" t="s">
        <v>4052</v>
      </c>
      <c r="D2972" t="s">
        <v>61</v>
      </c>
      <c r="E2972" t="s">
        <v>16</v>
      </c>
      <c r="F2972" t="s">
        <v>74</v>
      </c>
      <c r="G2972" t="s">
        <v>75</v>
      </c>
      <c r="H2972">
        <v>2</v>
      </c>
      <c r="I2972" t="s">
        <v>217</v>
      </c>
      <c r="J2972" t="s">
        <v>267</v>
      </c>
      <c r="K2972" t="s">
        <v>76</v>
      </c>
      <c r="L2972" t="s">
        <v>30</v>
      </c>
      <c r="M2972" t="s">
        <v>22</v>
      </c>
    </row>
    <row r="2973" spans="1:13" x14ac:dyDescent="0.35">
      <c r="A2973" t="s">
        <v>4531</v>
      </c>
      <c r="B2973" s="9">
        <v>46052</v>
      </c>
      <c r="C2973" t="s">
        <v>1463</v>
      </c>
      <c r="D2973" t="s">
        <v>40</v>
      </c>
      <c r="E2973" t="s">
        <v>67</v>
      </c>
      <c r="F2973" t="s">
        <v>74</v>
      </c>
      <c r="G2973" t="s">
        <v>75</v>
      </c>
      <c r="H2973">
        <v>3</v>
      </c>
      <c r="I2973" t="s">
        <v>79</v>
      </c>
      <c r="J2973" t="s">
        <v>91</v>
      </c>
      <c r="K2973">
        <v>410</v>
      </c>
      <c r="L2973" t="s">
        <v>21</v>
      </c>
      <c r="M2973" t="s">
        <v>22</v>
      </c>
    </row>
    <row r="2974" spans="1:13" x14ac:dyDescent="0.35">
      <c r="A2974" t="s">
        <v>4532</v>
      </c>
      <c r="B2974" t="s">
        <v>2067</v>
      </c>
      <c r="C2974" t="s">
        <v>1252</v>
      </c>
      <c r="D2974" t="s">
        <v>53</v>
      </c>
      <c r="E2974" t="s">
        <v>16</v>
      </c>
      <c r="F2974" t="s">
        <v>17</v>
      </c>
      <c r="G2974" t="s">
        <v>18</v>
      </c>
      <c r="H2974">
        <v>1</v>
      </c>
      <c r="I2974" t="s">
        <v>56</v>
      </c>
      <c r="J2974" t="s">
        <v>56</v>
      </c>
      <c r="K2974" t="s">
        <v>29</v>
      </c>
      <c r="L2974" t="s">
        <v>30</v>
      </c>
      <c r="M2974" t="s">
        <v>58</v>
      </c>
    </row>
    <row r="2975" spans="1:13" x14ac:dyDescent="0.35">
      <c r="A2975" t="s">
        <v>4533</v>
      </c>
      <c r="B2975" s="9">
        <v>46167</v>
      </c>
      <c r="C2975" t="s">
        <v>295</v>
      </c>
      <c r="D2975" t="s">
        <v>116</v>
      </c>
      <c r="E2975" t="s">
        <v>16</v>
      </c>
      <c r="F2975" t="s">
        <v>35</v>
      </c>
      <c r="G2975" t="s">
        <v>36</v>
      </c>
      <c r="H2975">
        <v>1</v>
      </c>
      <c r="I2975" t="s">
        <v>62</v>
      </c>
      <c r="J2975" t="s">
        <v>62</v>
      </c>
      <c r="K2975" t="s">
        <v>37</v>
      </c>
      <c r="L2975" t="s">
        <v>30</v>
      </c>
      <c r="M2975" t="s">
        <v>58</v>
      </c>
    </row>
    <row r="2976" spans="1:13" x14ac:dyDescent="0.35">
      <c r="A2976" t="s">
        <v>4534</v>
      </c>
      <c r="B2976" s="9">
        <v>46118</v>
      </c>
      <c r="C2976" t="s">
        <v>3503</v>
      </c>
      <c r="D2976" t="s">
        <v>61</v>
      </c>
      <c r="E2976" t="s">
        <v>41</v>
      </c>
      <c r="F2976" t="s">
        <v>17</v>
      </c>
      <c r="G2976" t="s">
        <v>18</v>
      </c>
      <c r="H2976">
        <v>2</v>
      </c>
      <c r="I2976" t="s">
        <v>737</v>
      </c>
      <c r="J2976" t="s">
        <v>181</v>
      </c>
      <c r="K2976" t="s">
        <v>29</v>
      </c>
      <c r="L2976" t="s">
        <v>30</v>
      </c>
      <c r="M2976" t="s">
        <v>58</v>
      </c>
    </row>
    <row r="2977" spans="1:13" x14ac:dyDescent="0.35">
      <c r="A2977" t="s">
        <v>4535</v>
      </c>
      <c r="B2977" s="9">
        <v>46189</v>
      </c>
      <c r="C2977" t="s">
        <v>4536</v>
      </c>
      <c r="D2977" t="s">
        <v>94</v>
      </c>
      <c r="E2977" t="s">
        <v>41</v>
      </c>
      <c r="F2977" t="s">
        <v>83</v>
      </c>
      <c r="G2977" t="s">
        <v>84</v>
      </c>
      <c r="H2977">
        <v>2</v>
      </c>
      <c r="I2977" t="s">
        <v>79</v>
      </c>
      <c r="J2977" t="s">
        <v>4537</v>
      </c>
      <c r="K2977" t="s">
        <v>103</v>
      </c>
      <c r="L2977" t="s">
        <v>30</v>
      </c>
      <c r="M2977" t="s">
        <v>58</v>
      </c>
    </row>
    <row r="2978" spans="1:13" x14ac:dyDescent="0.35">
      <c r="A2978" t="s">
        <v>4538</v>
      </c>
      <c r="B2978" t="s">
        <v>120</v>
      </c>
      <c r="C2978" t="s">
        <v>1597</v>
      </c>
      <c r="D2978" t="s">
        <v>15</v>
      </c>
      <c r="E2978" t="s">
        <v>34</v>
      </c>
      <c r="F2978" t="s">
        <v>47</v>
      </c>
      <c r="G2978" t="s">
        <v>48</v>
      </c>
      <c r="H2978">
        <v>2</v>
      </c>
      <c r="I2978" t="s">
        <v>106</v>
      </c>
      <c r="J2978" t="s">
        <v>107</v>
      </c>
      <c r="K2978">
        <v>380</v>
      </c>
      <c r="L2978" t="s">
        <v>21</v>
      </c>
      <c r="M2978" t="s">
        <v>22</v>
      </c>
    </row>
    <row r="2979" spans="1:13" x14ac:dyDescent="0.35">
      <c r="A2979" t="s">
        <v>4539</v>
      </c>
      <c r="B2979" s="9">
        <v>46054</v>
      </c>
      <c r="C2979" t="s">
        <v>1828</v>
      </c>
      <c r="D2979" t="s">
        <v>99</v>
      </c>
      <c r="E2979" t="s">
        <v>41</v>
      </c>
      <c r="F2979" t="s">
        <v>26</v>
      </c>
      <c r="G2979" t="s">
        <v>27</v>
      </c>
      <c r="H2979">
        <v>1</v>
      </c>
      <c r="I2979" t="s">
        <v>184</v>
      </c>
      <c r="J2979" t="s">
        <v>170</v>
      </c>
      <c r="K2979">
        <v>520</v>
      </c>
      <c r="L2979" t="s">
        <v>30</v>
      </c>
      <c r="M2979" t="s">
        <v>22</v>
      </c>
    </row>
    <row r="2980" spans="1:13" x14ac:dyDescent="0.35">
      <c r="A2980" t="s">
        <v>4540</v>
      </c>
      <c r="B2980" s="9">
        <v>46196</v>
      </c>
      <c r="C2980" t="s">
        <v>4541</v>
      </c>
      <c r="D2980" t="s">
        <v>99</v>
      </c>
      <c r="E2980" t="s">
        <v>67</v>
      </c>
      <c r="F2980" t="s">
        <v>35</v>
      </c>
      <c r="G2980" t="s">
        <v>36</v>
      </c>
      <c r="H2980">
        <v>2</v>
      </c>
      <c r="I2980" t="s">
        <v>132</v>
      </c>
      <c r="J2980" t="s">
        <v>133</v>
      </c>
      <c r="K2980" t="s">
        <v>37</v>
      </c>
      <c r="L2980" t="s">
        <v>30</v>
      </c>
      <c r="M2980" t="s">
        <v>58</v>
      </c>
    </row>
    <row r="2981" spans="1:13" x14ac:dyDescent="0.35">
      <c r="A2981" t="s">
        <v>4542</v>
      </c>
      <c r="B2981" s="9">
        <v>46070</v>
      </c>
      <c r="C2981" t="s">
        <v>2238</v>
      </c>
      <c r="D2981" t="s">
        <v>66</v>
      </c>
      <c r="E2981" t="s">
        <v>25</v>
      </c>
      <c r="F2981" t="s">
        <v>47</v>
      </c>
      <c r="G2981" t="s">
        <v>48</v>
      </c>
      <c r="H2981">
        <v>1</v>
      </c>
      <c r="I2981" t="s">
        <v>170</v>
      </c>
      <c r="J2981" t="s">
        <v>170</v>
      </c>
      <c r="K2981">
        <v>380</v>
      </c>
      <c r="L2981" t="s">
        <v>30</v>
      </c>
      <c r="M2981" t="s">
        <v>58</v>
      </c>
    </row>
    <row r="2982" spans="1:13" x14ac:dyDescent="0.35">
      <c r="A2982" t="s">
        <v>4543</v>
      </c>
      <c r="B2982" s="9">
        <v>46101</v>
      </c>
      <c r="C2982" t="s">
        <v>1150</v>
      </c>
      <c r="D2982" t="s">
        <v>66</v>
      </c>
      <c r="E2982" t="s">
        <v>16</v>
      </c>
      <c r="F2982" t="s">
        <v>74</v>
      </c>
      <c r="G2982" t="s">
        <v>75</v>
      </c>
      <c r="H2982">
        <v>1</v>
      </c>
      <c r="I2982" t="s">
        <v>254</v>
      </c>
      <c r="J2982" t="s">
        <v>254</v>
      </c>
      <c r="K2982">
        <v>410</v>
      </c>
      <c r="L2982" t="s">
        <v>21</v>
      </c>
      <c r="M2982" t="s">
        <v>22</v>
      </c>
    </row>
    <row r="2983" spans="1:13" x14ac:dyDescent="0.35">
      <c r="A2983" t="s">
        <v>4544</v>
      </c>
      <c r="B2983" s="9">
        <v>46148</v>
      </c>
      <c r="C2983" t="s">
        <v>1491</v>
      </c>
      <c r="D2983" t="s">
        <v>15</v>
      </c>
      <c r="E2983" t="s">
        <v>16</v>
      </c>
      <c r="F2983" t="s">
        <v>89</v>
      </c>
      <c r="G2983" t="s">
        <v>90</v>
      </c>
      <c r="H2983">
        <v>2</v>
      </c>
      <c r="I2983" t="s">
        <v>220</v>
      </c>
      <c r="J2983" t="s">
        <v>221</v>
      </c>
      <c r="K2983" t="s">
        <v>108</v>
      </c>
      <c r="L2983" t="s">
        <v>21</v>
      </c>
      <c r="M2983" t="s">
        <v>22</v>
      </c>
    </row>
    <row r="2984" spans="1:13" x14ac:dyDescent="0.35">
      <c r="A2984" t="s">
        <v>4545</v>
      </c>
      <c r="B2984" t="s">
        <v>596</v>
      </c>
      <c r="C2984" t="s">
        <v>4546</v>
      </c>
      <c r="D2984" t="s">
        <v>99</v>
      </c>
      <c r="E2984" t="s">
        <v>67</v>
      </c>
      <c r="F2984" t="s">
        <v>83</v>
      </c>
      <c r="G2984" t="s">
        <v>84</v>
      </c>
      <c r="H2984">
        <v>1</v>
      </c>
      <c r="I2984" t="s">
        <v>254</v>
      </c>
      <c r="J2984" t="s">
        <v>254</v>
      </c>
      <c r="K2984">
        <v>340</v>
      </c>
      <c r="L2984" t="s">
        <v>21</v>
      </c>
      <c r="M2984" t="s">
        <v>22</v>
      </c>
    </row>
    <row r="2985" spans="1:13" x14ac:dyDescent="0.35">
      <c r="A2985" t="s">
        <v>4547</v>
      </c>
      <c r="B2985" s="9">
        <v>46192</v>
      </c>
      <c r="C2985" t="s">
        <v>1755</v>
      </c>
      <c r="D2985" t="s">
        <v>61</v>
      </c>
      <c r="E2985" t="s">
        <v>41</v>
      </c>
      <c r="F2985" t="s">
        <v>35</v>
      </c>
      <c r="G2985" t="s">
        <v>36</v>
      </c>
      <c r="H2985">
        <v>1</v>
      </c>
      <c r="I2985" t="s">
        <v>19</v>
      </c>
      <c r="J2985" t="s">
        <v>19</v>
      </c>
      <c r="K2985" t="s">
        <v>37</v>
      </c>
      <c r="L2985" t="s">
        <v>30</v>
      </c>
      <c r="M2985" t="s">
        <v>22</v>
      </c>
    </row>
    <row r="2986" spans="1:13" x14ac:dyDescent="0.35">
      <c r="A2986" t="s">
        <v>4548</v>
      </c>
      <c r="B2986" s="9">
        <v>46028</v>
      </c>
      <c r="C2986" t="s">
        <v>1119</v>
      </c>
      <c r="D2986" t="s">
        <v>40</v>
      </c>
      <c r="E2986" t="s">
        <v>34</v>
      </c>
      <c r="F2986" t="s">
        <v>83</v>
      </c>
      <c r="G2986" t="s">
        <v>84</v>
      </c>
      <c r="H2986">
        <v>1</v>
      </c>
      <c r="I2986" t="s">
        <v>28</v>
      </c>
      <c r="J2986" t="s">
        <v>28</v>
      </c>
      <c r="K2986" t="s">
        <v>103</v>
      </c>
      <c r="L2986" t="s">
        <v>30</v>
      </c>
      <c r="M2986" t="s">
        <v>22</v>
      </c>
    </row>
    <row r="2987" spans="1:13" x14ac:dyDescent="0.35">
      <c r="A2987" t="s">
        <v>4549</v>
      </c>
      <c r="B2987" s="9">
        <v>46156</v>
      </c>
      <c r="C2987" t="s">
        <v>757</v>
      </c>
      <c r="D2987" t="s">
        <v>53</v>
      </c>
      <c r="E2987" t="s">
        <v>41</v>
      </c>
      <c r="F2987" t="s">
        <v>89</v>
      </c>
      <c r="G2987" t="s">
        <v>90</v>
      </c>
      <c r="H2987">
        <v>-3</v>
      </c>
      <c r="I2987" t="s">
        <v>132</v>
      </c>
      <c r="J2987" t="s">
        <v>1905</v>
      </c>
      <c r="K2987" t="s">
        <v>108</v>
      </c>
      <c r="L2987" t="s">
        <v>30</v>
      </c>
      <c r="M2987" t="s">
        <v>22</v>
      </c>
    </row>
    <row r="2988" spans="1:13" x14ac:dyDescent="0.35">
      <c r="A2988" t="s">
        <v>4550</v>
      </c>
      <c r="B2988" s="9">
        <v>46031</v>
      </c>
      <c r="C2988" t="s">
        <v>1519</v>
      </c>
      <c r="D2988" t="s">
        <v>46</v>
      </c>
      <c r="E2988" t="s">
        <v>16</v>
      </c>
      <c r="F2988" t="s">
        <v>17</v>
      </c>
      <c r="G2988" t="s">
        <v>18</v>
      </c>
      <c r="H2988">
        <v>3</v>
      </c>
      <c r="I2988" t="s">
        <v>220</v>
      </c>
      <c r="J2988" t="s">
        <v>494</v>
      </c>
      <c r="K2988">
        <v>520</v>
      </c>
      <c r="L2988" t="s">
        <v>30</v>
      </c>
      <c r="M2988" t="s">
        <v>22</v>
      </c>
    </row>
    <row r="2989" spans="1:13" x14ac:dyDescent="0.35">
      <c r="A2989" t="s">
        <v>4551</v>
      </c>
      <c r="B2989" s="9">
        <v>46135</v>
      </c>
      <c r="C2989" t="s">
        <v>2452</v>
      </c>
      <c r="D2989" t="s">
        <v>40</v>
      </c>
      <c r="E2989" t="s">
        <v>16</v>
      </c>
      <c r="F2989" t="s">
        <v>42</v>
      </c>
      <c r="G2989" t="s">
        <v>43</v>
      </c>
      <c r="H2989">
        <v>1</v>
      </c>
      <c r="I2989" t="s">
        <v>79</v>
      </c>
      <c r="J2989" t="s">
        <v>79</v>
      </c>
      <c r="K2989" t="s">
        <v>111</v>
      </c>
      <c r="L2989" t="s">
        <v>21</v>
      </c>
      <c r="M2989" t="s">
        <v>22</v>
      </c>
    </row>
    <row r="2990" spans="1:13" x14ac:dyDescent="0.35">
      <c r="A2990" t="s">
        <v>4552</v>
      </c>
      <c r="B2990" s="9">
        <v>46121</v>
      </c>
      <c r="C2990" t="s">
        <v>3869</v>
      </c>
      <c r="D2990" t="s">
        <v>46</v>
      </c>
      <c r="E2990" t="s">
        <v>67</v>
      </c>
      <c r="F2990" t="s">
        <v>35</v>
      </c>
      <c r="G2990" t="s">
        <v>36</v>
      </c>
      <c r="H2990">
        <v>3</v>
      </c>
      <c r="I2990" t="s">
        <v>85</v>
      </c>
      <c r="J2990" t="s">
        <v>86</v>
      </c>
      <c r="K2990">
        <v>85</v>
      </c>
      <c r="L2990" t="s">
        <v>30</v>
      </c>
      <c r="M2990" t="s">
        <v>22</v>
      </c>
    </row>
    <row r="2991" spans="1:13" x14ac:dyDescent="0.35">
      <c r="A2991" t="s">
        <v>4553</v>
      </c>
      <c r="B2991" s="9">
        <v>46205</v>
      </c>
      <c r="C2991" t="s">
        <v>720</v>
      </c>
      <c r="D2991" t="s">
        <v>66</v>
      </c>
      <c r="E2991" t="s">
        <v>16</v>
      </c>
      <c r="F2991" t="s">
        <v>17</v>
      </c>
      <c r="G2991" t="s">
        <v>18</v>
      </c>
      <c r="H2991">
        <v>2</v>
      </c>
      <c r="I2991" t="s">
        <v>71</v>
      </c>
      <c r="J2991" t="s">
        <v>286</v>
      </c>
      <c r="K2991">
        <v>520</v>
      </c>
      <c r="L2991" t="s">
        <v>21</v>
      </c>
      <c r="M2991" t="s">
        <v>58</v>
      </c>
    </row>
    <row r="2992" spans="1:13" x14ac:dyDescent="0.35">
      <c r="A2992" t="s">
        <v>3629</v>
      </c>
      <c r="B2992" s="9">
        <v>46111</v>
      </c>
      <c r="C2992" t="s">
        <v>2389</v>
      </c>
      <c r="D2992" t="s">
        <v>116</v>
      </c>
      <c r="E2992" t="s">
        <v>16</v>
      </c>
      <c r="F2992" t="s">
        <v>42</v>
      </c>
      <c r="G2992" t="s">
        <v>43</v>
      </c>
      <c r="H2992">
        <v>1</v>
      </c>
      <c r="I2992" t="s">
        <v>19</v>
      </c>
      <c r="J2992" t="s">
        <v>19</v>
      </c>
      <c r="K2992">
        <v>190</v>
      </c>
      <c r="L2992" t="s">
        <v>30</v>
      </c>
      <c r="M2992" t="s">
        <v>22</v>
      </c>
    </row>
    <row r="2993" spans="1:13" x14ac:dyDescent="0.35">
      <c r="A2993" t="s">
        <v>4554</v>
      </c>
      <c r="B2993" t="s">
        <v>120</v>
      </c>
      <c r="C2993" t="s">
        <v>724</v>
      </c>
      <c r="D2993" t="s">
        <v>15</v>
      </c>
      <c r="E2993" t="s">
        <v>34</v>
      </c>
      <c r="F2993" t="s">
        <v>17</v>
      </c>
      <c r="G2993" t="s">
        <v>18</v>
      </c>
      <c r="H2993">
        <v>1</v>
      </c>
      <c r="I2993" t="s">
        <v>62</v>
      </c>
      <c r="J2993" t="s">
        <v>62</v>
      </c>
      <c r="K2993">
        <v>520</v>
      </c>
      <c r="L2993" t="s">
        <v>30</v>
      </c>
      <c r="M2993" t="s">
        <v>22</v>
      </c>
    </row>
    <row r="2994" spans="1:13" x14ac:dyDescent="0.35">
      <c r="A2994" t="s">
        <v>4555</v>
      </c>
      <c r="B2994" s="9">
        <v>46061</v>
      </c>
      <c r="C2994" t="s">
        <v>1111</v>
      </c>
      <c r="D2994" t="s">
        <v>61</v>
      </c>
      <c r="E2994" t="s">
        <v>41</v>
      </c>
      <c r="F2994" t="s">
        <v>47</v>
      </c>
      <c r="G2994" t="s">
        <v>48</v>
      </c>
      <c r="H2994">
        <v>1</v>
      </c>
      <c r="I2994" t="s">
        <v>136</v>
      </c>
      <c r="J2994" t="s">
        <v>136</v>
      </c>
      <c r="K2994">
        <v>380</v>
      </c>
      <c r="L2994" t="s">
        <v>30</v>
      </c>
      <c r="M2994" t="s">
        <v>58</v>
      </c>
    </row>
    <row r="2995" spans="1:13" x14ac:dyDescent="0.35">
      <c r="A2995" t="s">
        <v>4556</v>
      </c>
      <c r="B2995" s="9">
        <v>46073</v>
      </c>
      <c r="C2995" t="s">
        <v>1237</v>
      </c>
      <c r="D2995" t="s">
        <v>46</v>
      </c>
      <c r="E2995" t="s">
        <v>34</v>
      </c>
      <c r="F2995" t="s">
        <v>83</v>
      </c>
      <c r="G2995" t="s">
        <v>84</v>
      </c>
      <c r="H2995">
        <v>1</v>
      </c>
      <c r="I2995" t="s">
        <v>220</v>
      </c>
      <c r="J2995" t="s">
        <v>220</v>
      </c>
      <c r="K2995">
        <v>340</v>
      </c>
      <c r="L2995" t="s">
        <v>30</v>
      </c>
      <c r="M2995" t="s">
        <v>22</v>
      </c>
    </row>
    <row r="2996" spans="1:13" x14ac:dyDescent="0.35">
      <c r="A2996" t="s">
        <v>4557</v>
      </c>
      <c r="B2996" s="9">
        <v>46155</v>
      </c>
      <c r="C2996" t="s">
        <v>2660</v>
      </c>
      <c r="D2996" t="s">
        <v>61</v>
      </c>
      <c r="E2996" t="s">
        <v>34</v>
      </c>
      <c r="F2996" t="s">
        <v>83</v>
      </c>
      <c r="G2996" t="s">
        <v>84</v>
      </c>
      <c r="H2996">
        <v>1</v>
      </c>
      <c r="I2996" t="s">
        <v>170</v>
      </c>
      <c r="J2996" t="s">
        <v>170</v>
      </c>
      <c r="K2996" t="s">
        <v>103</v>
      </c>
      <c r="L2996" t="s">
        <v>30</v>
      </c>
      <c r="M2996" t="s">
        <v>22</v>
      </c>
    </row>
    <row r="2997" spans="1:13" x14ac:dyDescent="0.35">
      <c r="A2997" t="s">
        <v>4558</v>
      </c>
      <c r="B2997" s="9">
        <v>46203</v>
      </c>
      <c r="C2997" t="s">
        <v>509</v>
      </c>
      <c r="D2997" t="s">
        <v>66</v>
      </c>
      <c r="E2997" t="s">
        <v>41</v>
      </c>
      <c r="F2997" t="s">
        <v>26</v>
      </c>
      <c r="G2997" t="s">
        <v>27</v>
      </c>
      <c r="H2997">
        <v>2</v>
      </c>
      <c r="I2997" t="s">
        <v>254</v>
      </c>
      <c r="J2997" t="s">
        <v>156</v>
      </c>
      <c r="K2997" t="s">
        <v>29</v>
      </c>
      <c r="L2997" t="s">
        <v>30</v>
      </c>
      <c r="M2997" t="s">
        <v>58</v>
      </c>
    </row>
    <row r="2998" spans="1:13" x14ac:dyDescent="0.35">
      <c r="A2998" t="s">
        <v>4559</v>
      </c>
      <c r="B2998" s="9">
        <v>46080</v>
      </c>
      <c r="C2998" t="s">
        <v>3166</v>
      </c>
      <c r="D2998" t="s">
        <v>15</v>
      </c>
      <c r="E2998" t="s">
        <v>25</v>
      </c>
      <c r="F2998" t="s">
        <v>83</v>
      </c>
      <c r="G2998" t="s">
        <v>84</v>
      </c>
      <c r="H2998">
        <v>3</v>
      </c>
      <c r="I2998" t="s">
        <v>56</v>
      </c>
      <c r="J2998" t="s">
        <v>57</v>
      </c>
      <c r="K2998">
        <v>340</v>
      </c>
      <c r="L2998" t="s">
        <v>30</v>
      </c>
      <c r="M2998" t="s">
        <v>22</v>
      </c>
    </row>
    <row r="2999" spans="1:13" x14ac:dyDescent="0.35">
      <c r="A2999" t="s">
        <v>3464</v>
      </c>
      <c r="B2999" s="9">
        <v>46198</v>
      </c>
      <c r="C2999" t="s">
        <v>1990</v>
      </c>
      <c r="D2999" t="s">
        <v>99</v>
      </c>
      <c r="E2999" t="s">
        <v>25</v>
      </c>
      <c r="F2999" t="s">
        <v>26</v>
      </c>
      <c r="G2999" t="s">
        <v>27</v>
      </c>
      <c r="H2999">
        <v>1</v>
      </c>
      <c r="I2999" t="s">
        <v>79</v>
      </c>
      <c r="J2999" t="s">
        <v>79</v>
      </c>
      <c r="K2999" t="s">
        <v>29</v>
      </c>
      <c r="L2999" t="s">
        <v>30</v>
      </c>
      <c r="M2999" t="s">
        <v>22</v>
      </c>
    </row>
    <row r="3000" spans="1:13" x14ac:dyDescent="0.35">
      <c r="A3000" t="s">
        <v>4560</v>
      </c>
      <c r="B3000" s="9">
        <v>46154</v>
      </c>
      <c r="C3000" t="s">
        <v>718</v>
      </c>
      <c r="D3000" t="s">
        <v>61</v>
      </c>
      <c r="E3000" t="s">
        <v>16</v>
      </c>
      <c r="F3000" t="s">
        <v>74</v>
      </c>
      <c r="G3000" t="s">
        <v>75</v>
      </c>
      <c r="H3000">
        <v>1</v>
      </c>
      <c r="I3000" t="s">
        <v>102</v>
      </c>
      <c r="J3000" t="s">
        <v>102</v>
      </c>
      <c r="K3000" t="s">
        <v>76</v>
      </c>
      <c r="L3000" t="s">
        <v>30</v>
      </c>
      <c r="M3000" t="s">
        <v>58</v>
      </c>
    </row>
    <row r="3001" spans="1:13" x14ac:dyDescent="0.35">
      <c r="A3001" t="s">
        <v>4561</v>
      </c>
      <c r="B3001" s="9">
        <v>46135</v>
      </c>
      <c r="C3001" t="s">
        <v>1039</v>
      </c>
      <c r="D3001" t="s">
        <v>61</v>
      </c>
      <c r="E3001" t="s">
        <v>16</v>
      </c>
      <c r="F3001" t="s">
        <v>26</v>
      </c>
      <c r="G3001" t="s">
        <v>27</v>
      </c>
      <c r="H3001">
        <v>1</v>
      </c>
      <c r="I3001" t="s">
        <v>49</v>
      </c>
      <c r="J3001" t="s">
        <v>49</v>
      </c>
      <c r="K3001" t="s">
        <v>29</v>
      </c>
      <c r="L3001" t="s">
        <v>30</v>
      </c>
      <c r="M3001" t="s">
        <v>58</v>
      </c>
    </row>
    <row r="3002" spans="1:13" x14ac:dyDescent="0.35">
      <c r="A3002" t="s">
        <v>4562</v>
      </c>
      <c r="B3002" s="9">
        <v>46033</v>
      </c>
      <c r="C3002" t="s">
        <v>4175</v>
      </c>
      <c r="D3002" t="s">
        <v>116</v>
      </c>
      <c r="E3002" t="s">
        <v>16</v>
      </c>
      <c r="F3002" t="s">
        <v>26</v>
      </c>
      <c r="G3002" t="s">
        <v>27</v>
      </c>
      <c r="H3002">
        <v>2</v>
      </c>
      <c r="I3002" t="s">
        <v>106</v>
      </c>
      <c r="J3002" t="s">
        <v>107</v>
      </c>
      <c r="K3002">
        <v>520</v>
      </c>
      <c r="L3002" t="s">
        <v>30</v>
      </c>
      <c r="M3002" t="s">
        <v>58</v>
      </c>
    </row>
    <row r="3003" spans="1:13" x14ac:dyDescent="0.35">
      <c r="A3003" t="s">
        <v>4563</v>
      </c>
      <c r="B3003" s="9">
        <v>46151</v>
      </c>
      <c r="C3003" t="s">
        <v>2024</v>
      </c>
      <c r="D3003" t="s">
        <v>94</v>
      </c>
      <c r="E3003" t="s">
        <v>25</v>
      </c>
      <c r="F3003" t="s">
        <v>26</v>
      </c>
      <c r="G3003" t="s">
        <v>27</v>
      </c>
      <c r="H3003">
        <v>3</v>
      </c>
      <c r="I3003" t="s">
        <v>19</v>
      </c>
      <c r="J3003" t="s">
        <v>326</v>
      </c>
      <c r="K3003" t="s">
        <v>29</v>
      </c>
      <c r="L3003" t="s">
        <v>21</v>
      </c>
      <c r="M3003" t="s">
        <v>22</v>
      </c>
    </row>
    <row r="3004" spans="1:13" x14ac:dyDescent="0.35">
      <c r="A3004" t="s">
        <v>4564</v>
      </c>
      <c r="B3004" s="9">
        <v>46161</v>
      </c>
      <c r="C3004" t="s">
        <v>585</v>
      </c>
      <c r="D3004" t="s">
        <v>46</v>
      </c>
      <c r="E3004" t="s">
        <v>41</v>
      </c>
      <c r="F3004" t="s">
        <v>74</v>
      </c>
      <c r="G3004" t="s">
        <v>75</v>
      </c>
      <c r="H3004">
        <v>2</v>
      </c>
      <c r="I3004" t="s">
        <v>170</v>
      </c>
      <c r="J3004" t="s">
        <v>152</v>
      </c>
      <c r="K3004" t="s">
        <v>76</v>
      </c>
      <c r="L3004" t="s">
        <v>30</v>
      </c>
      <c r="M3004" t="s">
        <v>22</v>
      </c>
    </row>
    <row r="3005" spans="1:13" x14ac:dyDescent="0.35">
      <c r="A3005" t="s">
        <v>4565</v>
      </c>
      <c r="B3005" s="9">
        <v>46048</v>
      </c>
      <c r="C3005" t="s">
        <v>1953</v>
      </c>
      <c r="D3005" t="s">
        <v>46</v>
      </c>
      <c r="E3005" t="s">
        <v>34</v>
      </c>
      <c r="F3005" t="s">
        <v>74</v>
      </c>
      <c r="G3005" t="s">
        <v>75</v>
      </c>
      <c r="H3005">
        <v>1</v>
      </c>
      <c r="I3005" t="s">
        <v>220</v>
      </c>
      <c r="J3005" t="s">
        <v>220</v>
      </c>
      <c r="K3005">
        <v>410</v>
      </c>
      <c r="L3005" t="s">
        <v>21</v>
      </c>
      <c r="M3005" t="s">
        <v>22</v>
      </c>
    </row>
    <row r="3006" spans="1:13" x14ac:dyDescent="0.35">
      <c r="A3006" t="s">
        <v>4566</v>
      </c>
      <c r="B3006" s="9">
        <v>46040</v>
      </c>
      <c r="C3006" t="s">
        <v>2850</v>
      </c>
      <c r="D3006" t="s">
        <v>15</v>
      </c>
      <c r="E3006" t="s">
        <v>67</v>
      </c>
      <c r="F3006" t="s">
        <v>17</v>
      </c>
      <c r="G3006" t="s">
        <v>18</v>
      </c>
      <c r="H3006">
        <v>-3</v>
      </c>
      <c r="I3006" t="s">
        <v>102</v>
      </c>
      <c r="J3006" t="s">
        <v>1902</v>
      </c>
      <c r="K3006">
        <v>520</v>
      </c>
      <c r="L3006" t="s">
        <v>30</v>
      </c>
      <c r="M3006" t="s">
        <v>22</v>
      </c>
    </row>
    <row r="3007" spans="1:13" x14ac:dyDescent="0.35">
      <c r="A3007" t="s">
        <v>4567</v>
      </c>
      <c r="B3007" s="9">
        <v>46063</v>
      </c>
      <c r="C3007" t="s">
        <v>3899</v>
      </c>
      <c r="D3007" t="s">
        <v>61</v>
      </c>
      <c r="E3007" t="s">
        <v>67</v>
      </c>
      <c r="F3007" t="s">
        <v>26</v>
      </c>
      <c r="G3007" t="s">
        <v>27</v>
      </c>
      <c r="H3007">
        <v>3</v>
      </c>
      <c r="I3007" t="s">
        <v>645</v>
      </c>
      <c r="J3007" t="s">
        <v>127</v>
      </c>
      <c r="K3007">
        <v>520</v>
      </c>
      <c r="L3007" t="s">
        <v>21</v>
      </c>
      <c r="M3007" t="s">
        <v>22</v>
      </c>
    </row>
    <row r="3008" spans="1:13" x14ac:dyDescent="0.35">
      <c r="A3008" t="s">
        <v>4568</v>
      </c>
      <c r="B3008" s="9">
        <v>46122</v>
      </c>
      <c r="C3008" t="s">
        <v>3079</v>
      </c>
      <c r="D3008" t="s">
        <v>53</v>
      </c>
      <c r="E3008" t="s">
        <v>41</v>
      </c>
      <c r="F3008" t="s">
        <v>35</v>
      </c>
      <c r="G3008" t="s">
        <v>36</v>
      </c>
      <c r="H3008">
        <v>1</v>
      </c>
      <c r="I3008" t="s">
        <v>254</v>
      </c>
      <c r="J3008" t="s">
        <v>254</v>
      </c>
      <c r="K3008">
        <v>85</v>
      </c>
      <c r="L3008" t="s">
        <v>21</v>
      </c>
      <c r="M3008" t="s">
        <v>22</v>
      </c>
    </row>
    <row r="3009" spans="1:13" x14ac:dyDescent="0.35">
      <c r="A3009" t="s">
        <v>4569</v>
      </c>
      <c r="B3009" t="s">
        <v>888</v>
      </c>
      <c r="C3009" t="s">
        <v>3949</v>
      </c>
      <c r="D3009" t="s">
        <v>61</v>
      </c>
      <c r="E3009" t="s">
        <v>16</v>
      </c>
      <c r="F3009" t="s">
        <v>26</v>
      </c>
      <c r="G3009" t="s">
        <v>27</v>
      </c>
      <c r="H3009">
        <v>3</v>
      </c>
      <c r="I3009" t="s">
        <v>71</v>
      </c>
      <c r="J3009" t="s">
        <v>379</v>
      </c>
      <c r="K3009">
        <v>520</v>
      </c>
      <c r="L3009" t="s">
        <v>30</v>
      </c>
      <c r="M3009" t="s">
        <v>22</v>
      </c>
    </row>
    <row r="3010" spans="1:13" x14ac:dyDescent="0.35">
      <c r="A3010" t="s">
        <v>4570</v>
      </c>
      <c r="B3010" s="9">
        <v>46176</v>
      </c>
      <c r="C3010" t="s">
        <v>3479</v>
      </c>
      <c r="D3010" t="s">
        <v>99</v>
      </c>
      <c r="E3010" t="s">
        <v>25</v>
      </c>
      <c r="F3010" t="s">
        <v>74</v>
      </c>
      <c r="G3010" t="s">
        <v>75</v>
      </c>
      <c r="H3010">
        <v>1</v>
      </c>
      <c r="I3010" t="s">
        <v>132</v>
      </c>
      <c r="J3010" t="s">
        <v>132</v>
      </c>
      <c r="K3010" t="s">
        <v>76</v>
      </c>
      <c r="L3010" t="s">
        <v>30</v>
      </c>
      <c r="M3010" t="s">
        <v>22</v>
      </c>
    </row>
    <row r="3011" spans="1:13" x14ac:dyDescent="0.35">
      <c r="A3011" t="s">
        <v>4571</v>
      </c>
      <c r="B3011" s="9">
        <v>46039</v>
      </c>
      <c r="C3011" t="s">
        <v>229</v>
      </c>
      <c r="D3011" t="s">
        <v>53</v>
      </c>
      <c r="E3011" t="s">
        <v>34</v>
      </c>
      <c r="F3011" t="s">
        <v>74</v>
      </c>
      <c r="G3011" t="s">
        <v>75</v>
      </c>
      <c r="H3011">
        <v>2</v>
      </c>
      <c r="I3011" t="s">
        <v>254</v>
      </c>
      <c r="J3011" t="s">
        <v>156</v>
      </c>
      <c r="K3011">
        <v>410</v>
      </c>
      <c r="L3011" t="s">
        <v>30</v>
      </c>
      <c r="M3011" t="s">
        <v>58</v>
      </c>
    </row>
    <row r="3012" spans="1:13" x14ac:dyDescent="0.35">
      <c r="A3012" t="s">
        <v>4572</v>
      </c>
      <c r="B3012" s="9">
        <v>46160</v>
      </c>
      <c r="C3012" t="s">
        <v>1179</v>
      </c>
      <c r="D3012" t="s">
        <v>99</v>
      </c>
      <c r="E3012" t="s">
        <v>34</v>
      </c>
      <c r="F3012" t="s">
        <v>74</v>
      </c>
      <c r="G3012" t="s">
        <v>75</v>
      </c>
      <c r="H3012">
        <v>-2</v>
      </c>
      <c r="I3012" t="s">
        <v>220</v>
      </c>
      <c r="J3012" t="s">
        <v>2418</v>
      </c>
      <c r="K3012" t="s">
        <v>76</v>
      </c>
      <c r="L3012" t="s">
        <v>30</v>
      </c>
      <c r="M3012" t="s">
        <v>22</v>
      </c>
    </row>
    <row r="3013" spans="1:13" x14ac:dyDescent="0.35">
      <c r="A3013" t="s">
        <v>4573</v>
      </c>
      <c r="B3013" s="9">
        <v>46054</v>
      </c>
      <c r="C3013" t="s">
        <v>443</v>
      </c>
      <c r="D3013" t="s">
        <v>40</v>
      </c>
      <c r="E3013" t="s">
        <v>25</v>
      </c>
      <c r="F3013" t="s">
        <v>42</v>
      </c>
      <c r="G3013" t="s">
        <v>43</v>
      </c>
      <c r="H3013">
        <v>2</v>
      </c>
      <c r="I3013" t="s">
        <v>79</v>
      </c>
      <c r="J3013" t="s">
        <v>143</v>
      </c>
      <c r="K3013">
        <v>190</v>
      </c>
      <c r="L3013" t="s">
        <v>21</v>
      </c>
      <c r="M3013" t="s">
        <v>58</v>
      </c>
    </row>
    <row r="3014" spans="1:13" x14ac:dyDescent="0.35">
      <c r="A3014" t="s">
        <v>4574</v>
      </c>
      <c r="B3014" s="9">
        <v>46176</v>
      </c>
      <c r="C3014" t="s">
        <v>3809</v>
      </c>
      <c r="D3014" t="s">
        <v>53</v>
      </c>
      <c r="E3014" t="s">
        <v>25</v>
      </c>
      <c r="F3014" t="s">
        <v>89</v>
      </c>
      <c r="G3014" t="s">
        <v>90</v>
      </c>
      <c r="H3014">
        <v>1</v>
      </c>
      <c r="I3014" t="s">
        <v>170</v>
      </c>
      <c r="J3014" t="s">
        <v>170</v>
      </c>
      <c r="K3014">
        <v>640</v>
      </c>
      <c r="L3014" t="s">
        <v>21</v>
      </c>
      <c r="M3014" t="s">
        <v>22</v>
      </c>
    </row>
    <row r="3015" spans="1:13" x14ac:dyDescent="0.35">
      <c r="A3015" t="s">
        <v>4575</v>
      </c>
      <c r="B3015" s="9">
        <v>46197</v>
      </c>
      <c r="C3015" t="s">
        <v>4576</v>
      </c>
      <c r="D3015" t="s">
        <v>116</v>
      </c>
      <c r="E3015" t="s">
        <v>41</v>
      </c>
      <c r="F3015" t="s">
        <v>35</v>
      </c>
      <c r="G3015" t="s">
        <v>36</v>
      </c>
      <c r="H3015">
        <v>3</v>
      </c>
      <c r="I3015" t="s">
        <v>106</v>
      </c>
      <c r="J3015" t="s">
        <v>160</v>
      </c>
      <c r="K3015" t="s">
        <v>37</v>
      </c>
      <c r="L3015" t="s">
        <v>30</v>
      </c>
      <c r="M3015" t="s">
        <v>22</v>
      </c>
    </row>
    <row r="3016" spans="1:13" x14ac:dyDescent="0.35">
      <c r="A3016" t="s">
        <v>4577</v>
      </c>
      <c r="B3016" s="9">
        <v>46062</v>
      </c>
      <c r="C3016" t="s">
        <v>2657</v>
      </c>
      <c r="D3016" t="s">
        <v>53</v>
      </c>
      <c r="E3016" t="s">
        <v>34</v>
      </c>
      <c r="F3016" t="s">
        <v>74</v>
      </c>
      <c r="G3016" t="s">
        <v>75</v>
      </c>
      <c r="H3016">
        <v>2</v>
      </c>
      <c r="I3016" t="s">
        <v>106</v>
      </c>
      <c r="J3016" t="s">
        <v>107</v>
      </c>
      <c r="K3016">
        <v>410</v>
      </c>
      <c r="L3016" t="s">
        <v>21</v>
      </c>
      <c r="M3016" t="s">
        <v>22</v>
      </c>
    </row>
    <row r="3017" spans="1:13" x14ac:dyDescent="0.35">
      <c r="A3017" t="s">
        <v>4578</v>
      </c>
      <c r="B3017" s="9">
        <v>46051</v>
      </c>
      <c r="C3017" t="s">
        <v>4579</v>
      </c>
      <c r="D3017" t="s">
        <v>116</v>
      </c>
      <c r="E3017" t="s">
        <v>67</v>
      </c>
      <c r="F3017" t="s">
        <v>17</v>
      </c>
      <c r="G3017" t="s">
        <v>18</v>
      </c>
      <c r="H3017">
        <v>3</v>
      </c>
      <c r="I3017" t="s">
        <v>106</v>
      </c>
      <c r="J3017" t="s">
        <v>160</v>
      </c>
      <c r="K3017">
        <v>520</v>
      </c>
      <c r="L3017" t="s">
        <v>30</v>
      </c>
      <c r="M3017" t="s">
        <v>58</v>
      </c>
    </row>
    <row r="3018" spans="1:13" x14ac:dyDescent="0.35">
      <c r="A3018" t="s">
        <v>4580</v>
      </c>
      <c r="B3018" s="9">
        <v>46067</v>
      </c>
      <c r="C3018" t="s">
        <v>4581</v>
      </c>
      <c r="D3018" t="s">
        <v>116</v>
      </c>
      <c r="E3018" t="s">
        <v>25</v>
      </c>
      <c r="F3018" t="s">
        <v>47</v>
      </c>
      <c r="G3018" t="s">
        <v>48</v>
      </c>
      <c r="H3018">
        <v>1</v>
      </c>
      <c r="I3018" t="s">
        <v>79</v>
      </c>
      <c r="J3018" t="s">
        <v>79</v>
      </c>
      <c r="K3018">
        <v>380</v>
      </c>
      <c r="L3018" t="s">
        <v>30</v>
      </c>
      <c r="M3018" t="s">
        <v>22</v>
      </c>
    </row>
    <row r="3019" spans="1:13" x14ac:dyDescent="0.35">
      <c r="A3019" t="s">
        <v>4582</v>
      </c>
      <c r="B3019" s="9">
        <v>46028</v>
      </c>
      <c r="C3019" t="s">
        <v>1324</v>
      </c>
      <c r="D3019" t="s">
        <v>94</v>
      </c>
      <c r="E3019" t="s">
        <v>67</v>
      </c>
      <c r="F3019" t="s">
        <v>17</v>
      </c>
      <c r="G3019" t="s">
        <v>18</v>
      </c>
      <c r="H3019">
        <v>2</v>
      </c>
      <c r="I3019" t="s">
        <v>19</v>
      </c>
      <c r="J3019" t="s">
        <v>238</v>
      </c>
      <c r="K3019">
        <v>520</v>
      </c>
      <c r="L3019" t="s">
        <v>30</v>
      </c>
      <c r="M3019" t="s">
        <v>22</v>
      </c>
    </row>
    <row r="3020" spans="1:13" x14ac:dyDescent="0.35">
      <c r="A3020" t="s">
        <v>4583</v>
      </c>
      <c r="B3020" s="9">
        <v>46204</v>
      </c>
      <c r="C3020" t="s">
        <v>1272</v>
      </c>
      <c r="D3020" t="s">
        <v>53</v>
      </c>
      <c r="E3020" t="s">
        <v>16</v>
      </c>
      <c r="F3020" t="s">
        <v>83</v>
      </c>
      <c r="G3020" t="s">
        <v>84</v>
      </c>
      <c r="H3020">
        <v>1</v>
      </c>
      <c r="I3020" t="s">
        <v>102</v>
      </c>
      <c r="J3020" t="s">
        <v>102</v>
      </c>
      <c r="K3020" t="s">
        <v>103</v>
      </c>
      <c r="L3020" t="s">
        <v>30</v>
      </c>
      <c r="M3020" t="s">
        <v>22</v>
      </c>
    </row>
    <row r="3021" spans="1:13" x14ac:dyDescent="0.35">
      <c r="A3021" t="s">
        <v>4584</v>
      </c>
      <c r="B3021" s="9">
        <v>46154</v>
      </c>
      <c r="C3021" t="s">
        <v>305</v>
      </c>
      <c r="D3021" t="s">
        <v>15</v>
      </c>
      <c r="E3021" t="s">
        <v>34</v>
      </c>
      <c r="F3021" t="s">
        <v>26</v>
      </c>
      <c r="G3021" t="s">
        <v>27</v>
      </c>
      <c r="H3021">
        <v>2</v>
      </c>
      <c r="I3021" t="s">
        <v>19</v>
      </c>
      <c r="J3021" t="s">
        <v>238</v>
      </c>
      <c r="K3021" t="s">
        <v>29</v>
      </c>
      <c r="L3021" t="s">
        <v>30</v>
      </c>
      <c r="M3021" t="s">
        <v>58</v>
      </c>
    </row>
    <row r="3022" spans="1:13" x14ac:dyDescent="0.35">
      <c r="A3022" t="s">
        <v>4585</v>
      </c>
      <c r="B3022" s="9">
        <v>46143</v>
      </c>
      <c r="C3022" t="s">
        <v>4466</v>
      </c>
      <c r="D3022" t="s">
        <v>53</v>
      </c>
      <c r="E3022" t="s">
        <v>41</v>
      </c>
      <c r="F3022" t="s">
        <v>47</v>
      </c>
      <c r="G3022" t="s">
        <v>48</v>
      </c>
      <c r="H3022">
        <v>1</v>
      </c>
      <c r="I3022" t="s">
        <v>132</v>
      </c>
      <c r="J3022" t="s">
        <v>132</v>
      </c>
      <c r="K3022" t="s">
        <v>50</v>
      </c>
      <c r="L3022" t="s">
        <v>30</v>
      </c>
      <c r="M3022" t="s">
        <v>22</v>
      </c>
    </row>
    <row r="3023" spans="1:13" x14ac:dyDescent="0.35">
      <c r="A3023" t="s">
        <v>4586</v>
      </c>
      <c r="B3023" s="9">
        <v>46168</v>
      </c>
      <c r="C3023" t="s">
        <v>2670</v>
      </c>
      <c r="D3023" t="s">
        <v>99</v>
      </c>
      <c r="E3023" t="s">
        <v>34</v>
      </c>
      <c r="F3023" t="s">
        <v>83</v>
      </c>
      <c r="G3023" t="s">
        <v>84</v>
      </c>
      <c r="H3023">
        <v>2</v>
      </c>
      <c r="I3023" t="s">
        <v>68</v>
      </c>
      <c r="J3023" t="s">
        <v>248</v>
      </c>
      <c r="K3023" t="s">
        <v>103</v>
      </c>
      <c r="L3023" t="s">
        <v>30</v>
      </c>
      <c r="M3023" t="s">
        <v>22</v>
      </c>
    </row>
    <row r="3024" spans="1:13" x14ac:dyDescent="0.35">
      <c r="A3024" t="s">
        <v>4587</v>
      </c>
      <c r="B3024" s="9">
        <v>46035</v>
      </c>
      <c r="C3024" t="s">
        <v>462</v>
      </c>
      <c r="D3024" t="s">
        <v>99</v>
      </c>
      <c r="E3024" t="s">
        <v>67</v>
      </c>
      <c r="F3024" t="s">
        <v>47</v>
      </c>
      <c r="G3024" t="s">
        <v>48</v>
      </c>
      <c r="H3024">
        <v>2</v>
      </c>
      <c r="I3024" t="s">
        <v>254</v>
      </c>
      <c r="J3024" t="s">
        <v>156</v>
      </c>
      <c r="K3024">
        <v>380</v>
      </c>
      <c r="L3024" t="s">
        <v>30</v>
      </c>
      <c r="M3024" t="s">
        <v>22</v>
      </c>
    </row>
    <row r="3025" spans="1:13" x14ac:dyDescent="0.35">
      <c r="A3025" t="s">
        <v>3317</v>
      </c>
      <c r="B3025" s="9">
        <v>46147</v>
      </c>
      <c r="C3025" t="s">
        <v>1848</v>
      </c>
      <c r="D3025" t="s">
        <v>40</v>
      </c>
      <c r="E3025" t="s">
        <v>25</v>
      </c>
      <c r="F3025" t="s">
        <v>74</v>
      </c>
      <c r="G3025" t="s">
        <v>75</v>
      </c>
      <c r="H3025">
        <v>1</v>
      </c>
      <c r="I3025" t="s">
        <v>68</v>
      </c>
      <c r="J3025" t="s">
        <v>68</v>
      </c>
      <c r="K3025" t="s">
        <v>76</v>
      </c>
      <c r="L3025" t="s">
        <v>30</v>
      </c>
      <c r="M3025" t="s">
        <v>22</v>
      </c>
    </row>
    <row r="3026" spans="1:13" x14ac:dyDescent="0.35">
      <c r="A3026" t="s">
        <v>4588</v>
      </c>
      <c r="B3026" s="9">
        <v>46050</v>
      </c>
      <c r="C3026" t="s">
        <v>3953</v>
      </c>
      <c r="D3026" t="s">
        <v>61</v>
      </c>
      <c r="E3026" t="s">
        <v>67</v>
      </c>
      <c r="F3026" t="s">
        <v>35</v>
      </c>
      <c r="G3026" t="s">
        <v>36</v>
      </c>
      <c r="H3026">
        <v>-2</v>
      </c>
      <c r="I3026" t="s">
        <v>62</v>
      </c>
      <c r="J3026" t="s">
        <v>2673</v>
      </c>
      <c r="K3026">
        <v>85</v>
      </c>
      <c r="L3026" t="s">
        <v>30</v>
      </c>
      <c r="M3026" t="s">
        <v>22</v>
      </c>
    </row>
    <row r="3027" spans="1:13" x14ac:dyDescent="0.35">
      <c r="A3027" t="s">
        <v>4589</v>
      </c>
      <c r="B3027" s="9">
        <v>46053</v>
      </c>
      <c r="C3027" t="s">
        <v>2387</v>
      </c>
      <c r="D3027" t="s">
        <v>40</v>
      </c>
      <c r="E3027" t="s">
        <v>67</v>
      </c>
      <c r="F3027" t="s">
        <v>35</v>
      </c>
      <c r="G3027" t="s">
        <v>36</v>
      </c>
      <c r="H3027">
        <v>2</v>
      </c>
      <c r="I3027" t="s">
        <v>56</v>
      </c>
      <c r="J3027" t="s">
        <v>193</v>
      </c>
      <c r="K3027">
        <v>85</v>
      </c>
      <c r="L3027" t="s">
        <v>30</v>
      </c>
      <c r="M3027" t="s">
        <v>22</v>
      </c>
    </row>
    <row r="3028" spans="1:13" x14ac:dyDescent="0.35">
      <c r="A3028" t="s">
        <v>4590</v>
      </c>
      <c r="B3028" s="9">
        <v>46101</v>
      </c>
      <c r="C3028" t="s">
        <v>539</v>
      </c>
      <c r="D3028" t="s">
        <v>46</v>
      </c>
      <c r="E3028" t="s">
        <v>41</v>
      </c>
      <c r="F3028" t="s">
        <v>74</v>
      </c>
      <c r="G3028" t="s">
        <v>75</v>
      </c>
      <c r="H3028">
        <v>2</v>
      </c>
      <c r="I3028" t="s">
        <v>106</v>
      </c>
      <c r="J3028" t="s">
        <v>107</v>
      </c>
      <c r="K3028">
        <v>410</v>
      </c>
      <c r="L3028" t="s">
        <v>30</v>
      </c>
      <c r="M3028" t="s">
        <v>22</v>
      </c>
    </row>
    <row r="3029" spans="1:13" x14ac:dyDescent="0.35">
      <c r="A3029" t="s">
        <v>4591</v>
      </c>
      <c r="B3029" s="9">
        <v>46082</v>
      </c>
      <c r="C3029" t="s">
        <v>1612</v>
      </c>
      <c r="D3029" t="s">
        <v>15</v>
      </c>
      <c r="E3029" t="s">
        <v>16</v>
      </c>
      <c r="F3029" t="s">
        <v>26</v>
      </c>
      <c r="G3029" t="s">
        <v>27</v>
      </c>
      <c r="H3029">
        <v>3</v>
      </c>
      <c r="I3029" t="s">
        <v>56</v>
      </c>
      <c r="J3029" t="s">
        <v>57</v>
      </c>
      <c r="K3029">
        <v>520</v>
      </c>
      <c r="L3029" t="s">
        <v>30</v>
      </c>
      <c r="M3029" t="s">
        <v>22</v>
      </c>
    </row>
    <row r="3030" spans="1:13" x14ac:dyDescent="0.35">
      <c r="A3030" t="s">
        <v>4592</v>
      </c>
      <c r="B3030" s="9">
        <v>46055</v>
      </c>
      <c r="C3030" t="s">
        <v>4118</v>
      </c>
      <c r="D3030" t="s">
        <v>116</v>
      </c>
      <c r="E3030" t="s">
        <v>41</v>
      </c>
      <c r="F3030" t="s">
        <v>89</v>
      </c>
      <c r="G3030" t="s">
        <v>90</v>
      </c>
      <c r="H3030">
        <v>1</v>
      </c>
      <c r="I3030" t="s">
        <v>102</v>
      </c>
      <c r="J3030" t="s">
        <v>102</v>
      </c>
      <c r="K3030">
        <v>640</v>
      </c>
      <c r="L3030" t="s">
        <v>21</v>
      </c>
      <c r="M3030" t="s">
        <v>22</v>
      </c>
    </row>
    <row r="3031" spans="1:13" x14ac:dyDescent="0.35">
      <c r="A3031" t="s">
        <v>4593</v>
      </c>
      <c r="B3031" s="9">
        <v>46085</v>
      </c>
      <c r="C3031" t="s">
        <v>3344</v>
      </c>
      <c r="D3031" t="s">
        <v>46</v>
      </c>
      <c r="E3031" t="s">
        <v>16</v>
      </c>
      <c r="F3031" t="s">
        <v>17</v>
      </c>
      <c r="G3031" t="s">
        <v>18</v>
      </c>
      <c r="H3031">
        <v>2</v>
      </c>
      <c r="I3031" t="s">
        <v>71</v>
      </c>
      <c r="J3031" t="s">
        <v>4594</v>
      </c>
      <c r="K3031">
        <v>520</v>
      </c>
      <c r="L3031" t="s">
        <v>30</v>
      </c>
      <c r="M3031" t="s">
        <v>22</v>
      </c>
    </row>
    <row r="3032" spans="1:13" x14ac:dyDescent="0.35">
      <c r="A3032" t="s">
        <v>4595</v>
      </c>
      <c r="B3032" s="9">
        <v>46039</v>
      </c>
      <c r="C3032" t="s">
        <v>305</v>
      </c>
      <c r="D3032" t="s">
        <v>61</v>
      </c>
      <c r="E3032" t="s">
        <v>67</v>
      </c>
      <c r="F3032" t="s">
        <v>47</v>
      </c>
      <c r="G3032" t="s">
        <v>48</v>
      </c>
      <c r="H3032">
        <v>3</v>
      </c>
      <c r="I3032" t="s">
        <v>136</v>
      </c>
      <c r="J3032" t="s">
        <v>137</v>
      </c>
      <c r="K3032">
        <v>380</v>
      </c>
      <c r="L3032" t="s">
        <v>30</v>
      </c>
      <c r="M3032" t="s">
        <v>58</v>
      </c>
    </row>
    <row r="3033" spans="1:13" x14ac:dyDescent="0.35">
      <c r="A3033" t="s">
        <v>1913</v>
      </c>
      <c r="B3033" s="9">
        <v>46099</v>
      </c>
      <c r="C3033" t="s">
        <v>1914</v>
      </c>
      <c r="D3033" t="s">
        <v>40</v>
      </c>
      <c r="E3033" t="s">
        <v>16</v>
      </c>
      <c r="F3033" t="s">
        <v>47</v>
      </c>
      <c r="G3033" t="s">
        <v>48</v>
      </c>
      <c r="H3033">
        <v>1</v>
      </c>
      <c r="I3033" t="s">
        <v>19</v>
      </c>
      <c r="J3033" t="s">
        <v>19</v>
      </c>
      <c r="K3033">
        <v>380</v>
      </c>
      <c r="L3033" t="s">
        <v>30</v>
      </c>
      <c r="M3033" t="s">
        <v>22</v>
      </c>
    </row>
    <row r="3034" spans="1:13" x14ac:dyDescent="0.35">
      <c r="A3034" t="s">
        <v>4596</v>
      </c>
      <c r="B3034" s="9">
        <v>46204</v>
      </c>
      <c r="C3034" t="s">
        <v>2650</v>
      </c>
      <c r="D3034" t="s">
        <v>33</v>
      </c>
      <c r="E3034" t="s">
        <v>67</v>
      </c>
      <c r="F3034" t="s">
        <v>17</v>
      </c>
      <c r="G3034" t="s">
        <v>18</v>
      </c>
      <c r="H3034">
        <v>1</v>
      </c>
      <c r="I3034" t="s">
        <v>56</v>
      </c>
      <c r="J3034" t="s">
        <v>56</v>
      </c>
      <c r="K3034" t="s">
        <v>29</v>
      </c>
      <c r="L3034" t="s">
        <v>30</v>
      </c>
      <c r="M3034" t="s">
        <v>22</v>
      </c>
    </row>
    <row r="3035" spans="1:13" x14ac:dyDescent="0.35">
      <c r="A3035" t="s">
        <v>4597</v>
      </c>
      <c r="B3035" s="9">
        <v>46161</v>
      </c>
      <c r="C3035" t="s">
        <v>2245</v>
      </c>
      <c r="D3035" t="s">
        <v>116</v>
      </c>
      <c r="E3035" t="s">
        <v>41</v>
      </c>
      <c r="F3035" t="s">
        <v>47</v>
      </c>
      <c r="G3035" t="s">
        <v>48</v>
      </c>
      <c r="H3035">
        <v>3</v>
      </c>
      <c r="I3035" t="s">
        <v>71</v>
      </c>
      <c r="J3035" t="s">
        <v>379</v>
      </c>
      <c r="K3035" t="s">
        <v>50</v>
      </c>
      <c r="L3035" t="s">
        <v>30</v>
      </c>
      <c r="M3035" t="s">
        <v>58</v>
      </c>
    </row>
    <row r="3036" spans="1:13" x14ac:dyDescent="0.35">
      <c r="A3036" t="s">
        <v>4598</v>
      </c>
      <c r="B3036" t="s">
        <v>1095</v>
      </c>
      <c r="C3036" t="s">
        <v>1839</v>
      </c>
      <c r="D3036" t="s">
        <v>53</v>
      </c>
      <c r="E3036" t="s">
        <v>34</v>
      </c>
      <c r="F3036" t="s">
        <v>17</v>
      </c>
      <c r="G3036" t="s">
        <v>18</v>
      </c>
      <c r="H3036">
        <v>1</v>
      </c>
      <c r="I3036" t="s">
        <v>170</v>
      </c>
      <c r="J3036" t="s">
        <v>170</v>
      </c>
      <c r="K3036">
        <v>520</v>
      </c>
      <c r="L3036" t="s">
        <v>30</v>
      </c>
      <c r="M3036" t="s">
        <v>58</v>
      </c>
    </row>
    <row r="3037" spans="1:13" x14ac:dyDescent="0.35">
      <c r="A3037" t="s">
        <v>4599</v>
      </c>
      <c r="B3037" s="9">
        <v>46096</v>
      </c>
      <c r="C3037" t="s">
        <v>2811</v>
      </c>
      <c r="D3037" t="s">
        <v>94</v>
      </c>
      <c r="E3037" t="s">
        <v>41</v>
      </c>
      <c r="F3037" t="s">
        <v>89</v>
      </c>
      <c r="G3037" t="s">
        <v>90</v>
      </c>
      <c r="H3037">
        <v>1</v>
      </c>
      <c r="I3037" t="s">
        <v>19</v>
      </c>
      <c r="J3037" t="s">
        <v>19</v>
      </c>
      <c r="K3037">
        <v>640</v>
      </c>
      <c r="L3037" t="s">
        <v>21</v>
      </c>
      <c r="M3037" t="s">
        <v>22</v>
      </c>
    </row>
    <row r="3038" spans="1:13" x14ac:dyDescent="0.35">
      <c r="A3038" t="s">
        <v>4600</v>
      </c>
      <c r="B3038" s="9">
        <v>46158</v>
      </c>
      <c r="C3038" t="s">
        <v>655</v>
      </c>
      <c r="D3038" t="s">
        <v>94</v>
      </c>
      <c r="E3038" t="s">
        <v>16</v>
      </c>
      <c r="F3038" t="s">
        <v>74</v>
      </c>
      <c r="G3038" t="s">
        <v>75</v>
      </c>
      <c r="H3038">
        <v>1</v>
      </c>
      <c r="I3038" t="s">
        <v>479</v>
      </c>
      <c r="J3038" t="s">
        <v>71</v>
      </c>
      <c r="K3038" t="s">
        <v>76</v>
      </c>
      <c r="L3038" t="s">
        <v>30</v>
      </c>
      <c r="M3038" t="s">
        <v>22</v>
      </c>
    </row>
    <row r="3039" spans="1:13" x14ac:dyDescent="0.35">
      <c r="A3039" t="s">
        <v>4601</v>
      </c>
      <c r="B3039" t="s">
        <v>658</v>
      </c>
      <c r="C3039" t="s">
        <v>1951</v>
      </c>
      <c r="D3039" t="s">
        <v>99</v>
      </c>
      <c r="E3039" t="s">
        <v>34</v>
      </c>
      <c r="F3039" t="s">
        <v>83</v>
      </c>
      <c r="G3039" t="s">
        <v>84</v>
      </c>
      <c r="H3039">
        <v>2</v>
      </c>
      <c r="I3039" t="s">
        <v>19</v>
      </c>
      <c r="J3039" t="s">
        <v>238</v>
      </c>
      <c r="K3039">
        <v>340</v>
      </c>
      <c r="L3039" t="s">
        <v>30</v>
      </c>
      <c r="M3039" t="s">
        <v>58</v>
      </c>
    </row>
    <row r="3040" spans="1:13" x14ac:dyDescent="0.35">
      <c r="A3040" t="s">
        <v>4602</v>
      </c>
      <c r="B3040" s="9">
        <v>46049</v>
      </c>
      <c r="C3040" t="s">
        <v>1633</v>
      </c>
      <c r="D3040" t="s">
        <v>46</v>
      </c>
      <c r="E3040" t="s">
        <v>67</v>
      </c>
      <c r="F3040" t="s">
        <v>74</v>
      </c>
      <c r="G3040" t="s">
        <v>75</v>
      </c>
      <c r="H3040">
        <v>1</v>
      </c>
      <c r="I3040" t="s">
        <v>220</v>
      </c>
      <c r="J3040" t="s">
        <v>220</v>
      </c>
      <c r="K3040">
        <v>410</v>
      </c>
      <c r="L3040" t="s">
        <v>30</v>
      </c>
      <c r="M3040" t="s">
        <v>22</v>
      </c>
    </row>
    <row r="3041" spans="1:13" x14ac:dyDescent="0.35">
      <c r="A3041" t="s">
        <v>4603</v>
      </c>
      <c r="B3041" s="9">
        <v>46204</v>
      </c>
      <c r="C3041" t="s">
        <v>2110</v>
      </c>
      <c r="D3041" t="s">
        <v>66</v>
      </c>
      <c r="E3041" t="s">
        <v>41</v>
      </c>
      <c r="F3041" t="s">
        <v>35</v>
      </c>
      <c r="G3041" t="s">
        <v>36</v>
      </c>
      <c r="H3041">
        <v>1</v>
      </c>
      <c r="I3041" t="s">
        <v>19</v>
      </c>
      <c r="J3041" t="s">
        <v>19</v>
      </c>
      <c r="K3041" t="s">
        <v>37</v>
      </c>
      <c r="L3041" t="s">
        <v>21</v>
      </c>
      <c r="M3041" t="s">
        <v>22</v>
      </c>
    </row>
    <row r="3042" spans="1:13" x14ac:dyDescent="0.35">
      <c r="A3042" t="s">
        <v>4604</v>
      </c>
      <c r="B3042" s="9">
        <v>46034</v>
      </c>
      <c r="C3042" t="s">
        <v>3776</v>
      </c>
      <c r="D3042" t="s">
        <v>99</v>
      </c>
      <c r="E3042" t="s">
        <v>67</v>
      </c>
      <c r="F3042" t="s">
        <v>83</v>
      </c>
      <c r="G3042" t="s">
        <v>84</v>
      </c>
      <c r="H3042">
        <v>1</v>
      </c>
      <c r="I3042" t="s">
        <v>254</v>
      </c>
      <c r="J3042" t="s">
        <v>254</v>
      </c>
      <c r="K3042">
        <v>340</v>
      </c>
      <c r="L3042" t="s">
        <v>21</v>
      </c>
      <c r="M3042" t="s">
        <v>58</v>
      </c>
    </row>
    <row r="3043" spans="1:13" x14ac:dyDescent="0.35">
      <c r="A3043" t="s">
        <v>4605</v>
      </c>
      <c r="B3043" s="9">
        <v>46037</v>
      </c>
      <c r="C3043" t="s">
        <v>4606</v>
      </c>
      <c r="D3043" t="s">
        <v>94</v>
      </c>
      <c r="E3043" t="s">
        <v>67</v>
      </c>
      <c r="F3043" t="s">
        <v>47</v>
      </c>
      <c r="G3043" t="s">
        <v>48</v>
      </c>
      <c r="H3043">
        <v>3</v>
      </c>
      <c r="I3043" t="s">
        <v>220</v>
      </c>
      <c r="J3043" t="s">
        <v>494</v>
      </c>
      <c r="K3043">
        <v>380</v>
      </c>
      <c r="L3043" t="s">
        <v>30</v>
      </c>
      <c r="M3043" t="s">
        <v>22</v>
      </c>
    </row>
    <row r="3044" spans="1:13" x14ac:dyDescent="0.35">
      <c r="A3044" t="s">
        <v>4607</v>
      </c>
      <c r="B3044" s="9">
        <v>46095</v>
      </c>
      <c r="C3044" t="s">
        <v>2119</v>
      </c>
      <c r="D3044" t="s">
        <v>66</v>
      </c>
      <c r="E3044" t="s">
        <v>67</v>
      </c>
      <c r="F3044" t="s">
        <v>83</v>
      </c>
      <c r="G3044" t="s">
        <v>84</v>
      </c>
      <c r="H3044">
        <v>2</v>
      </c>
      <c r="I3044" t="s">
        <v>62</v>
      </c>
      <c r="J3044" t="s">
        <v>63</v>
      </c>
      <c r="K3044">
        <v>340</v>
      </c>
      <c r="L3044" t="s">
        <v>30</v>
      </c>
      <c r="M3044" t="s">
        <v>22</v>
      </c>
    </row>
    <row r="3045" spans="1:13" x14ac:dyDescent="0.35">
      <c r="A3045" t="s">
        <v>4608</v>
      </c>
      <c r="B3045" s="9">
        <v>46130</v>
      </c>
      <c r="C3045" t="s">
        <v>2614</v>
      </c>
      <c r="D3045" t="s">
        <v>99</v>
      </c>
      <c r="E3045" t="s">
        <v>25</v>
      </c>
      <c r="F3045" t="s">
        <v>17</v>
      </c>
      <c r="G3045" t="s">
        <v>18</v>
      </c>
      <c r="H3045">
        <v>3</v>
      </c>
      <c r="I3045" t="s">
        <v>19</v>
      </c>
      <c r="J3045" t="s">
        <v>4358</v>
      </c>
      <c r="K3045">
        <v>520</v>
      </c>
      <c r="L3045" t="s">
        <v>30</v>
      </c>
      <c r="M3045" t="s">
        <v>22</v>
      </c>
    </row>
    <row r="3046" spans="1:13" x14ac:dyDescent="0.35">
      <c r="A3046" t="s">
        <v>4609</v>
      </c>
      <c r="B3046" s="9">
        <v>46131</v>
      </c>
      <c r="C3046" t="s">
        <v>728</v>
      </c>
      <c r="D3046" t="s">
        <v>33</v>
      </c>
      <c r="E3046" t="s">
        <v>67</v>
      </c>
      <c r="F3046" t="s">
        <v>47</v>
      </c>
      <c r="G3046" t="s">
        <v>48</v>
      </c>
      <c r="H3046">
        <v>2</v>
      </c>
      <c r="I3046" t="s">
        <v>19</v>
      </c>
      <c r="J3046" t="s">
        <v>2503</v>
      </c>
      <c r="K3046">
        <v>380</v>
      </c>
      <c r="L3046" t="s">
        <v>21</v>
      </c>
      <c r="M3046" t="s">
        <v>22</v>
      </c>
    </row>
    <row r="3047" spans="1:13" x14ac:dyDescent="0.35">
      <c r="A3047" t="s">
        <v>4610</v>
      </c>
      <c r="B3047" s="9">
        <v>46087</v>
      </c>
      <c r="C3047" t="s">
        <v>3383</v>
      </c>
      <c r="D3047" t="s">
        <v>116</v>
      </c>
      <c r="E3047" t="s">
        <v>41</v>
      </c>
      <c r="F3047" t="s">
        <v>74</v>
      </c>
      <c r="G3047" t="s">
        <v>75</v>
      </c>
      <c r="H3047">
        <v>1</v>
      </c>
      <c r="I3047" t="s">
        <v>68</v>
      </c>
      <c r="J3047" t="s">
        <v>359</v>
      </c>
      <c r="K3047" t="s">
        <v>76</v>
      </c>
      <c r="L3047" t="s">
        <v>21</v>
      </c>
      <c r="M3047" t="s">
        <v>58</v>
      </c>
    </row>
    <row r="3048" spans="1:13" x14ac:dyDescent="0.35">
      <c r="A3048" t="s">
        <v>4611</v>
      </c>
      <c r="B3048" s="9">
        <v>46073</v>
      </c>
      <c r="C3048" t="s">
        <v>2222</v>
      </c>
      <c r="D3048" t="s">
        <v>66</v>
      </c>
      <c r="E3048" t="s">
        <v>16</v>
      </c>
      <c r="F3048" t="s">
        <v>17</v>
      </c>
      <c r="G3048" t="s">
        <v>18</v>
      </c>
      <c r="H3048">
        <v>2</v>
      </c>
      <c r="I3048" t="s">
        <v>79</v>
      </c>
      <c r="J3048" t="s">
        <v>143</v>
      </c>
      <c r="K3048">
        <v>520</v>
      </c>
      <c r="L3048" t="s">
        <v>30</v>
      </c>
      <c r="M304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Clean data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2026-09-07T02:09:58Z</dcterms:created>
  <dcterms:modified xsi:type="dcterms:W3CDTF">2026-09-10T15:03:32Z</dcterms:modified>
</cp:coreProperties>
</file>