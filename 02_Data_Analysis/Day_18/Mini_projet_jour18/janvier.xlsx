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Mini_projet_jour18\"/>
    </mc:Choice>
  </mc:AlternateContent>
  <xr:revisionPtr revIDLastSave="0" documentId="13_ncr:1_{5C34036A-4211-4680-8330-71693B939341}" xr6:coauthVersionLast="47" xr6:coauthVersionMax="47" xr10:uidLastSave="{00000000-0000-0000-0000-000000000000}"/>
  <bookViews>
    <workbookView xWindow="-110" yWindow="-110" windowWidth="19420" windowHeight="10300" xr2:uid="{E9DDA8C9-A092-464F-A24D-1A0B13DF4E1D}"/>
  </bookViews>
  <sheets>
    <sheet name="vent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9" i="1" l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<sst xmlns="http://schemas.openxmlformats.org/spreadsheetml/2006/main" count="82" uniqueCount="46">
  <si>
    <t>Date</t>
  </si>
  <si>
    <t>Vente_ID</t>
  </si>
  <si>
    <t>Produit</t>
  </si>
  <si>
    <t>Catégorie</t>
  </si>
  <si>
    <t>Vendeur</t>
  </si>
  <si>
    <t>Quantité</t>
  </si>
  <si>
    <t>Prix_Unitaire</t>
  </si>
  <si>
    <t>Chiffre_Affaires</t>
  </si>
  <si>
    <t>Remise</t>
  </si>
  <si>
    <t>Montant net</t>
  </si>
  <si>
    <t>V0001</t>
  </si>
  <si>
    <t>Laptop</t>
  </si>
  <si>
    <t>Informatique</t>
  </si>
  <si>
    <t>Awa Ndiaye</t>
  </si>
  <si>
    <t>V0002</t>
  </si>
  <si>
    <t>Souris</t>
  </si>
  <si>
    <t>Moussa Diop</t>
  </si>
  <si>
    <t>V0003</t>
  </si>
  <si>
    <t>Clavier</t>
  </si>
  <si>
    <t>Fatou Sow</t>
  </si>
  <si>
    <t>V0004</t>
  </si>
  <si>
    <t>Écran 24 pouces</t>
  </si>
  <si>
    <t>Cheikh Fall</t>
  </si>
  <si>
    <t>V0005</t>
  </si>
  <si>
    <t>Imprimante</t>
  </si>
  <si>
    <t>V0006</t>
  </si>
  <si>
    <t>Smartphone</t>
  </si>
  <si>
    <t>Téléphonie</t>
  </si>
  <si>
    <t>V0007</t>
  </si>
  <si>
    <t>Tablette</t>
  </si>
  <si>
    <t>V0008</t>
  </si>
  <si>
    <t>Casque audio</t>
  </si>
  <si>
    <t>Accessoires</t>
  </si>
  <si>
    <t>V0009</t>
  </si>
  <si>
    <t>Disque SSD</t>
  </si>
  <si>
    <t>V0010</t>
  </si>
  <si>
    <t>Clé USB</t>
  </si>
  <si>
    <t>V0011</t>
  </si>
  <si>
    <t>V0012</t>
  </si>
  <si>
    <t>V0013</t>
  </si>
  <si>
    <t>V0014</t>
  </si>
  <si>
    <t>Écran 27 pouces</t>
  </si>
  <si>
    <t>V0015</t>
  </si>
  <si>
    <t>V0016</t>
  </si>
  <si>
    <t>V0017</t>
  </si>
  <si>
    <t>V0018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</si>
</sst>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vertical="center"/>
    </xf>
    <xf numFmtId="14" fontId="0" fillId="0" borderId="4" xfId="0" applyNumberFormat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JOUR%2014.ods" TargetMode="External"/><Relationship Id="rId2" Type="http://schemas.openxmlformats.org/officeDocument/2006/relationships/externalLinkPath" Target="file:///C:\Users\hp\Documents\JOUR%2014.ods" TargetMode="External"/><Relationship Id="rId1" Type="http://schemas.openxmlformats.org/officeDocument/2006/relationships/externalLinkPath" Target="/Users/hp/Documents/JOUR%201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ique_tableau"/>
      <sheetName val="Ventes"/>
    </sheetNames>
    <sheetDataSet>
      <sheetData sheetId="0"/>
      <sheetData sheetId="1">
        <row r="2">
          <cell r="F2">
            <v>2</v>
          </cell>
          <cell r="G2">
            <v>450000</v>
          </cell>
          <cell r="H2">
            <v>900000</v>
          </cell>
          <cell r="I2">
            <v>9000</v>
          </cell>
        </row>
        <row r="3">
          <cell r="F3">
            <v>5</v>
          </cell>
          <cell r="G3">
            <v>15000</v>
          </cell>
          <cell r="H3">
            <v>75000</v>
          </cell>
          <cell r="I3">
            <v>750</v>
          </cell>
        </row>
        <row r="4">
          <cell r="F4">
            <v>3</v>
          </cell>
          <cell r="G4">
            <v>25000</v>
          </cell>
          <cell r="H4">
            <v>75000</v>
          </cell>
          <cell r="I4">
            <v>750</v>
          </cell>
        </row>
        <row r="5">
          <cell r="F5">
            <v>2</v>
          </cell>
          <cell r="G5">
            <v>120000</v>
          </cell>
          <cell r="H5">
            <v>240000</v>
          </cell>
          <cell r="I5">
            <v>2400</v>
          </cell>
        </row>
        <row r="6">
          <cell r="F6">
            <v>1</v>
          </cell>
          <cell r="G6">
            <v>180000</v>
          </cell>
          <cell r="H6">
            <v>180000</v>
          </cell>
          <cell r="I6">
            <v>1800</v>
          </cell>
        </row>
        <row r="7">
          <cell r="F7">
            <v>2</v>
          </cell>
          <cell r="G7">
            <v>250000</v>
          </cell>
          <cell r="H7">
            <v>500000</v>
          </cell>
          <cell r="I7">
            <v>5000</v>
          </cell>
        </row>
        <row r="8">
          <cell r="F8">
            <v>1</v>
          </cell>
          <cell r="G8">
            <v>175000</v>
          </cell>
          <cell r="H8">
            <v>175000</v>
          </cell>
          <cell r="I8">
            <v>1750</v>
          </cell>
        </row>
        <row r="9">
          <cell r="F9">
            <v>4</v>
          </cell>
          <cell r="G9">
            <v>30000</v>
          </cell>
          <cell r="H9">
            <v>120000</v>
          </cell>
          <cell r="I9">
            <v>1200</v>
          </cell>
        </row>
        <row r="10">
          <cell r="F10">
            <v>3</v>
          </cell>
          <cell r="G10">
            <v>85000</v>
          </cell>
          <cell r="H10">
            <v>255000</v>
          </cell>
          <cell r="I10">
            <v>2550</v>
          </cell>
        </row>
        <row r="11">
          <cell r="F11">
            <v>10</v>
          </cell>
          <cell r="G11">
            <v>8000</v>
          </cell>
          <cell r="H11">
            <v>80000</v>
          </cell>
          <cell r="I11">
            <v>800</v>
          </cell>
        </row>
        <row r="12">
          <cell r="F12">
            <v>1</v>
          </cell>
          <cell r="G12">
            <v>550000</v>
          </cell>
          <cell r="H12">
            <v>550000</v>
          </cell>
          <cell r="I12">
            <v>5500</v>
          </cell>
        </row>
        <row r="13">
          <cell r="F13">
            <v>8</v>
          </cell>
          <cell r="G13">
            <v>15000</v>
          </cell>
          <cell r="H13">
            <v>120000</v>
          </cell>
          <cell r="I13">
            <v>1200</v>
          </cell>
        </row>
        <row r="14">
          <cell r="F14">
            <v>4</v>
          </cell>
          <cell r="G14">
            <v>25000</v>
          </cell>
          <cell r="H14">
            <v>100000</v>
          </cell>
          <cell r="I14">
            <v>1000</v>
          </cell>
        </row>
        <row r="15">
          <cell r="F15">
            <v>2</v>
          </cell>
          <cell r="G15">
            <v>175000</v>
          </cell>
          <cell r="H15">
            <v>350000</v>
          </cell>
          <cell r="I15">
            <v>3500</v>
          </cell>
        </row>
        <row r="16">
          <cell r="F16">
            <v>2</v>
          </cell>
          <cell r="G16">
            <v>180000</v>
          </cell>
          <cell r="H16">
            <v>360000</v>
          </cell>
          <cell r="I16">
            <v>3600</v>
          </cell>
        </row>
        <row r="17">
          <cell r="F17">
            <v>3</v>
          </cell>
          <cell r="G17">
            <v>300000</v>
          </cell>
          <cell r="H17">
            <v>900000</v>
          </cell>
          <cell r="I17">
            <v>9000</v>
          </cell>
        </row>
        <row r="18">
          <cell r="F18">
            <v>2</v>
          </cell>
          <cell r="G18">
            <v>175000</v>
          </cell>
          <cell r="H18">
            <v>350000</v>
          </cell>
          <cell r="I18">
            <v>3500</v>
          </cell>
        </row>
        <row r="19">
          <cell r="F19">
            <v>5</v>
          </cell>
          <cell r="G19">
            <v>30000</v>
          </cell>
          <cell r="H19">
            <v>150000</v>
          </cell>
          <cell r="I19">
            <v>1500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601D-7690-411D-A90F-E2D60533C05B}">
  <dimension ref="A1:J19"/>
  <sheetViews>
    <sheetView tabSelected="1" workbookViewId="0">
      <selection activeCell="B7" sqref="B7"/>
    </sheetView>
  </sheetViews>
  <sheetFormatPr baseColWidth="10" defaultRowHeight="14.5" x14ac:dyDescent="0.35"/>
  <sheetData>
    <row r="1" spans="1:10" ht="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</row>
    <row r="2" spans="1:10" x14ac:dyDescent="0.35">
      <c r="A2" s="4">
        <v>46036</v>
      </c>
      <c r="B2" s="5" t="s">
        <v>10</v>
      </c>
      <c r="C2" s="5" t="s">
        <v>11</v>
      </c>
      <c r="D2" s="5" t="s">
        <v>12</v>
      </c>
      <c r="E2" s="5" t="s">
        <v>13</v>
      </c>
      <c r="F2" s="5">
        <v>2</v>
      </c>
      <c r="G2" s="5">
        <v>450000</v>
      </c>
      <c r="H2" s="6">
        <f>[1]Ventes!$F2*[1]Ventes!$G2</f>
        <v>900000</v>
      </c>
      <c r="I2" s="2">
        <f>[1]Ventes!$H2*1/100</f>
        <v>9000</v>
      </c>
      <c r="J2" s="2">
        <f>[1]Ventes!$H2-[1]Ventes!$I2</f>
        <v>891000</v>
      </c>
    </row>
    <row r="3" spans="1:10" x14ac:dyDescent="0.35">
      <c r="A3" s="4">
        <v>46037</v>
      </c>
      <c r="B3" s="5" t="s">
        <v>14</v>
      </c>
      <c r="C3" s="5" t="s">
        <v>15</v>
      </c>
      <c r="D3" s="5" t="s">
        <v>12</v>
      </c>
      <c r="E3" s="5" t="s">
        <v>16</v>
      </c>
      <c r="F3" s="5">
        <v>5</v>
      </c>
      <c r="G3" s="5">
        <v>15000</v>
      </c>
      <c r="H3" s="6">
        <f>[1]Ventes!$F3*[1]Ventes!$G3</f>
        <v>75000</v>
      </c>
      <c r="I3" s="5">
        <f>[1]Ventes!$H3*1/100</f>
        <v>750</v>
      </c>
      <c r="J3" s="5">
        <f>[1]Ventes!$H3-[1]Ventes!$I3</f>
        <v>74250</v>
      </c>
    </row>
    <row r="4" spans="1:10" x14ac:dyDescent="0.35">
      <c r="A4" s="4">
        <v>46038</v>
      </c>
      <c r="B4" s="5" t="s">
        <v>17</v>
      </c>
      <c r="C4" s="5" t="s">
        <v>18</v>
      </c>
      <c r="D4" s="5" t="s">
        <v>12</v>
      </c>
      <c r="E4" s="5" t="s">
        <v>19</v>
      </c>
      <c r="F4" s="5">
        <v>3</v>
      </c>
      <c r="G4" s="5">
        <v>25000</v>
      </c>
      <c r="H4" s="6">
        <f>[1]Ventes!$F4*[1]Ventes!$G4</f>
        <v>75000</v>
      </c>
      <c r="I4" s="5">
        <f>[1]Ventes!$H4*1/100</f>
        <v>750</v>
      </c>
      <c r="J4" s="5">
        <f>[1]Ventes!$H4-[1]Ventes!$I4</f>
        <v>74250</v>
      </c>
    </row>
    <row r="5" spans="1:10" x14ac:dyDescent="0.35">
      <c r="A5" s="4">
        <v>46039</v>
      </c>
      <c r="B5" s="5" t="s">
        <v>20</v>
      </c>
      <c r="C5" s="5" t="s">
        <v>21</v>
      </c>
      <c r="D5" s="5" t="s">
        <v>12</v>
      </c>
      <c r="E5" s="5" t="s">
        <v>22</v>
      </c>
      <c r="F5" s="5">
        <v>2</v>
      </c>
      <c r="G5" s="5">
        <v>120000</v>
      </c>
      <c r="H5" s="6">
        <f>[1]Ventes!$F5*[1]Ventes!$G5</f>
        <v>240000</v>
      </c>
      <c r="I5" s="5">
        <f>[1]Ventes!$H5*1/100</f>
        <v>2400</v>
      </c>
      <c r="J5" s="5">
        <f>[1]Ventes!$H5-[1]Ventes!$I5</f>
        <v>237600</v>
      </c>
    </row>
    <row r="6" spans="1:10" x14ac:dyDescent="0.35">
      <c r="A6" s="4">
        <v>46040</v>
      </c>
      <c r="B6" s="5" t="s">
        <v>23</v>
      </c>
      <c r="C6" s="5" t="s">
        <v>24</v>
      </c>
      <c r="D6" s="5" t="s">
        <v>12</v>
      </c>
      <c r="E6" s="5" t="s">
        <v>13</v>
      </c>
      <c r="F6" s="5">
        <v>1</v>
      </c>
      <c r="G6" s="5">
        <v>180000</v>
      </c>
      <c r="H6" s="6">
        <f>[1]Ventes!$F6*[1]Ventes!$G6</f>
        <v>180000</v>
      </c>
      <c r="I6" s="5">
        <f>[1]Ventes!$H6*1/100</f>
        <v>1800</v>
      </c>
      <c r="J6" s="5">
        <f>[1]Ventes!$H6-[1]Ventes!$I6</f>
        <v>178200</v>
      </c>
    </row>
    <row r="7" spans="1:10" x14ac:dyDescent="0.35">
      <c r="A7" s="4">
        <v>46041</v>
      </c>
      <c r="B7" s="5" t="s">
        <v>25</v>
      </c>
      <c r="C7" s="5" t="s">
        <v>26</v>
      </c>
      <c r="D7" s="5" t="s">
        <v>27</v>
      </c>
      <c r="E7" s="5" t="s">
        <v>16</v>
      </c>
      <c r="F7" s="5">
        <v>2</v>
      </c>
      <c r="G7" s="5">
        <v>250000</v>
      </c>
      <c r="H7" s="6">
        <f>[1]Ventes!$F7*[1]Ventes!$G7</f>
        <v>500000</v>
      </c>
      <c r="I7" s="5">
        <f>[1]Ventes!$H7*1/100</f>
        <v>5000</v>
      </c>
      <c r="J7" s="5">
        <f>[1]Ventes!$H7-[1]Ventes!$I7</f>
        <v>495000</v>
      </c>
    </row>
    <row r="8" spans="1:10" x14ac:dyDescent="0.35">
      <c r="A8" s="4">
        <v>46042</v>
      </c>
      <c r="B8" s="5" t="s">
        <v>28</v>
      </c>
      <c r="C8" s="5" t="s">
        <v>29</v>
      </c>
      <c r="D8" s="5" t="s">
        <v>27</v>
      </c>
      <c r="E8" s="5" t="s">
        <v>19</v>
      </c>
      <c r="F8" s="5">
        <v>1</v>
      </c>
      <c r="G8" s="5">
        <v>175000</v>
      </c>
      <c r="H8" s="6">
        <f>[1]Ventes!$F8*[1]Ventes!$G8</f>
        <v>175000</v>
      </c>
      <c r="I8" s="5">
        <f>[1]Ventes!$H8*1/100</f>
        <v>1750</v>
      </c>
      <c r="J8" s="5">
        <f>[1]Ventes!$H8-[1]Ventes!$I8</f>
        <v>173250</v>
      </c>
    </row>
    <row r="9" spans="1:10" x14ac:dyDescent="0.35">
      <c r="A9" s="4">
        <v>46043</v>
      </c>
      <c r="B9" s="5" t="s">
        <v>30</v>
      </c>
      <c r="C9" s="5" t="s">
        <v>31</v>
      </c>
      <c r="D9" s="5" t="s">
        <v>32</v>
      </c>
      <c r="E9" s="5" t="s">
        <v>22</v>
      </c>
      <c r="F9" s="5">
        <v>4</v>
      </c>
      <c r="G9" s="5">
        <v>30000</v>
      </c>
      <c r="H9" s="6">
        <f>[1]Ventes!$F9*[1]Ventes!$G9</f>
        <v>120000</v>
      </c>
      <c r="I9" s="5">
        <f>[1]Ventes!$H9*1/100</f>
        <v>1200</v>
      </c>
      <c r="J9" s="5">
        <f>[1]Ventes!$H9-[1]Ventes!$I9</f>
        <v>118800</v>
      </c>
    </row>
    <row r="10" spans="1:10" x14ac:dyDescent="0.35">
      <c r="A10" s="4">
        <v>46044</v>
      </c>
      <c r="B10" s="5" t="s">
        <v>33</v>
      </c>
      <c r="C10" s="5" t="s">
        <v>34</v>
      </c>
      <c r="D10" s="5" t="s">
        <v>12</v>
      </c>
      <c r="E10" s="5" t="s">
        <v>13</v>
      </c>
      <c r="F10" s="5">
        <v>3</v>
      </c>
      <c r="G10" s="5">
        <v>85000</v>
      </c>
      <c r="H10" s="6">
        <f>[1]Ventes!$F10*[1]Ventes!$G10</f>
        <v>255000</v>
      </c>
      <c r="I10" s="5">
        <f>[1]Ventes!$H10*1/100</f>
        <v>2550</v>
      </c>
      <c r="J10" s="5">
        <f>[1]Ventes!$H10-[1]Ventes!$I10</f>
        <v>252450</v>
      </c>
    </row>
    <row r="11" spans="1:10" x14ac:dyDescent="0.35">
      <c r="A11" s="4">
        <v>46045</v>
      </c>
      <c r="B11" s="5" t="s">
        <v>35</v>
      </c>
      <c r="C11" s="5" t="s">
        <v>36</v>
      </c>
      <c r="D11" s="5" t="s">
        <v>12</v>
      </c>
      <c r="E11" s="5" t="s">
        <v>16</v>
      </c>
      <c r="F11" s="5">
        <v>10</v>
      </c>
      <c r="G11" s="5">
        <v>8000</v>
      </c>
      <c r="H11" s="6">
        <f>[1]Ventes!$F11*[1]Ventes!$G11</f>
        <v>80000</v>
      </c>
      <c r="I11" s="5">
        <f>[1]Ventes!$H11*1/100</f>
        <v>800</v>
      </c>
      <c r="J11" s="5">
        <f>[1]Ventes!$H11-[1]Ventes!$I11</f>
        <v>79200</v>
      </c>
    </row>
    <row r="12" spans="1:10" x14ac:dyDescent="0.35">
      <c r="A12" s="4">
        <v>46046</v>
      </c>
      <c r="B12" s="5" t="s">
        <v>37</v>
      </c>
      <c r="C12" s="5" t="s">
        <v>11</v>
      </c>
      <c r="D12" s="5" t="s">
        <v>12</v>
      </c>
      <c r="E12" s="5" t="s">
        <v>19</v>
      </c>
      <c r="F12" s="5">
        <v>1</v>
      </c>
      <c r="G12" s="5">
        <v>550000</v>
      </c>
      <c r="H12" s="6">
        <f>[1]Ventes!$F12*[1]Ventes!$G12</f>
        <v>550000</v>
      </c>
      <c r="I12" s="5">
        <f>[1]Ventes!$H12*1/100</f>
        <v>5500</v>
      </c>
      <c r="J12" s="5">
        <f>[1]Ventes!$H12-[1]Ventes!$I12</f>
        <v>544500</v>
      </c>
    </row>
    <row r="13" spans="1:10" x14ac:dyDescent="0.35">
      <c r="A13" s="4">
        <v>46047</v>
      </c>
      <c r="B13" s="5" t="s">
        <v>38</v>
      </c>
      <c r="C13" s="5" t="s">
        <v>15</v>
      </c>
      <c r="D13" s="5" t="s">
        <v>12</v>
      </c>
      <c r="E13" s="5" t="s">
        <v>22</v>
      </c>
      <c r="F13" s="5">
        <v>8</v>
      </c>
      <c r="G13" s="5">
        <v>15000</v>
      </c>
      <c r="H13" s="6">
        <f>[1]Ventes!$F13*[1]Ventes!$G13</f>
        <v>120000</v>
      </c>
      <c r="I13" s="5">
        <f>[1]Ventes!$H13*1/100</f>
        <v>1200</v>
      </c>
      <c r="J13" s="5">
        <f>[1]Ventes!$H13-[1]Ventes!$I13</f>
        <v>118800</v>
      </c>
    </row>
    <row r="14" spans="1:10" x14ac:dyDescent="0.35">
      <c r="A14" s="4">
        <v>46048</v>
      </c>
      <c r="B14" s="5" t="s">
        <v>39</v>
      </c>
      <c r="C14" s="5" t="s">
        <v>18</v>
      </c>
      <c r="D14" s="5" t="s">
        <v>12</v>
      </c>
      <c r="E14" s="5" t="s">
        <v>13</v>
      </c>
      <c r="F14" s="5">
        <v>4</v>
      </c>
      <c r="G14" s="5">
        <v>25000</v>
      </c>
      <c r="H14" s="6">
        <f>[1]Ventes!$F14*[1]Ventes!$G14</f>
        <v>100000</v>
      </c>
      <c r="I14" s="5">
        <f>[1]Ventes!$H14*1/100</f>
        <v>1000</v>
      </c>
      <c r="J14" s="5">
        <f>[1]Ventes!$H14-[1]Ventes!$I14</f>
        <v>99000</v>
      </c>
    </row>
    <row r="15" spans="1:10" x14ac:dyDescent="0.35">
      <c r="A15" s="4">
        <v>46049</v>
      </c>
      <c r="B15" s="5" t="s">
        <v>40</v>
      </c>
      <c r="C15" s="5" t="s">
        <v>41</v>
      </c>
      <c r="D15" s="5" t="s">
        <v>12</v>
      </c>
      <c r="E15" s="5" t="s">
        <v>16</v>
      </c>
      <c r="F15" s="5">
        <v>2</v>
      </c>
      <c r="G15" s="5">
        <v>175000</v>
      </c>
      <c r="H15" s="6">
        <f>[1]Ventes!$F15*[1]Ventes!$G15</f>
        <v>350000</v>
      </c>
      <c r="I15" s="5">
        <f>[1]Ventes!$H15*1/100</f>
        <v>3500</v>
      </c>
      <c r="J15" s="5">
        <f>[1]Ventes!$H15-[1]Ventes!$I15</f>
        <v>346500</v>
      </c>
    </row>
    <row r="16" spans="1:10" x14ac:dyDescent="0.35">
      <c r="A16" s="4">
        <v>46050</v>
      </c>
      <c r="B16" s="5" t="s">
        <v>42</v>
      </c>
      <c r="C16" s="5" t="s">
        <v>24</v>
      </c>
      <c r="D16" s="5" t="s">
        <v>12</v>
      </c>
      <c r="E16" s="5" t="s">
        <v>19</v>
      </c>
      <c r="F16" s="5">
        <v>2</v>
      </c>
      <c r="G16" s="5">
        <v>180000</v>
      </c>
      <c r="H16" s="6">
        <f>[1]Ventes!$F16*[1]Ventes!$G16</f>
        <v>360000</v>
      </c>
      <c r="I16" s="5">
        <f>[1]Ventes!$H16*1/100</f>
        <v>3600</v>
      </c>
      <c r="J16" s="5">
        <f>[1]Ventes!$H16-[1]Ventes!$I16</f>
        <v>356400</v>
      </c>
    </row>
    <row r="17" spans="1:10" x14ac:dyDescent="0.35">
      <c r="A17" s="4">
        <v>46051</v>
      </c>
      <c r="B17" s="5" t="s">
        <v>43</v>
      </c>
      <c r="C17" s="5" t="s">
        <v>26</v>
      </c>
      <c r="D17" s="5" t="s">
        <v>27</v>
      </c>
      <c r="E17" s="5" t="s">
        <v>22</v>
      </c>
      <c r="F17" s="5">
        <v>3</v>
      </c>
      <c r="G17" s="5">
        <v>300000</v>
      </c>
      <c r="H17" s="6">
        <f>[1]Ventes!$F17*[1]Ventes!$G17</f>
        <v>900000</v>
      </c>
      <c r="I17" s="5">
        <f>[1]Ventes!$H17*1/100</f>
        <v>9000</v>
      </c>
      <c r="J17" s="5">
        <f>[1]Ventes!$H17-[1]Ventes!$I17</f>
        <v>891000</v>
      </c>
    </row>
    <row r="18" spans="1:10" x14ac:dyDescent="0.35">
      <c r="A18" s="4">
        <v>46052</v>
      </c>
      <c r="B18" s="5" t="s">
        <v>44</v>
      </c>
      <c r="C18" s="5" t="s">
        <v>29</v>
      </c>
      <c r="D18" s="5" t="s">
        <v>27</v>
      </c>
      <c r="E18" s="5" t="s">
        <v>13</v>
      </c>
      <c r="F18" s="5">
        <v>2</v>
      </c>
      <c r="G18" s="5">
        <v>175000</v>
      </c>
      <c r="H18" s="6">
        <f>[1]Ventes!$F18*[1]Ventes!$G18</f>
        <v>350000</v>
      </c>
      <c r="I18" s="5">
        <f>[1]Ventes!$H18*1/100</f>
        <v>3500</v>
      </c>
      <c r="J18" s="5">
        <f>[1]Ventes!$H18-[1]Ventes!$I18</f>
        <v>346500</v>
      </c>
    </row>
    <row r="19" spans="1:10" x14ac:dyDescent="0.35">
      <c r="A19" s="4">
        <v>46053</v>
      </c>
      <c r="B19" s="5" t="s">
        <v>45</v>
      </c>
      <c r="C19" s="5" t="s">
        <v>31</v>
      </c>
      <c r="D19" s="5" t="s">
        <v>32</v>
      </c>
      <c r="E19" s="5" t="s">
        <v>16</v>
      </c>
      <c r="F19" s="5">
        <v>5</v>
      </c>
      <c r="G19" s="5">
        <v>30000</v>
      </c>
      <c r="H19" s="6">
        <f>[1]Ventes!$F19*[1]Ventes!$G19</f>
        <v>150000</v>
      </c>
      <c r="I19" s="5">
        <f>[1]Ventes!$H19*1/100</f>
        <v>1500</v>
      </c>
      <c r="J19" s="5">
        <f>[1]Ventes!$H19-[1]Ventes!$I19</f>
        <v>148500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2026-09-08T20:49:39Z</dcterms:created>
  <dcterms:modified xsi:type="dcterms:W3CDTF">2026-09-08T08:31:31Z</dcterms:modified>
</cp:coreProperties>
</file>