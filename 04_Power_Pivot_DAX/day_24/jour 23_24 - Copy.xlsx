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"/>
    </mc:Choice>
  </mc:AlternateContent>
  <xr:revisionPtr revIDLastSave="0" documentId="13_ncr:1_{5F29B485-3CEF-4CDF-8D1C-395DB6772B5C}" xr6:coauthVersionLast="47" xr6:coauthVersionMax="47" xr10:uidLastSave="{00000000-0000-0000-0000-000000000000}"/>
  <bookViews>
    <workbookView xWindow="-110" yWindow="-110" windowWidth="19420" windowHeight="10300" activeTab="4" xr2:uid="{55EB8CCC-D0C0-46F4-ACEB-CCCD629E6A42}"/>
  </bookViews>
  <sheets>
    <sheet name="Vendeurs" sheetId="3" r:id="rId1"/>
    <sheet name="Ventes" sheetId="2" r:id="rId2"/>
    <sheet name="Produits" sheetId="4" r:id="rId3"/>
    <sheet name="TCD jour 23" sheetId="6" r:id="rId4"/>
    <sheet name="Dashboard" sheetId="8" r:id="rId5"/>
    <sheet name="TCD jour_24" sheetId="10" r:id="rId6"/>
    <sheet name="Dates" sheetId="7" r:id="rId7"/>
    <sheet name="Dim_clients" sheetId="9" r:id="rId8"/>
  </sheets>
  <definedNames>
    <definedName name="_xlcn.WorksheetConnection_jour23.xlsxTableau4" hidden="1">Tableau4[]</definedName>
    <definedName name="_xlcn.WorksheetConnection_jour23.xlsxTableau5" hidden="1">Tableau5[]</definedName>
    <definedName name="DonnéesExternes_1" localSheetId="1" hidden="1">Ventes!$A$1:$F$554</definedName>
    <definedName name="DonnéesExternes_2" localSheetId="0" hidden="1">Vendeurs!$A$1:$C$17</definedName>
    <definedName name="DonnéesExternes_3" localSheetId="2" hidden="1">Produits!$A$1:$D$31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es_a481f0ab-32d5-460a-b721-3a1f0862ffe7" name="Ventes" connection="Requête - Ventes"/>
          <x15:modelTable id="Vendeurs_4e345e69-955c-4028-a56e-487dafd6a039" name="Vendeurs" connection="Requête - Vendeurs"/>
          <x15:modelTable id="Produits_7ce7f28e-f187-482c-ad7b-84b2aebd4e20" name="Produits" connection="Requête - Produits"/>
          <x15:modelTable id="Tableau5" name="Dim_clients" connection="WorksheetConnection_jour 23.xlsx!Tableau5"/>
          <x15:modelTable id="Tableau4" name="Dim_Dates" connection="WorksheetConnection_jour 23.xlsx!Tableau4"/>
        </x15:modelTables>
        <x15:modelRelationships>
          <x15:modelRelationship fromTable="Ventes" fromColumn="Produit_ID" toTable="Produits" toColumn="Produit_ID"/>
          <x15:modelRelationship fromTable="Ventes" fromColumn="Date" toTable="Dim_Dates" toColumn="Date"/>
          <x15:modelRelationship fromTable="Ventes" fromColumn="Client_ID" toTable="Dim_clients" toColumn="Client_ID"/>
          <x15:modelRelationship fromTable="Ventes" fromColumn="Vendeur_ID" toTable="Vendeurs" toColumn="Vendeu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" i="8" l="1" a="1"/>
  <c r="K8" i="8" s="1"/>
  <c r="F8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8" i="7"/>
  <c r="B79" i="7"/>
  <c r="B80" i="7"/>
  <c r="B81" i="7"/>
  <c r="B82" i="7"/>
  <c r="B83" i="7"/>
  <c r="B84" i="7"/>
  <c r="B85" i="7"/>
  <c r="B86" i="7"/>
  <c r="B90" i="7"/>
  <c r="B91" i="7"/>
  <c r="B92" i="7"/>
  <c r="B93" i="7"/>
  <c r="B94" i="7"/>
  <c r="B95" i="7"/>
  <c r="B96" i="7"/>
  <c r="B97" i="7"/>
  <c r="B98" i="7"/>
  <c r="B102" i="7"/>
  <c r="B103" i="7"/>
  <c r="B104" i="7"/>
  <c r="B105" i="7"/>
  <c r="B106" i="7"/>
  <c r="B107" i="7"/>
  <c r="B108" i="7"/>
  <c r="B109" i="7"/>
  <c r="B110" i="7"/>
  <c r="B114" i="7"/>
  <c r="B115" i="7"/>
  <c r="B116" i="7"/>
  <c r="B117" i="7"/>
  <c r="B118" i="7"/>
  <c r="B119" i="7"/>
  <c r="B120" i="7"/>
  <c r="B121" i="7"/>
  <c r="B122" i="7"/>
  <c r="B126" i="7"/>
  <c r="B127" i="7"/>
  <c r="B128" i="7"/>
  <c r="B129" i="7"/>
  <c r="B130" i="7"/>
  <c r="B131" i="7"/>
  <c r="B132" i="7"/>
  <c r="B133" i="7"/>
  <c r="B134" i="7"/>
  <c r="B138" i="7"/>
  <c r="B139" i="7"/>
  <c r="B140" i="7"/>
  <c r="B141" i="7"/>
  <c r="B142" i="7"/>
  <c r="B143" i="7"/>
  <c r="B144" i="7"/>
  <c r="B145" i="7"/>
  <c r="B146" i="7"/>
  <c r="B150" i="7"/>
  <c r="B151" i="7"/>
  <c r="B152" i="7"/>
  <c r="B153" i="7"/>
  <c r="B154" i="7"/>
  <c r="B155" i="7"/>
  <c r="B156" i="7"/>
  <c r="B157" i="7"/>
  <c r="B158" i="7"/>
  <c r="B162" i="7"/>
  <c r="B163" i="7"/>
  <c r="B164" i="7"/>
  <c r="B165" i="7"/>
  <c r="B166" i="7"/>
  <c r="B167" i="7"/>
  <c r="B168" i="7"/>
  <c r="B169" i="7"/>
  <c r="B170" i="7"/>
  <c r="B174" i="7"/>
  <c r="B175" i="7"/>
  <c r="B176" i="7"/>
  <c r="B177" i="7"/>
  <c r="B178" i="7"/>
  <c r="B179" i="7"/>
  <c r="B180" i="7"/>
  <c r="B181" i="7"/>
  <c r="B182" i="7"/>
  <c r="B186" i="7"/>
  <c r="B187" i="7"/>
  <c r="B188" i="7"/>
  <c r="B189" i="7"/>
  <c r="B190" i="7"/>
  <c r="B191" i="7"/>
  <c r="B192" i="7"/>
  <c r="B193" i="7"/>
  <c r="B194" i="7"/>
  <c r="B198" i="7"/>
  <c r="B199" i="7"/>
  <c r="B200" i="7"/>
  <c r="B201" i="7"/>
  <c r="B202" i="7"/>
  <c r="B203" i="7"/>
  <c r="B204" i="7"/>
  <c r="B205" i="7"/>
  <c r="B206" i="7"/>
  <c r="B210" i="7"/>
  <c r="B211" i="7"/>
  <c r="B212" i="7"/>
  <c r="B213" i="7"/>
  <c r="B214" i="7"/>
  <c r="B215" i="7"/>
  <c r="B216" i="7"/>
  <c r="B217" i="7"/>
  <c r="B218" i="7"/>
  <c r="B222" i="7"/>
  <c r="B223" i="7"/>
  <c r="B224" i="7"/>
  <c r="B225" i="7"/>
  <c r="B226" i="7"/>
  <c r="B227" i="7"/>
  <c r="B228" i="7"/>
  <c r="B229" i="7"/>
  <c r="B230" i="7"/>
  <c r="B234" i="7"/>
  <c r="B235" i="7"/>
  <c r="B236" i="7"/>
  <c r="B237" i="7"/>
  <c r="B238" i="7"/>
  <c r="B239" i="7"/>
  <c r="B240" i="7"/>
  <c r="B241" i="7"/>
  <c r="B242" i="7"/>
  <c r="B246" i="7"/>
  <c r="B247" i="7"/>
  <c r="B248" i="7"/>
  <c r="B249" i="7"/>
  <c r="B250" i="7"/>
  <c r="B251" i="7"/>
  <c r="B252" i="7"/>
  <c r="B253" i="7"/>
  <c r="B254" i="7"/>
  <c r="B258" i="7"/>
  <c r="B259" i="7"/>
  <c r="B260" i="7"/>
  <c r="B261" i="7"/>
  <c r="B262" i="7"/>
  <c r="B263" i="7"/>
  <c r="B264" i="7"/>
  <c r="B265" i="7"/>
  <c r="B266" i="7"/>
  <c r="B270" i="7"/>
  <c r="B271" i="7"/>
  <c r="B272" i="7"/>
  <c r="B273" i="7"/>
  <c r="B274" i="7"/>
  <c r="B275" i="7"/>
  <c r="B276" i="7"/>
  <c r="B277" i="7"/>
  <c r="B278" i="7"/>
  <c r="B282" i="7"/>
  <c r="B283" i="7"/>
  <c r="B284" i="7"/>
  <c r="B285" i="7"/>
  <c r="B286" i="7"/>
  <c r="B287" i="7"/>
  <c r="B288" i="7"/>
  <c r="B289" i="7"/>
  <c r="B290" i="7"/>
  <c r="B294" i="7"/>
  <c r="B295" i="7"/>
  <c r="B296" i="7"/>
  <c r="B297" i="7"/>
  <c r="B298" i="7"/>
  <c r="B299" i="7"/>
  <c r="B300" i="7"/>
  <c r="B301" i="7"/>
  <c r="B302" i="7"/>
  <c r="B306" i="7"/>
  <c r="B307" i="7"/>
  <c r="B308" i="7"/>
  <c r="B309" i="7"/>
  <c r="B310" i="7"/>
  <c r="B311" i="7"/>
  <c r="B312" i="7"/>
  <c r="B313" i="7"/>
  <c r="B314" i="7"/>
  <c r="B318" i="7"/>
  <c r="B319" i="7"/>
  <c r="B320" i="7"/>
  <c r="B321" i="7"/>
  <c r="B322" i="7"/>
  <c r="B323" i="7"/>
  <c r="B324" i="7"/>
  <c r="B325" i="7"/>
  <c r="B326" i="7"/>
  <c r="B2" i="7"/>
  <c r="A330" i="7"/>
  <c r="A2" i="7"/>
  <c r="A3" i="7" s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B329" i="7" s="1"/>
  <c r="A8" i="8"/>
  <c r="A331" i="7" l="1"/>
  <c r="B330" i="7"/>
  <c r="B317" i="7"/>
  <c r="B305" i="7"/>
  <c r="B293" i="7"/>
  <c r="B281" i="7"/>
  <c r="B269" i="7"/>
  <c r="B257" i="7"/>
  <c r="B245" i="7"/>
  <c r="B233" i="7"/>
  <c r="B221" i="7"/>
  <c r="B209" i="7"/>
  <c r="B197" i="7"/>
  <c r="B185" i="7"/>
  <c r="B173" i="7"/>
  <c r="B161" i="7"/>
  <c r="B149" i="7"/>
  <c r="B137" i="7"/>
  <c r="B125" i="7"/>
  <c r="B113" i="7"/>
  <c r="B101" i="7"/>
  <c r="B89" i="7"/>
  <c r="B77" i="7"/>
  <c r="B328" i="7"/>
  <c r="B316" i="7"/>
  <c r="B304" i="7"/>
  <c r="B292" i="7"/>
  <c r="B280" i="7"/>
  <c r="B268" i="7"/>
  <c r="B256" i="7"/>
  <c r="B244" i="7"/>
  <c r="B232" i="7"/>
  <c r="B220" i="7"/>
  <c r="B208" i="7"/>
  <c r="B196" i="7"/>
  <c r="B184" i="7"/>
  <c r="B172" i="7"/>
  <c r="B160" i="7"/>
  <c r="B148" i="7"/>
  <c r="B136" i="7"/>
  <c r="B124" i="7"/>
  <c r="B112" i="7"/>
  <c r="B100" i="7"/>
  <c r="B88" i="7"/>
  <c r="B76" i="7"/>
  <c r="B327" i="7"/>
  <c r="B315" i="7"/>
  <c r="B303" i="7"/>
  <c r="B291" i="7"/>
  <c r="B279" i="7"/>
  <c r="B267" i="7"/>
  <c r="B255" i="7"/>
  <c r="B243" i="7"/>
  <c r="B231" i="7"/>
  <c r="B219" i="7"/>
  <c r="B207" i="7"/>
  <c r="B195" i="7"/>
  <c r="B183" i="7"/>
  <c r="B171" i="7"/>
  <c r="B159" i="7"/>
  <c r="B147" i="7"/>
  <c r="B135" i="7"/>
  <c r="B123" i="7"/>
  <c r="B111" i="7"/>
  <c r="B99" i="7"/>
  <c r="B87" i="7"/>
  <c r="B75" i="7"/>
  <c r="A332" i="7" l="1"/>
  <c r="B331" i="7"/>
  <c r="A333" i="7" l="1"/>
  <c r="B332" i="7"/>
  <c r="A334" i="7" l="1"/>
  <c r="B333" i="7"/>
  <c r="A335" i="7" l="1"/>
  <c r="B334" i="7"/>
  <c r="B335" i="7" l="1"/>
  <c r="A336" i="7"/>
  <c r="B336" i="7" l="1"/>
  <c r="A337" i="7"/>
  <c r="B337" i="7" l="1"/>
  <c r="A338" i="7"/>
  <c r="A339" i="7" l="1"/>
  <c r="B338" i="7"/>
  <c r="A340" i="7" l="1"/>
  <c r="B339" i="7"/>
  <c r="A341" i="7" l="1"/>
  <c r="B340" i="7"/>
  <c r="A342" i="7" l="1"/>
  <c r="B341" i="7"/>
  <c r="A343" i="7" l="1"/>
  <c r="B342" i="7"/>
  <c r="A344" i="7" l="1"/>
  <c r="B343" i="7"/>
  <c r="B344" i="7" l="1"/>
  <c r="A345" i="7"/>
  <c r="A346" i="7" l="1"/>
  <c r="B345" i="7"/>
  <c r="A347" i="7" l="1"/>
  <c r="B346" i="7"/>
  <c r="A348" i="7" l="1"/>
  <c r="B347" i="7"/>
  <c r="A349" i="7" l="1"/>
  <c r="B348" i="7"/>
  <c r="A350" i="7" l="1"/>
  <c r="B349" i="7"/>
  <c r="A351" i="7" l="1"/>
  <c r="B350" i="7"/>
  <c r="A352" i="7" l="1"/>
  <c r="B351" i="7"/>
  <c r="A353" i="7" l="1"/>
  <c r="B352" i="7"/>
  <c r="B353" i="7" l="1"/>
  <c r="A354" i="7"/>
  <c r="A355" i="7" l="1"/>
  <c r="B354" i="7"/>
  <c r="A356" i="7" l="1"/>
  <c r="B355" i="7"/>
  <c r="A357" i="7" l="1"/>
  <c r="B356" i="7"/>
  <c r="A358" i="7" l="1"/>
  <c r="B357" i="7"/>
  <c r="A359" i="7" l="1"/>
  <c r="B358" i="7"/>
  <c r="A360" i="7" l="1"/>
  <c r="B359" i="7"/>
  <c r="A361" i="7" l="1"/>
  <c r="B360" i="7"/>
  <c r="A362" i="7" l="1"/>
  <c r="B361" i="7"/>
  <c r="A363" i="7" l="1"/>
  <c r="B362" i="7"/>
  <c r="A364" i="7" l="1"/>
  <c r="B363" i="7"/>
  <c r="A365" i="7" l="1"/>
  <c r="B364" i="7"/>
  <c r="B365" i="7" l="1"/>
  <c r="A366" i="7"/>
  <c r="B36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2B8732-7532-4B0C-93E9-CDBDE8B19E4E}" keepAlive="1" name="ModelConnection_DonnéesExternes_1" description="Modèle de données" type="5" refreshedVersion="8" minRefreshableVersion="5" saveData="1">
    <dbPr connection="Data Model Connection" command="Vent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4115732-0789-4272-B72A-6E226F3C8892}" keepAlive="1" name="ModelConnection_DonnéesExternes_2" description="Modèle de données" type="5" refreshedVersion="8" minRefreshableVersion="5" saveData="1">
    <dbPr connection="Data Model Connection" command="Vendeu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4806CE6-213A-4280-BA0D-BDD6DEDBF5C8}" keepAlive="1" name="ModelConnection_DonnéesExternes_3" description="Modèle de données" type="5" refreshedVersion="8" minRefreshableVersion="5" saveData="1">
    <dbPr connection="Data Model Connection" command="Produi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E12BF6C-9829-41F4-8C2A-C9F9951682DA}" name="Requête - Produits" description="Connexion à la requête « Produits » dans le classeur." type="100" refreshedVersion="8" minRefreshableVersion="5">
    <extLst>
      <ext xmlns:x15="http://schemas.microsoft.com/office/spreadsheetml/2010/11/main" uri="{DE250136-89BD-433C-8126-D09CA5730AF9}">
        <x15:connection id="fece26cc-a32b-405a-a12d-84551ea5596d">
          <x15:oledbPr connection="Provider=Microsoft.Mashup.OleDb.1;Data Source=$Workbook$;Location=Produits;Extended Properties=&quot;&quot;">
            <x15:dbTables>
              <x15:dbTable name="Produits"/>
            </x15:dbTables>
          </x15:oledbPr>
        </x15:connection>
      </ext>
    </extLst>
  </connection>
  <connection id="5" xr16:uid="{A5F4F205-70C9-4AA9-9BD7-50DE1F0CDF23}" name="Requête - Vendeurs" description="Connexion à la requête « Vendeurs » dans le classeur." type="100" refreshedVersion="8" minRefreshableVersion="5">
    <extLst>
      <ext xmlns:x15="http://schemas.microsoft.com/office/spreadsheetml/2010/11/main" uri="{DE250136-89BD-433C-8126-D09CA5730AF9}">
        <x15:connection id="e800c7ab-4fa6-4abc-9c69-07777f605b2c"/>
      </ext>
    </extLst>
  </connection>
  <connection id="6" xr16:uid="{CB1B46C1-3DF0-44AC-AAD1-0AA588E8F1D8}" name="Requête - Ventes" description="Connexion à la requête « Ventes » dans le classeur." type="100" refreshedVersion="8" minRefreshableVersion="5">
    <extLst>
      <ext xmlns:x15="http://schemas.microsoft.com/office/spreadsheetml/2010/11/main" uri="{DE250136-89BD-433C-8126-D09CA5730AF9}">
        <x15:connection id="f5c9b7f8-e524-4369-8014-4afd6ff7b5cd">
          <x15:oledbPr connection="Provider=Microsoft.Mashup.OleDb.1;Data Source=$Workbook$;Location=Ventes;Extended Properties=&quot;&quot;">
            <x15:dbTables>
              <x15:dbTable name="Ventes"/>
            </x15:dbTables>
          </x15:oledbPr>
        </x15:connection>
      </ext>
    </extLst>
  </connection>
  <connection id="7" xr16:uid="{207A9F64-76DC-45C2-9A05-B559B58D45CB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FE5CBEE8-2681-4857-BFC9-3685F9AE255F}" name="WorksheetConnection_jour 23.xlsx!Tableau4" type="102" refreshedVersion="8" minRefreshableVersion="5">
    <extLst>
      <ext xmlns:x15="http://schemas.microsoft.com/office/spreadsheetml/2010/11/main" uri="{DE250136-89BD-433C-8126-D09CA5730AF9}">
        <x15:connection id="Tableau4">
          <x15:rangePr sourceName="_xlcn.WorksheetConnection_jour23.xlsxTableau4"/>
        </x15:connection>
      </ext>
    </extLst>
  </connection>
  <connection id="9" xr16:uid="{9D0C1EBE-9827-45EA-87C9-47E6B53A944D}" name="WorksheetConnection_jour 23.xlsx!Tableau5" type="102" refreshedVersion="8" minRefreshableVersion="5">
    <extLst>
      <ext xmlns:x15="http://schemas.microsoft.com/office/spreadsheetml/2010/11/main" uri="{DE250136-89BD-433C-8126-D09CA5730AF9}">
        <x15:connection id="Tableau5">
          <x15:rangePr sourceName="_xlcn.WorksheetConnection_jour23.xlsxTableau5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<sst xmlns="http://schemas.openxmlformats.org/spreadsheetml/2006/main" count="2461" uniqueCount="678">
  <si>
    <t>Vente_ID</t>
  </si>
  <si>
    <t>Date</t>
  </si>
  <si>
    <t>Produit_ID</t>
  </si>
  <si>
    <t>Vendeur_ID</t>
  </si>
  <si>
    <t>Quantité</t>
  </si>
  <si>
    <t>V001</t>
  </si>
  <si>
    <t>P006</t>
  </si>
  <si>
    <t>V10</t>
  </si>
  <si>
    <t>V002</t>
  </si>
  <si>
    <t>P004</t>
  </si>
  <si>
    <t>V01</t>
  </si>
  <si>
    <t>V003</t>
  </si>
  <si>
    <t>V11</t>
  </si>
  <si>
    <t>V004</t>
  </si>
  <si>
    <t>P021</t>
  </si>
  <si>
    <t>V13</t>
  </si>
  <si>
    <t>V005</t>
  </si>
  <si>
    <t>P028</t>
  </si>
  <si>
    <t>V006</t>
  </si>
  <si>
    <t>P018</t>
  </si>
  <si>
    <t>V02</t>
  </si>
  <si>
    <t>V007</t>
  </si>
  <si>
    <t>V008</t>
  </si>
  <si>
    <t>P022</t>
  </si>
  <si>
    <t>V009</t>
  </si>
  <si>
    <t>P027</t>
  </si>
  <si>
    <t>V04</t>
  </si>
  <si>
    <t>V010</t>
  </si>
  <si>
    <t>P003</t>
  </si>
  <si>
    <t>V14</t>
  </si>
  <si>
    <t>V011</t>
  </si>
  <si>
    <t>V012</t>
  </si>
  <si>
    <t>V013</t>
  </si>
  <si>
    <t>P030</t>
  </si>
  <si>
    <t>V014</t>
  </si>
  <si>
    <t>P025</t>
  </si>
  <si>
    <t>V12</t>
  </si>
  <si>
    <t>V015</t>
  </si>
  <si>
    <t>P017</t>
  </si>
  <si>
    <t>V07</t>
  </si>
  <si>
    <t>V016</t>
  </si>
  <si>
    <t>P026</t>
  </si>
  <si>
    <t>V05</t>
  </si>
  <si>
    <t>V017</t>
  </si>
  <si>
    <t>V018</t>
  </si>
  <si>
    <t>V019</t>
  </si>
  <si>
    <t>V020</t>
  </si>
  <si>
    <t>P008</t>
  </si>
  <si>
    <t>V15</t>
  </si>
  <si>
    <t>V021</t>
  </si>
  <si>
    <t>V022</t>
  </si>
  <si>
    <t>P011</t>
  </si>
  <si>
    <t>V023</t>
  </si>
  <si>
    <t>V024</t>
  </si>
  <si>
    <t>P002</t>
  </si>
  <si>
    <t>V025</t>
  </si>
  <si>
    <t>P012</t>
  </si>
  <si>
    <t>V09</t>
  </si>
  <si>
    <t>V026</t>
  </si>
  <si>
    <t>P023</t>
  </si>
  <si>
    <t>V027</t>
  </si>
  <si>
    <t>P009</t>
  </si>
  <si>
    <t>V028</t>
  </si>
  <si>
    <t>V029</t>
  </si>
  <si>
    <t>P020</t>
  </si>
  <si>
    <t>V030</t>
  </si>
  <si>
    <t>V03</t>
  </si>
  <si>
    <t>V031</t>
  </si>
  <si>
    <t>V06</t>
  </si>
  <si>
    <t>V032</t>
  </si>
  <si>
    <t>P024</t>
  </si>
  <si>
    <t>V033</t>
  </si>
  <si>
    <t>P007</t>
  </si>
  <si>
    <t>V08</t>
  </si>
  <si>
    <t>V034</t>
  </si>
  <si>
    <t>P029</t>
  </si>
  <si>
    <t>V035</t>
  </si>
  <si>
    <t>V036</t>
  </si>
  <si>
    <t>V037</t>
  </si>
  <si>
    <t>V038</t>
  </si>
  <si>
    <t>V039</t>
  </si>
  <si>
    <t>V040</t>
  </si>
  <si>
    <t>P014</t>
  </si>
  <si>
    <t>V041</t>
  </si>
  <si>
    <t>P016</t>
  </si>
  <si>
    <t>V042</t>
  </si>
  <si>
    <t>P015</t>
  </si>
  <si>
    <t>V043</t>
  </si>
  <si>
    <t>P013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</si>
  <si>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</si>
  <si>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</si>
  <si>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</si>
  <si>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</si>
  <si>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</si>
  <si>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</si>
  <si>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</si>
  <si>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</si>
  <si>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</si>
  <si>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</si>
  <si>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</si>
  <si>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</si>
  <si>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P005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</si>
  <si>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</si>
  <si>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</si>
  <si>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</si>
  <si>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</si>
  <si>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</si>
  <si>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</si>
  <si>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</si>
  <si>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</si>
  <si>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</si>
  <si>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</si>
  <si>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P019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</si>
  <si>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</si>
  <si>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</si>
  <si>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</si>
  <si>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</si>
  <si>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</si>
  <si>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</si>
  <si>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</si>
  <si>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</si>
  <si>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</si>
  <si>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</si>
  <si>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</si>
  <si>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</si>
  <si>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</si>
  <si>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</si>
  <si>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</si>
  <si>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</si>
  <si>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</si>
  <si>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</si>
  <si>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</si>
  <si>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</si>
  <si>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</si>
  <si>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</si>
  <si>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</si>
  <si>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</si>
  <si>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</si>
  <si>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</si>
  <si>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</si>
  <si>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</si>
  <si>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</si>
  <si>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</si>
  <si>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</si>
  <si>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P001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</si>
  <si>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</si>
  <si>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</si>
  <si>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</si>
  <si>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</si>
  <si>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</si>
  <si>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</si>
  <si>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</si>
  <si>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</si>
  <si>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</si>
  <si>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</si>
  <si>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</si>
  <si>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P010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</si>
  <si>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</si>
  <si>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</si>
  <si>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</si>
  <si>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</si>
  <si>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</si>
  <si>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</si>
  <si>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</si>
  <si>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</si>
  <si>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</si>
  <si>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</si>
  <si>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</si>
  <si>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</si>
  <si>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</si>
  <si>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</si>
  <si>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</si>
  <si>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</si>
  <si>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</si>
  <si>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</si>
  <si>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</si>
  <si>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</si>
  <si>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</si>
  <si>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</si>
  <si>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</si>
  <si>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</si>
  <si>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</si>
  <si>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</si>
  <si>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</si>
  <si>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</si>
  <si>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</si>
  <si>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</si>
  <si>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</si>
  <si>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</si>
  <si>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</si>
  <si>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</si>
  <si>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</si>
  <si>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</si>
  <si>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</si>
  <si>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</si>
  <si>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</si>
  <si>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</si>
  <si>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</si>
  <si>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</si>
  <si>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</si>
  <si>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</si>
  <si>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</si>
  <si>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</si>
  <si>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</si>
  <si>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</si>
  <si>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</si>
  <si>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</si>
  <si>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</si>
  <si>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</si>
  <si>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</si>
  <si>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</si>
  <si>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</si>
  <si>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</si>
  <si>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</si>
  <si>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</si>
  <si>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</si>
  <si>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</si>
  <si>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</si>
  <si>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</si>
  <si>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</si>
  <si>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</si>
  <si>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</si>
  <si>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</si>
  <si>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</si>
  <si>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</si>
  <si>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</si>
  <si>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</si>
  <si>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</si>
  <si>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</si>
  <si>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</si>
  <si>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</si>
  <si>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</si>
  <si>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</si>
  <si>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</si>
  <si>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</si>
  <si>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</si>
  <si>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</si>
  <si>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</si>
  <si>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</si>
  <si>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</si>
  <si>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</si>
  <si>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</si>
  <si>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</si>
  <si>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</si>
  <si>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</si>
  <si>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</si>
  <si>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</si>
  <si>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</si>
  <si>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</si>
  <si>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</si>
  <si>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</si>
  <si>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</si>
  <si>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</si>
  <si>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</si>
  <si>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</si>
  <si>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</si>
  <si>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</si>
  <si>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</si>
  <si>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</si>
  <si>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</si>
  <si>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</si>
  <si>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</si>
  <si>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</si>
  <si>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</si>
  <si>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</si>
  <si>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</si>
  <si>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</si>
  <si>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</si>
  <si>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</si>
  <si>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</si>
  <si>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</si>
  <si>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</si>
  <si>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</si>
  <si>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</si>
  <si>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</si>
  <si>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</si>
  <si>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</si>
  <si>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</si>
  <si>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</si>
  <si>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</si>
  <si>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</si>
  <si>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</si>
  <si>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</si>
  <si>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</si>
  <si>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</si>
  <si>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</si>
  <si>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</si>
  <si>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</si>
  <si>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</si>
  <si>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</si>
  <si>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</si>
  <si>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</si>
  <si>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</si>
  <si>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</si>
  <si>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</si>
  <si>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</si>
  <si>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</si>
  <si>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</si>
  <si>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</si>
  <si>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</si>
  <si>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</si>
  <si>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</si>
  <si>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</si>
  <si>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</si>
  <si>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</si>
  <si>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</si>
  <si>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</si>
  <si>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</si>
  <si>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</si>
  <si>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</si>
  <si>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</si>
  <si>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</si>
  <si>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</si>
  <si>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</si>
  <si>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</si>
  <si>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</si>
  <si>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</si>
  <si>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</si>
  <si>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</si>
  <si>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</si>
  <si>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</si>
  <si>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</si>
  <si>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</si>
  <si>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</si>
  <si>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</si>
  <si>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</si>
  <si>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</si>
  <si>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</si>
  <si>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</si>
  <si>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</si>
  <si>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</si>
  <si>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</si>
  <si>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</si>
  <si>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</si>
  <si>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</si>
  <si>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</si>
  <si>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</si>
  <si>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</si>
  <si>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</si>
  <si>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</si>
  <si>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</si>
  <si>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</si>
  <si>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</si>
  <si>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</si>
  <si>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</si>
  <si>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</si>
  <si>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</si>
  <si>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</si>
  <si>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</si>
  <si>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</si>
  <si>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</si>
  <si>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</si>
  <si>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</si>
  <si>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</si>
  <si>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</si>
  <si>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</si>
  <si>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</si>
  <si>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</si>
  <si>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</si>
  <si>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</si>
  <si>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</si>
  <si>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</si>
  <si>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</si>
  <si>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</si>
  <si>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</si>
  <si>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</si>
  <si>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</si>
  <si>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</si>
  <si>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</si>
  <si>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</si>
  <si>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</si>
  <si>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</si>
  <si>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</si>
  <si>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</si>
  <si>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</si>
  <si>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</si>
  <si>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</si>
  <si>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</si>
  <si>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</si>
  <si>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</si>
  <si>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</si>
  <si>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</si>
  <si>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</si>
  <si>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</si>
  <si>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</si>
  <si>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</si>
  <si>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</si>
  <si>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</si>
  <si>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</si>
  <si>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</si>
  <si>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</si>
  <si>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</si>
  <si>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</si>
  <si>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</si>
  <si>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</si>
  <si>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</si>
  <si>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</si>
  <si>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</si>
  <si>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</si>
  <si>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</si>
  <si>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</si>
  <si>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</si>
  <si>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</si>
  <si>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</si>
  <si>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</si>
  <si>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</si>
  <si>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</si>
  <si>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</si>
  <si>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</si>
  <si>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</si>
  <si>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</si>
  <si>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</si>
  <si>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</si>
  <si>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</si>
  <si>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</si>
  <si>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</si>
  <si>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</si>
  <si>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</si>
  <si>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</si>
  <si>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</si>
  <si>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</si>
  <si>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</si>
  <si>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</si>
  <si>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</si>
  <si>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</si>
  <si>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</si>
  <si>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</si>
  <si>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</si>
  <si>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</si>
  <si>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</si>
  <si>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</si>
  <si>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</si>
  <si>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</si>
  <si>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</si>
  <si>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</si>
  <si>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</si>
  <si>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</si>
  <si>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</si>
  <si>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</si>
  <si>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</si>
  <si>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</si>
  <si>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</si>
  <si>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</si>
  <si>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</si>
  <si>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</si>
  <si>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</si>
  <si>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</si>
  <si>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</si>
  <si>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</si>
  <si>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</si>
  <si>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</si>
  <si>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</si>
  <si>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</si>
  <si>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</si>
  <si>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</si>
  <si>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</si>
  <si>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</si>
  <si>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</si>
  <si>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</si>
  <si>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</si>
  <si>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</si>
  <si>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</si>
  <si>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</si>
  <si>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</si>
  <si>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</si>
  <si>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</si>
  <si>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</si>
  <si>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</si>
  <si>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</si>
  <si>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</si>
  <si>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</si>
  <si>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</si>
  <si>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</si>
  <si>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</si>
  <si>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</si>
  <si>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</si>
  <si>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</si>
  <si>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</si>
  <si>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</si>
  <si>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</si>
  <si>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</si>
  <si>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</si>
  <si>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</si>
  <si>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</si>
  <si>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</si>
  <si>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</si>
  <si>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</si>
  <si>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</si>
  <si>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</si>
  <si>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</si>
  <si>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</si>
  <si>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</si>
  <si>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</si>
  <si>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</si>
  <si>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</si>
  <si>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</si>
  <si>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</si>
  <si>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</si>
  <si>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</si>
  <si>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</si>
  <si>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</si>
  <si>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</si>
  <si>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</si>
  <si>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</si>
  <si>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</si>
  <si>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</si>
  <si>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</si>
  <si>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</si>
  <si>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</si>
  <si>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</si>
  <si>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</si>
  <si>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</si>
  <si>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</si>
  <si>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</si>
  <si>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</si>
  <si>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</si>
  <si>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</si>
  <si>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</si>
  <si>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</si>
  <si>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</si>
  <si>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</si>
  <si>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</si>
  <si>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</si>
  <si>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</si>
  <si>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</si>
  <si>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</si>
  <si>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</si>
  <si>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</si>
  <si>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</si>
  <si>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</si>
  <si>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</si>
  <si>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</si>
  <si>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</si>
  <si>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</si>
  <si>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</si>
  <si>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</si>
  <si>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</si>
  <si>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</si>
  <si>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</si>
  <si>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</si>
  <si>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</si>
  <si>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</si>
  <si>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</si>
  <si>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</si>
  <si>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</si>
  <si>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</si>
  <si>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</si>
  <si>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</si>
  <si>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</si>
  <si>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</si>
  <si>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P999</t>
  </si>
  <si>
    <t>V99</t>
  </si>
  <si>
    <t xml:space="preserve"> V04</t>
  </si>
  <si>
    <t>Vendeur</t>
  </si>
  <si>
    <t>Région</t>
  </si>
  <si>
    <t>Awa Ndiaye</t>
  </si>
  <si>
    <t>Dakar</t>
  </si>
  <si>
    <t>Mamadou Diop</t>
  </si>
  <si>
    <t>Thiès</t>
  </si>
  <si>
    <t>Fatou Fall</t>
  </si>
  <si>
    <t>Ibrahima Ba</t>
  </si>
  <si>
    <t>Saint-Louis</t>
  </si>
  <si>
    <t>Mariama Sow</t>
  </si>
  <si>
    <t>Kaolack</t>
  </si>
  <si>
    <t>Cheikh Seck</t>
  </si>
  <si>
    <t>Aminata Sy</t>
  </si>
  <si>
    <t>Ousmane Diallo</t>
  </si>
  <si>
    <t>Khady Ndiaye</t>
  </si>
  <si>
    <t>Moussa Kane</t>
  </si>
  <si>
    <t>Sokhna Diouf</t>
  </si>
  <si>
    <t>Abdoulaye Fall</t>
  </si>
  <si>
    <t>Astou Ba</t>
  </si>
  <si>
    <t>Pape Sarr</t>
  </si>
  <si>
    <t>Ndeye Mbaye</t>
  </si>
  <si>
    <t>Produit</t>
  </si>
  <si>
    <t>Catégorie</t>
  </si>
  <si>
    <t>Prix</t>
  </si>
  <si>
    <t>Laptop HP</t>
  </si>
  <si>
    <t>Informatique</t>
  </si>
  <si>
    <t>Souris Logitech</t>
  </si>
  <si>
    <t>Accessoires</t>
  </si>
  <si>
    <t>Écran Samsung</t>
  </si>
  <si>
    <t>Clavier Logitech</t>
  </si>
  <si>
    <t>Imprimante Canon</t>
  </si>
  <si>
    <t>Bureautique</t>
  </si>
  <si>
    <t>Laptop Lenovo</t>
  </si>
  <si>
    <t>Écran LG</t>
  </si>
  <si>
    <t>Casque JBL</t>
  </si>
  <si>
    <t>Webcam Logitech</t>
  </si>
  <si>
    <t>Imprimante HP</t>
  </si>
  <si>
    <t>Scanner Epson</t>
  </si>
  <si>
    <t>SSD 500GB</t>
  </si>
  <si>
    <t>SSD 1TB</t>
  </si>
  <si>
    <t>Clé USB 64GB</t>
  </si>
  <si>
    <t>Clé USB 128GB</t>
  </si>
  <si>
    <t>Routeur TP-Link</t>
  </si>
  <si>
    <t>Réseau</t>
  </si>
  <si>
    <t>Switch 8 ports</t>
  </si>
  <si>
    <t>Câble HDMI</t>
  </si>
  <si>
    <t>Câble Ethernet</t>
  </si>
  <si>
    <t>Onduleur APC</t>
  </si>
  <si>
    <t>Tablette Samsung</t>
  </si>
  <si>
    <t>Téléphonie</t>
  </si>
  <si>
    <t>Smartphone Samsung</t>
  </si>
  <si>
    <t>Smartphone Xiaomi</t>
  </si>
  <si>
    <t>Power Bank</t>
  </si>
  <si>
    <t>Enceinte Bluetooth</t>
  </si>
  <si>
    <t>Microphone USB</t>
  </si>
  <si>
    <t>Support Laptop</t>
  </si>
  <si>
    <t>Souris sans fil</t>
  </si>
  <si>
    <t>Clavier sans fil</t>
  </si>
  <si>
    <t>Disque dur externe</t>
  </si>
  <si>
    <t>Étiquettes de lignes</t>
  </si>
  <si>
    <t>Total général</t>
  </si>
  <si>
    <t>Année</t>
  </si>
  <si>
    <t>Mois</t>
  </si>
  <si>
    <t>Trimestre</t>
  </si>
  <si>
    <t>août</t>
  </si>
  <si>
    <t>avril</t>
  </si>
  <si>
    <t>décembre</t>
  </si>
  <si>
    <t>février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</si>
  <si>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</si>
  <si>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</si>
  <si>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</si>
  <si>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</si>
  <si>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</si>
  <si>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</si>
  <si>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</si>
  <si>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</si>
  <si>
    <t>CA par CATEGORIE</t>
  </si>
  <si>
    <t>CA par REGION</t>
  </si>
  <si>
    <t>CA da chaque CATEGORIES dans chaque region</t>
  </si>
  <si>
    <t xml:space="preserve">EVOLUTION DU CA PAR MOIS </t>
  </si>
  <si>
    <t>DASHBOARD COMMERCIALE</t>
  </si>
  <si>
    <t>TCD</t>
  </si>
  <si>
    <t>CA TOTAL</t>
  </si>
  <si>
    <t>QUANTITE</t>
  </si>
  <si>
    <t>NB PRODUITS</t>
  </si>
  <si>
    <t>Client_ID</t>
  </si>
  <si>
    <t>Client</t>
  </si>
  <si>
    <t>Segment</t>
  </si>
  <si>
    <t>Ville</t>
  </si>
  <si>
    <t>C001</t>
  </si>
  <si>
    <t>Client 1</t>
  </si>
  <si>
    <t>Particulier</t>
  </si>
  <si>
    <t>C002</t>
  </si>
  <si>
    <t>Client 2</t>
  </si>
  <si>
    <t>Entreprise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</si>
  <si>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</si>
  <si>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</si>
  <si>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</si>
  <si>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</si>
  <si>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</si>
  <si>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</si>
  <si>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</si>
  <si>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</si>
  <si>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</si>
  <si>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</si>
  <si>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</si>
  <si>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</si>
  <si>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</si>
  <si>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</si>
  <si>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</si>
  <si>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</si>
  <si>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</si>
  <si>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</si>
  <si>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Region</t>
  </si>
  <si>
    <t>CA_total</t>
  </si>
  <si>
    <t>Nombre_ventes</t>
  </si>
  <si>
    <t>CA_moyen</t>
  </si>
  <si>
    <t>Somme de Quantité</t>
  </si>
  <si>
    <t>Indicateurs</t>
  </si>
  <si>
    <t xml:space="preserve">Valeurs </t>
  </si>
  <si>
    <t>(vide)</t>
  </si>
  <si>
    <t>CA_Grosses_Ventes</t>
  </si>
  <si>
    <t>CA_produits_informatiques</t>
  </si>
  <si>
    <t>CA_dakar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</si>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</sst>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5" fillId="0" borderId="0" xfId="0" applyFont="1"/>
    <xf numFmtId="1" fontId="0" fillId="0" borderId="1" xfId="0" applyNumberFormat="1" applyBorder="1"/>
    <xf numFmtId="164" fontId="0" fillId="0" borderId="1" xfId="0" applyNumberFormat="1" applyBorder="1"/>
    <xf numFmtId="20" fontId="0" fillId="0" borderId="0" xfId="0" applyNumberFormat="1"/>
    <xf numFmtId="0" fontId="7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m/d/yyyy"/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63" Type="http://schemas.openxmlformats.org/officeDocument/2006/relationships/customXml" Target="../customXml/item3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66" Type="http://schemas.openxmlformats.org/officeDocument/2006/relationships/customXml" Target="../customXml/item42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7.xml"/><Relationship Id="rId19" Type="http://schemas.openxmlformats.org/officeDocument/2006/relationships/connections" Target="connections.xml"/><Relationship Id="rId14" Type="http://schemas.openxmlformats.org/officeDocument/2006/relationships/pivotCacheDefinition" Target="pivotCache/pivotCacheDefinition6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64" Type="http://schemas.openxmlformats.org/officeDocument/2006/relationships/customXml" Target="../customXml/item4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65" Type="http://schemas.openxmlformats.org/officeDocument/2006/relationships/customXml" Target="../customXml/item4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39" Type="http://schemas.openxmlformats.org/officeDocument/2006/relationships/customXml" Target="../customXml/item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 23.xlsx]TCD jour 23!Tableau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'TCD jour 23'!$B$5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'TCD jour 23'!$A$6:$A$11</c:f>
              <c:strCache>
                <c:ptCount val="5"/>
                <c:pt idx="0">
                  <c:v>Accessoires</c:v>
                </c:pt>
                <c:pt idx="1">
                  <c:v>Bureautique</c:v>
                </c:pt>
                <c:pt idx="2">
                  <c:v>Informatique</c:v>
                </c:pt>
                <c:pt idx="3">
                  <c:v>Réseau</c:v>
                </c:pt>
                <c:pt idx="4">
                  <c:v>Téléphonie</c:v>
                </c:pt>
              </c:strCache>
            </c:strRef>
          </c:cat>
          <c:val>
            <c:numRef>
              <c:f>'TCD jour 23'!$B$6:$B$11</c:f>
              <c:numCache>
                <c:formatCode>0</c:formatCode>
                <c:ptCount val="5"/>
                <c:pt idx="0">
                  <c:v>47429000</c:v>
                </c:pt>
                <c:pt idx="1">
                  <c:v>51895000</c:v>
                </c:pt>
                <c:pt idx="2">
                  <c:v>304975000</c:v>
                </c:pt>
                <c:pt idx="3">
                  <c:v>13347000</c:v>
                </c:pt>
                <c:pt idx="4">
                  <c:v>99120000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53-4865-8323-F6F0B2E03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502159"/>
        <c:axId val="74402671"/>
      </c:barChart>
      <c:catAx>
        <c:axId val="157250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402671"/>
        <c:crosses val="autoZero"/>
        <c:auto val="1"/>
        <c:lblAlgn val="ctr"/>
        <c:lblOffset val="100"/>
        <c:noMultiLvlLbl val="0"/>
      </c:catAx>
      <c:valAx>
        <c:axId val="7440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50215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 23.xlsx]TCD jour 23!Tableau croisé dynamique2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1"/>
          <c:order val="0"/>
          <c:tx>
            <c:strRef>
              <c:f>'TCD jour 23'!$B$18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'TCD jour 23'!$A$19:$A$24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23'!$B$19:$B$24</c:f>
              <c:numCache>
                <c:formatCode>0</c:formatCode>
                <c:ptCount val="5"/>
                <c:pt idx="0">
                  <c:v>199644000</c:v>
                </c:pt>
                <c:pt idx="1">
                  <c:v>102549000</c:v>
                </c:pt>
                <c:pt idx="2">
                  <c:v>110406000</c:v>
                </c:pt>
                <c:pt idx="3">
                  <c:v>103864000</c:v>
                </c:pt>
                <c:pt idx="4">
                  <c:v>303000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44-4B2F-B506-83D45CF2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 23.xlsx]TCD jour 23!Tableau croisé dynamique3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5"/>
          <c:order val="0"/>
          <c:tx>
            <c:strRef>
              <c:f>'TCD jour 23'!$B$31:$B$32</c:f>
              <c:strCache>
                <c:ptCount val="1"/>
                <c:pt idx="0">
                  <c:v>Accessoires</c:v>
                </c:pt>
              </c:strCache>
            </c:strRef>
          </c:tx>
          <c:invertIfNegative val="0"/>
          <c:cat>
            <c:strRef>
              <c:f>'TCD jour 23'!$A$33:$A$38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23'!$B$33:$B$38</c:f>
              <c:numCache>
                <c:formatCode>0</c:formatCode>
                <c:ptCount val="5"/>
                <c:pt idx="0">
                  <c:v>15850000</c:v>
                </c:pt>
                <c:pt idx="1">
                  <c:v>9979000</c:v>
                </c:pt>
                <c:pt idx="2">
                  <c:v>10003000</c:v>
                </c:pt>
                <c:pt idx="3">
                  <c:v>11549000</c:v>
                </c:pt>
                <c:pt idx="4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D43-4342-BDE6-0F852FDDB025}"/>
            </c:ext>
          </c:extLst>
        </c:ser>
        <c:ser>
          <c:idx val="6"/>
          <c:order val="1"/>
          <c:tx>
            <c:strRef>
              <c:f>'TCD jour 23'!$C$31:$C$32</c:f>
              <c:strCache>
                <c:ptCount val="1"/>
                <c:pt idx="0">
                  <c:v>Bureautique</c:v>
                </c:pt>
              </c:strCache>
            </c:strRef>
          </c:tx>
          <c:invertIfNegative val="0"/>
          <c:cat>
            <c:strRef>
              <c:f>'TCD jour 23'!$A$33:$A$38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23'!$C$33:$C$38</c:f>
              <c:numCache>
                <c:formatCode>0</c:formatCode>
                <c:ptCount val="5"/>
                <c:pt idx="0">
                  <c:v>11170000</c:v>
                </c:pt>
                <c:pt idx="1">
                  <c:v>13060000</c:v>
                </c:pt>
                <c:pt idx="2">
                  <c:v>14610000</c:v>
                </c:pt>
                <c:pt idx="3">
                  <c:v>12800000</c:v>
                </c:pt>
                <c:pt idx="4">
                  <c:v>255000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D43-4342-BDE6-0F852FDDB025}"/>
            </c:ext>
          </c:extLst>
        </c:ser>
        <c:ser>
          <c:idx val="7"/>
          <c:order val="2"/>
          <c:tx>
            <c:strRef>
              <c:f>'TCD jour 23'!$D$31:$D$32</c:f>
              <c:strCache>
                <c:ptCount val="1"/>
                <c:pt idx="0">
                  <c:v>Informatique</c:v>
                </c:pt>
              </c:strCache>
            </c:strRef>
          </c:tx>
          <c:invertIfNegative val="0"/>
          <c:cat>
            <c:strRef>
              <c:f>'TCD jour 23'!$A$33:$A$38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23'!$D$33:$D$38</c:f>
              <c:numCache>
                <c:formatCode>0</c:formatCode>
                <c:ptCount val="5"/>
                <c:pt idx="0">
                  <c:v>121160000</c:v>
                </c:pt>
                <c:pt idx="1">
                  <c:v>57555000</c:v>
                </c:pt>
                <c:pt idx="2">
                  <c:v>62020000</c:v>
                </c:pt>
                <c:pt idx="3">
                  <c:v>64240000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43-4342-BDE6-0F852FDDB025}"/>
            </c:ext>
          </c:extLst>
        </c:ser>
        <c:ser>
          <c:idx val="8"/>
          <c:order val="3"/>
          <c:tx>
            <c:strRef>
              <c:f>'TCD jour 23'!$E$31:$E$32</c:f>
              <c:strCache>
                <c:ptCount val="1"/>
                <c:pt idx="0">
                  <c:v>Réseau</c:v>
                </c:pt>
              </c:strCache>
            </c:strRef>
          </c:tx>
          <c:invertIfNegative val="0"/>
          <c:cat>
            <c:strRef>
              <c:f>'TCD jour 23'!$A$33:$A$38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23'!$E$33:$E$38</c:f>
              <c:numCache>
                <c:formatCode>0</c:formatCode>
                <c:ptCount val="5"/>
                <c:pt idx="0">
                  <c:v>5604000</c:v>
                </c:pt>
                <c:pt idx="1">
                  <c:v>1635000</c:v>
                </c:pt>
                <c:pt idx="2">
                  <c:v>2913000</c:v>
                </c:pt>
                <c:pt idx="3">
                  <c:v>3195000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D43-4342-BDE6-0F852FDDB025}"/>
            </c:ext>
          </c:extLst>
        </c:ser>
        <c:ser>
          <c:idx val="9"/>
          <c:order val="4"/>
          <c:tx>
            <c:strRef>
              <c:f>'TCD jour 23'!$F$31:$F$32</c:f>
              <c:strCache>
                <c:ptCount val="1"/>
                <c:pt idx="0">
                  <c:v>Téléphonie</c:v>
                </c:pt>
              </c:strCache>
            </c:strRef>
          </c:tx>
          <c:invertIfNegative val="0"/>
          <c:cat>
            <c:strRef>
              <c:f>'TCD jour 23'!$A$33:$A$38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Thiès</c:v>
                </c:pt>
                <c:pt idx="4">
                  <c:v>(vide)</c:v>
                </c:pt>
              </c:strCache>
            </c:strRef>
          </c:cat>
          <c:val>
            <c:numRef>
              <c:f>'TCD jour 23'!$F$33:$F$38</c:f>
              <c:numCache>
                <c:formatCode>0</c:formatCode>
                <c:ptCount val="5"/>
                <c:pt idx="0">
                  <c:v>45860000</c:v>
                </c:pt>
                <c:pt idx="1">
                  <c:v>20320000</c:v>
                </c:pt>
                <c:pt idx="2">
                  <c:v>20860000</c:v>
                </c:pt>
                <c:pt idx="3">
                  <c:v>12080000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D43-4342-BDE6-0F852FDDB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2484527"/>
        <c:axId val="74413711"/>
        <c:axId val="0"/>
      </c:bar3DChart>
      <c:catAx>
        <c:axId val="157248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413711"/>
        <c:crosses val="autoZero"/>
        <c:auto val="1"/>
        <c:lblAlgn val="ctr"/>
        <c:lblOffset val="100"/>
        <c:noMultiLvlLbl val="0"/>
      </c:catAx>
      <c:valAx>
        <c:axId val="744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48452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 23.xlsx]TCD jour 23!Tableau croisé dynamique4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0"/>
          <c:tx>
            <c:strRef>
              <c:f>'TCD jour 23'!$B$44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'TCD jour 23'!$A$45:$A$57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'TCD jour 23'!$B$45:$B$57</c:f>
              <c:numCache>
                <c:formatCode>0</c:formatCode>
                <c:ptCount val="12"/>
                <c:pt idx="0">
                  <c:v>39270000</c:v>
                </c:pt>
                <c:pt idx="1">
                  <c:v>40867000</c:v>
                </c:pt>
                <c:pt idx="2">
                  <c:v>29056000</c:v>
                </c:pt>
                <c:pt idx="3">
                  <c:v>28745000</c:v>
                </c:pt>
                <c:pt idx="4">
                  <c:v>74465000</c:v>
                </c:pt>
                <c:pt idx="5">
                  <c:v>39139000</c:v>
                </c:pt>
                <c:pt idx="6">
                  <c:v>45697000</c:v>
                </c:pt>
                <c:pt idx="7">
                  <c:v>59945000</c:v>
                </c:pt>
                <c:pt idx="8">
                  <c:v>28371000</c:v>
                </c:pt>
                <c:pt idx="9">
                  <c:v>50926000</c:v>
                </c:pt>
                <c:pt idx="10">
                  <c:v>43027000</c:v>
                </c:pt>
                <c:pt idx="11">
                  <c:v>37258000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36-46D5-99F4-9A27D680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471999"/>
        <c:axId val="74383471"/>
      </c:lineChart>
      <c:catAx>
        <c:axId val="15724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83471"/>
        <c:crosses val="autoZero"/>
        <c:auto val="1"/>
        <c:lblAlgn val="ctr"/>
        <c:lblOffset val="100"/>
        <c:noMultiLvlLbl val="0"/>
      </c:catAx>
      <c:valAx>
        <c:axId val="7438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47199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38100</xdr:rowOff>
    </xdr:from>
    <xdr:to>
      <xdr:col>6</xdr:col>
      <xdr:colOff>0</xdr:colOff>
      <xdr:row>26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CDB6050-3DAA-4313-AD1A-40D30B18E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755650</xdr:colOff>
      <xdr:row>14</xdr:row>
      <xdr:rowOff>12700</xdr:rowOff>
    </xdr:from>
    <xdr:to>
      <xdr:col>13</xdr:col>
      <xdr:colOff>19050</xdr:colOff>
      <xdr:row>27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63091DF-4290-4469-B9F9-DEF389C04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5</xdr:col>
      <xdr:colOff>761038</xdr:colOff>
      <xdr:row>47</xdr:row>
      <xdr:rowOff>168468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287B29B-B7D5-4084-A6E5-ADA86AF6A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13</xdr:col>
      <xdr:colOff>5550</xdr:colOff>
      <xdr:row>47</xdr:row>
      <xdr:rowOff>181774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0CEF7F6-D353-4B4C-926C-FBE96E8BB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0.351114814817" createdVersion="5" refreshedVersion="8" minRefreshableVersion="3" recordCount="0" supportSubquery="1" supportAdvancedDrill="1" xr:uid="{C9A59D9C-A221-40E8-B760-BEF92C2194C3}">
  <cacheSource type="external" connectionId="7"/>
  <cacheFields count="3">
    <cacheField name="[Vendeurs].[Region].[Region]" caption="Region" numFmtId="0" hierarchy="14" level="1">
      <sharedItems containsBlank="1" count="5">
        <s v="Dakar"/>
        <s v="Kaolack"/>
        <s v="Saint-Louis"/>
        <s v="Thiès"/>
        <m/>
      </sharedItems>
    </cacheField>
    <cacheField name="[Measures].[CA_total]" caption="CA_total" numFmtId="0" hierarchy="21" level="32767"/>
    <cacheField name="[Measures].[Somme de Quantité 2]" caption="Somme de Quantité 2" numFmtId="0" hierarchy="34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2" memberValueDatatype="130" unbalanced="0">
      <fieldsUsage count="2">
        <fieldUsage x="-1"/>
        <fieldUsage x="0"/>
      </fieldsUsage>
    </cacheHierarchy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1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0.354027199071" createdVersion="5" refreshedVersion="8" minRefreshableVersion="3" recordCount="0" supportSubquery="1" supportAdvancedDrill="1" xr:uid="{E2794E4F-9853-47BD-BB65-327698A1D7CA}">
  <cacheSource type="external" connectionId="7"/>
  <cacheFields count="3">
    <cacheField name="[Measures].[CA_total]" caption="CA_total" numFmtId="0" hierarchy="21" level="32767"/>
    <cacheField name="[Measures].[Nombre_ventes]" caption="Nombre_ventes" numFmtId="0" hierarchy="23" level="32767"/>
    <cacheField name="[Measures].[CA_moyen]" caption="CA_moyen" numFmtId="0" hierarchy="24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0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 oneField="1">
      <fieldsUsage count="1">
        <fieldUsage x="1"/>
      </fieldsUsage>
    </cacheHierarchy>
    <cacheHierarchy uniqueName="[Measures].[CA_moyen]" caption="CA_moyen" measure="1" displayFolder="" measureGroup="Ventes" count="0" oneField="1">
      <fieldsUsage count="1">
        <fieldUsage x="2"/>
      </fieldsUsage>
    </cacheHierarchy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0.351615740743" createdVersion="5" refreshedVersion="8" minRefreshableVersion="3" recordCount="0" supportSubquery="1" supportAdvancedDrill="1" xr:uid="{9046E06A-D165-4099-A523-7B5BAFBC231A}">
  <cacheSource type="external" connectionId="7"/>
  <cacheFields count="4">
    <cacheField name="[Measures].[CA_total]" caption="CA_total" numFmtId="0" hierarchy="21" level="32767"/>
    <cacheField name="[Measures].[CA_Grosses_Ventes]" caption="CA_Grosses_Ventes" numFmtId="0" hierarchy="26" level="32767"/>
    <cacheField name="[Measures].[CA_produits_informatiques]" caption="CA_produits_informatiques" numFmtId="0" hierarchy="27" level="32767"/>
    <cacheField name="[Measures].[CA_dakar]" caption="CA_dakar" numFmtId="0" hierarchy="25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0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 oneField="1">
      <fieldsUsage count="1">
        <fieldUsage x="3"/>
      </fieldsUsage>
    </cacheHierarchy>
    <cacheHierarchy uniqueName="[Measures].[CA_Grosses_Ventes]" caption="CA_Grosses_Ventes" measure="1" displayFolder="" measureGroup="Ventes" count="0" oneField="1">
      <fieldsUsage count="1">
        <fieldUsage x="1"/>
      </fieldsUsage>
    </cacheHierarchy>
    <cacheHierarchy uniqueName="[Measures].[CA_produits_informatiques]" caption="CA_produits_informatiques" measure="1" displayFolder="" measureGroup="Ventes" count="0" oneField="1">
      <fieldsUsage count="1">
        <fieldUsage x="2"/>
      </fieldsUsage>
    </cacheHierarchy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0.351112962962" createdVersion="5" refreshedVersion="8" minRefreshableVersion="3" recordCount="0" supportSubquery="1" supportAdvancedDrill="1" xr:uid="{6E326606-65DC-4078-B3B2-05039E624D12}">
  <cacheSource type="external" connectionId="7"/>
  <cacheFields count="2">
    <cacheField name="[Produits].[Catégorie].[Catégorie]" caption="Catégorie" numFmtId="0" hierarchy="10" level="1">
      <sharedItems count="5">
        <s v="Accessoires"/>
        <s v="Bureautique"/>
        <s v="Informatique"/>
        <s v="Réseau"/>
        <s v="Téléphonie"/>
      </sharedItems>
    </cacheField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2" memberValueDatatype="130" unbalanced="0">
      <fieldsUsage count="2">
        <fieldUsage x="-1"/>
        <fieldUsage x="0"/>
      </fieldsUsage>
    </cacheHierarchy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1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0.35443900463" createdVersion="5" refreshedVersion="8" minRefreshableVersion="3" recordCount="0" supportSubquery="1" supportAdvancedDrill="1" xr:uid="{6011FD58-8C0F-4142-BBBD-ADE632ED6933}">
  <cacheSource type="external" connectionId="7"/>
  <cacheFields count="1"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0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3.127429976848" createdVersion="5" refreshedVersion="8" minRefreshableVersion="3" recordCount="0" supportSubquery="1" supportAdvancedDrill="1" xr:uid="{0D1B3B61-F75E-4713-B3B9-1EB6FFF9DCA7}">
  <cacheSource type="external" connectionId="7"/>
  <cacheFields count="2">
    <cacheField name="[Produits].[Catégorie].[Catégorie]" caption="Catégorie" numFmtId="0" hierarchy="10" level="1">
      <sharedItems count="5">
        <s v="Accessoires"/>
        <s v="Bureautique"/>
        <s v="Informatique"/>
        <s v="Réseau"/>
        <s v="Téléphonie"/>
      </sharedItems>
    </cacheField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2" memberValueDatatype="130" unbalanced="0">
      <fieldsUsage count="2">
        <fieldUsage x="-1"/>
        <fieldUsage x="0"/>
      </fieldsUsage>
    </cacheHierarchy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1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3.128523842592" createdVersion="5" refreshedVersion="8" minRefreshableVersion="3" recordCount="0" supportSubquery="1" supportAdvancedDrill="1" xr:uid="{441C1F13-BEE9-4DFA-8EFF-DE7429F8DD92}">
  <cacheSource type="external" connectionId="7"/>
  <cacheFields count="2">
    <cacheField name="[Vendeurs].[Region].[Region]" caption="Region" numFmtId="0" hierarchy="14" level="1">
      <sharedItems containsBlank="1" count="5">
        <s v="Dakar"/>
        <s v="Kaolack"/>
        <s v="Saint-Louis"/>
        <s v="Thiès"/>
        <m/>
      </sharedItems>
    </cacheField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2" memberValueDatatype="130" unbalanced="0">
      <fieldsUsage count="2">
        <fieldUsage x="-1"/>
        <fieldUsage x="0"/>
      </fieldsUsage>
    </cacheHierarchy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1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3.134451273145" createdVersion="5" refreshedVersion="8" minRefreshableVersion="3" recordCount="0" supportSubquery="1" supportAdvancedDrill="1" xr:uid="{EEAB33A2-536A-41A6-B395-EFC76137BD8B}">
  <cacheSource type="external" connectionId="7"/>
  <cacheFields count="3">
    <cacheField name="[Vendeurs].[Region].[Region]" caption="Region" numFmtId="0" hierarchy="14" level="1">
      <sharedItems containsBlank="1" count="5">
        <s v="Dakar"/>
        <s v="Kaolack"/>
        <s v="Saint-Louis"/>
        <s v="Thiès"/>
        <m/>
      </sharedItems>
    </cacheField>
    <cacheField name="[Produits].[Catégorie].[Catégorie]" caption="Catégorie" numFmtId="0" hierarchy="10" level="1">
      <sharedItems count="5">
        <s v="Accessoires"/>
        <s v="Bureautique"/>
        <s v="Informatique"/>
        <s v="Réseau"/>
        <s v="Téléphonie"/>
      </sharedItems>
    </cacheField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0" memberValueDatatype="130" unbalanced="0"/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2" memberValueDatatype="130" unbalanced="0">
      <fieldsUsage count="2">
        <fieldUsage x="-1"/>
        <fieldUsage x="1"/>
      </fieldsUsage>
    </cacheHierarchy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2" memberValueDatatype="130" unbalanced="0">
      <fieldsUsage count="2">
        <fieldUsage x="-1"/>
        <fieldUsage x="0"/>
      </fieldsUsage>
    </cacheHierarchy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2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93.170694444445" createdVersion="5" refreshedVersion="8" minRefreshableVersion="3" recordCount="0" supportSubquery="1" supportAdvancedDrill="1" xr:uid="{3FFE3122-AD44-48B6-B445-1E8C49DB7104}">
  <cacheSource type="external" connectionId="7"/>
  <cacheFields count="2">
    <cacheField name="[Dim_Dates].[Mois].[Mois]" caption="Mois" numFmtId="0" hierarchy="6" level="1">
      <sharedItems count="12">
        <s v="août"/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[Measures].[CA_total]" caption="CA_total" numFmtId="0" hierarchy="21" level="32767"/>
  </cacheFields>
  <cacheHierarchies count="35">
    <cacheHierarchy uniqueName="[Dim_clients].[Client_ID]" caption="Client_ID" attribute="1" defaultMemberUniqueName="[Dim_clients].[Client_ID].[All]" allUniqueName="[Dim_clients].[Client_ID].[All]" dimensionUniqueName="[Dim_clients]" displayFolder="" count="0" memberValueDatatype="130" unbalanced="0"/>
    <cacheHierarchy uniqueName="[Dim_clients].[Client]" caption="Client" attribute="1" defaultMemberUniqueName="[Dim_clients].[Client].[All]" allUniqueName="[Dim_clients].[Client].[All]" dimensionUniqueName="[Dim_clients]" displayFolder="" count="0" memberValueDatatype="130" unbalanced="0"/>
    <cacheHierarchy uniqueName="[Dim_clients].[Segment]" caption="Segment" attribute="1" defaultMemberUniqueName="[Dim_clients].[Segment].[All]" allUniqueName="[Dim_clients].[Segment].[All]" dimensionUniqueName="[Dim_clients]" displayFolder="" count="0" memberValueDatatype="130" unbalanced="0"/>
    <cacheHierarchy uniqueName="[Dim_clients].[Ville]" caption="Ville" attribute="1" defaultMemberUniqueName="[Dim_clients].[Ville].[All]" allUniqueName="[Dim_clients].[Ville].[All]" dimensionUniqueName="[Dim_clients]" displayFolder="" count="0" memberValueDatatype="130" unbalanced="0"/>
    <cacheHierarchy uniqueName="[Dim_Dates].[Date]" caption="Date" attribute="1" time="1" defaultMemberUniqueName="[Dim_Dates].[Date].[All]" allUniqueName="[Dim_Dates].[Date].[All]" dimensionUniqueName="[Dim_Dates]" displayFolder="" count="0" memberValueDatatype="7" unbalanced="0"/>
    <cacheHierarchy uniqueName="[Dim_Dates].[Année]" caption="Année" attribute="1" defaultMemberUniqueName="[Dim_Dates].[Année].[All]" allUniqueName="[Dim_Dates].[Année].[All]" dimensionUniqueName="[Dim_Dates]" displayFolder="" count="0" memberValueDatatype="20" unbalanced="0"/>
    <cacheHierarchy uniqueName="[Dim_Dates].[Mois]" caption="Mois" attribute="1" defaultMemberUniqueName="[Dim_Dates].[Mois].[All]" allUniqueName="[Dim_Dates].[Mois].[All]" dimensionUniqueName="[Dim_Dates]" displayFolder="" count="2" memberValueDatatype="130" unbalanced="0">
      <fieldsUsage count="2">
        <fieldUsage x="-1"/>
        <fieldUsage x="0"/>
      </fieldsUsage>
    </cacheHierarchy>
    <cacheHierarchy uniqueName="[Dim_Dates].[Trimestre]" caption="Trimestre" attribute="1" defaultMemberUniqueName="[Dim_Dates].[Trimestre].[All]" allUniqueName="[Dim_Dates].[Trimestre].[All]" dimensionUniqueName="[Dim_Dates]" displayFolder="" count="0" memberValueDatatype="130" unbalanced="0"/>
    <cacheHierarchy uniqueName="[Produits].[Produit_ID]" caption="Produit_ID" attribute="1" defaultMemberUniqueName="[Produits].[Produit_ID].[All]" allUniqueName="[Produits].[Produit_ID].[All]" dimensionUniqueName="[Produits]" displayFolder="" count="0" memberValueDatatype="130" unbalanced="0"/>
    <cacheHierarchy uniqueName="[Produits].[Produit]" caption="Produit" attribute="1" defaultMemberUniqueName="[Produits].[Produit].[All]" allUniqueName="[Produits].[Produit].[All]" dimensionUniqueName="[Produits]" displayFolder="" count="0" memberValueDatatype="130" unbalanced="0"/>
    <cacheHierarchy uniqueName="[Produits].[Catégorie]" caption="Catégorie" attribute="1" defaultMemberUniqueName="[Produits].[Catégorie].[All]" allUniqueName="[Produits].[Catégorie].[All]" dimensionUniqueName="[Produits]" displayFolder="" count="0" memberValueDatatype="130" unbalanced="0"/>
    <cacheHierarchy uniqueName="[Produits].[Prix]" caption="Prix" attribute="1" defaultMemberUniqueName="[Produits].[Prix].[All]" allUniqueName="[Produits].[Prix].[All]" dimensionUniqueName="[Produits]" displayFolder="" count="0" memberValueDatatype="20" unbalanced="0"/>
    <cacheHierarchy uniqueName="[Vendeurs].[Vendeur_ID]" caption="Vendeur_ID" attribute="1" defaultMemberUniqueName="[Vendeurs].[Vendeur_ID].[All]" allUniqueName="[Vendeurs].[Vendeur_ID].[All]" dimensionUniqueName="[Vendeurs]" displayFolder="" count="0" memberValueDatatype="130" unbalanced="0"/>
    <cacheHierarchy uniqueName="[Vendeurs].[Vendeur]" caption="Vendeur" attribute="1" defaultMemberUniqueName="[Vendeurs].[Vendeur].[All]" allUniqueName="[Vendeurs].[Vendeur].[All]" dimensionUniqueName="[Vendeurs]" displayFolder="" count="0" memberValueDatatype="130" unbalanced="0"/>
    <cacheHierarchy uniqueName="[Vendeurs].[Region]" caption="Region" attribute="1" defaultMemberUniqueName="[Vendeurs].[Region].[All]" allUniqueName="[Vendeurs].[Region].[All]" dimensionUniqueName="[Vendeurs]" displayFolder="" count="0" memberValueDatatype="130" unbalanced="0"/>
    <cacheHierarchy uniqueName="[Ventes].[Vente_ID]" caption="Vente_ID" attribute="1" defaultMemberUniqueName="[Ventes].[Vente_ID].[All]" allUniqueName="[Ventes].[Vente_ID].[All]" dimensionUniqueName="[Ventes]" displayFolder="" count="0" memberValueDatatype="130" unbalanced="0"/>
    <cacheHierarchy uniqueName="[Ventes].[Date]" caption="Date" attribute="1" time="1" defaultMemberUniqueName="[Ventes].[Date].[All]" allUniqueName="[Ventes].[Date].[All]" dimensionUniqueName="[Ventes]" displayFolder="" count="0" memberValueDatatype="7" unbalanced="0"/>
    <cacheHierarchy uniqueName="[Ventes].[Produit_ID]" caption="Produit_ID" attribute="1" defaultMemberUniqueName="[Ventes].[Produit_ID].[All]" allUniqueName="[Ventes].[Produit_ID].[All]" dimensionUniqueName="[Ventes]" displayFolder="" count="0" memberValueDatatype="130" unbalanced="0"/>
    <cacheHierarchy uniqueName="[Ventes].[Vendeur_ID]" caption="Vendeur_ID" attribute="1" defaultMemberUniqueName="[Ventes].[Vendeur_ID].[All]" allUniqueName="[Ventes].[Vendeur_ID].[All]" dimensionUniqueName="[Ventes]" displayFolder="" count="0" memberValueDatatype="130" unbalanced="0"/>
    <cacheHierarchy uniqueName="[Ventes].[Quantité]" caption="Quantité" attribute="1" defaultMemberUniqueName="[Ventes].[Quantité].[All]" allUniqueName="[Ventes].[Quantité].[All]" dimensionUniqueName="[Ventes]" displayFolder="" count="0" memberValueDatatype="20" unbalanced="0"/>
    <cacheHierarchy uniqueName="[Ventes].[Client_ID]" caption="Client_ID" attribute="1" defaultMemberUniqueName="[Ventes].[Client_ID].[All]" allUniqueName="[Ventes].[Client_ID].[All]" dimensionUniqueName="[Ventes]" displayFolder="" count="0" memberValueDatatype="130" unbalanced="0"/>
    <cacheHierarchy uniqueName="[Measures].[CA_total]" caption="CA_total" measure="1" displayFolder="" measureGroup="Ventes" count="0" oneField="1">
      <fieldsUsage count="1">
        <fieldUsage x="1"/>
      </fieldsUsage>
    </cacheHierarchy>
    <cacheHierarchy uniqueName="[Measures].[Quantité_total]" caption="Quantité_total" measure="1" displayFolder="" measureGroup="Ventes" count="0"/>
    <cacheHierarchy uniqueName="[Measures].[Nombre_ventes]" caption="Nombre_ventes" measure="1" displayFolder="" measureGroup="Ventes" count="0"/>
    <cacheHierarchy uniqueName="[Measures].[CA_moyen]" caption="CA_moyen" measure="1" displayFolder="" measureGroup="Ventes" count="0"/>
    <cacheHierarchy uniqueName="[Measures].[CA_dakar]" caption="CA_dakar" measure="1" displayFolder="" measureGroup="Ventes" count="0"/>
    <cacheHierarchy uniqueName="[Measures].[CA_Grosses_Ventes]" caption="CA_Grosses_Ventes" measure="1" displayFolder="" measureGroup="Ventes" count="0"/>
    <cacheHierarchy uniqueName="[Measures].[CA_produits_informatiques]" caption="CA_produits_informatiques" measure="1" displayFolder="" measureGroup="Ventes" count="0"/>
    <cacheHierarchy uniqueName="[Measures].[__XL_Count Ventes]" caption="__XL_Count Ventes" measure="1" displayFolder="" measureGroup="Ventes" count="0" hidden="1"/>
    <cacheHierarchy uniqueName="[Measures].[__XL_Count Vendeurs]" caption="__XL_Count Vendeurs" measure="1" displayFolder="" measureGroup="Vendeurs" count="0" hidden="1"/>
    <cacheHierarchy uniqueName="[Measures].[__XL_Count Produits]" caption="__XL_Count Produits" measure="1" displayFolder="" measureGroup="Produits" count="0" hidden="1"/>
    <cacheHierarchy uniqueName="[Measures].[__XL_Count Tableau4]" caption="__XL_Count Tableau4" measure="1" displayFolder="" measureGroup="Dim_Dates" count="0" hidden="1"/>
    <cacheHierarchy uniqueName="[Measures].[__XL_Count Tableau5]" caption="__XL_Count Tableau5" measure="1" displayFolder="" measureGroup="Dim_clients" count="0" hidden="1"/>
    <cacheHierarchy uniqueName="[Measures].[__No measures defined]" caption="__No measures defined" measure="1" displayFolder="" count="0" hidden="1"/>
    <cacheHierarchy uniqueName="[Measures].[Somme de Quantité 2]" caption="Somme de Quantité 2" measure="1" displayFolder="" measureGroup="Vent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6">
    <dimension name="Dim_clients" uniqueName="[Dim_clients]" caption="Dim_clients"/>
    <dimension name="Dim_Dates" uniqueName="[Dim_Dates]" caption="Dim_Dates"/>
    <dimension measure="1" name="Measures" uniqueName="[Measures]" caption="Measures"/>
    <dimension name="Produits" uniqueName="[Produits]" caption="Produits"/>
    <dimension name="Vendeurs" uniqueName="[Vendeurs]" caption="Vendeurs"/>
    <dimension name="Ventes" uniqueName="[Ventes]" caption="Ventes"/>
  </dimensions>
  <measureGroups count="5">
    <measureGroup name="Dim_clients" caption="Dim_clients"/>
    <measureGroup name="Dim_Dates" caption="Dim_Dates"/>
    <measureGroup name="Produits" caption="Produits"/>
    <measureGroup name="Vendeurs" caption="Vendeurs"/>
    <measureGroup name="Ventes" caption="Ventes"/>
  </measureGroups>
  <maps count="9">
    <map measureGroup="0" dimension="0"/>
    <map measureGroup="1" dimension="1"/>
    <map measureGroup="2" dimension="3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36C64-88F1-4091-900F-4DEAF700A63F}" name="Tableau croisé dynamique4" cacheId="8" applyNumberFormats="0" applyBorderFormats="0" applyFontFormats="0" applyPatternFormats="0" applyAlignmentFormats="0" applyWidthHeightFormats="1" dataCaption="Valeurs" tag="5d4d91ed-346e-4748-9165-cc129fb78b16" updatedVersion="8" minRefreshableVersion="3" useAutoFormatting="1" itemPrintTitles="1" createdVersion="5" indent="0" outline="1" outlineData="1" multipleFieldFilters="0" chartFormat="3">
  <location ref="A44:B5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8"/>
        <item x="1"/>
        <item x="7"/>
        <item x="6"/>
        <item x="5"/>
        <item x="0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0B251-E3A6-4847-B4C2-E4F62B24A700}" name="Tableau croisé dynamique3" cacheId="7" applyNumberFormats="0" applyBorderFormats="0" applyFontFormats="0" applyPatternFormats="0" applyAlignmentFormats="0" applyWidthHeightFormats="1" dataCaption="Valeurs" tag="9ab5eee0-09fb-4eae-8c19-dbf035a66925" updatedVersion="8" minRefreshableVersion="3" useAutoFormatting="1" itemPrintTitles="1" createdVersion="5" indent="0" outline="1" outlineData="1" multipleFieldFilters="0" chartFormat="3">
  <location ref="A31:G3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2" subtotal="count" baseField="0" baseItem="0"/>
  </dataFields>
  <formats count="10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Col="1" outline="0" fieldPosition="0"/>
    </format>
  </formats>
  <chartFormats count="5"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urs]"/>
        <x15:activeTabTopLevelEntity name="[Produit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8E890-F86A-4DD4-AC69-8B421D579AFD}" name="Tableau croisé dynamique2" cacheId="6" applyNumberFormats="0" applyBorderFormats="0" applyFontFormats="0" applyPatternFormats="0" applyAlignmentFormats="0" applyWidthHeightFormats="1" dataCaption="Valeurs" tag="e1a165ff-7edc-4d81-8d4f-cfeee544f568" updatedVersion="8" minRefreshableVersion="3" useAutoFormatting="1" itemPrintTitles="1" createdVersion="5" indent="0" outline="1" outlineData="1" multipleFieldFilters="0" chartFormat="3">
  <location ref="A18:B2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6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</formats>
  <chartFormats count="1"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ur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9D7D8-C2E3-4F8C-B39A-64F8BEA0AD81}" name="Tableau croisé dynamique1" cacheId="5" applyNumberFormats="0" applyBorderFormats="0" applyFontFormats="0" applyPatternFormats="0" applyAlignmentFormats="0" applyWidthHeightFormats="1" dataCaption="Valeurs" tag="af721c1b-d5b2-4ffa-bb5b-0e192581c673" updatedVersion="8" minRefreshableVersion="3" useAutoFormatting="1" itemPrintTitles="1" createdVersion="5" indent="0" outline="1" outlineData="1" multipleFieldFilters="0" chartFormat="3">
  <location ref="A5:B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6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it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DC6BF-B721-47EA-8884-66264C1AA610}" name="Tableau croisé dynamique3" cacheId="0" applyNumberFormats="0" applyBorderFormats="0" applyFontFormats="0" applyPatternFormats="0" applyAlignmentFormats="0" applyWidthHeightFormats="1" dataCaption="Valeurs" tag="1c2b14b1-f62a-4eb0-bd57-abd3710f1a84" updatedVersion="8" minRefreshableVersion="3" useAutoFormatting="1" itemPrintTitles="1" createdVersion="5" indent="0" outline="1" outlineData="1" multipleFieldFilters="0">
  <location ref="A6:C12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Somme de Quantité" fld="2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ur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C2357-5CA3-4539-91CA-55D9983A249F}" name="Tableau croisé dynamique2" cacheId="1" applyNumberFormats="0" applyBorderFormats="0" applyFontFormats="0" applyPatternFormats="0" applyAlignmentFormats="0" applyWidthHeightFormats="1" dataCaption="Valeurs" tag="4cea909f-c59e-4cc4-9c51-bbe3a77228ad" updatedVersion="8" minRefreshableVersion="3" useAutoFormatting="1" itemPrintTitles="1" createdVersion="5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0" subtotal="count" baseField="0" baseItem="0"/>
  </dataFields>
  <formats count="3"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  <x15:activeTabTopLevelEntity name="[Vente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7E466-8622-4ED1-A944-FDCF794CE0FE}" name="Tableau croisé dynamique5" cacheId="4" applyNumberFormats="0" applyBorderFormats="0" applyFontFormats="0" applyPatternFormats="0" applyAlignmentFormats="0" applyWidthHeightFormats="1" dataCaption="Valeurs" tag="cd6fd9d2-3d34-4b96-8ec2-bb2d43cf54d1" updatedVersion="8" minRefreshableVersion="3" useAutoFormatting="1" itemPrintTitles="1" createdVersion="5" indent="0" outline="1" outlineData="1" multipleFieldFilters="0">
  <location ref="A24:A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4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urs 1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CA207-5073-435D-B045-DCF3945FFEDF}" name="Tableau croisé dynamique1" cacheId="2" applyNumberFormats="0" applyBorderFormats="0" applyFontFormats="0" applyPatternFormats="0" applyAlignmentFormats="0" applyWidthHeightFormats="1" dataCaption="Valeurs" tag="755090a8-effc-4996-86af-97d102f5c0d7" updatedVersion="8" minRefreshableVersion="3" useAutoFormatting="1" subtotalHiddenItems="1" itemPrintTitles="1" createdVersion="5" indent="0" outline="1" outlineData="1" multipleFieldFilters="0">
  <location ref="A44:D4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3" subtotal="count" baseField="0" baseItem="0"/>
    <dataField fld="2" subtotal="count" baseField="0" baseItem="0"/>
    <dataField fld="0" subtotal="count" baseField="0" baseItem="0"/>
    <dataField fld="1" subtotal="count" baseField="0" baseItem="0"/>
  </dataFields>
  <formats count="3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224BD-6907-48F3-B65B-2B85A9DB57ED}" name="Tableau croisé dynamique4" cacheId="3" applyNumberFormats="0" applyBorderFormats="0" applyFontFormats="0" applyPatternFormats="0" applyAlignmentFormats="0" applyWidthHeightFormats="1" dataCaption="Valeurs" tag="6c950e1d-e4d9-4b48-8daa-2cf941457cd5" updatedVersion="8" minRefreshableVersion="3" useAutoFormatting="1" itemPrintTitles="1" createdVersion="5" indent="0" outline="1" outlineData="1" multipleFieldFilters="0">
  <location ref="A15:B2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its]"/>
        <x15:activeTabTopLevelEntity name="[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backgroundRefresh="0" connectionId="2" xr16:uid="{A7E29AB2-D835-4EDF-A81D-4554279BD4B9}" autoFormatId="16" applyNumberFormats="0" applyBorderFormats="0" applyFontFormats="0" applyPatternFormats="0" applyAlignmentFormats="0" applyWidthHeightFormats="0">
  <queryTableRefresh nextId="7">
    <queryTableFields count="3">
      <queryTableField id="4" name="Vendeur_ID" tableColumnId="1"/>
      <queryTableField id="5" name="Vendeur" tableColumnId="2"/>
      <queryTableField id="6" name="Region" tableColumnId="3"/>
    </queryTableFields>
  </queryTableRefresh>
  <extLst>
    <ext xmlns:x15="http://schemas.microsoft.com/office/spreadsheetml/2010/11/main" uri="{883FBD77-0823-4a55-B5E3-86C4891E6966}">
      <x15:queryTable sourceDataName="Requête - Vendeu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C24A5CBE-1FCE-4041-AF9F-633C872C55DB}" autoFormatId="16" applyNumberFormats="0" applyBorderFormats="0" applyFontFormats="0" applyPatternFormats="0" applyAlignmentFormats="0" applyWidthHeightFormats="0">
  <queryTableRefresh nextId="16">
    <queryTableFields count="6">
      <queryTableField id="9" name="Vente_ID" tableColumnId="2"/>
      <queryTableField id="10" name="Date" tableColumnId="3"/>
      <queryTableField id="11" name="Produit_ID" tableColumnId="4"/>
      <queryTableField id="12" name="Vendeur_ID" tableColumnId="5"/>
      <queryTableField id="13" name="Quantité" tableColumnId="6"/>
      <queryTableField id="15" name="Client_ID" tableColumnId="1"/>
    </queryTableFields>
  </queryTableRefresh>
  <extLst>
    <ext xmlns:x15="http://schemas.microsoft.com/office/spreadsheetml/2010/11/main" uri="{883FBD77-0823-4a55-B5E3-86C4891E6966}">
      <x15:queryTable sourceDataName="Requête - Vent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backgroundRefresh="0" connectionId="3" xr16:uid="{0964BCF8-6A2B-4FBE-AC02-ABF4957931CB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  <extLst>
    <ext xmlns:x15="http://schemas.microsoft.com/office/spreadsheetml/2010/11/main" uri="{883FBD77-0823-4a55-B5E3-86C4891E6966}">
      <x15:queryTable sourceDataName="Requête - Produi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CD4000-EC1A-4791-859B-D4DAD9A98029}" name="Vendeurs" displayName="Vendeurs" ref="A1:C17" tableType="queryTable" totalsRowShown="0">
  <autoFilter ref="A1:C17" xr:uid="{7ECD4000-EC1A-4791-859B-D4DAD9A98029}"/>
  <tableColumns count="3">
    <tableColumn id="1" xr3:uid="{E7EE9EF6-DB20-4D3D-B443-54A7B5F288DE}" uniqueName="1" name="Vendeur_ID" queryTableFieldId="4" dataDxfId="74"/>
    <tableColumn id="2" xr3:uid="{2CB1F0C7-B2DF-4C92-8613-62A4F8684146}" uniqueName="2" name="Vendeur" queryTableFieldId="5" dataDxfId="73"/>
    <tableColumn id="3" xr3:uid="{299D507D-9325-483F-9B56-151675C5E747}" uniqueName="3" name="Region" queryTableFieldId="6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0F24F-A415-47CF-A5F4-1A8E25ECE159}" name="Ventes" displayName="Ventes" ref="A1:F554" tableType="queryTable" totalsRowShown="0">
  <autoFilter ref="A1:F554" xr:uid="{E460F24F-A415-47CF-A5F4-1A8E25ECE159}"/>
  <tableColumns count="6">
    <tableColumn id="2" xr3:uid="{7C665375-C58C-488F-809A-E56234C345D8}" uniqueName="2" name="Vente_ID" queryTableFieldId="9" dataDxfId="71"/>
    <tableColumn id="3" xr3:uid="{419FB9D0-2251-4F45-9977-59B9B0F27125}" uniqueName="3" name="Date" queryTableFieldId="10" dataDxfId="70"/>
    <tableColumn id="4" xr3:uid="{1FA5FDC8-6268-4194-9F34-94FA0AAA4067}" uniqueName="4" name="Produit_ID" queryTableFieldId="11" dataDxfId="69"/>
    <tableColumn id="5" xr3:uid="{BE5DE32D-9697-4710-8BB6-EB8E6F64EBCA}" uniqueName="5" name="Vendeur_ID" queryTableFieldId="12" dataDxfId="68"/>
    <tableColumn id="6" xr3:uid="{936767D5-AFA1-4432-A78D-F92DCB33941A}" uniqueName="6" name="Quantité" queryTableFieldId="13"/>
    <tableColumn id="1" xr3:uid="{7E726A45-8DD8-412D-B392-655C71AA067B}" uniqueName="1" name="Client_ID" queryTableField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3D4D77-B225-4FB4-A195-95D0294C9C2A}" name="Produits" displayName="Produits" ref="A1:D31" tableType="queryTable" totalsRowShown="0">
  <autoFilter ref="A1:D31" xr:uid="{9C3D4D77-B225-4FB4-A195-95D0294C9C2A}"/>
  <tableColumns count="4">
    <tableColumn id="1" xr3:uid="{24571C06-D6AD-416F-9F20-A5396B5FACB6}" uniqueName="1" name="Produit_ID" queryTableFieldId="1" dataDxfId="67"/>
    <tableColumn id="2" xr3:uid="{478FDC85-028C-424D-B5B8-CFC3ECC3978D}" uniqueName="2" name="Produit" queryTableFieldId="2" dataDxfId="66"/>
    <tableColumn id="3" xr3:uid="{1C9D87B5-4A1C-4D01-A35C-35C9CA9749C6}" uniqueName="3" name="Catégorie" queryTableFieldId="3" dataDxfId="65"/>
    <tableColumn id="4" xr3:uid="{152D60A9-475E-477E-9F72-F281F1735B40}" uniqueName="4" name="Prix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C3A73-FD89-4DC3-BBDB-31679BD6A9B5}" name="Tableau4" displayName="Tableau4" ref="A1:D366" totalsRowShown="0" headerRowDxfId="14" headerRowBorderDxfId="13" tableBorderDxfId="12">
  <autoFilter ref="A1:D366" xr:uid="{913C3A73-FD89-4DC3-BBDB-31679BD6A9B5}"/>
  <tableColumns count="4">
    <tableColumn id="1" xr3:uid="{2EA99DD1-52BB-4196-9671-45F93268DB0B}" name="Date" dataDxfId="11">
      <calculatedColumnFormula>A1+1</calculatedColumnFormula>
    </tableColumn>
    <tableColumn id="2" xr3:uid="{0EE3DE9D-7E6C-493A-9322-7A529A448B2B}" name="Année" dataDxfId="10">
      <calculatedColumnFormula>YEAR(A2)</calculatedColumnFormula>
    </tableColumn>
    <tableColumn id="3" xr3:uid="{4E15472F-2965-4BDA-8CF3-56DC80FCC9E2}" name="Mois" dataDxfId="9">
      <calculatedColumnFormula>TEXT(A2,"mmmm")</calculatedColumnFormula>
    </tableColumn>
    <tableColumn id="4" xr3:uid="{A11116A7-61BB-46CE-993B-524137BAEEF7}" name="Trimestre" dataDxfId="8">
      <calculatedColumnFormula>"T"&amp;ROUNDUP(MONTH(A2)/3,0)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D90C94-2FF2-480B-BC54-CC48603456A6}" name="Tableau5" displayName="Tableau5" ref="A1:D3" totalsRowShown="0" headerRowDxfId="7" dataDxfId="5" headerRowBorderDxfId="6" tableBorderDxfId="4">
  <autoFilter ref="A1:D3" xr:uid="{05D90C94-2FF2-480B-BC54-CC48603456A6}"/>
  <tableColumns count="4">
    <tableColumn id="1" xr3:uid="{D7EB43B4-0888-4498-9CE9-7EB66B907BB8}" name="Client_ID" dataDxfId="3"/>
    <tableColumn id="2" xr3:uid="{EBB4A562-447A-4A4C-88C3-4A5F28011171}" name="Client" dataDxfId="2"/>
    <tableColumn id="3" xr3:uid="{FEEC3B38-D982-4477-856E-D580E78D2A44}" name="Segment" dataDxfId="1"/>
    <tableColumn id="4" xr3:uid="{529E179A-AE9F-4DC4-9DA1-D2BAFFA641C7}" name="Vi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B2AE-CFC9-477C-B238-CB770C6538C1}">
  <dimension ref="A1:C17"/>
  <sheetViews>
    <sheetView showGridLines="0" workbookViewId="0">
      <selection activeCell="F9" sqref="F9"/>
    </sheetView>
  </sheetViews>
  <sheetFormatPr baseColWidth="10" defaultRowHeight="14.5" x14ac:dyDescent="0.35"/>
  <cols>
    <col min="1" max="1" width="12.7265625" bestFit="1" customWidth="1"/>
    <col min="2" max="2" width="13.6328125" bestFit="1" customWidth="1"/>
    <col min="3" max="3" width="9.81640625" bestFit="1" customWidth="1"/>
    <col min="4" max="4" width="10.7265625" bestFit="1" customWidth="1"/>
    <col min="5" max="5" width="13.6328125" bestFit="1" customWidth="1"/>
    <col min="6" max="6" width="10.7265625" bestFit="1" customWidth="1"/>
  </cols>
  <sheetData>
    <row r="1" spans="1:3" x14ac:dyDescent="0.35">
      <c r="A1" t="s">
        <v>3</v>
      </c>
      <c r="B1" t="s">
        <v>553</v>
      </c>
      <c r="C1" t="s">
        <v>666</v>
      </c>
    </row>
    <row r="2" spans="1:3" x14ac:dyDescent="0.35">
      <c r="A2" t="s">
        <v>3</v>
      </c>
      <c r="B2" t="s">
        <v>553</v>
      </c>
      <c r="C2" t="s">
        <v>554</v>
      </c>
    </row>
    <row r="3" spans="1:3" x14ac:dyDescent="0.35">
      <c r="A3" t="s">
        <v>10</v>
      </c>
      <c r="B3" t="s">
        <v>555</v>
      </c>
      <c r="C3" t="s">
        <v>556</v>
      </c>
    </row>
    <row r="4" spans="1:3" x14ac:dyDescent="0.35">
      <c r="A4" t="s">
        <v>20</v>
      </c>
      <c r="B4" t="s">
        <v>557</v>
      </c>
      <c r="C4" t="s">
        <v>558</v>
      </c>
    </row>
    <row r="5" spans="1:3" x14ac:dyDescent="0.35">
      <c r="A5" t="s">
        <v>66</v>
      </c>
      <c r="B5" t="s">
        <v>559</v>
      </c>
      <c r="C5" t="s">
        <v>556</v>
      </c>
    </row>
    <row r="6" spans="1:3" x14ac:dyDescent="0.35">
      <c r="A6" t="s">
        <v>26</v>
      </c>
      <c r="B6" t="s">
        <v>560</v>
      </c>
      <c r="C6" t="s">
        <v>561</v>
      </c>
    </row>
    <row r="7" spans="1:3" x14ac:dyDescent="0.35">
      <c r="A7" t="s">
        <v>42</v>
      </c>
      <c r="B7" t="s">
        <v>562</v>
      </c>
      <c r="C7" t="s">
        <v>563</v>
      </c>
    </row>
    <row r="8" spans="1:3" x14ac:dyDescent="0.35">
      <c r="A8" t="s">
        <v>68</v>
      </c>
      <c r="B8" t="s">
        <v>564</v>
      </c>
      <c r="C8" t="s">
        <v>556</v>
      </c>
    </row>
    <row r="9" spans="1:3" x14ac:dyDescent="0.35">
      <c r="A9" t="s">
        <v>39</v>
      </c>
      <c r="B9" t="s">
        <v>565</v>
      </c>
      <c r="C9" t="s">
        <v>558</v>
      </c>
    </row>
    <row r="10" spans="1:3" x14ac:dyDescent="0.35">
      <c r="A10" t="s">
        <v>73</v>
      </c>
      <c r="B10" t="s">
        <v>566</v>
      </c>
      <c r="C10" t="s">
        <v>556</v>
      </c>
    </row>
    <row r="11" spans="1:3" x14ac:dyDescent="0.35">
      <c r="A11" t="s">
        <v>57</v>
      </c>
      <c r="B11" t="s">
        <v>567</v>
      </c>
      <c r="C11" t="s">
        <v>561</v>
      </c>
    </row>
    <row r="12" spans="1:3" x14ac:dyDescent="0.35">
      <c r="A12" t="s">
        <v>7</v>
      </c>
      <c r="B12" t="s">
        <v>568</v>
      </c>
      <c r="C12" t="s">
        <v>563</v>
      </c>
    </row>
    <row r="13" spans="1:3" x14ac:dyDescent="0.35">
      <c r="A13" t="s">
        <v>12</v>
      </c>
      <c r="B13" t="s">
        <v>569</v>
      </c>
      <c r="C13" t="s">
        <v>556</v>
      </c>
    </row>
    <row r="14" spans="1:3" x14ac:dyDescent="0.35">
      <c r="A14" t="s">
        <v>36</v>
      </c>
      <c r="B14" t="s">
        <v>570</v>
      </c>
      <c r="C14" t="s">
        <v>558</v>
      </c>
    </row>
    <row r="15" spans="1:3" x14ac:dyDescent="0.35">
      <c r="A15" t="s">
        <v>15</v>
      </c>
      <c r="B15" t="s">
        <v>571</v>
      </c>
      <c r="C15" t="s">
        <v>556</v>
      </c>
    </row>
    <row r="16" spans="1:3" x14ac:dyDescent="0.35">
      <c r="A16" t="s">
        <v>29</v>
      </c>
      <c r="B16" t="s">
        <v>572</v>
      </c>
      <c r="C16" t="s">
        <v>561</v>
      </c>
    </row>
    <row r="17" spans="1:3" x14ac:dyDescent="0.35">
      <c r="A17" t="s">
        <v>48</v>
      </c>
      <c r="B17" t="s">
        <v>573</v>
      </c>
      <c r="C17" t="s">
        <v>563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107F-2B18-4EC6-AE7F-BFDE21B8FE67}">
  <dimension ref="A1:F554"/>
  <sheetViews>
    <sheetView showGridLines="0" topLeftCell="D1" workbookViewId="0">
      <selection activeCell="H7" sqref="H7"/>
    </sheetView>
  </sheetViews>
  <sheetFormatPr baseColWidth="10" defaultRowHeight="14.5" x14ac:dyDescent="0.35"/>
  <cols>
    <col min="1" max="1" width="10.54296875" bestFit="1" customWidth="1"/>
    <col min="2" max="2" width="10.08984375" bestFit="1" customWidth="1"/>
    <col min="3" max="3" width="11.81640625" bestFit="1" customWidth="1"/>
    <col min="4" max="4" width="12.7265625" bestFit="1" customWidth="1"/>
    <col min="5" max="5" width="10.36328125" bestFit="1" customWidth="1"/>
    <col min="6" max="6" width="10.81640625" bestFit="1" customWidth="1"/>
    <col min="7" max="8" width="13.08984375" bestFit="1" customWidth="1"/>
    <col min="9" max="9" width="10.08984375" bestFit="1" customWidth="1"/>
    <col min="10" max="10" width="11.81640625" bestFit="1" customWidth="1"/>
    <col min="11" max="11" width="12.7265625" bestFit="1" customWidth="1"/>
    <col min="12" max="12" width="10.36328125" bestFit="1" customWidth="1"/>
    <col min="13" max="13" width="13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638</v>
      </c>
    </row>
    <row r="2" spans="1:6" x14ac:dyDescent="0.35">
      <c r="A2" t="s">
        <v>5</v>
      </c>
      <c r="B2" s="1">
        <v>46343</v>
      </c>
      <c r="C2" t="s">
        <v>33</v>
      </c>
      <c r="D2" t="s">
        <v>48</v>
      </c>
      <c r="E2">
        <v>3</v>
      </c>
      <c r="F2" t="s">
        <v>645</v>
      </c>
    </row>
    <row r="3" spans="1:6" x14ac:dyDescent="0.35">
      <c r="A3" t="s">
        <v>8</v>
      </c>
      <c r="B3" s="1">
        <v>46354</v>
      </c>
      <c r="C3" t="s">
        <v>64</v>
      </c>
      <c r="D3" t="s">
        <v>26</v>
      </c>
      <c r="E3">
        <v>10</v>
      </c>
      <c r="F3" t="s">
        <v>648</v>
      </c>
    </row>
    <row r="4" spans="1:6" x14ac:dyDescent="0.35">
      <c r="A4" t="s">
        <v>11</v>
      </c>
      <c r="B4" s="1">
        <v>46155</v>
      </c>
      <c r="C4" t="s">
        <v>6</v>
      </c>
      <c r="D4" t="s">
        <v>20</v>
      </c>
      <c r="E4">
        <v>14</v>
      </c>
      <c r="F4" t="s">
        <v>649</v>
      </c>
    </row>
    <row r="5" spans="1:6" x14ac:dyDescent="0.35">
      <c r="A5" t="s">
        <v>13</v>
      </c>
      <c r="B5" s="1">
        <v>46348</v>
      </c>
      <c r="C5" t="s">
        <v>64</v>
      </c>
      <c r="D5" t="s">
        <v>57</v>
      </c>
      <c r="E5">
        <v>15</v>
      </c>
      <c r="F5" t="s">
        <v>650</v>
      </c>
    </row>
    <row r="6" spans="1:6" x14ac:dyDescent="0.35">
      <c r="A6" t="s">
        <v>16</v>
      </c>
      <c r="B6" s="1">
        <v>46097</v>
      </c>
      <c r="C6" t="s">
        <v>82</v>
      </c>
      <c r="D6" t="s">
        <v>15</v>
      </c>
      <c r="E6">
        <v>1</v>
      </c>
      <c r="F6" t="s">
        <v>651</v>
      </c>
    </row>
    <row r="7" spans="1:6" x14ac:dyDescent="0.35">
      <c r="A7" t="s">
        <v>18</v>
      </c>
      <c r="B7" s="1">
        <v>46057</v>
      </c>
      <c r="C7" t="s">
        <v>33</v>
      </c>
      <c r="D7" t="s">
        <v>26</v>
      </c>
      <c r="E7">
        <v>16</v>
      </c>
      <c r="F7" t="s">
        <v>652</v>
      </c>
    </row>
    <row r="8" spans="1:6" x14ac:dyDescent="0.35">
      <c r="A8" t="s">
        <v>21</v>
      </c>
      <c r="B8" s="1">
        <v>46317</v>
      </c>
      <c r="C8" t="s">
        <v>84</v>
      </c>
      <c r="D8" t="s">
        <v>39</v>
      </c>
      <c r="E8">
        <v>15</v>
      </c>
      <c r="F8" t="s">
        <v>653</v>
      </c>
    </row>
    <row r="9" spans="1:6" x14ac:dyDescent="0.35">
      <c r="A9" t="s">
        <v>22</v>
      </c>
      <c r="B9" s="1">
        <v>46378</v>
      </c>
      <c r="C9" t="s">
        <v>84</v>
      </c>
      <c r="D9" t="s">
        <v>39</v>
      </c>
      <c r="E9">
        <v>19</v>
      </c>
      <c r="F9" t="s">
        <v>654</v>
      </c>
    </row>
    <row r="10" spans="1:6" x14ac:dyDescent="0.35">
      <c r="A10" t="s">
        <v>24</v>
      </c>
      <c r="B10" s="1">
        <v>46218</v>
      </c>
      <c r="C10" t="s">
        <v>144</v>
      </c>
      <c r="D10" t="s">
        <v>15</v>
      </c>
      <c r="E10">
        <v>12</v>
      </c>
      <c r="F10" t="s">
        <v>655</v>
      </c>
    </row>
    <row r="11" spans="1:6" x14ac:dyDescent="0.35">
      <c r="A11" t="s">
        <v>27</v>
      </c>
      <c r="B11" s="1">
        <v>46264</v>
      </c>
      <c r="C11" t="s">
        <v>86</v>
      </c>
      <c r="D11" t="s">
        <v>29</v>
      </c>
      <c r="E11">
        <v>7</v>
      </c>
      <c r="F11" t="s">
        <v>656</v>
      </c>
    </row>
    <row r="12" spans="1:6" x14ac:dyDescent="0.35">
      <c r="A12" t="s">
        <v>30</v>
      </c>
      <c r="B12" s="1">
        <v>46046</v>
      </c>
      <c r="C12" t="s">
        <v>75</v>
      </c>
      <c r="D12" t="s">
        <v>68</v>
      </c>
      <c r="E12">
        <v>12</v>
      </c>
      <c r="F12" t="s">
        <v>657</v>
      </c>
    </row>
    <row r="13" spans="1:6" x14ac:dyDescent="0.35">
      <c r="A13" t="s">
        <v>31</v>
      </c>
      <c r="B13" s="1">
        <v>46385</v>
      </c>
      <c r="C13" t="s">
        <v>51</v>
      </c>
      <c r="D13" t="s">
        <v>36</v>
      </c>
      <c r="E13">
        <v>8</v>
      </c>
      <c r="F13" t="s">
        <v>658</v>
      </c>
    </row>
    <row r="14" spans="1:6" x14ac:dyDescent="0.35">
      <c r="A14" t="s">
        <v>32</v>
      </c>
      <c r="B14" s="1">
        <v>46274</v>
      </c>
      <c r="C14" t="s">
        <v>70</v>
      </c>
      <c r="D14" t="s">
        <v>15</v>
      </c>
      <c r="E14">
        <v>1</v>
      </c>
      <c r="F14" t="s">
        <v>659</v>
      </c>
    </row>
    <row r="15" spans="1:6" x14ac:dyDescent="0.35">
      <c r="A15" t="s">
        <v>34</v>
      </c>
      <c r="B15" s="1">
        <v>46350</v>
      </c>
      <c r="C15" t="s">
        <v>88</v>
      </c>
      <c r="D15" t="s">
        <v>12</v>
      </c>
      <c r="E15">
        <v>9</v>
      </c>
      <c r="F15" t="s">
        <v>660</v>
      </c>
    </row>
    <row r="16" spans="1:6" x14ac:dyDescent="0.35">
      <c r="A16" t="s">
        <v>37</v>
      </c>
      <c r="B16" s="1">
        <v>46072</v>
      </c>
      <c r="C16" t="s">
        <v>101</v>
      </c>
      <c r="D16" t="s">
        <v>42</v>
      </c>
      <c r="E16">
        <v>9</v>
      </c>
      <c r="F16" t="s">
        <v>661</v>
      </c>
    </row>
    <row r="17" spans="1:6" x14ac:dyDescent="0.35">
      <c r="A17" t="s">
        <v>40</v>
      </c>
      <c r="B17" s="1">
        <v>46229</v>
      </c>
      <c r="C17" t="s">
        <v>51</v>
      </c>
      <c r="D17" t="s">
        <v>20</v>
      </c>
      <c r="E17">
        <v>13</v>
      </c>
      <c r="F17" t="s">
        <v>662</v>
      </c>
    </row>
    <row r="18" spans="1:6" x14ac:dyDescent="0.35">
      <c r="A18" t="s">
        <v>43</v>
      </c>
      <c r="B18" s="1">
        <v>46212</v>
      </c>
      <c r="C18" t="s">
        <v>112</v>
      </c>
      <c r="D18" t="s">
        <v>26</v>
      </c>
      <c r="E18">
        <v>7</v>
      </c>
      <c r="F18" t="s">
        <v>663</v>
      </c>
    </row>
    <row r="19" spans="1:6" x14ac:dyDescent="0.35">
      <c r="A19" t="s">
        <v>44</v>
      </c>
      <c r="B19" s="1">
        <v>46219</v>
      </c>
      <c r="C19" t="s">
        <v>17</v>
      </c>
      <c r="D19" t="s">
        <v>12</v>
      </c>
      <c r="E19">
        <v>19</v>
      </c>
      <c r="F19" t="s">
        <v>664</v>
      </c>
    </row>
    <row r="20" spans="1:6" x14ac:dyDescent="0.35">
      <c r="A20" t="s">
        <v>45</v>
      </c>
      <c r="B20" s="1">
        <v>46353</v>
      </c>
      <c r="C20" t="s">
        <v>86</v>
      </c>
      <c r="D20" t="s">
        <v>66</v>
      </c>
      <c r="E20">
        <v>12</v>
      </c>
      <c r="F20" t="s">
        <v>665</v>
      </c>
    </row>
    <row r="21" spans="1:6" x14ac:dyDescent="0.35">
      <c r="A21" t="s">
        <v>46</v>
      </c>
      <c r="B21" s="1">
        <v>46165</v>
      </c>
      <c r="C21" t="s">
        <v>156</v>
      </c>
      <c r="D21" t="s">
        <v>26</v>
      </c>
      <c r="E21">
        <v>4</v>
      </c>
      <c r="F21" t="s">
        <v>642</v>
      </c>
    </row>
    <row r="22" spans="1:6" x14ac:dyDescent="0.35">
      <c r="A22" t="s">
        <v>49</v>
      </c>
      <c r="B22" s="1">
        <v>46077</v>
      </c>
      <c r="C22" t="s">
        <v>54</v>
      </c>
      <c r="D22" t="s">
        <v>42</v>
      </c>
      <c r="E22">
        <v>10</v>
      </c>
      <c r="F22" t="s">
        <v>645</v>
      </c>
    </row>
    <row r="23" spans="1:6" x14ac:dyDescent="0.35">
      <c r="A23" t="s">
        <v>50</v>
      </c>
      <c r="B23" s="1">
        <v>46374</v>
      </c>
      <c r="C23" t="s">
        <v>38</v>
      </c>
      <c r="D23" t="s">
        <v>66</v>
      </c>
      <c r="E23">
        <v>10</v>
      </c>
      <c r="F23" t="s">
        <v>648</v>
      </c>
    </row>
    <row r="24" spans="1:6" x14ac:dyDescent="0.35">
      <c r="A24" t="s">
        <v>52</v>
      </c>
      <c r="B24" s="1">
        <v>46107</v>
      </c>
      <c r="C24" t="s">
        <v>70</v>
      </c>
      <c r="D24" t="s">
        <v>73</v>
      </c>
      <c r="E24">
        <v>3</v>
      </c>
      <c r="F24" t="s">
        <v>649</v>
      </c>
    </row>
    <row r="25" spans="1:6" x14ac:dyDescent="0.35">
      <c r="A25" t="s">
        <v>53</v>
      </c>
      <c r="B25" s="1">
        <v>46262</v>
      </c>
      <c r="C25" t="s">
        <v>19</v>
      </c>
      <c r="D25" t="s">
        <v>15</v>
      </c>
      <c r="E25">
        <v>3</v>
      </c>
      <c r="F25" t="s">
        <v>650</v>
      </c>
    </row>
    <row r="26" spans="1:6" x14ac:dyDescent="0.35">
      <c r="A26" t="s">
        <v>55</v>
      </c>
      <c r="B26" s="1">
        <v>46023</v>
      </c>
      <c r="C26" t="s">
        <v>101</v>
      </c>
      <c r="D26" t="s">
        <v>20</v>
      </c>
      <c r="E26">
        <v>7</v>
      </c>
      <c r="F26" t="s">
        <v>651</v>
      </c>
    </row>
    <row r="27" spans="1:6" x14ac:dyDescent="0.35">
      <c r="A27" t="s">
        <v>58</v>
      </c>
      <c r="B27" s="1">
        <v>46268</v>
      </c>
      <c r="C27" t="s">
        <v>59</v>
      </c>
      <c r="D27" t="s">
        <v>15</v>
      </c>
      <c r="E27">
        <v>20</v>
      </c>
      <c r="F27" t="s">
        <v>652</v>
      </c>
    </row>
    <row r="28" spans="1:6" x14ac:dyDescent="0.35">
      <c r="A28" t="s">
        <v>60</v>
      </c>
      <c r="B28" s="1">
        <v>46338</v>
      </c>
      <c r="C28" t="s">
        <v>61</v>
      </c>
      <c r="D28" t="s">
        <v>57</v>
      </c>
      <c r="E28">
        <v>13</v>
      </c>
      <c r="F28" t="s">
        <v>653</v>
      </c>
    </row>
    <row r="29" spans="1:6" x14ac:dyDescent="0.35">
      <c r="A29" t="s">
        <v>62</v>
      </c>
      <c r="B29" s="1">
        <v>46293</v>
      </c>
      <c r="C29" t="s">
        <v>88</v>
      </c>
      <c r="D29" t="s">
        <v>12</v>
      </c>
      <c r="E29">
        <v>7</v>
      </c>
      <c r="F29" t="s">
        <v>654</v>
      </c>
    </row>
    <row r="30" spans="1:6" x14ac:dyDescent="0.35">
      <c r="A30" t="s">
        <v>63</v>
      </c>
      <c r="B30" s="1">
        <v>46217</v>
      </c>
      <c r="C30" t="s">
        <v>51</v>
      </c>
      <c r="D30" t="s">
        <v>29</v>
      </c>
      <c r="E30">
        <v>1</v>
      </c>
      <c r="F30" t="s">
        <v>655</v>
      </c>
    </row>
    <row r="31" spans="1:6" x14ac:dyDescent="0.35">
      <c r="A31" t="s">
        <v>65</v>
      </c>
      <c r="B31" s="1">
        <v>46079</v>
      </c>
      <c r="C31" t="s">
        <v>86</v>
      </c>
      <c r="D31" t="s">
        <v>42</v>
      </c>
      <c r="E31">
        <v>17</v>
      </c>
      <c r="F31" t="s">
        <v>656</v>
      </c>
    </row>
    <row r="32" spans="1:6" x14ac:dyDescent="0.35">
      <c r="A32" t="s">
        <v>67</v>
      </c>
      <c r="B32" s="1">
        <v>46151</v>
      </c>
      <c r="C32" t="s">
        <v>17</v>
      </c>
      <c r="D32" t="s">
        <v>29</v>
      </c>
      <c r="E32">
        <v>2</v>
      </c>
      <c r="F32" t="s">
        <v>657</v>
      </c>
    </row>
    <row r="33" spans="1:6" x14ac:dyDescent="0.35">
      <c r="A33" t="s">
        <v>69</v>
      </c>
      <c r="B33" s="1">
        <v>46230</v>
      </c>
      <c r="C33" t="s">
        <v>88</v>
      </c>
      <c r="D33" t="s">
        <v>26</v>
      </c>
      <c r="E33">
        <v>8</v>
      </c>
      <c r="F33" t="s">
        <v>658</v>
      </c>
    </row>
    <row r="34" spans="1:6" x14ac:dyDescent="0.35">
      <c r="A34" t="s">
        <v>71</v>
      </c>
      <c r="B34" s="1">
        <v>46064</v>
      </c>
      <c r="C34" t="s">
        <v>75</v>
      </c>
      <c r="D34" t="s">
        <v>57</v>
      </c>
      <c r="E34">
        <v>14</v>
      </c>
      <c r="F34" t="s">
        <v>659</v>
      </c>
    </row>
    <row r="35" spans="1:6" x14ac:dyDescent="0.35">
      <c r="A35" t="s">
        <v>74</v>
      </c>
      <c r="B35" s="1">
        <v>46304</v>
      </c>
      <c r="C35" t="s">
        <v>61</v>
      </c>
      <c r="D35" t="s">
        <v>10</v>
      </c>
      <c r="E35">
        <v>15</v>
      </c>
      <c r="F35" t="s">
        <v>660</v>
      </c>
    </row>
    <row r="36" spans="1:6" x14ac:dyDescent="0.35">
      <c r="A36" t="s">
        <v>76</v>
      </c>
      <c r="B36" s="1">
        <v>46136</v>
      </c>
      <c r="C36" t="s">
        <v>59</v>
      </c>
      <c r="D36" t="s">
        <v>39</v>
      </c>
      <c r="E36">
        <v>3</v>
      </c>
      <c r="F36" t="s">
        <v>661</v>
      </c>
    </row>
    <row r="37" spans="1:6" x14ac:dyDescent="0.35">
      <c r="A37" t="s">
        <v>77</v>
      </c>
      <c r="B37" s="1">
        <v>46263</v>
      </c>
      <c r="C37" t="s">
        <v>25</v>
      </c>
      <c r="D37" t="s">
        <v>26</v>
      </c>
      <c r="E37">
        <v>8</v>
      </c>
      <c r="F37" t="s">
        <v>662</v>
      </c>
    </row>
    <row r="38" spans="1:6" x14ac:dyDescent="0.35">
      <c r="A38" t="s">
        <v>78</v>
      </c>
      <c r="B38" s="1">
        <v>46055</v>
      </c>
      <c r="C38" t="s">
        <v>25</v>
      </c>
      <c r="D38" t="s">
        <v>20</v>
      </c>
      <c r="E38">
        <v>13</v>
      </c>
      <c r="F38" t="s">
        <v>663</v>
      </c>
    </row>
    <row r="39" spans="1:6" x14ac:dyDescent="0.35">
      <c r="A39" t="s">
        <v>79</v>
      </c>
      <c r="B39" s="1">
        <v>46024</v>
      </c>
      <c r="C39" t="s">
        <v>35</v>
      </c>
      <c r="D39" t="s">
        <v>73</v>
      </c>
      <c r="E39">
        <v>9</v>
      </c>
      <c r="F39" t="s">
        <v>664</v>
      </c>
    </row>
    <row r="40" spans="1:6" x14ac:dyDescent="0.35">
      <c r="A40" t="s">
        <v>80</v>
      </c>
      <c r="B40" s="1">
        <v>46214</v>
      </c>
      <c r="C40" t="s">
        <v>14</v>
      </c>
      <c r="D40" t="s">
        <v>66</v>
      </c>
      <c r="E40">
        <v>6</v>
      </c>
      <c r="F40" t="s">
        <v>665</v>
      </c>
    </row>
    <row r="41" spans="1:6" x14ac:dyDescent="0.35">
      <c r="A41" t="s">
        <v>81</v>
      </c>
      <c r="B41" s="1">
        <v>46035</v>
      </c>
      <c r="C41" t="s">
        <v>75</v>
      </c>
      <c r="D41" t="s">
        <v>15</v>
      </c>
      <c r="E41">
        <v>19</v>
      </c>
      <c r="F41" t="s">
        <v>642</v>
      </c>
    </row>
    <row r="42" spans="1:6" x14ac:dyDescent="0.35">
      <c r="A42" t="s">
        <v>83</v>
      </c>
      <c r="B42" s="1">
        <v>46033</v>
      </c>
      <c r="C42" t="s">
        <v>64</v>
      </c>
      <c r="D42" t="s">
        <v>66</v>
      </c>
      <c r="E42">
        <v>16</v>
      </c>
      <c r="F42" t="s">
        <v>645</v>
      </c>
    </row>
    <row r="43" spans="1:6" x14ac:dyDescent="0.35">
      <c r="A43" t="s">
        <v>85</v>
      </c>
      <c r="B43" s="1">
        <v>46307</v>
      </c>
      <c r="C43" t="s">
        <v>33</v>
      </c>
      <c r="D43" t="s">
        <v>26</v>
      </c>
      <c r="E43">
        <v>2</v>
      </c>
      <c r="F43" t="s">
        <v>648</v>
      </c>
    </row>
    <row r="44" spans="1:6" x14ac:dyDescent="0.35">
      <c r="A44" t="s">
        <v>87</v>
      </c>
      <c r="B44" s="1">
        <v>46166</v>
      </c>
      <c r="C44" t="s">
        <v>23</v>
      </c>
      <c r="D44" t="s">
        <v>7</v>
      </c>
      <c r="E44">
        <v>11</v>
      </c>
      <c r="F44" t="s">
        <v>649</v>
      </c>
    </row>
    <row r="45" spans="1:6" x14ac:dyDescent="0.35">
      <c r="A45" t="s">
        <v>89</v>
      </c>
      <c r="B45" s="1">
        <v>46166</v>
      </c>
      <c r="C45" t="s">
        <v>19</v>
      </c>
      <c r="D45" t="s">
        <v>48</v>
      </c>
      <c r="E45">
        <v>16</v>
      </c>
      <c r="F45" t="s">
        <v>650</v>
      </c>
    </row>
    <row r="46" spans="1:6" x14ac:dyDescent="0.35">
      <c r="A46" t="s">
        <v>90</v>
      </c>
      <c r="B46" s="1">
        <v>46052</v>
      </c>
      <c r="C46" t="s">
        <v>35</v>
      </c>
      <c r="D46" t="s">
        <v>42</v>
      </c>
      <c r="E46">
        <v>16</v>
      </c>
      <c r="F46" t="s">
        <v>651</v>
      </c>
    </row>
    <row r="47" spans="1:6" x14ac:dyDescent="0.35">
      <c r="A47" t="s">
        <v>91</v>
      </c>
      <c r="B47" s="1">
        <v>46299</v>
      </c>
      <c r="C47" t="s">
        <v>14</v>
      </c>
      <c r="D47" t="s">
        <v>73</v>
      </c>
      <c r="E47">
        <v>15</v>
      </c>
      <c r="F47" t="s">
        <v>652</v>
      </c>
    </row>
    <row r="48" spans="1:6" x14ac:dyDescent="0.35">
      <c r="A48" t="s">
        <v>92</v>
      </c>
      <c r="B48" s="1">
        <v>46374</v>
      </c>
      <c r="C48" t="s">
        <v>23</v>
      </c>
      <c r="D48" t="s">
        <v>66</v>
      </c>
      <c r="E48">
        <v>15</v>
      </c>
      <c r="F48" t="s">
        <v>653</v>
      </c>
    </row>
    <row r="49" spans="1:6" x14ac:dyDescent="0.35">
      <c r="A49" t="s">
        <v>93</v>
      </c>
      <c r="B49" s="1">
        <v>46335</v>
      </c>
      <c r="C49" t="s">
        <v>14</v>
      </c>
      <c r="D49" t="s">
        <v>42</v>
      </c>
      <c r="E49">
        <v>18</v>
      </c>
      <c r="F49" t="s">
        <v>654</v>
      </c>
    </row>
    <row r="50" spans="1:6" x14ac:dyDescent="0.35">
      <c r="A50" t="s">
        <v>94</v>
      </c>
      <c r="B50" s="1">
        <v>46101</v>
      </c>
      <c r="C50" t="s">
        <v>75</v>
      </c>
      <c r="D50" t="s">
        <v>48</v>
      </c>
      <c r="E50">
        <v>1</v>
      </c>
      <c r="F50" t="s">
        <v>655</v>
      </c>
    </row>
    <row r="51" spans="1:6" x14ac:dyDescent="0.35">
      <c r="A51" t="s">
        <v>95</v>
      </c>
      <c r="B51" s="1">
        <v>46376</v>
      </c>
      <c r="C51" t="s">
        <v>54</v>
      </c>
      <c r="D51" t="s">
        <v>73</v>
      </c>
      <c r="E51">
        <v>6</v>
      </c>
      <c r="F51" t="s">
        <v>656</v>
      </c>
    </row>
    <row r="52" spans="1:6" x14ac:dyDescent="0.35">
      <c r="A52" t="s">
        <v>96</v>
      </c>
      <c r="B52" s="1">
        <v>46255</v>
      </c>
      <c r="C52" t="s">
        <v>14</v>
      </c>
      <c r="D52" t="s">
        <v>42</v>
      </c>
      <c r="E52">
        <v>11</v>
      </c>
      <c r="F52" t="s">
        <v>657</v>
      </c>
    </row>
    <row r="53" spans="1:6" x14ac:dyDescent="0.35">
      <c r="A53" t="s">
        <v>97</v>
      </c>
      <c r="B53" s="1">
        <v>46340</v>
      </c>
      <c r="C53" t="s">
        <v>14</v>
      </c>
      <c r="D53" t="s">
        <v>12</v>
      </c>
      <c r="E53">
        <v>12</v>
      </c>
      <c r="F53" t="s">
        <v>658</v>
      </c>
    </row>
    <row r="54" spans="1:6" x14ac:dyDescent="0.35">
      <c r="A54" t="s">
        <v>98</v>
      </c>
      <c r="B54" s="1">
        <v>46036</v>
      </c>
      <c r="C54" t="s">
        <v>82</v>
      </c>
      <c r="D54" t="s">
        <v>68</v>
      </c>
      <c r="E54">
        <v>4</v>
      </c>
      <c r="F54" t="s">
        <v>659</v>
      </c>
    </row>
    <row r="55" spans="1:6" x14ac:dyDescent="0.35">
      <c r="A55" t="s">
        <v>99</v>
      </c>
      <c r="B55" s="1">
        <v>46081</v>
      </c>
      <c r="C55" t="s">
        <v>6</v>
      </c>
      <c r="D55" t="s">
        <v>12</v>
      </c>
      <c r="E55">
        <v>15</v>
      </c>
      <c r="F55" t="s">
        <v>660</v>
      </c>
    </row>
    <row r="56" spans="1:6" x14ac:dyDescent="0.35">
      <c r="A56" t="s">
        <v>100</v>
      </c>
      <c r="B56" s="1">
        <v>46195</v>
      </c>
      <c r="C56" t="s">
        <v>101</v>
      </c>
      <c r="D56" t="s">
        <v>29</v>
      </c>
      <c r="E56">
        <v>18</v>
      </c>
      <c r="F56" t="s">
        <v>661</v>
      </c>
    </row>
    <row r="57" spans="1:6" x14ac:dyDescent="0.35">
      <c r="A57" t="s">
        <v>102</v>
      </c>
      <c r="B57" s="1">
        <v>46316</v>
      </c>
      <c r="C57" t="s">
        <v>51</v>
      </c>
      <c r="D57" t="s">
        <v>57</v>
      </c>
      <c r="E57">
        <v>11</v>
      </c>
      <c r="F57" t="s">
        <v>662</v>
      </c>
    </row>
    <row r="58" spans="1:6" x14ac:dyDescent="0.35">
      <c r="A58" t="s">
        <v>103</v>
      </c>
      <c r="B58" s="1">
        <v>46033</v>
      </c>
      <c r="C58" t="s">
        <v>61</v>
      </c>
      <c r="D58" t="s">
        <v>66</v>
      </c>
      <c r="E58">
        <v>4</v>
      </c>
      <c r="F58" t="s">
        <v>663</v>
      </c>
    </row>
    <row r="59" spans="1:6" x14ac:dyDescent="0.35">
      <c r="A59" t="s">
        <v>104</v>
      </c>
      <c r="B59" s="1">
        <v>46070</v>
      </c>
      <c r="C59" t="s">
        <v>86</v>
      </c>
      <c r="D59" t="s">
        <v>42</v>
      </c>
      <c r="E59">
        <v>2</v>
      </c>
      <c r="F59" t="s">
        <v>664</v>
      </c>
    </row>
    <row r="60" spans="1:6" x14ac:dyDescent="0.35">
      <c r="A60" t="s">
        <v>105</v>
      </c>
      <c r="B60" s="1">
        <v>46252</v>
      </c>
      <c r="C60" t="s">
        <v>156</v>
      </c>
      <c r="D60" t="s">
        <v>7</v>
      </c>
      <c r="E60">
        <v>7</v>
      </c>
      <c r="F60" t="s">
        <v>665</v>
      </c>
    </row>
    <row r="61" spans="1:6" x14ac:dyDescent="0.35">
      <c r="A61" t="s">
        <v>106</v>
      </c>
      <c r="B61" s="1">
        <v>46183</v>
      </c>
      <c r="C61" t="s">
        <v>19</v>
      </c>
      <c r="D61" t="s">
        <v>7</v>
      </c>
      <c r="E61">
        <v>12</v>
      </c>
      <c r="F61" t="s">
        <v>642</v>
      </c>
    </row>
    <row r="62" spans="1:6" x14ac:dyDescent="0.35">
      <c r="A62" t="s">
        <v>107</v>
      </c>
      <c r="B62" s="1">
        <v>46341</v>
      </c>
      <c r="C62" t="s">
        <v>61</v>
      </c>
      <c r="D62" t="s">
        <v>57</v>
      </c>
      <c r="E62">
        <v>15</v>
      </c>
      <c r="F62" t="s">
        <v>645</v>
      </c>
    </row>
    <row r="63" spans="1:6" x14ac:dyDescent="0.35">
      <c r="A63" t="s">
        <v>108</v>
      </c>
      <c r="B63" s="1">
        <v>46203</v>
      </c>
      <c r="C63" t="s">
        <v>51</v>
      </c>
      <c r="D63" t="s">
        <v>26</v>
      </c>
      <c r="E63">
        <v>20</v>
      </c>
      <c r="F63" t="s">
        <v>648</v>
      </c>
    </row>
    <row r="64" spans="1:6" x14ac:dyDescent="0.35">
      <c r="A64" t="s">
        <v>109</v>
      </c>
      <c r="B64" s="1">
        <v>46279</v>
      </c>
      <c r="C64" t="s">
        <v>23</v>
      </c>
      <c r="D64" t="s">
        <v>66</v>
      </c>
      <c r="E64">
        <v>7</v>
      </c>
      <c r="F64" t="s">
        <v>649</v>
      </c>
    </row>
    <row r="65" spans="1:6" x14ac:dyDescent="0.35">
      <c r="A65" t="s">
        <v>110</v>
      </c>
      <c r="B65" s="1">
        <v>46298</v>
      </c>
      <c r="C65" t="s">
        <v>19</v>
      </c>
      <c r="D65" t="s">
        <v>10</v>
      </c>
      <c r="E65">
        <v>7</v>
      </c>
      <c r="F65" t="s">
        <v>650</v>
      </c>
    </row>
    <row r="66" spans="1:6" x14ac:dyDescent="0.35">
      <c r="A66" t="s">
        <v>111</v>
      </c>
      <c r="B66" s="1">
        <v>46254</v>
      </c>
      <c r="C66" t="s">
        <v>41</v>
      </c>
      <c r="D66" t="s">
        <v>73</v>
      </c>
      <c r="E66">
        <v>15</v>
      </c>
      <c r="F66" t="s">
        <v>651</v>
      </c>
    </row>
    <row r="67" spans="1:6" x14ac:dyDescent="0.35">
      <c r="A67" t="s">
        <v>113</v>
      </c>
      <c r="B67" s="1">
        <v>46122</v>
      </c>
      <c r="C67" t="s">
        <v>59</v>
      </c>
      <c r="D67" t="s">
        <v>42</v>
      </c>
      <c r="E67">
        <v>6</v>
      </c>
      <c r="F67" t="s">
        <v>652</v>
      </c>
    </row>
    <row r="68" spans="1:6" x14ac:dyDescent="0.35">
      <c r="A68" t="s">
        <v>114</v>
      </c>
      <c r="B68" s="1">
        <v>46102</v>
      </c>
      <c r="C68" t="s">
        <v>82</v>
      </c>
      <c r="D68" t="s">
        <v>48</v>
      </c>
      <c r="E68">
        <v>17</v>
      </c>
      <c r="F68" t="s">
        <v>653</v>
      </c>
    </row>
    <row r="69" spans="1:6" x14ac:dyDescent="0.35">
      <c r="A69" t="s">
        <v>115</v>
      </c>
      <c r="B69" s="1">
        <v>46349</v>
      </c>
      <c r="C69" t="s">
        <v>112</v>
      </c>
      <c r="D69" t="s">
        <v>20</v>
      </c>
      <c r="E69">
        <v>10</v>
      </c>
      <c r="F69" t="s">
        <v>654</v>
      </c>
    </row>
    <row r="70" spans="1:6" x14ac:dyDescent="0.35">
      <c r="A70" t="s">
        <v>116</v>
      </c>
      <c r="B70" s="1">
        <v>46191</v>
      </c>
      <c r="C70" t="s">
        <v>51</v>
      </c>
      <c r="D70" t="s">
        <v>39</v>
      </c>
      <c r="E70">
        <v>15</v>
      </c>
      <c r="F70" t="s">
        <v>655</v>
      </c>
    </row>
    <row r="71" spans="1:6" x14ac:dyDescent="0.35">
      <c r="A71" t="s">
        <v>117</v>
      </c>
      <c r="B71" s="1">
        <v>46209</v>
      </c>
      <c r="C71" t="s">
        <v>35</v>
      </c>
      <c r="D71" t="s">
        <v>39</v>
      </c>
      <c r="E71">
        <v>1</v>
      </c>
      <c r="F71" t="s">
        <v>656</v>
      </c>
    </row>
    <row r="72" spans="1:6" x14ac:dyDescent="0.35">
      <c r="A72" t="s">
        <v>118</v>
      </c>
      <c r="B72" s="1">
        <v>46128</v>
      </c>
      <c r="C72" t="s">
        <v>59</v>
      </c>
      <c r="D72" t="s">
        <v>73</v>
      </c>
      <c r="E72">
        <v>5</v>
      </c>
      <c r="F72" t="s">
        <v>657</v>
      </c>
    </row>
    <row r="73" spans="1:6" x14ac:dyDescent="0.35">
      <c r="A73" t="s">
        <v>119</v>
      </c>
      <c r="B73" s="1">
        <v>46142</v>
      </c>
      <c r="C73" t="s">
        <v>61</v>
      </c>
      <c r="D73" t="s">
        <v>39</v>
      </c>
      <c r="E73">
        <v>2</v>
      </c>
      <c r="F73" t="s">
        <v>658</v>
      </c>
    </row>
    <row r="74" spans="1:6" x14ac:dyDescent="0.35">
      <c r="A74" t="s">
        <v>120</v>
      </c>
      <c r="B74" s="1">
        <v>46354</v>
      </c>
      <c r="C74" t="s">
        <v>64</v>
      </c>
      <c r="D74" t="s">
        <v>68</v>
      </c>
      <c r="E74">
        <v>9</v>
      </c>
      <c r="F74" t="s">
        <v>659</v>
      </c>
    </row>
    <row r="75" spans="1:6" x14ac:dyDescent="0.35">
      <c r="A75" t="s">
        <v>121</v>
      </c>
      <c r="B75" s="1">
        <v>46229</v>
      </c>
      <c r="C75" t="s">
        <v>70</v>
      </c>
      <c r="D75" t="s">
        <v>26</v>
      </c>
      <c r="E75">
        <v>2</v>
      </c>
      <c r="F75" t="s">
        <v>660</v>
      </c>
    </row>
    <row r="76" spans="1:6" x14ac:dyDescent="0.35">
      <c r="A76" t="s">
        <v>122</v>
      </c>
      <c r="B76" s="1">
        <v>46192</v>
      </c>
      <c r="C76" t="s">
        <v>51</v>
      </c>
      <c r="D76" t="s">
        <v>26</v>
      </c>
      <c r="E76">
        <v>4</v>
      </c>
      <c r="F76" t="s">
        <v>661</v>
      </c>
    </row>
    <row r="77" spans="1:6" x14ac:dyDescent="0.35">
      <c r="A77" t="s">
        <v>123</v>
      </c>
      <c r="B77" s="1">
        <v>46230</v>
      </c>
      <c r="C77" t="s">
        <v>38</v>
      </c>
      <c r="D77" t="s">
        <v>10</v>
      </c>
      <c r="E77">
        <v>12</v>
      </c>
      <c r="F77" t="s">
        <v>662</v>
      </c>
    </row>
    <row r="78" spans="1:6" x14ac:dyDescent="0.35">
      <c r="A78" t="s">
        <v>124</v>
      </c>
      <c r="B78" s="1">
        <v>46117</v>
      </c>
      <c r="C78" t="s">
        <v>25</v>
      </c>
      <c r="D78" t="s">
        <v>20</v>
      </c>
      <c r="E78">
        <v>13</v>
      </c>
      <c r="F78" t="s">
        <v>663</v>
      </c>
    </row>
    <row r="79" spans="1:6" x14ac:dyDescent="0.35">
      <c r="A79" t="s">
        <v>125</v>
      </c>
      <c r="B79" s="1">
        <v>46242</v>
      </c>
      <c r="C79" t="s">
        <v>101</v>
      </c>
      <c r="D79" t="s">
        <v>36</v>
      </c>
      <c r="E79">
        <v>19</v>
      </c>
      <c r="F79" t="s">
        <v>664</v>
      </c>
    </row>
    <row r="80" spans="1:6" x14ac:dyDescent="0.35">
      <c r="A80" t="s">
        <v>126</v>
      </c>
      <c r="B80" s="1">
        <v>46147</v>
      </c>
      <c r="C80" t="s">
        <v>56</v>
      </c>
      <c r="D80" t="s">
        <v>10</v>
      </c>
      <c r="E80">
        <v>5</v>
      </c>
      <c r="F80" t="s">
        <v>665</v>
      </c>
    </row>
    <row r="81" spans="1:6" x14ac:dyDescent="0.35">
      <c r="A81" t="s">
        <v>127</v>
      </c>
      <c r="B81" s="1">
        <v>46357</v>
      </c>
      <c r="C81" t="s">
        <v>47</v>
      </c>
      <c r="D81" t="s">
        <v>20</v>
      </c>
      <c r="E81">
        <v>6</v>
      </c>
      <c r="F81" t="s">
        <v>642</v>
      </c>
    </row>
    <row r="82" spans="1:6" x14ac:dyDescent="0.35">
      <c r="A82" t="s">
        <v>128</v>
      </c>
      <c r="B82" s="1">
        <v>46234</v>
      </c>
      <c r="C82" t="s">
        <v>75</v>
      </c>
      <c r="D82" t="s">
        <v>57</v>
      </c>
      <c r="E82">
        <v>13</v>
      </c>
      <c r="F82" t="s">
        <v>645</v>
      </c>
    </row>
    <row r="83" spans="1:6" x14ac:dyDescent="0.35">
      <c r="A83" t="s">
        <v>129</v>
      </c>
      <c r="B83" s="1">
        <v>46152</v>
      </c>
      <c r="C83" t="s">
        <v>156</v>
      </c>
      <c r="D83" t="s">
        <v>48</v>
      </c>
      <c r="E83">
        <v>15</v>
      </c>
      <c r="F83" t="s">
        <v>648</v>
      </c>
    </row>
    <row r="84" spans="1:6" x14ac:dyDescent="0.35">
      <c r="A84" t="s">
        <v>130</v>
      </c>
      <c r="B84" s="1">
        <v>46049</v>
      </c>
      <c r="C84" t="s">
        <v>61</v>
      </c>
      <c r="D84" t="s">
        <v>39</v>
      </c>
      <c r="E84">
        <v>18</v>
      </c>
      <c r="F84" t="s">
        <v>649</v>
      </c>
    </row>
    <row r="85" spans="1:6" x14ac:dyDescent="0.35">
      <c r="A85" t="s">
        <v>131</v>
      </c>
      <c r="B85" s="1">
        <v>46282</v>
      </c>
      <c r="C85" t="s">
        <v>56</v>
      </c>
      <c r="D85" t="s">
        <v>12</v>
      </c>
      <c r="E85">
        <v>6</v>
      </c>
      <c r="F85" t="s">
        <v>650</v>
      </c>
    </row>
    <row r="86" spans="1:6" x14ac:dyDescent="0.35">
      <c r="A86" t="s">
        <v>132</v>
      </c>
      <c r="B86" s="1">
        <v>46245</v>
      </c>
      <c r="C86" t="s">
        <v>6</v>
      </c>
      <c r="D86" t="s">
        <v>26</v>
      </c>
      <c r="E86">
        <v>6</v>
      </c>
      <c r="F86" t="s">
        <v>651</v>
      </c>
    </row>
    <row r="87" spans="1:6" x14ac:dyDescent="0.35">
      <c r="A87" t="s">
        <v>133</v>
      </c>
      <c r="B87" s="1">
        <v>46185</v>
      </c>
      <c r="C87" t="s">
        <v>33</v>
      </c>
      <c r="D87" t="s">
        <v>68</v>
      </c>
      <c r="E87">
        <v>18</v>
      </c>
      <c r="F87" t="s">
        <v>652</v>
      </c>
    </row>
    <row r="88" spans="1:6" x14ac:dyDescent="0.35">
      <c r="A88" t="s">
        <v>134</v>
      </c>
      <c r="B88" s="1">
        <v>46076</v>
      </c>
      <c r="C88" t="s">
        <v>64</v>
      </c>
      <c r="D88" t="s">
        <v>48</v>
      </c>
      <c r="E88">
        <v>5</v>
      </c>
      <c r="F88" t="s">
        <v>653</v>
      </c>
    </row>
    <row r="89" spans="1:6" x14ac:dyDescent="0.35">
      <c r="A89" t="s">
        <v>135</v>
      </c>
      <c r="B89" s="1">
        <v>46099</v>
      </c>
      <c r="C89" t="s">
        <v>19</v>
      </c>
      <c r="D89" t="s">
        <v>66</v>
      </c>
      <c r="E89">
        <v>7</v>
      </c>
      <c r="F89" t="s">
        <v>654</v>
      </c>
    </row>
    <row r="90" spans="1:6" x14ac:dyDescent="0.35">
      <c r="A90" t="s">
        <v>136</v>
      </c>
      <c r="B90" s="1">
        <v>46051</v>
      </c>
      <c r="C90" t="s">
        <v>25</v>
      </c>
      <c r="D90" t="s">
        <v>39</v>
      </c>
      <c r="E90">
        <v>18</v>
      </c>
      <c r="F90" t="s">
        <v>655</v>
      </c>
    </row>
    <row r="91" spans="1:6" x14ac:dyDescent="0.35">
      <c r="A91" t="s">
        <v>137</v>
      </c>
      <c r="B91" s="1">
        <v>46086</v>
      </c>
      <c r="C91" t="s">
        <v>25</v>
      </c>
      <c r="D91" t="s">
        <v>15</v>
      </c>
      <c r="E91">
        <v>13</v>
      </c>
      <c r="F91" t="s">
        <v>656</v>
      </c>
    </row>
    <row r="92" spans="1:6" x14ac:dyDescent="0.35">
      <c r="A92" t="s">
        <v>138</v>
      </c>
      <c r="B92" s="1">
        <v>46057</v>
      </c>
      <c r="C92" t="s">
        <v>144</v>
      </c>
      <c r="D92" t="s">
        <v>48</v>
      </c>
      <c r="E92">
        <v>1</v>
      </c>
      <c r="F92" t="s">
        <v>657</v>
      </c>
    </row>
    <row r="93" spans="1:6" x14ac:dyDescent="0.35">
      <c r="A93" t="s">
        <v>139</v>
      </c>
      <c r="B93" s="1">
        <v>46178</v>
      </c>
      <c r="C93" t="s">
        <v>86</v>
      </c>
      <c r="D93" t="s">
        <v>7</v>
      </c>
      <c r="E93">
        <v>16</v>
      </c>
      <c r="F93" t="s">
        <v>658</v>
      </c>
    </row>
    <row r="94" spans="1:6" x14ac:dyDescent="0.35">
      <c r="A94" t="s">
        <v>140</v>
      </c>
      <c r="B94" s="1">
        <v>46363</v>
      </c>
      <c r="C94" t="s">
        <v>33</v>
      </c>
      <c r="D94" t="s">
        <v>68</v>
      </c>
      <c r="E94">
        <v>19</v>
      </c>
      <c r="F94" t="s">
        <v>659</v>
      </c>
    </row>
    <row r="95" spans="1:6" x14ac:dyDescent="0.35">
      <c r="A95" t="s">
        <v>141</v>
      </c>
      <c r="B95" s="1">
        <v>46183</v>
      </c>
      <c r="C95" t="s">
        <v>47</v>
      </c>
      <c r="D95" t="s">
        <v>20</v>
      </c>
      <c r="E95">
        <v>8</v>
      </c>
      <c r="F95" t="s">
        <v>660</v>
      </c>
    </row>
    <row r="96" spans="1:6" x14ac:dyDescent="0.35">
      <c r="A96" t="s">
        <v>142</v>
      </c>
      <c r="B96" s="1">
        <v>46320</v>
      </c>
      <c r="C96" t="s">
        <v>6</v>
      </c>
      <c r="D96" t="s">
        <v>12</v>
      </c>
      <c r="E96">
        <v>17</v>
      </c>
      <c r="F96" t="s">
        <v>661</v>
      </c>
    </row>
    <row r="97" spans="1:6" x14ac:dyDescent="0.35">
      <c r="A97" t="s">
        <v>143</v>
      </c>
      <c r="B97" s="1">
        <v>46061</v>
      </c>
      <c r="C97" t="s">
        <v>6</v>
      </c>
      <c r="D97" t="s">
        <v>20</v>
      </c>
      <c r="E97">
        <v>20</v>
      </c>
      <c r="F97" t="s">
        <v>662</v>
      </c>
    </row>
    <row r="98" spans="1:6" x14ac:dyDescent="0.35">
      <c r="A98" t="s">
        <v>145</v>
      </c>
      <c r="B98" s="1">
        <v>46063</v>
      </c>
      <c r="C98" t="s">
        <v>54</v>
      </c>
      <c r="D98" t="s">
        <v>29</v>
      </c>
      <c r="E98">
        <v>2</v>
      </c>
      <c r="F98" t="s">
        <v>663</v>
      </c>
    </row>
    <row r="99" spans="1:6" x14ac:dyDescent="0.35">
      <c r="A99" t="s">
        <v>146</v>
      </c>
      <c r="B99" s="1">
        <v>46272</v>
      </c>
      <c r="C99" t="s">
        <v>88</v>
      </c>
      <c r="D99" t="s">
        <v>26</v>
      </c>
      <c r="E99">
        <v>19</v>
      </c>
      <c r="F99" t="s">
        <v>664</v>
      </c>
    </row>
    <row r="100" spans="1:6" x14ac:dyDescent="0.35">
      <c r="A100" t="s">
        <v>147</v>
      </c>
      <c r="B100" s="1">
        <v>46285</v>
      </c>
      <c r="C100" t="s">
        <v>38</v>
      </c>
      <c r="D100" t="s">
        <v>26</v>
      </c>
      <c r="E100">
        <v>18</v>
      </c>
      <c r="F100" t="s">
        <v>665</v>
      </c>
    </row>
    <row r="101" spans="1:6" x14ac:dyDescent="0.35">
      <c r="A101" t="s">
        <v>148</v>
      </c>
      <c r="B101" s="1">
        <v>46282</v>
      </c>
      <c r="C101" t="s">
        <v>51</v>
      </c>
      <c r="D101" t="s">
        <v>7</v>
      </c>
      <c r="E101">
        <v>6</v>
      </c>
      <c r="F101" t="s">
        <v>642</v>
      </c>
    </row>
    <row r="102" spans="1:6" x14ac:dyDescent="0.35">
      <c r="A102" t="s">
        <v>149</v>
      </c>
      <c r="B102" s="1">
        <v>46263</v>
      </c>
      <c r="C102" t="s">
        <v>88</v>
      </c>
      <c r="D102" t="s">
        <v>68</v>
      </c>
      <c r="E102">
        <v>6</v>
      </c>
      <c r="F102" t="s">
        <v>645</v>
      </c>
    </row>
    <row r="103" spans="1:6" x14ac:dyDescent="0.35">
      <c r="A103" t="s">
        <v>150</v>
      </c>
      <c r="B103" s="1">
        <v>46226</v>
      </c>
      <c r="C103" t="s">
        <v>86</v>
      </c>
      <c r="D103" t="s">
        <v>39</v>
      </c>
      <c r="E103">
        <v>5</v>
      </c>
      <c r="F103" t="s">
        <v>648</v>
      </c>
    </row>
    <row r="104" spans="1:6" x14ac:dyDescent="0.35">
      <c r="A104" t="s">
        <v>151</v>
      </c>
      <c r="B104" s="1">
        <v>46189</v>
      </c>
      <c r="C104" t="s">
        <v>38</v>
      </c>
      <c r="D104" t="s">
        <v>73</v>
      </c>
      <c r="E104">
        <v>1</v>
      </c>
      <c r="F104" t="s">
        <v>649</v>
      </c>
    </row>
    <row r="105" spans="1:6" x14ac:dyDescent="0.35">
      <c r="A105" t="s">
        <v>152</v>
      </c>
      <c r="B105" s="1">
        <v>46069</v>
      </c>
      <c r="C105" t="s">
        <v>61</v>
      </c>
      <c r="D105" t="s">
        <v>12</v>
      </c>
      <c r="E105">
        <v>20</v>
      </c>
      <c r="F105" t="s">
        <v>650</v>
      </c>
    </row>
    <row r="106" spans="1:6" x14ac:dyDescent="0.35">
      <c r="A106" t="s">
        <v>153</v>
      </c>
      <c r="B106" s="1">
        <v>46080</v>
      </c>
      <c r="C106" t="s">
        <v>23</v>
      </c>
      <c r="D106" t="s">
        <v>48</v>
      </c>
      <c r="E106">
        <v>13</v>
      </c>
      <c r="F106" t="s">
        <v>651</v>
      </c>
    </row>
    <row r="107" spans="1:6" x14ac:dyDescent="0.35">
      <c r="A107" t="s">
        <v>154</v>
      </c>
      <c r="B107" s="1">
        <v>46026</v>
      </c>
      <c r="C107" t="s">
        <v>9</v>
      </c>
      <c r="D107" t="s">
        <v>29</v>
      </c>
      <c r="E107">
        <v>15</v>
      </c>
      <c r="F107" t="s">
        <v>652</v>
      </c>
    </row>
    <row r="108" spans="1:6" x14ac:dyDescent="0.35">
      <c r="A108" t="s">
        <v>155</v>
      </c>
      <c r="B108" s="1">
        <v>46121</v>
      </c>
      <c r="C108" t="s">
        <v>86</v>
      </c>
      <c r="D108" t="s">
        <v>48</v>
      </c>
      <c r="E108">
        <v>7</v>
      </c>
      <c r="F108" t="s">
        <v>653</v>
      </c>
    </row>
    <row r="109" spans="1:6" x14ac:dyDescent="0.35">
      <c r="A109" t="s">
        <v>157</v>
      </c>
      <c r="B109" s="1">
        <v>46318</v>
      </c>
      <c r="C109" t="s">
        <v>144</v>
      </c>
      <c r="D109" t="s">
        <v>12</v>
      </c>
      <c r="E109">
        <v>19</v>
      </c>
      <c r="F109" t="s">
        <v>654</v>
      </c>
    </row>
    <row r="110" spans="1:6" x14ac:dyDescent="0.35">
      <c r="A110" t="s">
        <v>158</v>
      </c>
      <c r="B110" s="1">
        <v>46216</v>
      </c>
      <c r="C110" t="s">
        <v>51</v>
      </c>
      <c r="D110" t="s">
        <v>7</v>
      </c>
      <c r="E110">
        <v>1</v>
      </c>
      <c r="F110" t="s">
        <v>655</v>
      </c>
    </row>
    <row r="111" spans="1:6" x14ac:dyDescent="0.35">
      <c r="A111" t="s">
        <v>159</v>
      </c>
      <c r="B111" s="1">
        <v>46225</v>
      </c>
      <c r="C111" t="s">
        <v>112</v>
      </c>
      <c r="D111" t="s">
        <v>29</v>
      </c>
      <c r="E111">
        <v>11</v>
      </c>
      <c r="F111" t="s">
        <v>656</v>
      </c>
    </row>
    <row r="112" spans="1:6" x14ac:dyDescent="0.35">
      <c r="A112" t="s">
        <v>160</v>
      </c>
      <c r="B112" s="1">
        <v>46113</v>
      </c>
      <c r="C112" t="s">
        <v>72</v>
      </c>
      <c r="D112" t="s">
        <v>10</v>
      </c>
      <c r="E112">
        <v>18</v>
      </c>
      <c r="F112" t="s">
        <v>657</v>
      </c>
    </row>
    <row r="113" spans="1:6" x14ac:dyDescent="0.35">
      <c r="A113" t="s">
        <v>161</v>
      </c>
      <c r="B113" s="1">
        <v>46322</v>
      </c>
      <c r="C113" t="s">
        <v>86</v>
      </c>
      <c r="D113" t="s">
        <v>73</v>
      </c>
      <c r="E113">
        <v>12</v>
      </c>
      <c r="F113" t="s">
        <v>658</v>
      </c>
    </row>
    <row r="114" spans="1:6" x14ac:dyDescent="0.35">
      <c r="A114" t="s">
        <v>162</v>
      </c>
      <c r="B114" s="1">
        <v>46274</v>
      </c>
      <c r="C114" t="s">
        <v>19</v>
      </c>
      <c r="D114" t="s">
        <v>15</v>
      </c>
      <c r="E114">
        <v>3</v>
      </c>
      <c r="F114" t="s">
        <v>659</v>
      </c>
    </row>
    <row r="115" spans="1:6" x14ac:dyDescent="0.35">
      <c r="A115" t="s">
        <v>163</v>
      </c>
      <c r="B115" s="1">
        <v>46166</v>
      </c>
      <c r="C115" t="s">
        <v>6</v>
      </c>
      <c r="D115" t="s">
        <v>39</v>
      </c>
      <c r="E115">
        <v>17</v>
      </c>
      <c r="F115" t="s">
        <v>660</v>
      </c>
    </row>
    <row r="116" spans="1:6" x14ac:dyDescent="0.35">
      <c r="A116" t="s">
        <v>164</v>
      </c>
      <c r="B116" s="1">
        <v>46038</v>
      </c>
      <c r="C116" t="s">
        <v>33</v>
      </c>
      <c r="D116" t="s">
        <v>68</v>
      </c>
      <c r="E116">
        <v>10</v>
      </c>
      <c r="F116" t="s">
        <v>661</v>
      </c>
    </row>
    <row r="117" spans="1:6" x14ac:dyDescent="0.35">
      <c r="A117" t="s">
        <v>165</v>
      </c>
      <c r="B117" s="1">
        <v>46030</v>
      </c>
      <c r="C117" t="s">
        <v>25</v>
      </c>
      <c r="D117" t="s">
        <v>26</v>
      </c>
      <c r="E117">
        <v>20</v>
      </c>
      <c r="F117" t="s">
        <v>662</v>
      </c>
    </row>
    <row r="118" spans="1:6" x14ac:dyDescent="0.35">
      <c r="A118" t="s">
        <v>166</v>
      </c>
      <c r="B118" s="1">
        <v>46169</v>
      </c>
      <c r="C118" t="s">
        <v>70</v>
      </c>
      <c r="D118" t="s">
        <v>73</v>
      </c>
      <c r="E118">
        <v>16</v>
      </c>
      <c r="F118" t="s">
        <v>663</v>
      </c>
    </row>
    <row r="119" spans="1:6" x14ac:dyDescent="0.35">
      <c r="A119" t="s">
        <v>167</v>
      </c>
      <c r="B119" s="1">
        <v>46078</v>
      </c>
      <c r="C119" t="s">
        <v>25</v>
      </c>
      <c r="D119" t="s">
        <v>15</v>
      </c>
      <c r="E119">
        <v>19</v>
      </c>
      <c r="F119" t="s">
        <v>664</v>
      </c>
    </row>
    <row r="120" spans="1:6" x14ac:dyDescent="0.35">
      <c r="A120" t="s">
        <v>168</v>
      </c>
      <c r="B120" s="1">
        <v>46283</v>
      </c>
      <c r="C120" t="s">
        <v>35</v>
      </c>
      <c r="D120" t="s">
        <v>36</v>
      </c>
      <c r="E120">
        <v>14</v>
      </c>
      <c r="F120" t="s">
        <v>665</v>
      </c>
    </row>
    <row r="121" spans="1:6" x14ac:dyDescent="0.35">
      <c r="A121" t="s">
        <v>169</v>
      </c>
      <c r="B121" s="1">
        <v>46194</v>
      </c>
      <c r="C121" t="s">
        <v>28</v>
      </c>
      <c r="D121" t="s">
        <v>57</v>
      </c>
      <c r="E121">
        <v>7</v>
      </c>
      <c r="F121" t="s">
        <v>642</v>
      </c>
    </row>
    <row r="122" spans="1:6" x14ac:dyDescent="0.35">
      <c r="A122" t="s">
        <v>170</v>
      </c>
      <c r="B122" s="1">
        <v>46220</v>
      </c>
      <c r="C122" t="s">
        <v>59</v>
      </c>
      <c r="D122" t="s">
        <v>42</v>
      </c>
      <c r="E122">
        <v>4</v>
      </c>
      <c r="F122" t="s">
        <v>645</v>
      </c>
    </row>
    <row r="123" spans="1:6" x14ac:dyDescent="0.35">
      <c r="A123" t="s">
        <v>171</v>
      </c>
      <c r="B123" s="1">
        <v>46094</v>
      </c>
      <c r="C123" t="s">
        <v>82</v>
      </c>
      <c r="D123" t="s">
        <v>7</v>
      </c>
      <c r="E123">
        <v>11</v>
      </c>
      <c r="F123" t="s">
        <v>648</v>
      </c>
    </row>
    <row r="124" spans="1:6" x14ac:dyDescent="0.35">
      <c r="A124" t="s">
        <v>172</v>
      </c>
      <c r="B124" s="1">
        <v>46156</v>
      </c>
      <c r="C124" t="s">
        <v>88</v>
      </c>
      <c r="D124" t="s">
        <v>68</v>
      </c>
      <c r="E124">
        <v>14</v>
      </c>
      <c r="F124" t="s">
        <v>649</v>
      </c>
    </row>
    <row r="125" spans="1:6" x14ac:dyDescent="0.35">
      <c r="A125" t="s">
        <v>173</v>
      </c>
      <c r="B125" s="1">
        <v>46297</v>
      </c>
      <c r="C125" t="s">
        <v>23</v>
      </c>
      <c r="D125" t="s">
        <v>29</v>
      </c>
      <c r="E125">
        <v>16</v>
      </c>
      <c r="F125" t="s">
        <v>650</v>
      </c>
    </row>
    <row r="126" spans="1:6" x14ac:dyDescent="0.35">
      <c r="A126" t="s">
        <v>174</v>
      </c>
      <c r="B126" s="1">
        <v>46053</v>
      </c>
      <c r="C126" t="s">
        <v>9</v>
      </c>
      <c r="D126" t="s">
        <v>20</v>
      </c>
      <c r="E126">
        <v>8</v>
      </c>
      <c r="F126" t="s">
        <v>651</v>
      </c>
    </row>
    <row r="127" spans="1:6" x14ac:dyDescent="0.35">
      <c r="A127" t="s">
        <v>175</v>
      </c>
      <c r="B127" s="1">
        <v>46094</v>
      </c>
      <c r="C127" t="s">
        <v>47</v>
      </c>
      <c r="D127" t="s">
        <v>20</v>
      </c>
      <c r="E127">
        <v>19</v>
      </c>
      <c r="F127" t="s">
        <v>652</v>
      </c>
    </row>
    <row r="128" spans="1:6" x14ac:dyDescent="0.35">
      <c r="A128" t="s">
        <v>176</v>
      </c>
      <c r="B128" s="1">
        <v>46223</v>
      </c>
      <c r="C128" t="s">
        <v>84</v>
      </c>
      <c r="D128" t="s">
        <v>36</v>
      </c>
      <c r="E128">
        <v>9</v>
      </c>
      <c r="F128" t="s">
        <v>653</v>
      </c>
    </row>
    <row r="129" spans="1:6" x14ac:dyDescent="0.35">
      <c r="A129" t="s">
        <v>177</v>
      </c>
      <c r="B129" s="1">
        <v>46318</v>
      </c>
      <c r="C129" t="s">
        <v>86</v>
      </c>
      <c r="D129" t="s">
        <v>26</v>
      </c>
      <c r="E129">
        <v>15</v>
      </c>
      <c r="F129" t="s">
        <v>654</v>
      </c>
    </row>
    <row r="130" spans="1:6" x14ac:dyDescent="0.35">
      <c r="A130" t="s">
        <v>178</v>
      </c>
      <c r="B130" s="1">
        <v>46090</v>
      </c>
      <c r="C130" t="s">
        <v>19</v>
      </c>
      <c r="D130" t="s">
        <v>39</v>
      </c>
      <c r="E130">
        <v>8</v>
      </c>
      <c r="F130" t="s">
        <v>655</v>
      </c>
    </row>
    <row r="131" spans="1:6" x14ac:dyDescent="0.35">
      <c r="A131" t="s">
        <v>179</v>
      </c>
      <c r="B131" s="1">
        <v>46296</v>
      </c>
      <c r="C131" t="s">
        <v>156</v>
      </c>
      <c r="D131" t="s">
        <v>36</v>
      </c>
      <c r="E131">
        <v>5</v>
      </c>
      <c r="F131" t="s">
        <v>656</v>
      </c>
    </row>
    <row r="132" spans="1:6" x14ac:dyDescent="0.35">
      <c r="A132" t="s">
        <v>180</v>
      </c>
      <c r="B132" s="1">
        <v>46154</v>
      </c>
      <c r="C132" t="s">
        <v>64</v>
      </c>
      <c r="D132" t="s">
        <v>68</v>
      </c>
      <c r="E132">
        <v>15</v>
      </c>
      <c r="F132" t="s">
        <v>657</v>
      </c>
    </row>
    <row r="133" spans="1:6" x14ac:dyDescent="0.35">
      <c r="A133" t="s">
        <v>181</v>
      </c>
      <c r="B133" s="1">
        <v>46314</v>
      </c>
      <c r="C133" t="s">
        <v>41</v>
      </c>
      <c r="D133" t="s">
        <v>57</v>
      </c>
      <c r="E133">
        <v>14</v>
      </c>
      <c r="F133" t="s">
        <v>658</v>
      </c>
    </row>
    <row r="134" spans="1:6" x14ac:dyDescent="0.35">
      <c r="A134" t="s">
        <v>182</v>
      </c>
      <c r="B134" s="1">
        <v>46260</v>
      </c>
      <c r="C134" t="s">
        <v>19</v>
      </c>
      <c r="D134" t="s">
        <v>48</v>
      </c>
      <c r="E134">
        <v>5</v>
      </c>
      <c r="F134" t="s">
        <v>659</v>
      </c>
    </row>
    <row r="135" spans="1:6" x14ac:dyDescent="0.35">
      <c r="A135" t="s">
        <v>183</v>
      </c>
      <c r="B135" s="1">
        <v>46327</v>
      </c>
      <c r="C135" t="s">
        <v>47</v>
      </c>
      <c r="D135" t="s">
        <v>68</v>
      </c>
      <c r="E135">
        <v>12</v>
      </c>
      <c r="F135" t="s">
        <v>660</v>
      </c>
    </row>
    <row r="136" spans="1:6" x14ac:dyDescent="0.35">
      <c r="A136" t="s">
        <v>184</v>
      </c>
      <c r="B136" s="1">
        <v>46387</v>
      </c>
      <c r="C136" t="s">
        <v>86</v>
      </c>
      <c r="D136" t="s">
        <v>36</v>
      </c>
      <c r="E136">
        <v>1</v>
      </c>
      <c r="F136" t="s">
        <v>661</v>
      </c>
    </row>
    <row r="137" spans="1:6" x14ac:dyDescent="0.35">
      <c r="A137" t="s">
        <v>185</v>
      </c>
      <c r="B137" s="1">
        <v>46374</v>
      </c>
      <c r="C137" t="s">
        <v>28</v>
      </c>
      <c r="D137" t="s">
        <v>48</v>
      </c>
      <c r="E137">
        <v>13</v>
      </c>
      <c r="F137" t="s">
        <v>662</v>
      </c>
    </row>
    <row r="138" spans="1:6" x14ac:dyDescent="0.35">
      <c r="A138" t="s">
        <v>186</v>
      </c>
      <c r="B138" s="1">
        <v>46207</v>
      </c>
      <c r="C138" t="s">
        <v>72</v>
      </c>
      <c r="D138" t="s">
        <v>29</v>
      </c>
      <c r="E138">
        <v>7</v>
      </c>
      <c r="F138" t="s">
        <v>663</v>
      </c>
    </row>
    <row r="139" spans="1:6" x14ac:dyDescent="0.35">
      <c r="A139" t="s">
        <v>187</v>
      </c>
      <c r="B139" s="1">
        <v>46322</v>
      </c>
      <c r="C139" t="s">
        <v>28</v>
      </c>
      <c r="D139" t="s">
        <v>26</v>
      </c>
      <c r="E139">
        <v>17</v>
      </c>
      <c r="F139" t="s">
        <v>664</v>
      </c>
    </row>
    <row r="140" spans="1:6" x14ac:dyDescent="0.35">
      <c r="A140" t="s">
        <v>188</v>
      </c>
      <c r="B140" s="1">
        <v>46275</v>
      </c>
      <c r="C140" t="s">
        <v>64</v>
      </c>
      <c r="D140" t="s">
        <v>12</v>
      </c>
      <c r="E140">
        <v>3</v>
      </c>
      <c r="F140" t="s">
        <v>665</v>
      </c>
    </row>
    <row r="141" spans="1:6" x14ac:dyDescent="0.35">
      <c r="A141" t="s">
        <v>189</v>
      </c>
      <c r="B141" s="1">
        <v>46318</v>
      </c>
      <c r="C141" t="s">
        <v>14</v>
      </c>
      <c r="D141" t="s">
        <v>29</v>
      </c>
      <c r="E141">
        <v>15</v>
      </c>
      <c r="F141" t="s">
        <v>642</v>
      </c>
    </row>
    <row r="142" spans="1:6" x14ac:dyDescent="0.35">
      <c r="A142" t="s">
        <v>190</v>
      </c>
      <c r="B142" s="1">
        <v>46096</v>
      </c>
      <c r="C142" t="s">
        <v>82</v>
      </c>
      <c r="D142" t="s">
        <v>68</v>
      </c>
      <c r="E142">
        <v>14</v>
      </c>
      <c r="F142" t="s">
        <v>645</v>
      </c>
    </row>
    <row r="143" spans="1:6" x14ac:dyDescent="0.35">
      <c r="A143" t="s">
        <v>191</v>
      </c>
      <c r="B143" s="1">
        <v>46082</v>
      </c>
      <c r="C143" t="s">
        <v>88</v>
      </c>
      <c r="D143" t="s">
        <v>36</v>
      </c>
      <c r="E143">
        <v>11</v>
      </c>
      <c r="F143" t="s">
        <v>648</v>
      </c>
    </row>
    <row r="144" spans="1:6" x14ac:dyDescent="0.35">
      <c r="A144" t="s">
        <v>192</v>
      </c>
      <c r="B144" s="1">
        <v>46167</v>
      </c>
      <c r="C144" t="s">
        <v>25</v>
      </c>
      <c r="D144" t="s">
        <v>66</v>
      </c>
      <c r="E144">
        <v>17</v>
      </c>
      <c r="F144" t="s">
        <v>649</v>
      </c>
    </row>
    <row r="145" spans="1:6" x14ac:dyDescent="0.35">
      <c r="A145" t="s">
        <v>193</v>
      </c>
      <c r="B145" s="1">
        <v>46262</v>
      </c>
      <c r="C145" t="s">
        <v>64</v>
      </c>
      <c r="D145" t="s">
        <v>15</v>
      </c>
      <c r="E145">
        <v>12</v>
      </c>
      <c r="F145" t="s">
        <v>650</v>
      </c>
    </row>
    <row r="146" spans="1:6" x14ac:dyDescent="0.35">
      <c r="A146" t="s">
        <v>194</v>
      </c>
      <c r="B146" s="1">
        <v>46125</v>
      </c>
      <c r="C146" t="s">
        <v>101</v>
      </c>
      <c r="D146" t="s">
        <v>57</v>
      </c>
      <c r="E146">
        <v>9</v>
      </c>
      <c r="F146" t="s">
        <v>651</v>
      </c>
    </row>
    <row r="147" spans="1:6" x14ac:dyDescent="0.35">
      <c r="A147" t="s">
        <v>195</v>
      </c>
      <c r="B147" s="1">
        <v>46143</v>
      </c>
      <c r="C147" t="s">
        <v>59</v>
      </c>
      <c r="D147" t="s">
        <v>29</v>
      </c>
      <c r="E147">
        <v>15</v>
      </c>
      <c r="F147" t="s">
        <v>652</v>
      </c>
    </row>
    <row r="148" spans="1:6" x14ac:dyDescent="0.35">
      <c r="A148" t="s">
        <v>196</v>
      </c>
      <c r="B148" s="1">
        <v>46280</v>
      </c>
      <c r="C148" t="s">
        <v>28</v>
      </c>
      <c r="D148" t="s">
        <v>20</v>
      </c>
      <c r="E148">
        <v>17</v>
      </c>
      <c r="F148" t="s">
        <v>653</v>
      </c>
    </row>
    <row r="149" spans="1:6" x14ac:dyDescent="0.35">
      <c r="A149" t="s">
        <v>197</v>
      </c>
      <c r="B149" s="1">
        <v>46226</v>
      </c>
      <c r="C149" t="s">
        <v>86</v>
      </c>
      <c r="D149" t="s">
        <v>7</v>
      </c>
      <c r="E149">
        <v>3</v>
      </c>
      <c r="F149" t="s">
        <v>654</v>
      </c>
    </row>
    <row r="150" spans="1:6" x14ac:dyDescent="0.35">
      <c r="A150" t="s">
        <v>198</v>
      </c>
      <c r="B150" s="1">
        <v>46027</v>
      </c>
      <c r="C150" t="s">
        <v>51</v>
      </c>
      <c r="D150" t="s">
        <v>36</v>
      </c>
      <c r="E150">
        <v>12</v>
      </c>
      <c r="F150" t="s">
        <v>655</v>
      </c>
    </row>
    <row r="151" spans="1:6" x14ac:dyDescent="0.35">
      <c r="A151" t="s">
        <v>199</v>
      </c>
      <c r="B151" s="1">
        <v>46234</v>
      </c>
      <c r="C151" t="s">
        <v>59</v>
      </c>
      <c r="D151" t="s">
        <v>48</v>
      </c>
      <c r="E151">
        <v>6</v>
      </c>
      <c r="F151" t="s">
        <v>656</v>
      </c>
    </row>
    <row r="152" spans="1:6" x14ac:dyDescent="0.35">
      <c r="A152" t="s">
        <v>200</v>
      </c>
      <c r="B152" s="1">
        <v>46092</v>
      </c>
      <c r="C152" t="s">
        <v>47</v>
      </c>
      <c r="D152" t="s">
        <v>36</v>
      </c>
      <c r="E152">
        <v>10</v>
      </c>
      <c r="F152" t="s">
        <v>657</v>
      </c>
    </row>
    <row r="153" spans="1:6" x14ac:dyDescent="0.35">
      <c r="A153" t="s">
        <v>201</v>
      </c>
      <c r="B153" s="1">
        <v>46184</v>
      </c>
      <c r="C153" t="s">
        <v>64</v>
      </c>
      <c r="D153" t="s">
        <v>68</v>
      </c>
      <c r="E153">
        <v>1</v>
      </c>
      <c r="F153" t="s">
        <v>658</v>
      </c>
    </row>
    <row r="154" spans="1:6" x14ac:dyDescent="0.35">
      <c r="A154" t="s">
        <v>202</v>
      </c>
      <c r="B154" s="1">
        <v>46067</v>
      </c>
      <c r="C154" t="s">
        <v>86</v>
      </c>
      <c r="D154" t="s">
        <v>42</v>
      </c>
      <c r="E154">
        <v>11</v>
      </c>
      <c r="F154" t="s">
        <v>659</v>
      </c>
    </row>
    <row r="155" spans="1:6" x14ac:dyDescent="0.35">
      <c r="A155" t="s">
        <v>203</v>
      </c>
      <c r="B155" s="1">
        <v>46072</v>
      </c>
      <c r="C155" t="s">
        <v>70</v>
      </c>
      <c r="D155" t="s">
        <v>57</v>
      </c>
      <c r="E155">
        <v>2</v>
      </c>
      <c r="F155" t="s">
        <v>660</v>
      </c>
    </row>
    <row r="156" spans="1:6" x14ac:dyDescent="0.35">
      <c r="A156" t="s">
        <v>204</v>
      </c>
      <c r="B156" s="1">
        <v>46143</v>
      </c>
      <c r="C156" t="s">
        <v>17</v>
      </c>
      <c r="D156" t="s">
        <v>68</v>
      </c>
      <c r="E156">
        <v>6</v>
      </c>
      <c r="F156" t="s">
        <v>661</v>
      </c>
    </row>
    <row r="157" spans="1:6" x14ac:dyDescent="0.35">
      <c r="A157" t="s">
        <v>205</v>
      </c>
      <c r="B157" s="1">
        <v>46203</v>
      </c>
      <c r="C157" t="s">
        <v>88</v>
      </c>
      <c r="D157" t="s">
        <v>42</v>
      </c>
      <c r="E157">
        <v>12</v>
      </c>
      <c r="F157" t="s">
        <v>662</v>
      </c>
    </row>
    <row r="158" spans="1:6" x14ac:dyDescent="0.35">
      <c r="A158" t="s">
        <v>206</v>
      </c>
      <c r="B158" s="1">
        <v>46044</v>
      </c>
      <c r="C158" t="s">
        <v>25</v>
      </c>
      <c r="D158" t="s">
        <v>48</v>
      </c>
      <c r="E158">
        <v>16</v>
      </c>
      <c r="F158" t="s">
        <v>663</v>
      </c>
    </row>
    <row r="159" spans="1:6" x14ac:dyDescent="0.35">
      <c r="A159" t="s">
        <v>207</v>
      </c>
      <c r="B159" s="1">
        <v>46181</v>
      </c>
      <c r="C159" t="s">
        <v>72</v>
      </c>
      <c r="D159" t="s">
        <v>15</v>
      </c>
      <c r="E159">
        <v>11</v>
      </c>
      <c r="F159" t="s">
        <v>664</v>
      </c>
    </row>
    <row r="160" spans="1:6" x14ac:dyDescent="0.35">
      <c r="A160" t="s">
        <v>208</v>
      </c>
      <c r="B160" s="1">
        <v>46053</v>
      </c>
      <c r="C160" t="s">
        <v>38</v>
      </c>
      <c r="D160" t="s">
        <v>73</v>
      </c>
      <c r="E160">
        <v>8</v>
      </c>
      <c r="F160" t="s">
        <v>665</v>
      </c>
    </row>
    <row r="161" spans="1:6" x14ac:dyDescent="0.35">
      <c r="A161" t="s">
        <v>209</v>
      </c>
      <c r="B161" s="1">
        <v>46299</v>
      </c>
      <c r="C161" t="s">
        <v>86</v>
      </c>
      <c r="D161" t="s">
        <v>7</v>
      </c>
      <c r="E161">
        <v>9</v>
      </c>
      <c r="F161" t="s">
        <v>642</v>
      </c>
    </row>
    <row r="162" spans="1:6" x14ac:dyDescent="0.35">
      <c r="A162" t="s">
        <v>210</v>
      </c>
      <c r="B162" s="1">
        <v>46253</v>
      </c>
      <c r="C162" t="s">
        <v>61</v>
      </c>
      <c r="D162" t="s">
        <v>39</v>
      </c>
      <c r="E162">
        <v>11</v>
      </c>
      <c r="F162" t="s">
        <v>645</v>
      </c>
    </row>
    <row r="163" spans="1:6" x14ac:dyDescent="0.35">
      <c r="A163" t="s">
        <v>211</v>
      </c>
      <c r="B163" s="1">
        <v>46255</v>
      </c>
      <c r="C163" t="s">
        <v>6</v>
      </c>
      <c r="D163" t="s">
        <v>26</v>
      </c>
      <c r="E163">
        <v>16</v>
      </c>
      <c r="F163" t="s">
        <v>648</v>
      </c>
    </row>
    <row r="164" spans="1:6" x14ac:dyDescent="0.35">
      <c r="A164" t="s">
        <v>212</v>
      </c>
      <c r="B164" s="1">
        <v>46216</v>
      </c>
      <c r="C164" t="s">
        <v>56</v>
      </c>
      <c r="D164" t="s">
        <v>36</v>
      </c>
      <c r="E164">
        <v>5</v>
      </c>
      <c r="F164" t="s">
        <v>649</v>
      </c>
    </row>
    <row r="165" spans="1:6" x14ac:dyDescent="0.35">
      <c r="A165" t="s">
        <v>213</v>
      </c>
      <c r="B165" s="1">
        <v>46147</v>
      </c>
      <c r="C165" t="s">
        <v>9</v>
      </c>
      <c r="D165" t="s">
        <v>42</v>
      </c>
      <c r="E165">
        <v>3</v>
      </c>
      <c r="F165" t="s">
        <v>650</v>
      </c>
    </row>
    <row r="166" spans="1:6" x14ac:dyDescent="0.35">
      <c r="A166" t="s">
        <v>214</v>
      </c>
      <c r="B166" s="1">
        <v>46164</v>
      </c>
      <c r="C166" t="s">
        <v>54</v>
      </c>
      <c r="D166" t="s">
        <v>39</v>
      </c>
      <c r="E166">
        <v>2</v>
      </c>
      <c r="F166" t="s">
        <v>651</v>
      </c>
    </row>
    <row r="167" spans="1:6" x14ac:dyDescent="0.35">
      <c r="A167" t="s">
        <v>215</v>
      </c>
      <c r="B167" s="1">
        <v>46049</v>
      </c>
      <c r="C167" t="s">
        <v>61</v>
      </c>
      <c r="D167" t="s">
        <v>66</v>
      </c>
      <c r="E167">
        <v>5</v>
      </c>
      <c r="F167" t="s">
        <v>652</v>
      </c>
    </row>
    <row r="168" spans="1:6" x14ac:dyDescent="0.35">
      <c r="A168" t="s">
        <v>216</v>
      </c>
      <c r="B168" s="1">
        <v>46102</v>
      </c>
      <c r="C168" t="s">
        <v>41</v>
      </c>
      <c r="D168" t="s">
        <v>26</v>
      </c>
      <c r="E168">
        <v>16</v>
      </c>
      <c r="F168" t="s">
        <v>653</v>
      </c>
    </row>
    <row r="169" spans="1:6" x14ac:dyDescent="0.35">
      <c r="A169" t="s">
        <v>217</v>
      </c>
      <c r="B169" s="1">
        <v>46373</v>
      </c>
      <c r="C169" t="s">
        <v>54</v>
      </c>
      <c r="D169" t="s">
        <v>66</v>
      </c>
      <c r="E169">
        <v>14</v>
      </c>
      <c r="F169" t="s">
        <v>654</v>
      </c>
    </row>
    <row r="170" spans="1:6" x14ac:dyDescent="0.35">
      <c r="A170" t="s">
        <v>218</v>
      </c>
      <c r="B170" s="1">
        <v>46324</v>
      </c>
      <c r="C170" t="s">
        <v>144</v>
      </c>
      <c r="D170" t="s">
        <v>42</v>
      </c>
      <c r="E170">
        <v>3</v>
      </c>
      <c r="F170" t="s">
        <v>655</v>
      </c>
    </row>
    <row r="171" spans="1:6" x14ac:dyDescent="0.35">
      <c r="A171" t="s">
        <v>219</v>
      </c>
      <c r="B171" s="1">
        <v>46362</v>
      </c>
      <c r="C171" t="s">
        <v>70</v>
      </c>
      <c r="D171" t="s">
        <v>66</v>
      </c>
      <c r="E171">
        <v>7</v>
      </c>
      <c r="F171" t="s">
        <v>656</v>
      </c>
    </row>
    <row r="172" spans="1:6" x14ac:dyDescent="0.35">
      <c r="A172" t="s">
        <v>220</v>
      </c>
      <c r="B172" s="1">
        <v>46058</v>
      </c>
      <c r="C172" t="s">
        <v>9</v>
      </c>
      <c r="D172" t="s">
        <v>12</v>
      </c>
      <c r="E172">
        <v>16</v>
      </c>
      <c r="F172" t="s">
        <v>657</v>
      </c>
    </row>
    <row r="173" spans="1:6" x14ac:dyDescent="0.35">
      <c r="A173" t="s">
        <v>221</v>
      </c>
      <c r="B173" s="1">
        <v>46060</v>
      </c>
      <c r="C173" t="s">
        <v>61</v>
      </c>
      <c r="D173" t="s">
        <v>15</v>
      </c>
      <c r="E173">
        <v>13</v>
      </c>
      <c r="F173" t="s">
        <v>658</v>
      </c>
    </row>
    <row r="174" spans="1:6" x14ac:dyDescent="0.35">
      <c r="A174" t="s">
        <v>222</v>
      </c>
      <c r="B174" s="1">
        <v>46316</v>
      </c>
      <c r="C174" t="s">
        <v>28</v>
      </c>
      <c r="D174" t="s">
        <v>7</v>
      </c>
      <c r="E174">
        <v>20</v>
      </c>
      <c r="F174" t="s">
        <v>659</v>
      </c>
    </row>
    <row r="175" spans="1:6" x14ac:dyDescent="0.35">
      <c r="A175" t="s">
        <v>223</v>
      </c>
      <c r="B175" s="1">
        <v>46311</v>
      </c>
      <c r="C175" t="s">
        <v>25</v>
      </c>
      <c r="D175" t="s">
        <v>73</v>
      </c>
      <c r="E175">
        <v>19</v>
      </c>
      <c r="F175" t="s">
        <v>660</v>
      </c>
    </row>
    <row r="176" spans="1:6" x14ac:dyDescent="0.35">
      <c r="A176" t="s">
        <v>224</v>
      </c>
      <c r="B176" s="1">
        <v>46209</v>
      </c>
      <c r="C176" t="s">
        <v>41</v>
      </c>
      <c r="D176" t="s">
        <v>10</v>
      </c>
      <c r="E176">
        <v>10</v>
      </c>
      <c r="F176" t="s">
        <v>661</v>
      </c>
    </row>
    <row r="177" spans="1:6" x14ac:dyDescent="0.35">
      <c r="A177" t="s">
        <v>225</v>
      </c>
      <c r="B177" s="1">
        <v>46246</v>
      </c>
      <c r="C177" t="s">
        <v>28</v>
      </c>
      <c r="D177" t="s">
        <v>20</v>
      </c>
      <c r="E177">
        <v>20</v>
      </c>
      <c r="F177" t="s">
        <v>662</v>
      </c>
    </row>
    <row r="178" spans="1:6" x14ac:dyDescent="0.35">
      <c r="A178" t="s">
        <v>226</v>
      </c>
      <c r="B178" s="1">
        <v>46268</v>
      </c>
      <c r="C178" t="s">
        <v>41</v>
      </c>
      <c r="D178" t="s">
        <v>20</v>
      </c>
      <c r="E178">
        <v>9</v>
      </c>
      <c r="F178" t="s">
        <v>663</v>
      </c>
    </row>
    <row r="179" spans="1:6" x14ac:dyDescent="0.35">
      <c r="A179" t="s">
        <v>227</v>
      </c>
      <c r="B179" s="1">
        <v>46225</v>
      </c>
      <c r="C179" t="s">
        <v>17</v>
      </c>
      <c r="D179" t="s">
        <v>66</v>
      </c>
      <c r="E179">
        <v>11</v>
      </c>
      <c r="F179" t="s">
        <v>664</v>
      </c>
    </row>
    <row r="180" spans="1:6" x14ac:dyDescent="0.35">
      <c r="A180" t="s">
        <v>228</v>
      </c>
      <c r="B180" s="1">
        <v>46178</v>
      </c>
      <c r="C180" t="s">
        <v>70</v>
      </c>
      <c r="D180" t="s">
        <v>10</v>
      </c>
      <c r="E180">
        <v>11</v>
      </c>
      <c r="F180" t="s">
        <v>665</v>
      </c>
    </row>
    <row r="181" spans="1:6" x14ac:dyDescent="0.35">
      <c r="A181" t="s">
        <v>229</v>
      </c>
      <c r="B181" s="1">
        <v>46135</v>
      </c>
      <c r="C181" t="s">
        <v>6</v>
      </c>
      <c r="D181" t="s">
        <v>68</v>
      </c>
      <c r="E181">
        <v>6</v>
      </c>
      <c r="F181" t="s">
        <v>642</v>
      </c>
    </row>
    <row r="182" spans="1:6" x14ac:dyDescent="0.35">
      <c r="A182" t="s">
        <v>230</v>
      </c>
      <c r="B182" s="1">
        <v>46194</v>
      </c>
      <c r="C182" t="s">
        <v>59</v>
      </c>
      <c r="D182" t="s">
        <v>12</v>
      </c>
      <c r="E182">
        <v>12</v>
      </c>
      <c r="F182" t="s">
        <v>645</v>
      </c>
    </row>
    <row r="183" spans="1:6" x14ac:dyDescent="0.35">
      <c r="A183" t="s">
        <v>231</v>
      </c>
      <c r="B183" s="1">
        <v>46318</v>
      </c>
      <c r="C183" t="s">
        <v>9</v>
      </c>
      <c r="D183" t="s">
        <v>29</v>
      </c>
      <c r="E183">
        <v>12</v>
      </c>
      <c r="F183" t="s">
        <v>648</v>
      </c>
    </row>
    <row r="184" spans="1:6" x14ac:dyDescent="0.35">
      <c r="A184" t="s">
        <v>232</v>
      </c>
      <c r="B184" s="1">
        <v>46123</v>
      </c>
      <c r="C184" t="s">
        <v>82</v>
      </c>
      <c r="D184" t="s">
        <v>39</v>
      </c>
      <c r="E184">
        <v>16</v>
      </c>
      <c r="F184" t="s">
        <v>649</v>
      </c>
    </row>
    <row r="185" spans="1:6" x14ac:dyDescent="0.35">
      <c r="A185" t="s">
        <v>233</v>
      </c>
      <c r="B185" s="1">
        <v>46289</v>
      </c>
      <c r="C185" t="s">
        <v>59</v>
      </c>
      <c r="D185" t="s">
        <v>73</v>
      </c>
      <c r="E185">
        <v>8</v>
      </c>
      <c r="F185" t="s">
        <v>650</v>
      </c>
    </row>
    <row r="186" spans="1:6" x14ac:dyDescent="0.35">
      <c r="A186" t="s">
        <v>234</v>
      </c>
      <c r="B186" s="1">
        <v>46031</v>
      </c>
      <c r="C186" t="s">
        <v>17</v>
      </c>
      <c r="D186" t="s">
        <v>26</v>
      </c>
      <c r="E186">
        <v>16</v>
      </c>
      <c r="F186" t="s">
        <v>651</v>
      </c>
    </row>
    <row r="187" spans="1:6" x14ac:dyDescent="0.35">
      <c r="A187" t="s">
        <v>235</v>
      </c>
      <c r="B187" s="1">
        <v>46333</v>
      </c>
      <c r="C187" t="s">
        <v>112</v>
      </c>
      <c r="D187" t="s">
        <v>20</v>
      </c>
      <c r="E187">
        <v>10</v>
      </c>
      <c r="F187" t="s">
        <v>652</v>
      </c>
    </row>
    <row r="188" spans="1:6" x14ac:dyDescent="0.35">
      <c r="A188" t="s">
        <v>236</v>
      </c>
      <c r="B188" s="1">
        <v>46168</v>
      </c>
      <c r="C188" t="s">
        <v>9</v>
      </c>
      <c r="D188" t="s">
        <v>26</v>
      </c>
      <c r="E188">
        <v>9</v>
      </c>
      <c r="F188" t="s">
        <v>653</v>
      </c>
    </row>
    <row r="189" spans="1:6" x14ac:dyDescent="0.35">
      <c r="A189" t="s">
        <v>237</v>
      </c>
      <c r="B189" s="1">
        <v>46347</v>
      </c>
      <c r="C189" t="s">
        <v>19</v>
      </c>
      <c r="D189" t="s">
        <v>12</v>
      </c>
      <c r="E189">
        <v>3</v>
      </c>
      <c r="F189" t="s">
        <v>654</v>
      </c>
    </row>
    <row r="190" spans="1:6" x14ac:dyDescent="0.35">
      <c r="A190" t="s">
        <v>238</v>
      </c>
      <c r="B190" s="1">
        <v>46234</v>
      </c>
      <c r="C190" t="s">
        <v>61</v>
      </c>
      <c r="D190" t="s">
        <v>26</v>
      </c>
      <c r="E190">
        <v>2</v>
      </c>
      <c r="F190" t="s">
        <v>655</v>
      </c>
    </row>
    <row r="191" spans="1:6" x14ac:dyDescent="0.35">
      <c r="A191" t="s">
        <v>239</v>
      </c>
      <c r="B191" s="1">
        <v>46258</v>
      </c>
      <c r="C191" t="s">
        <v>75</v>
      </c>
      <c r="D191" t="s">
        <v>20</v>
      </c>
      <c r="E191">
        <v>3</v>
      </c>
      <c r="F191" t="s">
        <v>656</v>
      </c>
    </row>
    <row r="192" spans="1:6" x14ac:dyDescent="0.35">
      <c r="A192" t="s">
        <v>240</v>
      </c>
      <c r="B192" s="1">
        <v>46342</v>
      </c>
      <c r="C192" t="s">
        <v>84</v>
      </c>
      <c r="D192" t="s">
        <v>36</v>
      </c>
      <c r="E192">
        <v>15</v>
      </c>
      <c r="F192" t="s">
        <v>657</v>
      </c>
    </row>
    <row r="193" spans="1:6" x14ac:dyDescent="0.35">
      <c r="A193" t="s">
        <v>241</v>
      </c>
      <c r="B193" s="1">
        <v>46195</v>
      </c>
      <c r="C193" t="s">
        <v>19</v>
      </c>
      <c r="D193" t="s">
        <v>57</v>
      </c>
      <c r="E193">
        <v>16</v>
      </c>
      <c r="F193" t="s">
        <v>658</v>
      </c>
    </row>
    <row r="194" spans="1:6" x14ac:dyDescent="0.35">
      <c r="A194" t="s">
        <v>242</v>
      </c>
      <c r="B194" s="1">
        <v>46288</v>
      </c>
      <c r="C194" t="s">
        <v>61</v>
      </c>
      <c r="D194" t="s">
        <v>42</v>
      </c>
      <c r="E194">
        <v>17</v>
      </c>
      <c r="F194" t="s">
        <v>659</v>
      </c>
    </row>
    <row r="195" spans="1:6" x14ac:dyDescent="0.35">
      <c r="A195" t="s">
        <v>243</v>
      </c>
      <c r="B195" s="1">
        <v>46303</v>
      </c>
      <c r="C195" t="s">
        <v>156</v>
      </c>
      <c r="D195" t="s">
        <v>39</v>
      </c>
      <c r="E195">
        <v>2</v>
      </c>
      <c r="F195" t="s">
        <v>660</v>
      </c>
    </row>
    <row r="196" spans="1:6" x14ac:dyDescent="0.35">
      <c r="A196" t="s">
        <v>244</v>
      </c>
      <c r="B196" s="1">
        <v>46274</v>
      </c>
      <c r="C196" t="s">
        <v>35</v>
      </c>
      <c r="D196" t="s">
        <v>10</v>
      </c>
      <c r="E196">
        <v>3</v>
      </c>
      <c r="F196" t="s">
        <v>661</v>
      </c>
    </row>
    <row r="197" spans="1:6" x14ac:dyDescent="0.35">
      <c r="A197" t="s">
        <v>245</v>
      </c>
      <c r="B197" s="1">
        <v>46228</v>
      </c>
      <c r="C197" t="s">
        <v>19</v>
      </c>
      <c r="D197" t="s">
        <v>73</v>
      </c>
      <c r="E197">
        <v>6</v>
      </c>
      <c r="F197" t="s">
        <v>662</v>
      </c>
    </row>
    <row r="198" spans="1:6" x14ac:dyDescent="0.35">
      <c r="A198" t="s">
        <v>246</v>
      </c>
      <c r="B198" s="1">
        <v>46272</v>
      </c>
      <c r="C198" t="s">
        <v>54</v>
      </c>
      <c r="D198" t="s">
        <v>20</v>
      </c>
      <c r="E198">
        <v>2</v>
      </c>
      <c r="F198" t="s">
        <v>663</v>
      </c>
    </row>
    <row r="199" spans="1:6" x14ac:dyDescent="0.35">
      <c r="A199" t="s">
        <v>247</v>
      </c>
      <c r="B199" s="1">
        <v>46103</v>
      </c>
      <c r="C199" t="s">
        <v>84</v>
      </c>
      <c r="D199" t="s">
        <v>15</v>
      </c>
      <c r="E199">
        <v>14</v>
      </c>
      <c r="F199" t="s">
        <v>664</v>
      </c>
    </row>
    <row r="200" spans="1:6" x14ac:dyDescent="0.35">
      <c r="A200" t="s">
        <v>248</v>
      </c>
      <c r="B200" s="1">
        <v>46024</v>
      </c>
      <c r="C200" t="s">
        <v>64</v>
      </c>
      <c r="D200" t="s">
        <v>57</v>
      </c>
      <c r="E200">
        <v>10</v>
      </c>
      <c r="F200" t="s">
        <v>665</v>
      </c>
    </row>
    <row r="201" spans="1:6" x14ac:dyDescent="0.35">
      <c r="A201" t="s">
        <v>249</v>
      </c>
      <c r="B201" s="1">
        <v>46364</v>
      </c>
      <c r="C201" t="s">
        <v>88</v>
      </c>
      <c r="D201" t="s">
        <v>20</v>
      </c>
      <c r="E201">
        <v>5</v>
      </c>
      <c r="F201" t="s">
        <v>642</v>
      </c>
    </row>
    <row r="202" spans="1:6" x14ac:dyDescent="0.35">
      <c r="A202" t="s">
        <v>250</v>
      </c>
      <c r="B202" s="1">
        <v>46045</v>
      </c>
      <c r="C202" t="s">
        <v>101</v>
      </c>
      <c r="D202" t="s">
        <v>66</v>
      </c>
      <c r="E202">
        <v>9</v>
      </c>
      <c r="F202" t="s">
        <v>645</v>
      </c>
    </row>
    <row r="203" spans="1:6" x14ac:dyDescent="0.35">
      <c r="A203" t="s">
        <v>251</v>
      </c>
      <c r="B203" s="1">
        <v>46330</v>
      </c>
      <c r="C203" t="s">
        <v>28</v>
      </c>
      <c r="D203" t="s">
        <v>39</v>
      </c>
      <c r="E203">
        <v>17</v>
      </c>
      <c r="F203" t="s">
        <v>648</v>
      </c>
    </row>
    <row r="204" spans="1:6" x14ac:dyDescent="0.35">
      <c r="A204" t="s">
        <v>252</v>
      </c>
      <c r="B204" s="1">
        <v>46127</v>
      </c>
      <c r="C204" t="s">
        <v>70</v>
      </c>
      <c r="D204" t="s">
        <v>26</v>
      </c>
      <c r="E204">
        <v>9</v>
      </c>
      <c r="F204" t="s">
        <v>649</v>
      </c>
    </row>
    <row r="205" spans="1:6" x14ac:dyDescent="0.35">
      <c r="A205" t="s">
        <v>253</v>
      </c>
      <c r="B205" s="1">
        <v>46155</v>
      </c>
      <c r="C205" t="s">
        <v>64</v>
      </c>
      <c r="D205" t="s">
        <v>42</v>
      </c>
      <c r="E205">
        <v>17</v>
      </c>
      <c r="F205" t="s">
        <v>650</v>
      </c>
    </row>
    <row r="206" spans="1:6" x14ac:dyDescent="0.35">
      <c r="A206" t="s">
        <v>254</v>
      </c>
      <c r="B206" s="1">
        <v>46208</v>
      </c>
      <c r="C206" t="s">
        <v>72</v>
      </c>
      <c r="D206" t="s">
        <v>68</v>
      </c>
      <c r="E206">
        <v>14</v>
      </c>
      <c r="F206" t="s">
        <v>651</v>
      </c>
    </row>
    <row r="207" spans="1:6" x14ac:dyDescent="0.35">
      <c r="A207" t="s">
        <v>255</v>
      </c>
      <c r="B207" s="1">
        <v>46316</v>
      </c>
      <c r="C207" t="s">
        <v>35</v>
      </c>
      <c r="D207" t="s">
        <v>26</v>
      </c>
      <c r="E207">
        <v>12</v>
      </c>
      <c r="F207" t="s">
        <v>652</v>
      </c>
    </row>
    <row r="208" spans="1:6" x14ac:dyDescent="0.35">
      <c r="A208" t="s">
        <v>256</v>
      </c>
      <c r="B208" s="1">
        <v>46165</v>
      </c>
      <c r="C208" t="s">
        <v>64</v>
      </c>
      <c r="D208" t="s">
        <v>15</v>
      </c>
      <c r="E208">
        <v>20</v>
      </c>
      <c r="F208" t="s">
        <v>653</v>
      </c>
    </row>
    <row r="209" spans="1:6" x14ac:dyDescent="0.35">
      <c r="A209" t="s">
        <v>257</v>
      </c>
      <c r="B209" s="1">
        <v>46228</v>
      </c>
      <c r="C209" t="s">
        <v>56</v>
      </c>
      <c r="D209" t="s">
        <v>68</v>
      </c>
      <c r="E209">
        <v>13</v>
      </c>
      <c r="F209" t="s">
        <v>654</v>
      </c>
    </row>
    <row r="210" spans="1:6" x14ac:dyDescent="0.35">
      <c r="A210" t="s">
        <v>258</v>
      </c>
      <c r="B210" s="1">
        <v>46079</v>
      </c>
      <c r="C210" t="s">
        <v>51</v>
      </c>
      <c r="D210" t="s">
        <v>12</v>
      </c>
      <c r="E210">
        <v>2</v>
      </c>
      <c r="F210" t="s">
        <v>655</v>
      </c>
    </row>
    <row r="211" spans="1:6" x14ac:dyDescent="0.35">
      <c r="A211" t="s">
        <v>259</v>
      </c>
      <c r="B211" s="1">
        <v>46049</v>
      </c>
      <c r="C211" t="s">
        <v>101</v>
      </c>
      <c r="D211" t="s">
        <v>10</v>
      </c>
      <c r="E211">
        <v>13</v>
      </c>
      <c r="F211" t="s">
        <v>656</v>
      </c>
    </row>
    <row r="212" spans="1:6" x14ac:dyDescent="0.35">
      <c r="A212" t="s">
        <v>260</v>
      </c>
      <c r="B212" s="1">
        <v>46321</v>
      </c>
      <c r="C212" t="s">
        <v>64</v>
      </c>
      <c r="D212" t="s">
        <v>12</v>
      </c>
      <c r="E212">
        <v>20</v>
      </c>
      <c r="F212" t="s">
        <v>657</v>
      </c>
    </row>
    <row r="213" spans="1:6" x14ac:dyDescent="0.35">
      <c r="A213" t="s">
        <v>261</v>
      </c>
      <c r="B213" s="1">
        <v>46075</v>
      </c>
      <c r="C213" t="s">
        <v>47</v>
      </c>
      <c r="D213" t="s">
        <v>29</v>
      </c>
      <c r="E213">
        <v>2</v>
      </c>
      <c r="F213" t="s">
        <v>658</v>
      </c>
    </row>
    <row r="214" spans="1:6" x14ac:dyDescent="0.35">
      <c r="A214" t="s">
        <v>262</v>
      </c>
      <c r="B214" s="1">
        <v>46050</v>
      </c>
      <c r="C214" t="s">
        <v>41</v>
      </c>
      <c r="D214" t="s">
        <v>48</v>
      </c>
      <c r="E214">
        <v>19</v>
      </c>
      <c r="F214" t="s">
        <v>659</v>
      </c>
    </row>
    <row r="215" spans="1:6" x14ac:dyDescent="0.35">
      <c r="A215" t="s">
        <v>263</v>
      </c>
      <c r="B215" s="1">
        <v>46289</v>
      </c>
      <c r="C215" t="s">
        <v>56</v>
      </c>
      <c r="D215" t="s">
        <v>20</v>
      </c>
      <c r="E215">
        <v>7</v>
      </c>
      <c r="F215" t="s">
        <v>660</v>
      </c>
    </row>
    <row r="216" spans="1:6" x14ac:dyDescent="0.35">
      <c r="A216" t="s">
        <v>264</v>
      </c>
      <c r="B216" s="1">
        <v>46059</v>
      </c>
      <c r="C216" t="s">
        <v>47</v>
      </c>
      <c r="D216" t="s">
        <v>10</v>
      </c>
      <c r="E216">
        <v>19</v>
      </c>
      <c r="F216" t="s">
        <v>661</v>
      </c>
    </row>
    <row r="217" spans="1:6" x14ac:dyDescent="0.35">
      <c r="A217" t="s">
        <v>265</v>
      </c>
      <c r="B217" s="1">
        <v>46087</v>
      </c>
      <c r="C217" t="s">
        <v>35</v>
      </c>
      <c r="D217" t="s">
        <v>48</v>
      </c>
      <c r="E217">
        <v>10</v>
      </c>
      <c r="F217" t="s">
        <v>662</v>
      </c>
    </row>
    <row r="218" spans="1:6" x14ac:dyDescent="0.35">
      <c r="A218" t="s">
        <v>266</v>
      </c>
      <c r="B218" s="1">
        <v>46253</v>
      </c>
      <c r="C218" t="s">
        <v>86</v>
      </c>
      <c r="D218" t="s">
        <v>15</v>
      </c>
      <c r="E218">
        <v>13</v>
      </c>
      <c r="F218" t="s">
        <v>663</v>
      </c>
    </row>
    <row r="219" spans="1:6" x14ac:dyDescent="0.35">
      <c r="A219" t="s">
        <v>267</v>
      </c>
      <c r="B219" s="1">
        <v>46268</v>
      </c>
      <c r="C219" t="s">
        <v>41</v>
      </c>
      <c r="D219" t="s">
        <v>20</v>
      </c>
      <c r="E219">
        <v>11</v>
      </c>
      <c r="F219" t="s">
        <v>664</v>
      </c>
    </row>
    <row r="220" spans="1:6" x14ac:dyDescent="0.35">
      <c r="A220" t="s">
        <v>268</v>
      </c>
      <c r="B220" s="1">
        <v>46052</v>
      </c>
      <c r="C220" t="s">
        <v>61</v>
      </c>
      <c r="D220" t="s">
        <v>7</v>
      </c>
      <c r="E220">
        <v>3</v>
      </c>
      <c r="F220" t="s">
        <v>665</v>
      </c>
    </row>
    <row r="221" spans="1:6" x14ac:dyDescent="0.35">
      <c r="A221" t="s">
        <v>269</v>
      </c>
      <c r="B221" s="1">
        <v>46076</v>
      </c>
      <c r="C221" t="s">
        <v>88</v>
      </c>
      <c r="D221" t="s">
        <v>20</v>
      </c>
      <c r="E221">
        <v>1</v>
      </c>
      <c r="F221" t="s">
        <v>642</v>
      </c>
    </row>
    <row r="222" spans="1:6" x14ac:dyDescent="0.35">
      <c r="A222" t="s">
        <v>270</v>
      </c>
      <c r="B222" s="1">
        <v>46255</v>
      </c>
      <c r="C222" t="s">
        <v>156</v>
      </c>
      <c r="D222" t="s">
        <v>42</v>
      </c>
      <c r="E222">
        <v>18</v>
      </c>
      <c r="F222" t="s">
        <v>645</v>
      </c>
    </row>
    <row r="223" spans="1:6" x14ac:dyDescent="0.35">
      <c r="A223" t="s">
        <v>271</v>
      </c>
      <c r="B223" s="1">
        <v>46359</v>
      </c>
      <c r="C223" t="s">
        <v>51</v>
      </c>
      <c r="D223" t="s">
        <v>57</v>
      </c>
      <c r="E223">
        <v>13</v>
      </c>
      <c r="F223" t="s">
        <v>648</v>
      </c>
    </row>
    <row r="224" spans="1:6" x14ac:dyDescent="0.35">
      <c r="A224" t="s">
        <v>272</v>
      </c>
      <c r="B224" s="1">
        <v>46085</v>
      </c>
      <c r="C224" t="s">
        <v>75</v>
      </c>
      <c r="D224" t="s">
        <v>42</v>
      </c>
      <c r="E224">
        <v>3</v>
      </c>
      <c r="F224" t="s">
        <v>649</v>
      </c>
    </row>
    <row r="225" spans="1:6" x14ac:dyDescent="0.35">
      <c r="A225" t="s">
        <v>273</v>
      </c>
      <c r="B225" s="1">
        <v>46312</v>
      </c>
      <c r="C225" t="s">
        <v>38</v>
      </c>
      <c r="D225" t="s">
        <v>26</v>
      </c>
      <c r="E225">
        <v>5</v>
      </c>
      <c r="F225" t="s">
        <v>650</v>
      </c>
    </row>
    <row r="226" spans="1:6" x14ac:dyDescent="0.35">
      <c r="A226" t="s">
        <v>274</v>
      </c>
      <c r="B226" s="1">
        <v>46336</v>
      </c>
      <c r="C226" t="s">
        <v>19</v>
      </c>
      <c r="D226" t="s">
        <v>20</v>
      </c>
      <c r="E226">
        <v>14</v>
      </c>
      <c r="F226" t="s">
        <v>651</v>
      </c>
    </row>
    <row r="227" spans="1:6" x14ac:dyDescent="0.35">
      <c r="A227" t="s">
        <v>275</v>
      </c>
      <c r="B227" s="1">
        <v>46067</v>
      </c>
      <c r="C227" t="s">
        <v>51</v>
      </c>
      <c r="D227" t="s">
        <v>39</v>
      </c>
      <c r="E227">
        <v>11</v>
      </c>
      <c r="F227" t="s">
        <v>652</v>
      </c>
    </row>
    <row r="228" spans="1:6" x14ac:dyDescent="0.35">
      <c r="A228" t="s">
        <v>276</v>
      </c>
      <c r="B228" s="1">
        <v>46174</v>
      </c>
      <c r="C228" t="s">
        <v>14</v>
      </c>
      <c r="D228" t="s">
        <v>39</v>
      </c>
      <c r="E228">
        <v>8</v>
      </c>
      <c r="F228" t="s">
        <v>653</v>
      </c>
    </row>
    <row r="229" spans="1:6" x14ac:dyDescent="0.35">
      <c r="A229" t="s">
        <v>277</v>
      </c>
      <c r="B229" s="1">
        <v>46319</v>
      </c>
      <c r="C229" t="s">
        <v>112</v>
      </c>
      <c r="D229" t="s">
        <v>20</v>
      </c>
      <c r="E229">
        <v>14</v>
      </c>
      <c r="F229" t="s">
        <v>654</v>
      </c>
    </row>
    <row r="230" spans="1:6" x14ac:dyDescent="0.35">
      <c r="A230" t="s">
        <v>278</v>
      </c>
      <c r="B230" s="1">
        <v>46274</v>
      </c>
      <c r="C230" t="s">
        <v>75</v>
      </c>
      <c r="D230" t="s">
        <v>26</v>
      </c>
      <c r="E230">
        <v>2</v>
      </c>
      <c r="F230" t="s">
        <v>655</v>
      </c>
    </row>
    <row r="231" spans="1:6" x14ac:dyDescent="0.35">
      <c r="A231" t="s">
        <v>279</v>
      </c>
      <c r="B231" s="1">
        <v>46347</v>
      </c>
      <c r="C231" t="s">
        <v>144</v>
      </c>
      <c r="D231" t="s">
        <v>39</v>
      </c>
      <c r="E231">
        <v>14</v>
      </c>
      <c r="F231" t="s">
        <v>656</v>
      </c>
    </row>
    <row r="232" spans="1:6" x14ac:dyDescent="0.35">
      <c r="A232" t="s">
        <v>280</v>
      </c>
      <c r="B232" s="1">
        <v>46145</v>
      </c>
      <c r="C232" t="s">
        <v>9</v>
      </c>
      <c r="D232" t="s">
        <v>39</v>
      </c>
      <c r="E232">
        <v>1</v>
      </c>
      <c r="F232" t="s">
        <v>657</v>
      </c>
    </row>
    <row r="233" spans="1:6" x14ac:dyDescent="0.35">
      <c r="A233" t="s">
        <v>281</v>
      </c>
      <c r="B233" s="1">
        <v>46162</v>
      </c>
      <c r="C233" t="s">
        <v>33</v>
      </c>
      <c r="D233" t="s">
        <v>68</v>
      </c>
      <c r="E233">
        <v>14</v>
      </c>
      <c r="F233" t="s">
        <v>658</v>
      </c>
    </row>
    <row r="234" spans="1:6" x14ac:dyDescent="0.35">
      <c r="A234" t="s">
        <v>282</v>
      </c>
      <c r="B234" s="1">
        <v>46068</v>
      </c>
      <c r="C234" t="s">
        <v>47</v>
      </c>
      <c r="D234" t="s">
        <v>20</v>
      </c>
      <c r="E234">
        <v>18</v>
      </c>
      <c r="F234" t="s">
        <v>659</v>
      </c>
    </row>
    <row r="235" spans="1:6" x14ac:dyDescent="0.35">
      <c r="A235" t="s">
        <v>283</v>
      </c>
      <c r="B235" s="1">
        <v>46136</v>
      </c>
      <c r="C235" t="s">
        <v>72</v>
      </c>
      <c r="D235" t="s">
        <v>42</v>
      </c>
      <c r="E235">
        <v>15</v>
      </c>
      <c r="F235" t="s">
        <v>660</v>
      </c>
    </row>
    <row r="236" spans="1:6" x14ac:dyDescent="0.35">
      <c r="A236" t="s">
        <v>284</v>
      </c>
      <c r="B236" s="1">
        <v>46242</v>
      </c>
      <c r="C236" t="s">
        <v>33</v>
      </c>
      <c r="D236" t="s">
        <v>57</v>
      </c>
      <c r="E236">
        <v>5</v>
      </c>
      <c r="F236" t="s">
        <v>661</v>
      </c>
    </row>
    <row r="237" spans="1:6" x14ac:dyDescent="0.35">
      <c r="A237" t="s">
        <v>285</v>
      </c>
      <c r="B237" s="1">
        <v>46266</v>
      </c>
      <c r="C237" t="s">
        <v>28</v>
      </c>
      <c r="D237" t="s">
        <v>73</v>
      </c>
      <c r="E237">
        <v>17</v>
      </c>
      <c r="F237" t="s">
        <v>662</v>
      </c>
    </row>
    <row r="238" spans="1:6" x14ac:dyDescent="0.35">
      <c r="A238" t="s">
        <v>286</v>
      </c>
      <c r="B238" s="1">
        <v>46042</v>
      </c>
      <c r="C238" t="s">
        <v>70</v>
      </c>
      <c r="D238" t="s">
        <v>36</v>
      </c>
      <c r="E238">
        <v>7</v>
      </c>
      <c r="F238" t="s">
        <v>663</v>
      </c>
    </row>
    <row r="239" spans="1:6" x14ac:dyDescent="0.35">
      <c r="A239" t="s">
        <v>287</v>
      </c>
      <c r="B239" s="1">
        <v>46120</v>
      </c>
      <c r="C239" t="s">
        <v>14</v>
      </c>
      <c r="D239" t="s">
        <v>48</v>
      </c>
      <c r="E239">
        <v>11</v>
      </c>
      <c r="F239" t="s">
        <v>664</v>
      </c>
    </row>
    <row r="240" spans="1:6" x14ac:dyDescent="0.35">
      <c r="A240" t="s">
        <v>288</v>
      </c>
      <c r="B240" s="1">
        <v>46259</v>
      </c>
      <c r="C240" t="s">
        <v>61</v>
      </c>
      <c r="D240" t="s">
        <v>42</v>
      </c>
      <c r="E240">
        <v>7</v>
      </c>
      <c r="F240" t="s">
        <v>665</v>
      </c>
    </row>
    <row r="241" spans="1:6" x14ac:dyDescent="0.35">
      <c r="A241" t="s">
        <v>289</v>
      </c>
      <c r="B241" s="1">
        <v>46052</v>
      </c>
      <c r="C241" t="s">
        <v>38</v>
      </c>
      <c r="D241" t="s">
        <v>68</v>
      </c>
      <c r="E241">
        <v>10</v>
      </c>
      <c r="F241" t="s">
        <v>642</v>
      </c>
    </row>
    <row r="242" spans="1:6" x14ac:dyDescent="0.35">
      <c r="A242" t="s">
        <v>290</v>
      </c>
      <c r="B242" s="1">
        <v>46371</v>
      </c>
      <c r="C242" t="s">
        <v>14</v>
      </c>
      <c r="D242" t="s">
        <v>66</v>
      </c>
      <c r="E242">
        <v>8</v>
      </c>
      <c r="F242" t="s">
        <v>645</v>
      </c>
    </row>
    <row r="243" spans="1:6" x14ac:dyDescent="0.35">
      <c r="A243" t="s">
        <v>291</v>
      </c>
      <c r="B243" s="1">
        <v>46204</v>
      </c>
      <c r="C243" t="s">
        <v>144</v>
      </c>
      <c r="D243" t="s">
        <v>48</v>
      </c>
      <c r="E243">
        <v>3</v>
      </c>
      <c r="F243" t="s">
        <v>648</v>
      </c>
    </row>
    <row r="244" spans="1:6" x14ac:dyDescent="0.35">
      <c r="A244" t="s">
        <v>292</v>
      </c>
      <c r="B244" s="1">
        <v>46362</v>
      </c>
      <c r="C244" t="s">
        <v>70</v>
      </c>
      <c r="D244" t="s">
        <v>66</v>
      </c>
      <c r="E244">
        <v>20</v>
      </c>
      <c r="F244" t="s">
        <v>649</v>
      </c>
    </row>
    <row r="245" spans="1:6" x14ac:dyDescent="0.35">
      <c r="A245" t="s">
        <v>293</v>
      </c>
      <c r="B245" s="1">
        <v>46056</v>
      </c>
      <c r="C245" t="s">
        <v>35</v>
      </c>
      <c r="D245" t="s">
        <v>42</v>
      </c>
      <c r="E245">
        <v>9</v>
      </c>
      <c r="F245" t="s">
        <v>650</v>
      </c>
    </row>
    <row r="246" spans="1:6" x14ac:dyDescent="0.35">
      <c r="A246" t="s">
        <v>294</v>
      </c>
      <c r="B246" s="1">
        <v>46240</v>
      </c>
      <c r="C246" t="s">
        <v>84</v>
      </c>
      <c r="D246" t="s">
        <v>12</v>
      </c>
      <c r="E246">
        <v>20</v>
      </c>
      <c r="F246" t="s">
        <v>651</v>
      </c>
    </row>
    <row r="247" spans="1:6" x14ac:dyDescent="0.35">
      <c r="A247" t="s">
        <v>295</v>
      </c>
      <c r="B247" s="1">
        <v>46221</v>
      </c>
      <c r="C247" t="s">
        <v>9</v>
      </c>
      <c r="D247" t="s">
        <v>42</v>
      </c>
      <c r="E247">
        <v>1</v>
      </c>
      <c r="F247" t="s">
        <v>652</v>
      </c>
    </row>
    <row r="248" spans="1:6" x14ac:dyDescent="0.35">
      <c r="A248" t="s">
        <v>296</v>
      </c>
      <c r="B248" s="1">
        <v>46169</v>
      </c>
      <c r="C248" t="s">
        <v>51</v>
      </c>
      <c r="D248" t="s">
        <v>39</v>
      </c>
      <c r="E248">
        <v>1</v>
      </c>
      <c r="F248" t="s">
        <v>653</v>
      </c>
    </row>
    <row r="249" spans="1:6" x14ac:dyDescent="0.35">
      <c r="A249" t="s">
        <v>297</v>
      </c>
      <c r="B249" s="1">
        <v>46350</v>
      </c>
      <c r="C249" t="s">
        <v>51</v>
      </c>
      <c r="D249" t="s">
        <v>42</v>
      </c>
      <c r="E249">
        <v>8</v>
      </c>
      <c r="F249" t="s">
        <v>654</v>
      </c>
    </row>
    <row r="250" spans="1:6" x14ac:dyDescent="0.35">
      <c r="A250" t="s">
        <v>298</v>
      </c>
      <c r="B250" s="1">
        <v>46326</v>
      </c>
      <c r="C250" t="s">
        <v>86</v>
      </c>
      <c r="D250" t="s">
        <v>48</v>
      </c>
      <c r="E250">
        <v>10</v>
      </c>
      <c r="F250" t="s">
        <v>655</v>
      </c>
    </row>
    <row r="251" spans="1:6" x14ac:dyDescent="0.35">
      <c r="A251" t="s">
        <v>299</v>
      </c>
      <c r="B251" s="1">
        <v>46144</v>
      </c>
      <c r="C251" t="s">
        <v>6</v>
      </c>
      <c r="D251" t="s">
        <v>73</v>
      </c>
      <c r="E251">
        <v>16</v>
      </c>
      <c r="F251" t="s">
        <v>656</v>
      </c>
    </row>
    <row r="252" spans="1:6" x14ac:dyDescent="0.35">
      <c r="A252" t="s">
        <v>300</v>
      </c>
      <c r="B252" s="1">
        <v>46036</v>
      </c>
      <c r="C252" t="s">
        <v>82</v>
      </c>
      <c r="D252" t="s">
        <v>39</v>
      </c>
      <c r="E252">
        <v>18</v>
      </c>
      <c r="F252" t="s">
        <v>657</v>
      </c>
    </row>
    <row r="253" spans="1:6" x14ac:dyDescent="0.35">
      <c r="A253" t="s">
        <v>301</v>
      </c>
      <c r="B253" s="1">
        <v>46260</v>
      </c>
      <c r="C253" t="s">
        <v>101</v>
      </c>
      <c r="D253" t="s">
        <v>42</v>
      </c>
      <c r="E253">
        <v>13</v>
      </c>
      <c r="F253" t="s">
        <v>658</v>
      </c>
    </row>
    <row r="254" spans="1:6" x14ac:dyDescent="0.35">
      <c r="A254" t="s">
        <v>302</v>
      </c>
      <c r="B254" s="1">
        <v>46126</v>
      </c>
      <c r="C254" t="s">
        <v>41</v>
      </c>
      <c r="D254" t="s">
        <v>12</v>
      </c>
      <c r="E254">
        <v>12</v>
      </c>
      <c r="F254" t="s">
        <v>659</v>
      </c>
    </row>
    <row r="255" spans="1:6" x14ac:dyDescent="0.35">
      <c r="A255" t="s">
        <v>303</v>
      </c>
      <c r="B255" s="1">
        <v>46043</v>
      </c>
      <c r="C255" t="s">
        <v>38</v>
      </c>
      <c r="D255" t="s">
        <v>48</v>
      </c>
      <c r="E255">
        <v>4</v>
      </c>
      <c r="F255" t="s">
        <v>660</v>
      </c>
    </row>
    <row r="256" spans="1:6" x14ac:dyDescent="0.35">
      <c r="A256" t="s">
        <v>304</v>
      </c>
      <c r="B256" s="1">
        <v>46039</v>
      </c>
      <c r="C256" t="s">
        <v>82</v>
      </c>
      <c r="D256" t="s">
        <v>36</v>
      </c>
      <c r="E256">
        <v>7</v>
      </c>
      <c r="F256" t="s">
        <v>661</v>
      </c>
    </row>
    <row r="257" spans="1:6" x14ac:dyDescent="0.35">
      <c r="A257" t="s">
        <v>305</v>
      </c>
      <c r="B257" s="1">
        <v>46376</v>
      </c>
      <c r="C257" t="s">
        <v>17</v>
      </c>
      <c r="D257" t="s">
        <v>7</v>
      </c>
      <c r="E257">
        <v>11</v>
      </c>
      <c r="F257" t="s">
        <v>662</v>
      </c>
    </row>
    <row r="258" spans="1:6" x14ac:dyDescent="0.35">
      <c r="A258" t="s">
        <v>306</v>
      </c>
      <c r="B258" s="1">
        <v>46169</v>
      </c>
      <c r="C258" t="s">
        <v>19</v>
      </c>
      <c r="D258" t="s">
        <v>68</v>
      </c>
      <c r="E258">
        <v>1</v>
      </c>
      <c r="F258" t="s">
        <v>663</v>
      </c>
    </row>
    <row r="259" spans="1:6" x14ac:dyDescent="0.35">
      <c r="A259" t="s">
        <v>307</v>
      </c>
      <c r="B259" s="1">
        <v>46250</v>
      </c>
      <c r="C259" t="s">
        <v>14</v>
      </c>
      <c r="D259" t="s">
        <v>57</v>
      </c>
      <c r="E259">
        <v>15</v>
      </c>
      <c r="F259" t="s">
        <v>664</v>
      </c>
    </row>
    <row r="260" spans="1:6" x14ac:dyDescent="0.35">
      <c r="A260" t="s">
        <v>308</v>
      </c>
      <c r="B260" s="1">
        <v>46090</v>
      </c>
      <c r="C260" t="s">
        <v>25</v>
      </c>
      <c r="D260" t="s">
        <v>10</v>
      </c>
      <c r="E260">
        <v>4</v>
      </c>
      <c r="F260" t="s">
        <v>665</v>
      </c>
    </row>
    <row r="261" spans="1:6" x14ac:dyDescent="0.35">
      <c r="A261" t="s">
        <v>309</v>
      </c>
      <c r="B261" s="1">
        <v>46127</v>
      </c>
      <c r="C261" t="s">
        <v>101</v>
      </c>
      <c r="D261" t="s">
        <v>15</v>
      </c>
      <c r="E261">
        <v>9</v>
      </c>
      <c r="F261" t="s">
        <v>642</v>
      </c>
    </row>
    <row r="262" spans="1:6" x14ac:dyDescent="0.35">
      <c r="A262" t="s">
        <v>310</v>
      </c>
      <c r="B262" s="1">
        <v>46334</v>
      </c>
      <c r="C262" t="s">
        <v>56</v>
      </c>
      <c r="D262" t="s">
        <v>7</v>
      </c>
      <c r="E262">
        <v>7</v>
      </c>
      <c r="F262" t="s">
        <v>645</v>
      </c>
    </row>
    <row r="263" spans="1:6" x14ac:dyDescent="0.35">
      <c r="A263" t="s">
        <v>311</v>
      </c>
      <c r="B263" s="1">
        <v>46213</v>
      </c>
      <c r="C263" t="s">
        <v>9</v>
      </c>
      <c r="D263" t="s">
        <v>42</v>
      </c>
      <c r="E263">
        <v>3</v>
      </c>
      <c r="F263" t="s">
        <v>648</v>
      </c>
    </row>
    <row r="264" spans="1:6" x14ac:dyDescent="0.35">
      <c r="A264" t="s">
        <v>312</v>
      </c>
      <c r="B264" s="1">
        <v>46156</v>
      </c>
      <c r="C264" t="s">
        <v>47</v>
      </c>
      <c r="D264" t="s">
        <v>36</v>
      </c>
      <c r="E264">
        <v>14</v>
      </c>
      <c r="F264" t="s">
        <v>649</v>
      </c>
    </row>
    <row r="265" spans="1:6" x14ac:dyDescent="0.35">
      <c r="A265" t="s">
        <v>313</v>
      </c>
      <c r="B265" s="1">
        <v>46251</v>
      </c>
      <c r="C265" t="s">
        <v>156</v>
      </c>
      <c r="D265" t="s">
        <v>66</v>
      </c>
      <c r="E265">
        <v>20</v>
      </c>
      <c r="F265" t="s">
        <v>650</v>
      </c>
    </row>
    <row r="266" spans="1:6" x14ac:dyDescent="0.35">
      <c r="A266" t="s">
        <v>314</v>
      </c>
      <c r="B266" s="1">
        <v>46301</v>
      </c>
      <c r="C266" t="s">
        <v>61</v>
      </c>
      <c r="D266" t="s">
        <v>68</v>
      </c>
      <c r="E266">
        <v>5</v>
      </c>
      <c r="F266" t="s">
        <v>651</v>
      </c>
    </row>
    <row r="267" spans="1:6" x14ac:dyDescent="0.35">
      <c r="A267" t="s">
        <v>315</v>
      </c>
      <c r="B267" s="1">
        <v>46143</v>
      </c>
      <c r="C267" t="s">
        <v>47</v>
      </c>
      <c r="D267" t="s">
        <v>20</v>
      </c>
      <c r="E267">
        <v>8</v>
      </c>
      <c r="F267" t="s">
        <v>652</v>
      </c>
    </row>
    <row r="268" spans="1:6" x14ac:dyDescent="0.35">
      <c r="A268" t="s">
        <v>316</v>
      </c>
      <c r="B268" s="1">
        <v>46128</v>
      </c>
      <c r="C268" t="s">
        <v>28</v>
      </c>
      <c r="D268" t="s">
        <v>66</v>
      </c>
      <c r="E268">
        <v>7</v>
      </c>
      <c r="F268" t="s">
        <v>653</v>
      </c>
    </row>
    <row r="269" spans="1:6" x14ac:dyDescent="0.35">
      <c r="A269" t="s">
        <v>317</v>
      </c>
      <c r="B269" s="1">
        <v>46134</v>
      </c>
      <c r="C269" t="s">
        <v>17</v>
      </c>
      <c r="D269" t="s">
        <v>15</v>
      </c>
      <c r="E269">
        <v>16</v>
      </c>
      <c r="F269" t="s">
        <v>654</v>
      </c>
    </row>
    <row r="270" spans="1:6" x14ac:dyDescent="0.35">
      <c r="A270" t="s">
        <v>318</v>
      </c>
      <c r="B270" s="1">
        <v>46089</v>
      </c>
      <c r="C270" t="s">
        <v>84</v>
      </c>
      <c r="D270" t="s">
        <v>68</v>
      </c>
      <c r="E270">
        <v>6</v>
      </c>
      <c r="F270" t="s">
        <v>655</v>
      </c>
    </row>
    <row r="271" spans="1:6" x14ac:dyDescent="0.35">
      <c r="A271" t="s">
        <v>319</v>
      </c>
      <c r="B271" s="1">
        <v>46385</v>
      </c>
      <c r="C271" t="s">
        <v>70</v>
      </c>
      <c r="D271" t="s">
        <v>42</v>
      </c>
      <c r="E271">
        <v>5</v>
      </c>
      <c r="F271" t="s">
        <v>656</v>
      </c>
    </row>
    <row r="272" spans="1:6" x14ac:dyDescent="0.35">
      <c r="A272" t="s">
        <v>320</v>
      </c>
      <c r="B272" s="1">
        <v>46119</v>
      </c>
      <c r="C272" t="s">
        <v>72</v>
      </c>
      <c r="D272" t="s">
        <v>48</v>
      </c>
      <c r="E272">
        <v>11</v>
      </c>
      <c r="F272" t="s">
        <v>657</v>
      </c>
    </row>
    <row r="273" spans="1:6" x14ac:dyDescent="0.35">
      <c r="A273" t="s">
        <v>321</v>
      </c>
      <c r="B273" s="1">
        <v>46165</v>
      </c>
      <c r="C273" t="s">
        <v>28</v>
      </c>
      <c r="D273" t="s">
        <v>29</v>
      </c>
      <c r="E273">
        <v>12</v>
      </c>
      <c r="F273" t="s">
        <v>658</v>
      </c>
    </row>
    <row r="274" spans="1:6" x14ac:dyDescent="0.35">
      <c r="A274" t="s">
        <v>322</v>
      </c>
      <c r="B274" s="1">
        <v>46211</v>
      </c>
      <c r="C274" t="s">
        <v>33</v>
      </c>
      <c r="D274" t="s">
        <v>73</v>
      </c>
      <c r="E274">
        <v>17</v>
      </c>
      <c r="F274" t="s">
        <v>659</v>
      </c>
    </row>
    <row r="275" spans="1:6" x14ac:dyDescent="0.35">
      <c r="A275" t="s">
        <v>323</v>
      </c>
      <c r="B275" s="1">
        <v>46380</v>
      </c>
      <c r="C275" t="s">
        <v>54</v>
      </c>
      <c r="D275" t="s">
        <v>26</v>
      </c>
      <c r="E275">
        <v>15</v>
      </c>
      <c r="F275" t="s">
        <v>660</v>
      </c>
    </row>
    <row r="276" spans="1:6" x14ac:dyDescent="0.35">
      <c r="A276" t="s">
        <v>324</v>
      </c>
      <c r="B276" s="1">
        <v>46358</v>
      </c>
      <c r="C276" t="s">
        <v>25</v>
      </c>
      <c r="D276" t="s">
        <v>48</v>
      </c>
      <c r="E276">
        <v>11</v>
      </c>
      <c r="F276" t="s">
        <v>661</v>
      </c>
    </row>
    <row r="277" spans="1:6" x14ac:dyDescent="0.35">
      <c r="A277" t="s">
        <v>325</v>
      </c>
      <c r="B277" s="1">
        <v>46107</v>
      </c>
      <c r="C277" t="s">
        <v>56</v>
      </c>
      <c r="D277" t="s">
        <v>68</v>
      </c>
      <c r="E277">
        <v>2</v>
      </c>
      <c r="F277" t="s">
        <v>662</v>
      </c>
    </row>
    <row r="278" spans="1:6" x14ac:dyDescent="0.35">
      <c r="A278" t="s">
        <v>326</v>
      </c>
      <c r="B278" s="1">
        <v>46273</v>
      </c>
      <c r="C278" t="s">
        <v>61</v>
      </c>
      <c r="D278" t="s">
        <v>26</v>
      </c>
      <c r="E278">
        <v>19</v>
      </c>
      <c r="F278" t="s">
        <v>663</v>
      </c>
    </row>
    <row r="279" spans="1:6" x14ac:dyDescent="0.35">
      <c r="A279" t="s">
        <v>327</v>
      </c>
      <c r="B279" s="1">
        <v>46148</v>
      </c>
      <c r="C279" t="s">
        <v>51</v>
      </c>
      <c r="D279" t="s">
        <v>29</v>
      </c>
      <c r="E279">
        <v>19</v>
      </c>
      <c r="F279" t="s">
        <v>664</v>
      </c>
    </row>
    <row r="280" spans="1:6" x14ac:dyDescent="0.35">
      <c r="A280" t="s">
        <v>328</v>
      </c>
      <c r="B280" s="1">
        <v>46287</v>
      </c>
      <c r="C280" t="s">
        <v>59</v>
      </c>
      <c r="D280" t="s">
        <v>15</v>
      </c>
      <c r="E280">
        <v>13</v>
      </c>
      <c r="F280" t="s">
        <v>665</v>
      </c>
    </row>
    <row r="281" spans="1:6" x14ac:dyDescent="0.35">
      <c r="A281" t="s">
        <v>329</v>
      </c>
      <c r="B281" s="1">
        <v>46070</v>
      </c>
      <c r="C281" t="s">
        <v>82</v>
      </c>
      <c r="D281" t="s">
        <v>48</v>
      </c>
      <c r="E281">
        <v>2</v>
      </c>
      <c r="F281" t="s">
        <v>642</v>
      </c>
    </row>
    <row r="282" spans="1:6" x14ac:dyDescent="0.35">
      <c r="A282" t="s">
        <v>330</v>
      </c>
      <c r="B282" s="1">
        <v>46373</v>
      </c>
      <c r="C282" t="s">
        <v>86</v>
      </c>
      <c r="D282" t="s">
        <v>15</v>
      </c>
      <c r="E282">
        <v>8</v>
      </c>
      <c r="F282" t="s">
        <v>645</v>
      </c>
    </row>
    <row r="283" spans="1:6" x14ac:dyDescent="0.35">
      <c r="A283" t="s">
        <v>331</v>
      </c>
      <c r="B283" s="1">
        <v>46256</v>
      </c>
      <c r="C283" t="s">
        <v>28</v>
      </c>
      <c r="D283" t="s">
        <v>73</v>
      </c>
      <c r="E283">
        <v>9</v>
      </c>
      <c r="F283" t="s">
        <v>648</v>
      </c>
    </row>
    <row r="284" spans="1:6" x14ac:dyDescent="0.35">
      <c r="A284" t="s">
        <v>332</v>
      </c>
      <c r="B284" s="1">
        <v>46316</v>
      </c>
      <c r="C284" t="s">
        <v>84</v>
      </c>
      <c r="D284" t="s">
        <v>10</v>
      </c>
      <c r="E284">
        <v>16</v>
      </c>
      <c r="F284" t="s">
        <v>649</v>
      </c>
    </row>
    <row r="285" spans="1:6" x14ac:dyDescent="0.35">
      <c r="A285" t="s">
        <v>333</v>
      </c>
      <c r="B285" s="1">
        <v>46023</v>
      </c>
      <c r="C285" t="s">
        <v>6</v>
      </c>
      <c r="D285" t="s">
        <v>68</v>
      </c>
      <c r="E285">
        <v>15</v>
      </c>
      <c r="F285" t="s">
        <v>650</v>
      </c>
    </row>
    <row r="286" spans="1:6" x14ac:dyDescent="0.35">
      <c r="A286" t="s">
        <v>334</v>
      </c>
      <c r="B286" s="1">
        <v>46232</v>
      </c>
      <c r="C286" t="s">
        <v>84</v>
      </c>
      <c r="D286" t="s">
        <v>10</v>
      </c>
      <c r="E286">
        <v>5</v>
      </c>
      <c r="F286" t="s">
        <v>651</v>
      </c>
    </row>
    <row r="287" spans="1:6" x14ac:dyDescent="0.35">
      <c r="A287" t="s">
        <v>335</v>
      </c>
      <c r="B287" s="1">
        <v>46223</v>
      </c>
      <c r="C287" t="s">
        <v>84</v>
      </c>
      <c r="D287" t="s">
        <v>29</v>
      </c>
      <c r="E287">
        <v>6</v>
      </c>
      <c r="F287" t="s">
        <v>652</v>
      </c>
    </row>
    <row r="288" spans="1:6" x14ac:dyDescent="0.35">
      <c r="A288" t="s">
        <v>336</v>
      </c>
      <c r="B288" s="1">
        <v>46183</v>
      </c>
      <c r="C288" t="s">
        <v>56</v>
      </c>
      <c r="D288" t="s">
        <v>36</v>
      </c>
      <c r="E288">
        <v>3</v>
      </c>
      <c r="F288" t="s">
        <v>653</v>
      </c>
    </row>
    <row r="289" spans="1:6" x14ac:dyDescent="0.35">
      <c r="A289" t="s">
        <v>337</v>
      </c>
      <c r="B289" s="1">
        <v>46241</v>
      </c>
      <c r="C289" t="s">
        <v>41</v>
      </c>
      <c r="D289" t="s">
        <v>7</v>
      </c>
      <c r="E289">
        <v>4</v>
      </c>
      <c r="F289" t="s">
        <v>654</v>
      </c>
    </row>
    <row r="290" spans="1:6" x14ac:dyDescent="0.35">
      <c r="A290" t="s">
        <v>338</v>
      </c>
      <c r="B290" s="1">
        <v>46246</v>
      </c>
      <c r="C290" t="s">
        <v>23</v>
      </c>
      <c r="D290" t="s">
        <v>66</v>
      </c>
      <c r="E290">
        <v>20</v>
      </c>
      <c r="F290" t="s">
        <v>655</v>
      </c>
    </row>
    <row r="291" spans="1:6" x14ac:dyDescent="0.35">
      <c r="A291" t="s">
        <v>339</v>
      </c>
      <c r="B291" s="1">
        <v>46125</v>
      </c>
      <c r="C291" t="s">
        <v>156</v>
      </c>
      <c r="D291" t="s">
        <v>20</v>
      </c>
      <c r="E291">
        <v>11</v>
      </c>
      <c r="F291" t="s">
        <v>656</v>
      </c>
    </row>
    <row r="292" spans="1:6" x14ac:dyDescent="0.35">
      <c r="A292" t="s">
        <v>340</v>
      </c>
      <c r="B292" s="1">
        <v>46124</v>
      </c>
      <c r="C292" t="s">
        <v>19</v>
      </c>
      <c r="D292" t="s">
        <v>68</v>
      </c>
      <c r="E292">
        <v>18</v>
      </c>
      <c r="F292" t="s">
        <v>657</v>
      </c>
    </row>
    <row r="293" spans="1:6" x14ac:dyDescent="0.35">
      <c r="A293" t="s">
        <v>341</v>
      </c>
      <c r="B293" s="1">
        <v>46383</v>
      </c>
      <c r="C293" t="s">
        <v>23</v>
      </c>
      <c r="D293" t="s">
        <v>42</v>
      </c>
      <c r="E293">
        <v>4</v>
      </c>
      <c r="F293" t="s">
        <v>658</v>
      </c>
    </row>
    <row r="294" spans="1:6" x14ac:dyDescent="0.35">
      <c r="A294" t="s">
        <v>342</v>
      </c>
      <c r="B294" s="1">
        <v>46235</v>
      </c>
      <c r="C294" t="s">
        <v>156</v>
      </c>
      <c r="D294" t="s">
        <v>39</v>
      </c>
      <c r="E294">
        <v>14</v>
      </c>
      <c r="F294" t="s">
        <v>659</v>
      </c>
    </row>
    <row r="295" spans="1:6" x14ac:dyDescent="0.35">
      <c r="A295" t="s">
        <v>343</v>
      </c>
      <c r="B295" s="1">
        <v>46209</v>
      </c>
      <c r="C295" t="s">
        <v>17</v>
      </c>
      <c r="D295" t="s">
        <v>57</v>
      </c>
      <c r="E295">
        <v>15</v>
      </c>
      <c r="F295" t="s">
        <v>660</v>
      </c>
    </row>
    <row r="296" spans="1:6" x14ac:dyDescent="0.35">
      <c r="A296" t="s">
        <v>344</v>
      </c>
      <c r="B296" s="1">
        <v>46336</v>
      </c>
      <c r="C296" t="s">
        <v>144</v>
      </c>
      <c r="D296" t="s">
        <v>7</v>
      </c>
      <c r="E296">
        <v>16</v>
      </c>
      <c r="F296" t="s">
        <v>661</v>
      </c>
    </row>
    <row r="297" spans="1:6" x14ac:dyDescent="0.35">
      <c r="A297" t="s">
        <v>345</v>
      </c>
      <c r="B297" s="1">
        <v>46279</v>
      </c>
      <c r="C297" t="s">
        <v>33</v>
      </c>
      <c r="D297" t="s">
        <v>57</v>
      </c>
      <c r="E297">
        <v>12</v>
      </c>
      <c r="F297" t="s">
        <v>662</v>
      </c>
    </row>
    <row r="298" spans="1:6" x14ac:dyDescent="0.35">
      <c r="A298" t="s">
        <v>346</v>
      </c>
      <c r="B298" s="1">
        <v>46130</v>
      </c>
      <c r="C298" t="s">
        <v>19</v>
      </c>
      <c r="D298" t="s">
        <v>57</v>
      </c>
      <c r="E298">
        <v>20</v>
      </c>
      <c r="F298" t="s">
        <v>663</v>
      </c>
    </row>
    <row r="299" spans="1:6" x14ac:dyDescent="0.35">
      <c r="A299" t="s">
        <v>347</v>
      </c>
      <c r="B299" s="1">
        <v>46139</v>
      </c>
      <c r="C299" t="s">
        <v>112</v>
      </c>
      <c r="D299" t="s">
        <v>36</v>
      </c>
      <c r="E299">
        <v>12</v>
      </c>
      <c r="F299" t="s">
        <v>664</v>
      </c>
    </row>
    <row r="300" spans="1:6" x14ac:dyDescent="0.35">
      <c r="A300" t="s">
        <v>348</v>
      </c>
      <c r="B300" s="1">
        <v>46328</v>
      </c>
      <c r="C300" t="s">
        <v>14</v>
      </c>
      <c r="D300" t="s">
        <v>39</v>
      </c>
      <c r="E300">
        <v>4</v>
      </c>
      <c r="F300" t="s">
        <v>665</v>
      </c>
    </row>
    <row r="301" spans="1:6" x14ac:dyDescent="0.35">
      <c r="A301" t="s">
        <v>349</v>
      </c>
      <c r="B301" s="1">
        <v>46265</v>
      </c>
      <c r="C301" t="s">
        <v>56</v>
      </c>
      <c r="D301" t="s">
        <v>42</v>
      </c>
      <c r="E301">
        <v>7</v>
      </c>
      <c r="F301" t="s">
        <v>642</v>
      </c>
    </row>
    <row r="302" spans="1:6" x14ac:dyDescent="0.35">
      <c r="A302" t="s">
        <v>350</v>
      </c>
      <c r="B302" s="1">
        <v>46102</v>
      </c>
      <c r="C302" t="s">
        <v>144</v>
      </c>
      <c r="D302" t="s">
        <v>36</v>
      </c>
      <c r="E302">
        <v>19</v>
      </c>
      <c r="F302" t="s">
        <v>645</v>
      </c>
    </row>
    <row r="303" spans="1:6" x14ac:dyDescent="0.35">
      <c r="A303" t="s">
        <v>351</v>
      </c>
      <c r="B303" s="1">
        <v>46245</v>
      </c>
      <c r="C303" t="s">
        <v>6</v>
      </c>
      <c r="D303" t="s">
        <v>15</v>
      </c>
      <c r="E303">
        <v>13</v>
      </c>
      <c r="F303" t="s">
        <v>648</v>
      </c>
    </row>
    <row r="304" spans="1:6" x14ac:dyDescent="0.35">
      <c r="A304" t="s">
        <v>352</v>
      </c>
      <c r="B304" s="1">
        <v>46186</v>
      </c>
      <c r="C304" t="s">
        <v>82</v>
      </c>
      <c r="D304" t="s">
        <v>20</v>
      </c>
      <c r="E304">
        <v>13</v>
      </c>
      <c r="F304" t="s">
        <v>649</v>
      </c>
    </row>
    <row r="305" spans="1:6" x14ac:dyDescent="0.35">
      <c r="A305" t="s">
        <v>353</v>
      </c>
      <c r="B305" s="1">
        <v>46138</v>
      </c>
      <c r="C305" t="s">
        <v>75</v>
      </c>
      <c r="D305" t="s">
        <v>48</v>
      </c>
      <c r="E305">
        <v>17</v>
      </c>
      <c r="F305" t="s">
        <v>650</v>
      </c>
    </row>
    <row r="306" spans="1:6" x14ac:dyDescent="0.35">
      <c r="A306" t="s">
        <v>354</v>
      </c>
      <c r="B306" s="1">
        <v>46190</v>
      </c>
      <c r="C306" t="s">
        <v>6</v>
      </c>
      <c r="D306" t="s">
        <v>20</v>
      </c>
      <c r="E306">
        <v>1</v>
      </c>
      <c r="F306" t="s">
        <v>651</v>
      </c>
    </row>
    <row r="307" spans="1:6" x14ac:dyDescent="0.35">
      <c r="A307" t="s">
        <v>355</v>
      </c>
      <c r="B307" s="1">
        <v>46270</v>
      </c>
      <c r="C307" t="s">
        <v>14</v>
      </c>
      <c r="D307" t="s">
        <v>20</v>
      </c>
      <c r="E307">
        <v>3</v>
      </c>
      <c r="F307" t="s">
        <v>652</v>
      </c>
    </row>
    <row r="308" spans="1:6" x14ac:dyDescent="0.35">
      <c r="A308" t="s">
        <v>356</v>
      </c>
      <c r="B308" s="1">
        <v>46160</v>
      </c>
      <c r="C308" t="s">
        <v>56</v>
      </c>
      <c r="D308" t="s">
        <v>48</v>
      </c>
      <c r="E308">
        <v>7</v>
      </c>
      <c r="F308" t="s">
        <v>653</v>
      </c>
    </row>
    <row r="309" spans="1:6" x14ac:dyDescent="0.35">
      <c r="A309" t="s">
        <v>357</v>
      </c>
      <c r="B309" s="1">
        <v>46097</v>
      </c>
      <c r="C309" t="s">
        <v>19</v>
      </c>
      <c r="D309" t="s">
        <v>36</v>
      </c>
      <c r="E309">
        <v>2</v>
      </c>
      <c r="F309" t="s">
        <v>654</v>
      </c>
    </row>
    <row r="310" spans="1:6" x14ac:dyDescent="0.35">
      <c r="A310" t="s">
        <v>358</v>
      </c>
      <c r="B310" s="1">
        <v>46169</v>
      </c>
      <c r="C310" t="s">
        <v>61</v>
      </c>
      <c r="D310" t="s">
        <v>10</v>
      </c>
      <c r="E310">
        <v>17</v>
      </c>
      <c r="F310" t="s">
        <v>655</v>
      </c>
    </row>
    <row r="311" spans="1:6" x14ac:dyDescent="0.35">
      <c r="A311" t="s">
        <v>359</v>
      </c>
      <c r="B311" s="1">
        <v>46198</v>
      </c>
      <c r="C311" t="s">
        <v>144</v>
      </c>
      <c r="D311" t="s">
        <v>29</v>
      </c>
      <c r="E311">
        <v>15</v>
      </c>
      <c r="F311" t="s">
        <v>656</v>
      </c>
    </row>
    <row r="312" spans="1:6" x14ac:dyDescent="0.35">
      <c r="A312" t="s">
        <v>360</v>
      </c>
      <c r="B312" s="1">
        <v>46053</v>
      </c>
      <c r="C312" t="s">
        <v>56</v>
      </c>
      <c r="D312" t="s">
        <v>48</v>
      </c>
      <c r="E312">
        <v>15</v>
      </c>
      <c r="F312" t="s">
        <v>657</v>
      </c>
    </row>
    <row r="313" spans="1:6" x14ac:dyDescent="0.35">
      <c r="A313" t="s">
        <v>361</v>
      </c>
      <c r="B313" s="1">
        <v>46276</v>
      </c>
      <c r="C313" t="s">
        <v>75</v>
      </c>
      <c r="D313" t="s">
        <v>20</v>
      </c>
      <c r="E313">
        <v>20</v>
      </c>
      <c r="F313" t="s">
        <v>658</v>
      </c>
    </row>
    <row r="314" spans="1:6" x14ac:dyDescent="0.35">
      <c r="A314" t="s">
        <v>362</v>
      </c>
      <c r="B314" s="1">
        <v>46360</v>
      </c>
      <c r="C314" t="s">
        <v>56</v>
      </c>
      <c r="D314" t="s">
        <v>57</v>
      </c>
      <c r="E314">
        <v>2</v>
      </c>
      <c r="F314" t="s">
        <v>659</v>
      </c>
    </row>
    <row r="315" spans="1:6" x14ac:dyDescent="0.35">
      <c r="A315" t="s">
        <v>363</v>
      </c>
      <c r="B315" s="1">
        <v>46226</v>
      </c>
      <c r="C315" t="s">
        <v>51</v>
      </c>
      <c r="D315" t="s">
        <v>12</v>
      </c>
      <c r="E315">
        <v>8</v>
      </c>
      <c r="F315" t="s">
        <v>660</v>
      </c>
    </row>
    <row r="316" spans="1:6" x14ac:dyDescent="0.35">
      <c r="A316" t="s">
        <v>364</v>
      </c>
      <c r="B316" s="1">
        <v>46107</v>
      </c>
      <c r="C316" t="s">
        <v>61</v>
      </c>
      <c r="D316" t="s">
        <v>29</v>
      </c>
      <c r="E316">
        <v>5</v>
      </c>
      <c r="F316" t="s">
        <v>661</v>
      </c>
    </row>
    <row r="317" spans="1:6" x14ac:dyDescent="0.35">
      <c r="A317" t="s">
        <v>365</v>
      </c>
      <c r="B317" s="1">
        <v>46087</v>
      </c>
      <c r="C317" t="s">
        <v>56</v>
      </c>
      <c r="D317" t="s">
        <v>36</v>
      </c>
      <c r="E317">
        <v>17</v>
      </c>
      <c r="F317" t="s">
        <v>662</v>
      </c>
    </row>
    <row r="318" spans="1:6" x14ac:dyDescent="0.35">
      <c r="A318" t="s">
        <v>366</v>
      </c>
      <c r="B318" s="1">
        <v>46053</v>
      </c>
      <c r="C318" t="s">
        <v>38</v>
      </c>
      <c r="D318" t="s">
        <v>36</v>
      </c>
      <c r="E318">
        <v>2</v>
      </c>
      <c r="F318" t="s">
        <v>663</v>
      </c>
    </row>
    <row r="319" spans="1:6" x14ac:dyDescent="0.35">
      <c r="A319" t="s">
        <v>367</v>
      </c>
      <c r="B319" s="1">
        <v>46042</v>
      </c>
      <c r="C319" t="s">
        <v>17</v>
      </c>
      <c r="D319" t="s">
        <v>10</v>
      </c>
      <c r="E319">
        <v>2</v>
      </c>
      <c r="F319" t="s">
        <v>664</v>
      </c>
    </row>
    <row r="320" spans="1:6" x14ac:dyDescent="0.35">
      <c r="A320" t="s">
        <v>368</v>
      </c>
      <c r="B320" s="1">
        <v>46357</v>
      </c>
      <c r="C320" t="s">
        <v>51</v>
      </c>
      <c r="D320" t="s">
        <v>73</v>
      </c>
      <c r="E320">
        <v>8</v>
      </c>
      <c r="F320" t="s">
        <v>665</v>
      </c>
    </row>
    <row r="321" spans="1:6" x14ac:dyDescent="0.35">
      <c r="A321" t="s">
        <v>369</v>
      </c>
      <c r="B321" s="1">
        <v>46097</v>
      </c>
      <c r="C321" t="s">
        <v>64</v>
      </c>
      <c r="D321" t="s">
        <v>10</v>
      </c>
      <c r="E321">
        <v>17</v>
      </c>
      <c r="F321" t="s">
        <v>642</v>
      </c>
    </row>
    <row r="322" spans="1:6" x14ac:dyDescent="0.35">
      <c r="A322" t="s">
        <v>370</v>
      </c>
      <c r="B322" s="1">
        <v>46277</v>
      </c>
      <c r="C322" t="s">
        <v>72</v>
      </c>
      <c r="D322" t="s">
        <v>29</v>
      </c>
      <c r="E322">
        <v>3</v>
      </c>
      <c r="F322" t="s">
        <v>645</v>
      </c>
    </row>
    <row r="323" spans="1:6" x14ac:dyDescent="0.35">
      <c r="A323" t="s">
        <v>371</v>
      </c>
      <c r="B323" s="1">
        <v>46372</v>
      </c>
      <c r="C323" t="s">
        <v>72</v>
      </c>
      <c r="D323" t="s">
        <v>66</v>
      </c>
      <c r="E323">
        <v>16</v>
      </c>
      <c r="F323" t="s">
        <v>648</v>
      </c>
    </row>
    <row r="324" spans="1:6" x14ac:dyDescent="0.35">
      <c r="A324" t="s">
        <v>372</v>
      </c>
      <c r="B324" s="1">
        <v>46089</v>
      </c>
      <c r="C324" t="s">
        <v>64</v>
      </c>
      <c r="D324" t="s">
        <v>26</v>
      </c>
      <c r="E324">
        <v>16</v>
      </c>
      <c r="F324" t="s">
        <v>649</v>
      </c>
    </row>
    <row r="325" spans="1:6" x14ac:dyDescent="0.35">
      <c r="A325" t="s">
        <v>373</v>
      </c>
      <c r="B325" s="1">
        <v>46079</v>
      </c>
      <c r="C325" t="s">
        <v>35</v>
      </c>
      <c r="D325" t="s">
        <v>48</v>
      </c>
      <c r="E325">
        <v>16</v>
      </c>
      <c r="F325" t="s">
        <v>650</v>
      </c>
    </row>
    <row r="326" spans="1:6" x14ac:dyDescent="0.35">
      <c r="A326" t="s">
        <v>374</v>
      </c>
      <c r="B326" s="1">
        <v>46365</v>
      </c>
      <c r="C326" t="s">
        <v>75</v>
      </c>
      <c r="D326" t="s">
        <v>57</v>
      </c>
      <c r="E326">
        <v>19</v>
      </c>
      <c r="F326" t="s">
        <v>651</v>
      </c>
    </row>
    <row r="327" spans="1:6" x14ac:dyDescent="0.35">
      <c r="A327" t="s">
        <v>375</v>
      </c>
      <c r="B327" s="1">
        <v>46031</v>
      </c>
      <c r="C327" t="s">
        <v>156</v>
      </c>
      <c r="D327" t="s">
        <v>57</v>
      </c>
      <c r="E327">
        <v>7</v>
      </c>
      <c r="F327" t="s">
        <v>652</v>
      </c>
    </row>
    <row r="328" spans="1:6" x14ac:dyDescent="0.35">
      <c r="A328" t="s">
        <v>376</v>
      </c>
      <c r="B328" s="1">
        <v>46319</v>
      </c>
      <c r="C328" t="s">
        <v>51</v>
      </c>
      <c r="D328" t="s">
        <v>48</v>
      </c>
      <c r="E328">
        <v>1</v>
      </c>
      <c r="F328" t="s">
        <v>653</v>
      </c>
    </row>
    <row r="329" spans="1:6" x14ac:dyDescent="0.35">
      <c r="A329" t="s">
        <v>377</v>
      </c>
      <c r="B329" s="1">
        <v>46376</v>
      </c>
      <c r="C329" t="s">
        <v>14</v>
      </c>
      <c r="D329" t="s">
        <v>10</v>
      </c>
      <c r="E329">
        <v>16</v>
      </c>
      <c r="F329" t="s">
        <v>654</v>
      </c>
    </row>
    <row r="330" spans="1:6" x14ac:dyDescent="0.35">
      <c r="A330" t="s">
        <v>378</v>
      </c>
      <c r="B330" s="1">
        <v>46130</v>
      </c>
      <c r="C330" t="s">
        <v>56</v>
      </c>
      <c r="D330" t="s">
        <v>68</v>
      </c>
      <c r="E330">
        <v>2</v>
      </c>
      <c r="F330" t="s">
        <v>655</v>
      </c>
    </row>
    <row r="331" spans="1:6" x14ac:dyDescent="0.35">
      <c r="A331" t="s">
        <v>379</v>
      </c>
      <c r="B331" s="1">
        <v>46187</v>
      </c>
      <c r="C331" t="s">
        <v>88</v>
      </c>
      <c r="D331" t="s">
        <v>29</v>
      </c>
      <c r="E331">
        <v>10</v>
      </c>
      <c r="F331" t="s">
        <v>656</v>
      </c>
    </row>
    <row r="332" spans="1:6" x14ac:dyDescent="0.35">
      <c r="A332" t="s">
        <v>380</v>
      </c>
      <c r="B332" s="1">
        <v>46127</v>
      </c>
      <c r="C332" t="s">
        <v>9</v>
      </c>
      <c r="D332" t="s">
        <v>73</v>
      </c>
      <c r="E332">
        <v>13</v>
      </c>
      <c r="F332" t="s">
        <v>657</v>
      </c>
    </row>
    <row r="333" spans="1:6" x14ac:dyDescent="0.35">
      <c r="A333" t="s">
        <v>381</v>
      </c>
      <c r="B333" s="1">
        <v>46063</v>
      </c>
      <c r="C333" t="s">
        <v>156</v>
      </c>
      <c r="D333" t="s">
        <v>20</v>
      </c>
      <c r="E333">
        <v>18</v>
      </c>
      <c r="F333" t="s">
        <v>658</v>
      </c>
    </row>
    <row r="334" spans="1:6" x14ac:dyDescent="0.35">
      <c r="A334" t="s">
        <v>382</v>
      </c>
      <c r="B334" s="1">
        <v>46247</v>
      </c>
      <c r="C334" t="s">
        <v>75</v>
      </c>
      <c r="D334" t="s">
        <v>12</v>
      </c>
      <c r="E334">
        <v>15</v>
      </c>
      <c r="F334" t="s">
        <v>659</v>
      </c>
    </row>
    <row r="335" spans="1:6" x14ac:dyDescent="0.35">
      <c r="A335" t="s">
        <v>383</v>
      </c>
      <c r="B335" s="1">
        <v>46197</v>
      </c>
      <c r="C335" t="s">
        <v>47</v>
      </c>
      <c r="D335" t="s">
        <v>42</v>
      </c>
      <c r="E335">
        <v>3</v>
      </c>
      <c r="F335" t="s">
        <v>660</v>
      </c>
    </row>
    <row r="336" spans="1:6" x14ac:dyDescent="0.35">
      <c r="A336" t="s">
        <v>384</v>
      </c>
      <c r="B336" s="1">
        <v>46215</v>
      </c>
      <c r="C336" t="s">
        <v>101</v>
      </c>
      <c r="D336" t="s">
        <v>73</v>
      </c>
      <c r="E336">
        <v>3</v>
      </c>
      <c r="F336" t="s">
        <v>661</v>
      </c>
    </row>
    <row r="337" spans="1:6" x14ac:dyDescent="0.35">
      <c r="A337" t="s">
        <v>385</v>
      </c>
      <c r="B337" s="1">
        <v>46045</v>
      </c>
      <c r="C337" t="s">
        <v>101</v>
      </c>
      <c r="D337" t="s">
        <v>15</v>
      </c>
      <c r="E337">
        <v>11</v>
      </c>
      <c r="F337" t="s">
        <v>662</v>
      </c>
    </row>
    <row r="338" spans="1:6" x14ac:dyDescent="0.35">
      <c r="A338" t="s">
        <v>386</v>
      </c>
      <c r="B338" s="1">
        <v>46372</v>
      </c>
      <c r="C338" t="s">
        <v>144</v>
      </c>
      <c r="D338" t="s">
        <v>12</v>
      </c>
      <c r="E338">
        <v>5</v>
      </c>
      <c r="F338" t="s">
        <v>663</v>
      </c>
    </row>
    <row r="339" spans="1:6" x14ac:dyDescent="0.35">
      <c r="A339" t="s">
        <v>387</v>
      </c>
      <c r="B339" s="1">
        <v>46337</v>
      </c>
      <c r="C339" t="s">
        <v>61</v>
      </c>
      <c r="D339" t="s">
        <v>15</v>
      </c>
      <c r="E339">
        <v>17</v>
      </c>
      <c r="F339" t="s">
        <v>664</v>
      </c>
    </row>
    <row r="340" spans="1:6" x14ac:dyDescent="0.35">
      <c r="A340" t="s">
        <v>388</v>
      </c>
      <c r="B340" s="1">
        <v>46359</v>
      </c>
      <c r="C340" t="s">
        <v>25</v>
      </c>
      <c r="D340" t="s">
        <v>57</v>
      </c>
      <c r="E340">
        <v>14</v>
      </c>
      <c r="F340" t="s">
        <v>665</v>
      </c>
    </row>
    <row r="341" spans="1:6" x14ac:dyDescent="0.35">
      <c r="A341" t="s">
        <v>389</v>
      </c>
      <c r="B341" s="1">
        <v>46300</v>
      </c>
      <c r="C341" t="s">
        <v>61</v>
      </c>
      <c r="D341" t="s">
        <v>10</v>
      </c>
      <c r="E341">
        <v>17</v>
      </c>
      <c r="F341" t="s">
        <v>642</v>
      </c>
    </row>
    <row r="342" spans="1:6" x14ac:dyDescent="0.35">
      <c r="A342" t="s">
        <v>390</v>
      </c>
      <c r="B342" s="1">
        <v>46251</v>
      </c>
      <c r="C342" t="s">
        <v>75</v>
      </c>
      <c r="D342" t="s">
        <v>36</v>
      </c>
      <c r="E342">
        <v>20</v>
      </c>
      <c r="F342" t="s">
        <v>645</v>
      </c>
    </row>
    <row r="343" spans="1:6" x14ac:dyDescent="0.35">
      <c r="A343" t="s">
        <v>391</v>
      </c>
      <c r="B343" s="1">
        <v>46132</v>
      </c>
      <c r="C343" t="s">
        <v>59</v>
      </c>
      <c r="D343" t="s">
        <v>68</v>
      </c>
      <c r="E343">
        <v>17</v>
      </c>
      <c r="F343" t="s">
        <v>648</v>
      </c>
    </row>
    <row r="344" spans="1:6" x14ac:dyDescent="0.35">
      <c r="A344" t="s">
        <v>392</v>
      </c>
      <c r="B344" s="1">
        <v>46348</v>
      </c>
      <c r="C344" t="s">
        <v>38</v>
      </c>
      <c r="D344" t="s">
        <v>7</v>
      </c>
      <c r="E344">
        <v>17</v>
      </c>
      <c r="F344" t="s">
        <v>649</v>
      </c>
    </row>
    <row r="345" spans="1:6" x14ac:dyDescent="0.35">
      <c r="A345" t="s">
        <v>393</v>
      </c>
      <c r="B345" s="1">
        <v>46150</v>
      </c>
      <c r="C345" t="s">
        <v>64</v>
      </c>
      <c r="D345" t="s">
        <v>66</v>
      </c>
      <c r="E345">
        <v>16</v>
      </c>
      <c r="F345" t="s">
        <v>650</v>
      </c>
    </row>
    <row r="346" spans="1:6" x14ac:dyDescent="0.35">
      <c r="A346" t="s">
        <v>394</v>
      </c>
      <c r="B346" s="1">
        <v>46181</v>
      </c>
      <c r="C346" t="s">
        <v>25</v>
      </c>
      <c r="D346" t="s">
        <v>73</v>
      </c>
      <c r="E346">
        <v>16</v>
      </c>
      <c r="F346" t="s">
        <v>651</v>
      </c>
    </row>
    <row r="347" spans="1:6" x14ac:dyDescent="0.35">
      <c r="A347" t="s">
        <v>395</v>
      </c>
      <c r="B347" s="1">
        <v>46129</v>
      </c>
      <c r="C347" t="s">
        <v>33</v>
      </c>
      <c r="D347" t="s">
        <v>66</v>
      </c>
      <c r="E347">
        <v>11</v>
      </c>
      <c r="F347" t="s">
        <v>652</v>
      </c>
    </row>
    <row r="348" spans="1:6" x14ac:dyDescent="0.35">
      <c r="A348" t="s">
        <v>396</v>
      </c>
      <c r="B348" s="1">
        <v>46193</v>
      </c>
      <c r="C348" t="s">
        <v>84</v>
      </c>
      <c r="D348" t="s">
        <v>68</v>
      </c>
      <c r="E348">
        <v>20</v>
      </c>
      <c r="F348" t="s">
        <v>653</v>
      </c>
    </row>
    <row r="349" spans="1:6" x14ac:dyDescent="0.35">
      <c r="A349" t="s">
        <v>397</v>
      </c>
      <c r="B349" s="1">
        <v>46204</v>
      </c>
      <c r="C349" t="s">
        <v>14</v>
      </c>
      <c r="D349" t="s">
        <v>20</v>
      </c>
      <c r="E349">
        <v>1</v>
      </c>
      <c r="F349" t="s">
        <v>654</v>
      </c>
    </row>
    <row r="350" spans="1:6" x14ac:dyDescent="0.35">
      <c r="A350" t="s">
        <v>398</v>
      </c>
      <c r="B350" s="1">
        <v>46340</v>
      </c>
      <c r="C350" t="s">
        <v>56</v>
      </c>
      <c r="D350" t="s">
        <v>15</v>
      </c>
      <c r="E350">
        <v>5</v>
      </c>
      <c r="F350" t="s">
        <v>655</v>
      </c>
    </row>
    <row r="351" spans="1:6" x14ac:dyDescent="0.35">
      <c r="A351" t="s">
        <v>399</v>
      </c>
      <c r="B351" s="1">
        <v>46182</v>
      </c>
      <c r="C351" t="s">
        <v>156</v>
      </c>
      <c r="D351" t="s">
        <v>42</v>
      </c>
      <c r="E351">
        <v>7</v>
      </c>
      <c r="F351" t="s">
        <v>656</v>
      </c>
    </row>
    <row r="352" spans="1:6" x14ac:dyDescent="0.35">
      <c r="A352" t="s">
        <v>400</v>
      </c>
      <c r="B352" s="1">
        <v>46220</v>
      </c>
      <c r="C352" t="s">
        <v>25</v>
      </c>
      <c r="D352" t="s">
        <v>7</v>
      </c>
      <c r="E352">
        <v>3</v>
      </c>
      <c r="F352" t="s">
        <v>657</v>
      </c>
    </row>
    <row r="353" spans="1:6" x14ac:dyDescent="0.35">
      <c r="A353" t="s">
        <v>401</v>
      </c>
      <c r="B353" s="1">
        <v>46188</v>
      </c>
      <c r="C353" t="s">
        <v>61</v>
      </c>
      <c r="D353" t="s">
        <v>68</v>
      </c>
      <c r="E353">
        <v>3</v>
      </c>
      <c r="F353" t="s">
        <v>658</v>
      </c>
    </row>
    <row r="354" spans="1:6" x14ac:dyDescent="0.35">
      <c r="A354" t="s">
        <v>402</v>
      </c>
      <c r="B354" s="1">
        <v>46282</v>
      </c>
      <c r="C354" t="s">
        <v>72</v>
      </c>
      <c r="D354" t="s">
        <v>42</v>
      </c>
      <c r="E354">
        <v>7</v>
      </c>
      <c r="F354" t="s">
        <v>659</v>
      </c>
    </row>
    <row r="355" spans="1:6" x14ac:dyDescent="0.35">
      <c r="A355" t="s">
        <v>403</v>
      </c>
      <c r="B355" s="1">
        <v>46072</v>
      </c>
      <c r="C355" t="s">
        <v>35</v>
      </c>
      <c r="D355" t="s">
        <v>29</v>
      </c>
      <c r="E355">
        <v>18</v>
      </c>
      <c r="F355" t="s">
        <v>660</v>
      </c>
    </row>
    <row r="356" spans="1:6" x14ac:dyDescent="0.35">
      <c r="A356" t="s">
        <v>404</v>
      </c>
      <c r="B356" s="1">
        <v>46125</v>
      </c>
      <c r="C356" t="s">
        <v>75</v>
      </c>
      <c r="D356" t="s">
        <v>39</v>
      </c>
      <c r="E356">
        <v>16</v>
      </c>
      <c r="F356" t="s">
        <v>661</v>
      </c>
    </row>
    <row r="357" spans="1:6" x14ac:dyDescent="0.35">
      <c r="A357" t="s">
        <v>405</v>
      </c>
      <c r="B357" s="1">
        <v>46265</v>
      </c>
      <c r="C357" t="s">
        <v>6</v>
      </c>
      <c r="D357" t="s">
        <v>57</v>
      </c>
      <c r="E357">
        <v>1</v>
      </c>
      <c r="F357" t="s">
        <v>662</v>
      </c>
    </row>
    <row r="358" spans="1:6" x14ac:dyDescent="0.35">
      <c r="A358" t="s">
        <v>406</v>
      </c>
      <c r="B358" s="1">
        <v>46133</v>
      </c>
      <c r="C358" t="s">
        <v>64</v>
      </c>
      <c r="D358" t="s">
        <v>42</v>
      </c>
      <c r="E358">
        <v>16</v>
      </c>
      <c r="F358" t="s">
        <v>663</v>
      </c>
    </row>
    <row r="359" spans="1:6" x14ac:dyDescent="0.35">
      <c r="A359" t="s">
        <v>407</v>
      </c>
      <c r="B359" s="1">
        <v>46218</v>
      </c>
      <c r="C359" t="s">
        <v>35</v>
      </c>
      <c r="D359" t="s">
        <v>48</v>
      </c>
      <c r="E359">
        <v>15</v>
      </c>
      <c r="F359" t="s">
        <v>664</v>
      </c>
    </row>
    <row r="360" spans="1:6" x14ac:dyDescent="0.35">
      <c r="A360" t="s">
        <v>408</v>
      </c>
      <c r="B360" s="1">
        <v>46318</v>
      </c>
      <c r="C360" t="s">
        <v>35</v>
      </c>
      <c r="D360" t="s">
        <v>20</v>
      </c>
      <c r="E360">
        <v>11</v>
      </c>
      <c r="F360" t="s">
        <v>665</v>
      </c>
    </row>
    <row r="361" spans="1:6" x14ac:dyDescent="0.35">
      <c r="A361" t="s">
        <v>409</v>
      </c>
      <c r="B361" s="1">
        <v>46198</v>
      </c>
      <c r="C361" t="s">
        <v>35</v>
      </c>
      <c r="D361" t="s">
        <v>57</v>
      </c>
      <c r="E361">
        <v>4</v>
      </c>
      <c r="F361" t="s">
        <v>642</v>
      </c>
    </row>
    <row r="362" spans="1:6" x14ac:dyDescent="0.35">
      <c r="A362" t="s">
        <v>410</v>
      </c>
      <c r="B362" s="1">
        <v>46106</v>
      </c>
      <c r="C362" t="s">
        <v>25</v>
      </c>
      <c r="D362" t="s">
        <v>20</v>
      </c>
      <c r="E362">
        <v>5</v>
      </c>
      <c r="F362" t="s">
        <v>645</v>
      </c>
    </row>
    <row r="363" spans="1:6" x14ac:dyDescent="0.35">
      <c r="A363" t="s">
        <v>411</v>
      </c>
      <c r="B363" s="1">
        <v>46314</v>
      </c>
      <c r="C363" t="s">
        <v>19</v>
      </c>
      <c r="D363" t="s">
        <v>66</v>
      </c>
      <c r="E363">
        <v>13</v>
      </c>
      <c r="F363" t="s">
        <v>648</v>
      </c>
    </row>
    <row r="364" spans="1:6" x14ac:dyDescent="0.35">
      <c r="A364" t="s">
        <v>412</v>
      </c>
      <c r="B364" s="1">
        <v>46331</v>
      </c>
      <c r="C364" t="s">
        <v>156</v>
      </c>
      <c r="D364" t="s">
        <v>68</v>
      </c>
      <c r="E364">
        <v>11</v>
      </c>
      <c r="F364" t="s">
        <v>649</v>
      </c>
    </row>
    <row r="365" spans="1:6" x14ac:dyDescent="0.35">
      <c r="A365" t="s">
        <v>413</v>
      </c>
      <c r="B365" s="1">
        <v>46171</v>
      </c>
      <c r="C365" t="s">
        <v>28</v>
      </c>
      <c r="D365" t="s">
        <v>15</v>
      </c>
      <c r="E365">
        <v>10</v>
      </c>
      <c r="F365" t="s">
        <v>650</v>
      </c>
    </row>
    <row r="366" spans="1:6" x14ac:dyDescent="0.35">
      <c r="A366" t="s">
        <v>414</v>
      </c>
      <c r="B366" s="1">
        <v>46367</v>
      </c>
      <c r="C366" t="s">
        <v>19</v>
      </c>
      <c r="D366" t="s">
        <v>29</v>
      </c>
      <c r="E366">
        <v>7</v>
      </c>
      <c r="F366" t="s">
        <v>651</v>
      </c>
    </row>
    <row r="367" spans="1:6" x14ac:dyDescent="0.35">
      <c r="A367" t="s">
        <v>415</v>
      </c>
      <c r="B367" s="1">
        <v>46096</v>
      </c>
      <c r="C367" t="s">
        <v>84</v>
      </c>
      <c r="D367" t="s">
        <v>7</v>
      </c>
      <c r="E367">
        <v>2</v>
      </c>
      <c r="F367" t="s">
        <v>652</v>
      </c>
    </row>
    <row r="368" spans="1:6" x14ac:dyDescent="0.35">
      <c r="A368" t="s">
        <v>416</v>
      </c>
      <c r="B368" s="1">
        <v>46098</v>
      </c>
      <c r="C368" t="s">
        <v>25</v>
      </c>
      <c r="D368" t="s">
        <v>12</v>
      </c>
      <c r="E368">
        <v>1</v>
      </c>
      <c r="F368" t="s">
        <v>653</v>
      </c>
    </row>
    <row r="369" spans="1:6" x14ac:dyDescent="0.35">
      <c r="A369" t="s">
        <v>417</v>
      </c>
      <c r="B369" s="1">
        <v>46059</v>
      </c>
      <c r="C369" t="s">
        <v>59</v>
      </c>
      <c r="D369" t="s">
        <v>29</v>
      </c>
      <c r="E369">
        <v>8</v>
      </c>
      <c r="F369" t="s">
        <v>654</v>
      </c>
    </row>
    <row r="370" spans="1:6" x14ac:dyDescent="0.35">
      <c r="A370" t="s">
        <v>418</v>
      </c>
      <c r="B370" s="1">
        <v>46161</v>
      </c>
      <c r="C370" t="s">
        <v>33</v>
      </c>
      <c r="D370" t="s">
        <v>39</v>
      </c>
      <c r="E370">
        <v>18</v>
      </c>
      <c r="F370" t="s">
        <v>655</v>
      </c>
    </row>
    <row r="371" spans="1:6" x14ac:dyDescent="0.35">
      <c r="A371" t="s">
        <v>419</v>
      </c>
      <c r="B371" s="1">
        <v>46093</v>
      </c>
      <c r="C371" t="s">
        <v>112</v>
      </c>
      <c r="D371" t="s">
        <v>39</v>
      </c>
      <c r="E371">
        <v>19</v>
      </c>
      <c r="F371" t="s">
        <v>656</v>
      </c>
    </row>
    <row r="372" spans="1:6" x14ac:dyDescent="0.35">
      <c r="A372" t="s">
        <v>420</v>
      </c>
      <c r="B372" s="1">
        <v>46134</v>
      </c>
      <c r="C372" t="s">
        <v>9</v>
      </c>
      <c r="D372" t="s">
        <v>57</v>
      </c>
      <c r="E372">
        <v>11</v>
      </c>
      <c r="F372" t="s">
        <v>657</v>
      </c>
    </row>
    <row r="373" spans="1:6" x14ac:dyDescent="0.35">
      <c r="A373" t="s">
        <v>421</v>
      </c>
      <c r="B373" s="1">
        <v>46302</v>
      </c>
      <c r="C373" t="s">
        <v>23</v>
      </c>
      <c r="D373" t="s">
        <v>73</v>
      </c>
      <c r="E373">
        <v>12</v>
      </c>
      <c r="F373" t="s">
        <v>658</v>
      </c>
    </row>
    <row r="374" spans="1:6" x14ac:dyDescent="0.35">
      <c r="A374" t="s">
        <v>422</v>
      </c>
      <c r="B374" s="1">
        <v>46060</v>
      </c>
      <c r="C374" t="s">
        <v>88</v>
      </c>
      <c r="D374" t="s">
        <v>39</v>
      </c>
      <c r="E374">
        <v>1</v>
      </c>
      <c r="F374" t="s">
        <v>659</v>
      </c>
    </row>
    <row r="375" spans="1:6" x14ac:dyDescent="0.35">
      <c r="A375" t="s">
        <v>423</v>
      </c>
      <c r="B375" s="1">
        <v>46257</v>
      </c>
      <c r="C375" t="s">
        <v>88</v>
      </c>
      <c r="D375" t="s">
        <v>26</v>
      </c>
      <c r="E375">
        <v>10</v>
      </c>
      <c r="F375" t="s">
        <v>660</v>
      </c>
    </row>
    <row r="376" spans="1:6" x14ac:dyDescent="0.35">
      <c r="A376" t="s">
        <v>424</v>
      </c>
      <c r="B376" s="1">
        <v>46300</v>
      </c>
      <c r="C376" t="s">
        <v>56</v>
      </c>
      <c r="D376" t="s">
        <v>29</v>
      </c>
      <c r="E376">
        <v>5</v>
      </c>
      <c r="F376" t="s">
        <v>661</v>
      </c>
    </row>
    <row r="377" spans="1:6" x14ac:dyDescent="0.35">
      <c r="A377" t="s">
        <v>425</v>
      </c>
      <c r="B377" s="1">
        <v>46376</v>
      </c>
      <c r="C377" t="s">
        <v>28</v>
      </c>
      <c r="D377" t="s">
        <v>42</v>
      </c>
      <c r="E377">
        <v>14</v>
      </c>
      <c r="F377" t="s">
        <v>662</v>
      </c>
    </row>
    <row r="378" spans="1:6" x14ac:dyDescent="0.35">
      <c r="A378" t="s">
        <v>426</v>
      </c>
      <c r="B378" s="1">
        <v>46051</v>
      </c>
      <c r="C378" t="s">
        <v>156</v>
      </c>
      <c r="D378" t="s">
        <v>26</v>
      </c>
      <c r="E378">
        <v>4</v>
      </c>
      <c r="F378" t="s">
        <v>663</v>
      </c>
    </row>
    <row r="379" spans="1:6" x14ac:dyDescent="0.35">
      <c r="A379" t="s">
        <v>427</v>
      </c>
      <c r="B379" s="1">
        <v>46066</v>
      </c>
      <c r="C379" t="s">
        <v>14</v>
      </c>
      <c r="D379" t="s">
        <v>26</v>
      </c>
      <c r="E379">
        <v>7</v>
      </c>
      <c r="F379" t="s">
        <v>664</v>
      </c>
    </row>
    <row r="380" spans="1:6" x14ac:dyDescent="0.35">
      <c r="A380" t="s">
        <v>428</v>
      </c>
      <c r="B380" s="1">
        <v>46274</v>
      </c>
      <c r="C380" t="s">
        <v>33</v>
      </c>
      <c r="D380" t="s">
        <v>29</v>
      </c>
      <c r="E380">
        <v>13</v>
      </c>
      <c r="F380" t="s">
        <v>665</v>
      </c>
    </row>
    <row r="381" spans="1:6" x14ac:dyDescent="0.35">
      <c r="A381" t="s">
        <v>429</v>
      </c>
      <c r="B381" s="1">
        <v>46357</v>
      </c>
      <c r="C381" t="s">
        <v>23</v>
      </c>
      <c r="D381" t="s">
        <v>39</v>
      </c>
      <c r="E381">
        <v>10</v>
      </c>
      <c r="F381" t="s">
        <v>642</v>
      </c>
    </row>
    <row r="382" spans="1:6" x14ac:dyDescent="0.35">
      <c r="A382" t="s">
        <v>430</v>
      </c>
      <c r="B382" s="1">
        <v>46188</v>
      </c>
      <c r="C382" t="s">
        <v>51</v>
      </c>
      <c r="D382" t="s">
        <v>36</v>
      </c>
      <c r="E382">
        <v>11</v>
      </c>
      <c r="F382" t="s">
        <v>645</v>
      </c>
    </row>
    <row r="383" spans="1:6" x14ac:dyDescent="0.35">
      <c r="A383" t="s">
        <v>431</v>
      </c>
      <c r="B383" s="1">
        <v>46192</v>
      </c>
      <c r="C383" t="s">
        <v>14</v>
      </c>
      <c r="D383" t="s">
        <v>15</v>
      </c>
      <c r="E383">
        <v>13</v>
      </c>
      <c r="F383" t="s">
        <v>648</v>
      </c>
    </row>
    <row r="384" spans="1:6" x14ac:dyDescent="0.35">
      <c r="A384" t="s">
        <v>432</v>
      </c>
      <c r="B384" s="1">
        <v>46366</v>
      </c>
      <c r="C384" t="s">
        <v>6</v>
      </c>
      <c r="D384" t="s">
        <v>7</v>
      </c>
      <c r="E384">
        <v>3</v>
      </c>
      <c r="F384" t="s">
        <v>649</v>
      </c>
    </row>
    <row r="385" spans="1:6" x14ac:dyDescent="0.35">
      <c r="A385" t="s">
        <v>433</v>
      </c>
      <c r="B385" s="1">
        <v>46036</v>
      </c>
      <c r="C385" t="s">
        <v>101</v>
      </c>
      <c r="D385" t="s">
        <v>26</v>
      </c>
      <c r="E385">
        <v>18</v>
      </c>
      <c r="F385" t="s">
        <v>650</v>
      </c>
    </row>
    <row r="386" spans="1:6" x14ac:dyDescent="0.35">
      <c r="A386" t="s">
        <v>434</v>
      </c>
      <c r="B386" s="1">
        <v>46375</v>
      </c>
      <c r="C386" t="s">
        <v>101</v>
      </c>
      <c r="D386" t="s">
        <v>48</v>
      </c>
      <c r="E386">
        <v>20</v>
      </c>
      <c r="F386" t="s">
        <v>651</v>
      </c>
    </row>
    <row r="387" spans="1:6" x14ac:dyDescent="0.35">
      <c r="A387" t="s">
        <v>435</v>
      </c>
      <c r="B387" s="1">
        <v>46225</v>
      </c>
      <c r="C387" t="s">
        <v>47</v>
      </c>
      <c r="D387" t="s">
        <v>29</v>
      </c>
      <c r="E387">
        <v>20</v>
      </c>
      <c r="F387" t="s">
        <v>652</v>
      </c>
    </row>
    <row r="388" spans="1:6" x14ac:dyDescent="0.35">
      <c r="A388" t="s">
        <v>436</v>
      </c>
      <c r="B388" s="1">
        <v>46157</v>
      </c>
      <c r="C388" t="s">
        <v>75</v>
      </c>
      <c r="D388" t="s">
        <v>42</v>
      </c>
      <c r="E388">
        <v>8</v>
      </c>
      <c r="F388" t="s">
        <v>653</v>
      </c>
    </row>
    <row r="389" spans="1:6" x14ac:dyDescent="0.35">
      <c r="A389" t="s">
        <v>437</v>
      </c>
      <c r="B389" s="1">
        <v>46277</v>
      </c>
      <c r="C389" t="s">
        <v>54</v>
      </c>
      <c r="D389" t="s">
        <v>57</v>
      </c>
      <c r="E389">
        <v>5</v>
      </c>
      <c r="F389" t="s">
        <v>654</v>
      </c>
    </row>
    <row r="390" spans="1:6" x14ac:dyDescent="0.35">
      <c r="A390" t="s">
        <v>438</v>
      </c>
      <c r="B390" s="1">
        <v>46040</v>
      </c>
      <c r="C390" t="s">
        <v>56</v>
      </c>
      <c r="D390" t="s">
        <v>57</v>
      </c>
      <c r="E390">
        <v>5</v>
      </c>
      <c r="F390" t="s">
        <v>655</v>
      </c>
    </row>
    <row r="391" spans="1:6" x14ac:dyDescent="0.35">
      <c r="A391" t="s">
        <v>439</v>
      </c>
      <c r="B391" s="1">
        <v>46172</v>
      </c>
      <c r="C391" t="s">
        <v>25</v>
      </c>
      <c r="D391" t="s">
        <v>73</v>
      </c>
      <c r="E391">
        <v>5</v>
      </c>
      <c r="F391" t="s">
        <v>656</v>
      </c>
    </row>
    <row r="392" spans="1:6" x14ac:dyDescent="0.35">
      <c r="A392" t="s">
        <v>440</v>
      </c>
      <c r="B392" s="1">
        <v>46189</v>
      </c>
      <c r="C392" t="s">
        <v>9</v>
      </c>
      <c r="D392" t="s">
        <v>12</v>
      </c>
      <c r="E392">
        <v>1</v>
      </c>
      <c r="F392" t="s">
        <v>657</v>
      </c>
    </row>
    <row r="393" spans="1:6" x14ac:dyDescent="0.35">
      <c r="A393" t="s">
        <v>441</v>
      </c>
      <c r="B393" s="1">
        <v>46248</v>
      </c>
      <c r="C393" t="s">
        <v>23</v>
      </c>
      <c r="D393" t="s">
        <v>48</v>
      </c>
      <c r="E393">
        <v>19</v>
      </c>
      <c r="F393" t="s">
        <v>658</v>
      </c>
    </row>
    <row r="394" spans="1:6" x14ac:dyDescent="0.35">
      <c r="A394" t="s">
        <v>442</v>
      </c>
      <c r="B394" s="1">
        <v>46177</v>
      </c>
      <c r="C394" t="s">
        <v>6</v>
      </c>
      <c r="D394" t="s">
        <v>57</v>
      </c>
      <c r="E394">
        <v>6</v>
      </c>
      <c r="F394" t="s">
        <v>659</v>
      </c>
    </row>
    <row r="395" spans="1:6" x14ac:dyDescent="0.35">
      <c r="A395" t="s">
        <v>443</v>
      </c>
      <c r="B395" s="1">
        <v>46115</v>
      </c>
      <c r="C395" t="s">
        <v>33</v>
      </c>
      <c r="D395" t="s">
        <v>7</v>
      </c>
      <c r="E395">
        <v>12</v>
      </c>
      <c r="F395" t="s">
        <v>660</v>
      </c>
    </row>
    <row r="396" spans="1:6" x14ac:dyDescent="0.35">
      <c r="A396" t="s">
        <v>444</v>
      </c>
      <c r="B396" s="1">
        <v>46113</v>
      </c>
      <c r="C396" t="s">
        <v>41</v>
      </c>
      <c r="D396" t="s">
        <v>12</v>
      </c>
      <c r="E396">
        <v>5</v>
      </c>
      <c r="F396" t="s">
        <v>661</v>
      </c>
    </row>
    <row r="397" spans="1:6" x14ac:dyDescent="0.35">
      <c r="A397" t="s">
        <v>445</v>
      </c>
      <c r="B397" s="1">
        <v>46135</v>
      </c>
      <c r="C397" t="s">
        <v>88</v>
      </c>
      <c r="D397" t="s">
        <v>7</v>
      </c>
      <c r="E397">
        <v>19</v>
      </c>
      <c r="F397" t="s">
        <v>662</v>
      </c>
    </row>
    <row r="398" spans="1:6" x14ac:dyDescent="0.35">
      <c r="A398" t="s">
        <v>446</v>
      </c>
      <c r="B398" s="1">
        <v>46191</v>
      </c>
      <c r="C398" t="s">
        <v>59</v>
      </c>
      <c r="D398" t="s">
        <v>20</v>
      </c>
      <c r="E398">
        <v>20</v>
      </c>
      <c r="F398" t="s">
        <v>663</v>
      </c>
    </row>
    <row r="399" spans="1:6" x14ac:dyDescent="0.35">
      <c r="A399" t="s">
        <v>447</v>
      </c>
      <c r="B399" s="1">
        <v>46265</v>
      </c>
      <c r="C399" t="s">
        <v>88</v>
      </c>
      <c r="D399" t="s">
        <v>12</v>
      </c>
      <c r="E399">
        <v>2</v>
      </c>
      <c r="F399" t="s">
        <v>664</v>
      </c>
    </row>
    <row r="400" spans="1:6" x14ac:dyDescent="0.35">
      <c r="A400" t="s">
        <v>448</v>
      </c>
      <c r="B400" s="1">
        <v>46035</v>
      </c>
      <c r="C400" t="s">
        <v>9</v>
      </c>
      <c r="D400" t="s">
        <v>73</v>
      </c>
      <c r="E400">
        <v>15</v>
      </c>
      <c r="F400" t="s">
        <v>665</v>
      </c>
    </row>
    <row r="401" spans="1:6" x14ac:dyDescent="0.35">
      <c r="A401" t="s">
        <v>449</v>
      </c>
      <c r="B401" s="1">
        <v>46042</v>
      </c>
      <c r="C401" t="s">
        <v>23</v>
      </c>
      <c r="D401" t="s">
        <v>26</v>
      </c>
      <c r="E401">
        <v>6</v>
      </c>
      <c r="F401" t="s">
        <v>642</v>
      </c>
    </row>
    <row r="402" spans="1:6" x14ac:dyDescent="0.35">
      <c r="A402" t="s">
        <v>450</v>
      </c>
      <c r="B402" s="1">
        <v>46188</v>
      </c>
      <c r="C402" t="s">
        <v>82</v>
      </c>
      <c r="D402" t="s">
        <v>15</v>
      </c>
      <c r="E402">
        <v>12</v>
      </c>
      <c r="F402" t="s">
        <v>645</v>
      </c>
    </row>
    <row r="403" spans="1:6" x14ac:dyDescent="0.35">
      <c r="A403" t="s">
        <v>451</v>
      </c>
      <c r="B403" s="1">
        <v>46079</v>
      </c>
      <c r="C403" t="s">
        <v>84</v>
      </c>
      <c r="D403" t="s">
        <v>73</v>
      </c>
      <c r="E403">
        <v>16</v>
      </c>
      <c r="F403" t="s">
        <v>648</v>
      </c>
    </row>
    <row r="404" spans="1:6" x14ac:dyDescent="0.35">
      <c r="A404" t="s">
        <v>452</v>
      </c>
      <c r="B404" s="1">
        <v>46312</v>
      </c>
      <c r="C404" t="s">
        <v>61</v>
      </c>
      <c r="D404" t="s">
        <v>42</v>
      </c>
      <c r="E404">
        <v>18</v>
      </c>
      <c r="F404" t="s">
        <v>649</v>
      </c>
    </row>
    <row r="405" spans="1:6" x14ac:dyDescent="0.35">
      <c r="A405" t="s">
        <v>453</v>
      </c>
      <c r="B405" s="1">
        <v>46179</v>
      </c>
      <c r="C405" t="s">
        <v>112</v>
      </c>
      <c r="D405" t="s">
        <v>12</v>
      </c>
      <c r="E405">
        <v>18</v>
      </c>
      <c r="F405" t="s">
        <v>650</v>
      </c>
    </row>
    <row r="406" spans="1:6" x14ac:dyDescent="0.35">
      <c r="A406" t="s">
        <v>454</v>
      </c>
      <c r="B406" s="1">
        <v>46359</v>
      </c>
      <c r="C406" t="s">
        <v>47</v>
      </c>
      <c r="D406" t="s">
        <v>26</v>
      </c>
      <c r="E406">
        <v>20</v>
      </c>
      <c r="F406" t="s">
        <v>651</v>
      </c>
    </row>
    <row r="407" spans="1:6" x14ac:dyDescent="0.35">
      <c r="A407" t="s">
        <v>455</v>
      </c>
      <c r="B407" s="1">
        <v>46195</v>
      </c>
      <c r="C407" t="s">
        <v>72</v>
      </c>
      <c r="D407" t="s">
        <v>36</v>
      </c>
      <c r="E407">
        <v>20</v>
      </c>
      <c r="F407" t="s">
        <v>652</v>
      </c>
    </row>
    <row r="408" spans="1:6" x14ac:dyDescent="0.35">
      <c r="A408" t="s">
        <v>456</v>
      </c>
      <c r="B408" s="1">
        <v>46114</v>
      </c>
      <c r="C408" t="s">
        <v>33</v>
      </c>
      <c r="D408" t="s">
        <v>12</v>
      </c>
      <c r="E408">
        <v>3</v>
      </c>
      <c r="F408" t="s">
        <v>653</v>
      </c>
    </row>
    <row r="409" spans="1:6" x14ac:dyDescent="0.35">
      <c r="A409" t="s">
        <v>457</v>
      </c>
      <c r="B409" s="1">
        <v>46206</v>
      </c>
      <c r="C409" t="s">
        <v>51</v>
      </c>
      <c r="D409" t="s">
        <v>36</v>
      </c>
      <c r="E409">
        <v>13</v>
      </c>
      <c r="F409" t="s">
        <v>654</v>
      </c>
    </row>
    <row r="410" spans="1:6" x14ac:dyDescent="0.35">
      <c r="A410" t="s">
        <v>458</v>
      </c>
      <c r="B410" s="1">
        <v>46249</v>
      </c>
      <c r="C410" t="s">
        <v>82</v>
      </c>
      <c r="D410" t="s">
        <v>42</v>
      </c>
      <c r="E410">
        <v>10</v>
      </c>
      <c r="F410" t="s">
        <v>655</v>
      </c>
    </row>
    <row r="411" spans="1:6" x14ac:dyDescent="0.35">
      <c r="A411" t="s">
        <v>459</v>
      </c>
      <c r="B411" s="1">
        <v>46053</v>
      </c>
      <c r="C411" t="s">
        <v>14</v>
      </c>
      <c r="D411" t="s">
        <v>57</v>
      </c>
      <c r="E411">
        <v>3</v>
      </c>
      <c r="F411" t="s">
        <v>656</v>
      </c>
    </row>
    <row r="412" spans="1:6" x14ac:dyDescent="0.35">
      <c r="A412" t="s">
        <v>460</v>
      </c>
      <c r="B412" s="1">
        <v>46143</v>
      </c>
      <c r="C412" t="s">
        <v>23</v>
      </c>
      <c r="D412" t="s">
        <v>73</v>
      </c>
      <c r="E412">
        <v>8</v>
      </c>
      <c r="F412" t="s">
        <v>657</v>
      </c>
    </row>
    <row r="413" spans="1:6" x14ac:dyDescent="0.35">
      <c r="A413" t="s">
        <v>461</v>
      </c>
      <c r="B413" s="1">
        <v>46146</v>
      </c>
      <c r="C413" t="s">
        <v>6</v>
      </c>
      <c r="D413" t="s">
        <v>73</v>
      </c>
      <c r="E413">
        <v>19</v>
      </c>
      <c r="F413" t="s">
        <v>658</v>
      </c>
    </row>
    <row r="414" spans="1:6" x14ac:dyDescent="0.35">
      <c r="A414" t="s">
        <v>462</v>
      </c>
      <c r="B414" s="1">
        <v>46110</v>
      </c>
      <c r="C414" t="s">
        <v>33</v>
      </c>
      <c r="D414" t="s">
        <v>10</v>
      </c>
      <c r="E414">
        <v>8</v>
      </c>
      <c r="F414" t="s">
        <v>659</v>
      </c>
    </row>
    <row r="415" spans="1:6" x14ac:dyDescent="0.35">
      <c r="A415" t="s">
        <v>463</v>
      </c>
      <c r="B415" s="1">
        <v>46193</v>
      </c>
      <c r="C415" t="s">
        <v>38</v>
      </c>
      <c r="D415" t="s">
        <v>20</v>
      </c>
      <c r="E415">
        <v>19</v>
      </c>
      <c r="F415" t="s">
        <v>660</v>
      </c>
    </row>
    <row r="416" spans="1:6" x14ac:dyDescent="0.35">
      <c r="A416" t="s">
        <v>464</v>
      </c>
      <c r="B416" s="1">
        <v>46057</v>
      </c>
      <c r="C416" t="s">
        <v>84</v>
      </c>
      <c r="D416" t="s">
        <v>15</v>
      </c>
      <c r="E416">
        <v>1</v>
      </c>
      <c r="F416" t="s">
        <v>661</v>
      </c>
    </row>
    <row r="417" spans="1:6" x14ac:dyDescent="0.35">
      <c r="A417" t="s">
        <v>465</v>
      </c>
      <c r="B417" s="1">
        <v>46346</v>
      </c>
      <c r="C417" t="s">
        <v>51</v>
      </c>
      <c r="D417" t="s">
        <v>36</v>
      </c>
      <c r="E417">
        <v>3</v>
      </c>
      <c r="F417" t="s">
        <v>662</v>
      </c>
    </row>
    <row r="418" spans="1:6" x14ac:dyDescent="0.35">
      <c r="A418" t="s">
        <v>466</v>
      </c>
      <c r="B418" s="1">
        <v>46236</v>
      </c>
      <c r="C418" t="s">
        <v>23</v>
      </c>
      <c r="D418" t="s">
        <v>42</v>
      </c>
      <c r="E418">
        <v>1</v>
      </c>
      <c r="F418" t="s">
        <v>663</v>
      </c>
    </row>
    <row r="419" spans="1:6" x14ac:dyDescent="0.35">
      <c r="A419" t="s">
        <v>467</v>
      </c>
      <c r="B419" s="1">
        <v>46304</v>
      </c>
      <c r="C419" t="s">
        <v>6</v>
      </c>
      <c r="D419" t="s">
        <v>12</v>
      </c>
      <c r="E419">
        <v>4</v>
      </c>
      <c r="F419" t="s">
        <v>664</v>
      </c>
    </row>
    <row r="420" spans="1:6" x14ac:dyDescent="0.35">
      <c r="A420" t="s">
        <v>468</v>
      </c>
      <c r="B420" s="1">
        <v>46387</v>
      </c>
      <c r="C420" t="s">
        <v>35</v>
      </c>
      <c r="D420" t="s">
        <v>20</v>
      </c>
      <c r="E420">
        <v>16</v>
      </c>
      <c r="F420" t="s">
        <v>665</v>
      </c>
    </row>
    <row r="421" spans="1:6" x14ac:dyDescent="0.35">
      <c r="A421" t="s">
        <v>469</v>
      </c>
      <c r="B421" s="1">
        <v>46181</v>
      </c>
      <c r="C421" t="s">
        <v>41</v>
      </c>
      <c r="D421" t="s">
        <v>73</v>
      </c>
      <c r="E421">
        <v>14</v>
      </c>
      <c r="F421" t="s">
        <v>642</v>
      </c>
    </row>
    <row r="422" spans="1:6" x14ac:dyDescent="0.35">
      <c r="A422" t="s">
        <v>470</v>
      </c>
      <c r="B422" s="1">
        <v>46038</v>
      </c>
      <c r="C422" t="s">
        <v>28</v>
      </c>
      <c r="D422" t="s">
        <v>29</v>
      </c>
      <c r="E422">
        <v>5</v>
      </c>
      <c r="F422" t="s">
        <v>645</v>
      </c>
    </row>
    <row r="423" spans="1:6" x14ac:dyDescent="0.35">
      <c r="A423" t="s">
        <v>471</v>
      </c>
      <c r="B423" s="1">
        <v>46171</v>
      </c>
      <c r="C423" t="s">
        <v>84</v>
      </c>
      <c r="D423" t="s">
        <v>39</v>
      </c>
      <c r="E423">
        <v>1</v>
      </c>
      <c r="F423" t="s">
        <v>648</v>
      </c>
    </row>
    <row r="424" spans="1:6" x14ac:dyDescent="0.35">
      <c r="A424" t="s">
        <v>472</v>
      </c>
      <c r="B424" s="1">
        <v>46361</v>
      </c>
      <c r="C424" t="s">
        <v>84</v>
      </c>
      <c r="D424" t="s">
        <v>26</v>
      </c>
      <c r="E424">
        <v>20</v>
      </c>
      <c r="F424" t="s">
        <v>649</v>
      </c>
    </row>
    <row r="425" spans="1:6" x14ac:dyDescent="0.35">
      <c r="A425" t="s">
        <v>473</v>
      </c>
      <c r="B425" s="1">
        <v>46291</v>
      </c>
      <c r="C425" t="s">
        <v>86</v>
      </c>
      <c r="D425" t="s">
        <v>10</v>
      </c>
      <c r="E425">
        <v>15</v>
      </c>
      <c r="F425" t="s">
        <v>650</v>
      </c>
    </row>
    <row r="426" spans="1:6" x14ac:dyDescent="0.35">
      <c r="A426" t="s">
        <v>474</v>
      </c>
      <c r="B426" s="1">
        <v>46223</v>
      </c>
      <c r="C426" t="s">
        <v>86</v>
      </c>
      <c r="D426" t="s">
        <v>57</v>
      </c>
      <c r="E426">
        <v>2</v>
      </c>
      <c r="F426" t="s">
        <v>651</v>
      </c>
    </row>
    <row r="427" spans="1:6" x14ac:dyDescent="0.35">
      <c r="A427" t="s">
        <v>475</v>
      </c>
      <c r="B427" s="1">
        <v>46336</v>
      </c>
      <c r="C427" t="s">
        <v>59</v>
      </c>
      <c r="D427" t="s">
        <v>20</v>
      </c>
      <c r="E427">
        <v>4</v>
      </c>
      <c r="F427" t="s">
        <v>652</v>
      </c>
    </row>
    <row r="428" spans="1:6" x14ac:dyDescent="0.35">
      <c r="A428" t="s">
        <v>476</v>
      </c>
      <c r="B428" s="1">
        <v>46311</v>
      </c>
      <c r="C428" t="s">
        <v>84</v>
      </c>
      <c r="D428" t="s">
        <v>68</v>
      </c>
      <c r="E428">
        <v>18</v>
      </c>
      <c r="F428" t="s">
        <v>653</v>
      </c>
    </row>
    <row r="429" spans="1:6" x14ac:dyDescent="0.35">
      <c r="A429" t="s">
        <v>477</v>
      </c>
      <c r="B429" s="1">
        <v>46211</v>
      </c>
      <c r="C429" t="s">
        <v>84</v>
      </c>
      <c r="D429" t="s">
        <v>48</v>
      </c>
      <c r="E429">
        <v>13</v>
      </c>
      <c r="F429" t="s">
        <v>654</v>
      </c>
    </row>
    <row r="430" spans="1:6" x14ac:dyDescent="0.35">
      <c r="A430" t="s">
        <v>478</v>
      </c>
      <c r="B430" s="1">
        <v>46150</v>
      </c>
      <c r="C430" t="s">
        <v>156</v>
      </c>
      <c r="D430" t="s">
        <v>26</v>
      </c>
      <c r="E430">
        <v>19</v>
      </c>
      <c r="F430" t="s">
        <v>655</v>
      </c>
    </row>
    <row r="431" spans="1:6" x14ac:dyDescent="0.35">
      <c r="A431" t="s">
        <v>479</v>
      </c>
      <c r="B431" s="1">
        <v>46031</v>
      </c>
      <c r="C431" t="s">
        <v>9</v>
      </c>
      <c r="D431" t="s">
        <v>15</v>
      </c>
      <c r="E431">
        <v>20</v>
      </c>
      <c r="F431" t="s">
        <v>656</v>
      </c>
    </row>
    <row r="432" spans="1:6" x14ac:dyDescent="0.35">
      <c r="A432" t="s">
        <v>480</v>
      </c>
      <c r="B432" s="1">
        <v>46353</v>
      </c>
      <c r="C432" t="s">
        <v>54</v>
      </c>
      <c r="D432" t="s">
        <v>39</v>
      </c>
      <c r="E432">
        <v>5</v>
      </c>
      <c r="F432" t="s">
        <v>657</v>
      </c>
    </row>
    <row r="433" spans="1:6" x14ac:dyDescent="0.35">
      <c r="A433" t="s">
        <v>481</v>
      </c>
      <c r="B433" s="1">
        <v>46272</v>
      </c>
      <c r="C433" t="s">
        <v>61</v>
      </c>
      <c r="D433" t="s">
        <v>12</v>
      </c>
      <c r="E433">
        <v>3</v>
      </c>
      <c r="F433" t="s">
        <v>658</v>
      </c>
    </row>
    <row r="434" spans="1:6" x14ac:dyDescent="0.35">
      <c r="A434" t="s">
        <v>482</v>
      </c>
      <c r="B434" s="1">
        <v>46259</v>
      </c>
      <c r="C434" t="s">
        <v>144</v>
      </c>
      <c r="D434" t="s">
        <v>48</v>
      </c>
      <c r="E434">
        <v>11</v>
      </c>
      <c r="F434" t="s">
        <v>659</v>
      </c>
    </row>
    <row r="435" spans="1:6" x14ac:dyDescent="0.35">
      <c r="A435" t="s">
        <v>483</v>
      </c>
      <c r="B435" s="1">
        <v>46146</v>
      </c>
      <c r="C435" t="s">
        <v>28</v>
      </c>
      <c r="D435" t="s">
        <v>26</v>
      </c>
      <c r="E435">
        <v>10</v>
      </c>
      <c r="F435" t="s">
        <v>660</v>
      </c>
    </row>
    <row r="436" spans="1:6" x14ac:dyDescent="0.35">
      <c r="A436" t="s">
        <v>484</v>
      </c>
      <c r="B436" s="1">
        <v>46234</v>
      </c>
      <c r="C436" t="s">
        <v>6</v>
      </c>
      <c r="D436" t="s">
        <v>48</v>
      </c>
      <c r="E436">
        <v>13</v>
      </c>
      <c r="F436" t="s">
        <v>661</v>
      </c>
    </row>
    <row r="437" spans="1:6" x14ac:dyDescent="0.35">
      <c r="A437" t="s">
        <v>485</v>
      </c>
      <c r="B437" s="1">
        <v>46373</v>
      </c>
      <c r="C437" t="s">
        <v>33</v>
      </c>
      <c r="D437" t="s">
        <v>66</v>
      </c>
      <c r="E437">
        <v>18</v>
      </c>
      <c r="F437" t="s">
        <v>662</v>
      </c>
    </row>
    <row r="438" spans="1:6" x14ac:dyDescent="0.35">
      <c r="A438" t="s">
        <v>486</v>
      </c>
      <c r="B438" s="1">
        <v>46173</v>
      </c>
      <c r="C438" t="s">
        <v>101</v>
      </c>
      <c r="D438" t="s">
        <v>15</v>
      </c>
      <c r="E438">
        <v>9</v>
      </c>
      <c r="F438" t="s">
        <v>663</v>
      </c>
    </row>
    <row r="439" spans="1:6" x14ac:dyDescent="0.35">
      <c r="A439" t="s">
        <v>487</v>
      </c>
      <c r="B439" s="1">
        <v>46257</v>
      </c>
      <c r="C439" t="s">
        <v>156</v>
      </c>
      <c r="D439" t="s">
        <v>48</v>
      </c>
      <c r="E439">
        <v>8</v>
      </c>
      <c r="F439" t="s">
        <v>664</v>
      </c>
    </row>
    <row r="440" spans="1:6" x14ac:dyDescent="0.35">
      <c r="A440" t="s">
        <v>488</v>
      </c>
      <c r="B440" s="1">
        <v>46061</v>
      </c>
      <c r="C440" t="s">
        <v>84</v>
      </c>
      <c r="D440" t="s">
        <v>42</v>
      </c>
      <c r="E440">
        <v>5</v>
      </c>
      <c r="F440" t="s">
        <v>665</v>
      </c>
    </row>
    <row r="441" spans="1:6" x14ac:dyDescent="0.35">
      <c r="A441" t="s">
        <v>489</v>
      </c>
      <c r="B441" s="1">
        <v>46027</v>
      </c>
      <c r="C441" t="s">
        <v>72</v>
      </c>
      <c r="D441" t="s">
        <v>26</v>
      </c>
      <c r="E441">
        <v>3</v>
      </c>
      <c r="F441" t="s">
        <v>642</v>
      </c>
    </row>
    <row r="442" spans="1:6" x14ac:dyDescent="0.35">
      <c r="A442" t="s">
        <v>490</v>
      </c>
      <c r="B442" s="1">
        <v>46366</v>
      </c>
      <c r="C442" t="s">
        <v>25</v>
      </c>
      <c r="D442" t="s">
        <v>7</v>
      </c>
      <c r="E442">
        <v>16</v>
      </c>
      <c r="F442" t="s">
        <v>645</v>
      </c>
    </row>
    <row r="443" spans="1:6" x14ac:dyDescent="0.35">
      <c r="A443" t="s">
        <v>491</v>
      </c>
      <c r="B443" s="1">
        <v>46184</v>
      </c>
      <c r="C443" t="s">
        <v>51</v>
      </c>
      <c r="D443" t="s">
        <v>10</v>
      </c>
      <c r="E443">
        <v>5</v>
      </c>
      <c r="F443" t="s">
        <v>648</v>
      </c>
    </row>
    <row r="444" spans="1:6" x14ac:dyDescent="0.35">
      <c r="A444" t="s">
        <v>492</v>
      </c>
      <c r="B444" s="1">
        <v>46189</v>
      </c>
      <c r="C444" t="s">
        <v>51</v>
      </c>
      <c r="D444" t="s">
        <v>66</v>
      </c>
      <c r="E444">
        <v>6</v>
      </c>
      <c r="F444" t="s">
        <v>649</v>
      </c>
    </row>
    <row r="445" spans="1:6" x14ac:dyDescent="0.35">
      <c r="A445" t="s">
        <v>493</v>
      </c>
      <c r="B445" s="1">
        <v>46171</v>
      </c>
      <c r="C445" t="s">
        <v>23</v>
      </c>
      <c r="D445" t="s">
        <v>73</v>
      </c>
      <c r="E445">
        <v>14</v>
      </c>
      <c r="F445" t="s">
        <v>650</v>
      </c>
    </row>
    <row r="446" spans="1:6" x14ac:dyDescent="0.35">
      <c r="A446" t="s">
        <v>494</v>
      </c>
      <c r="B446" s="1">
        <v>46275</v>
      </c>
      <c r="C446" t="s">
        <v>54</v>
      </c>
      <c r="D446" t="s">
        <v>29</v>
      </c>
      <c r="E446">
        <v>10</v>
      </c>
      <c r="F446" t="s">
        <v>651</v>
      </c>
    </row>
    <row r="447" spans="1:6" x14ac:dyDescent="0.35">
      <c r="A447" t="s">
        <v>495</v>
      </c>
      <c r="B447" s="1">
        <v>46148</v>
      </c>
      <c r="C447" t="s">
        <v>6</v>
      </c>
      <c r="D447" t="s">
        <v>26</v>
      </c>
      <c r="E447">
        <v>11</v>
      </c>
      <c r="F447" t="s">
        <v>652</v>
      </c>
    </row>
    <row r="448" spans="1:6" x14ac:dyDescent="0.35">
      <c r="A448" t="s">
        <v>496</v>
      </c>
      <c r="B448" s="1">
        <v>46259</v>
      </c>
      <c r="C448" t="s">
        <v>75</v>
      </c>
      <c r="D448" t="s">
        <v>26</v>
      </c>
      <c r="E448">
        <v>11</v>
      </c>
      <c r="F448" t="s">
        <v>653</v>
      </c>
    </row>
    <row r="449" spans="1:6" x14ac:dyDescent="0.35">
      <c r="A449" t="s">
        <v>497</v>
      </c>
      <c r="B449" s="1">
        <v>46157</v>
      </c>
      <c r="C449" t="s">
        <v>54</v>
      </c>
      <c r="D449" t="s">
        <v>7</v>
      </c>
      <c r="E449">
        <v>1</v>
      </c>
      <c r="F449" t="s">
        <v>654</v>
      </c>
    </row>
    <row r="450" spans="1:6" x14ac:dyDescent="0.35">
      <c r="A450" t="s">
        <v>498</v>
      </c>
      <c r="B450" s="1">
        <v>46043</v>
      </c>
      <c r="C450" t="s">
        <v>56</v>
      </c>
      <c r="D450" t="s">
        <v>73</v>
      </c>
      <c r="E450">
        <v>16</v>
      </c>
      <c r="F450" t="s">
        <v>655</v>
      </c>
    </row>
    <row r="451" spans="1:6" x14ac:dyDescent="0.35">
      <c r="A451" t="s">
        <v>499</v>
      </c>
      <c r="B451" s="1">
        <v>46160</v>
      </c>
      <c r="C451" t="s">
        <v>28</v>
      </c>
      <c r="D451" t="s">
        <v>42</v>
      </c>
      <c r="E451">
        <v>16</v>
      </c>
      <c r="F451" t="s">
        <v>656</v>
      </c>
    </row>
    <row r="452" spans="1:6" x14ac:dyDescent="0.35">
      <c r="A452" t="s">
        <v>500</v>
      </c>
      <c r="B452" s="1">
        <v>46183</v>
      </c>
      <c r="C452" t="s">
        <v>70</v>
      </c>
      <c r="D452" t="s">
        <v>10</v>
      </c>
      <c r="E452">
        <v>15</v>
      </c>
      <c r="F452" t="s">
        <v>657</v>
      </c>
    </row>
    <row r="453" spans="1:6" x14ac:dyDescent="0.35">
      <c r="A453" t="s">
        <v>501</v>
      </c>
      <c r="B453" s="1">
        <v>46375</v>
      </c>
      <c r="C453" t="s">
        <v>70</v>
      </c>
      <c r="D453" t="s">
        <v>48</v>
      </c>
      <c r="E453">
        <v>13</v>
      </c>
      <c r="F453" t="s">
        <v>658</v>
      </c>
    </row>
    <row r="454" spans="1:6" x14ac:dyDescent="0.35">
      <c r="A454" t="s">
        <v>502</v>
      </c>
      <c r="B454" s="1">
        <v>46145</v>
      </c>
      <c r="C454" t="s">
        <v>9</v>
      </c>
      <c r="D454" t="s">
        <v>39</v>
      </c>
      <c r="E454">
        <v>1</v>
      </c>
      <c r="F454" t="s">
        <v>659</v>
      </c>
    </row>
    <row r="455" spans="1:6" x14ac:dyDescent="0.35">
      <c r="A455" t="s">
        <v>503</v>
      </c>
      <c r="B455" s="1">
        <v>46386</v>
      </c>
      <c r="C455" t="s">
        <v>35</v>
      </c>
      <c r="D455" t="s">
        <v>10</v>
      </c>
      <c r="E455">
        <v>2</v>
      </c>
      <c r="F455" t="s">
        <v>660</v>
      </c>
    </row>
    <row r="456" spans="1:6" x14ac:dyDescent="0.35">
      <c r="A456" t="s">
        <v>504</v>
      </c>
      <c r="B456" s="1">
        <v>46099</v>
      </c>
      <c r="C456" t="s">
        <v>35</v>
      </c>
      <c r="D456" t="s">
        <v>12</v>
      </c>
      <c r="E456">
        <v>18</v>
      </c>
      <c r="F456" t="s">
        <v>661</v>
      </c>
    </row>
    <row r="457" spans="1:6" x14ac:dyDescent="0.35">
      <c r="A457" t="s">
        <v>505</v>
      </c>
      <c r="B457" s="1">
        <v>46372</v>
      </c>
      <c r="C457" t="s">
        <v>35</v>
      </c>
      <c r="D457" t="s">
        <v>48</v>
      </c>
      <c r="E457">
        <v>9</v>
      </c>
      <c r="F457" t="s">
        <v>662</v>
      </c>
    </row>
    <row r="458" spans="1:6" x14ac:dyDescent="0.35">
      <c r="A458" t="s">
        <v>506</v>
      </c>
      <c r="B458" s="1">
        <v>46268</v>
      </c>
      <c r="C458" t="s">
        <v>41</v>
      </c>
      <c r="D458" t="s">
        <v>15</v>
      </c>
      <c r="E458">
        <v>19</v>
      </c>
      <c r="F458" t="s">
        <v>663</v>
      </c>
    </row>
    <row r="459" spans="1:6" x14ac:dyDescent="0.35">
      <c r="A459" t="s">
        <v>507</v>
      </c>
      <c r="B459" s="1">
        <v>46027</v>
      </c>
      <c r="C459" t="s">
        <v>101</v>
      </c>
      <c r="D459" t="s">
        <v>7</v>
      </c>
      <c r="E459">
        <v>14</v>
      </c>
      <c r="F459" t="s">
        <v>664</v>
      </c>
    </row>
    <row r="460" spans="1:6" x14ac:dyDescent="0.35">
      <c r="A460" t="s">
        <v>508</v>
      </c>
      <c r="B460" s="1">
        <v>46335</v>
      </c>
      <c r="C460" t="s">
        <v>156</v>
      </c>
      <c r="D460" t="s">
        <v>7</v>
      </c>
      <c r="E460">
        <v>1</v>
      </c>
      <c r="F460" t="s">
        <v>665</v>
      </c>
    </row>
    <row r="461" spans="1:6" x14ac:dyDescent="0.35">
      <c r="A461" t="s">
        <v>509</v>
      </c>
      <c r="B461" s="1">
        <v>46230</v>
      </c>
      <c r="C461" t="s">
        <v>38</v>
      </c>
      <c r="D461" t="s">
        <v>68</v>
      </c>
      <c r="E461">
        <v>1</v>
      </c>
      <c r="F461" t="s">
        <v>642</v>
      </c>
    </row>
    <row r="462" spans="1:6" x14ac:dyDescent="0.35">
      <c r="A462" t="s">
        <v>510</v>
      </c>
      <c r="B462" s="1">
        <v>46137</v>
      </c>
      <c r="C462" t="s">
        <v>84</v>
      </c>
      <c r="D462" t="s">
        <v>26</v>
      </c>
      <c r="E462">
        <v>14</v>
      </c>
      <c r="F462" t="s">
        <v>645</v>
      </c>
    </row>
    <row r="463" spans="1:6" x14ac:dyDescent="0.35">
      <c r="A463" t="s">
        <v>511</v>
      </c>
      <c r="B463" s="1">
        <v>46056</v>
      </c>
      <c r="C463" t="s">
        <v>101</v>
      </c>
      <c r="D463" t="s">
        <v>66</v>
      </c>
      <c r="E463">
        <v>4</v>
      </c>
      <c r="F463" t="s">
        <v>648</v>
      </c>
    </row>
    <row r="464" spans="1:6" x14ac:dyDescent="0.35">
      <c r="A464" t="s">
        <v>512</v>
      </c>
      <c r="B464" s="1">
        <v>46061</v>
      </c>
      <c r="C464" t="s">
        <v>61</v>
      </c>
      <c r="D464" t="s">
        <v>10</v>
      </c>
      <c r="E464">
        <v>10</v>
      </c>
      <c r="F464" t="s">
        <v>649</v>
      </c>
    </row>
    <row r="465" spans="1:6" x14ac:dyDescent="0.35">
      <c r="A465" t="s">
        <v>513</v>
      </c>
      <c r="B465" s="1">
        <v>46136</v>
      </c>
      <c r="C465" t="s">
        <v>35</v>
      </c>
      <c r="D465" t="s">
        <v>20</v>
      </c>
      <c r="E465">
        <v>18</v>
      </c>
      <c r="F465" t="s">
        <v>650</v>
      </c>
    </row>
    <row r="466" spans="1:6" x14ac:dyDescent="0.35">
      <c r="A466" t="s">
        <v>514</v>
      </c>
      <c r="B466" s="1">
        <v>46073</v>
      </c>
      <c r="C466" t="s">
        <v>72</v>
      </c>
      <c r="D466" t="s">
        <v>10</v>
      </c>
      <c r="E466">
        <v>17</v>
      </c>
      <c r="F466" t="s">
        <v>651</v>
      </c>
    </row>
    <row r="467" spans="1:6" x14ac:dyDescent="0.35">
      <c r="A467" t="s">
        <v>515</v>
      </c>
      <c r="B467" s="1">
        <v>46231</v>
      </c>
      <c r="C467" t="s">
        <v>75</v>
      </c>
      <c r="D467" t="s">
        <v>15</v>
      </c>
      <c r="E467">
        <v>17</v>
      </c>
      <c r="F467" t="s">
        <v>652</v>
      </c>
    </row>
    <row r="468" spans="1:6" x14ac:dyDescent="0.35">
      <c r="A468" t="s">
        <v>516</v>
      </c>
      <c r="B468" s="1">
        <v>46332</v>
      </c>
      <c r="C468" t="s">
        <v>61</v>
      </c>
      <c r="D468" t="s">
        <v>12</v>
      </c>
      <c r="E468">
        <v>5</v>
      </c>
      <c r="F468" t="s">
        <v>653</v>
      </c>
    </row>
    <row r="469" spans="1:6" x14ac:dyDescent="0.35">
      <c r="A469" t="s">
        <v>517</v>
      </c>
      <c r="B469" s="1">
        <v>46089</v>
      </c>
      <c r="C469" t="s">
        <v>144</v>
      </c>
      <c r="D469" t="s">
        <v>42</v>
      </c>
      <c r="E469">
        <v>18</v>
      </c>
      <c r="F469" t="s">
        <v>654</v>
      </c>
    </row>
    <row r="470" spans="1:6" x14ac:dyDescent="0.35">
      <c r="A470" t="s">
        <v>518</v>
      </c>
      <c r="B470" s="1">
        <v>46035</v>
      </c>
      <c r="C470" t="s">
        <v>6</v>
      </c>
      <c r="D470" t="s">
        <v>20</v>
      </c>
      <c r="E470">
        <v>9</v>
      </c>
      <c r="F470" t="s">
        <v>655</v>
      </c>
    </row>
    <row r="471" spans="1:6" x14ac:dyDescent="0.35">
      <c r="A471" t="s">
        <v>519</v>
      </c>
      <c r="B471" s="1">
        <v>46199</v>
      </c>
      <c r="C471" t="s">
        <v>101</v>
      </c>
      <c r="D471" t="s">
        <v>26</v>
      </c>
      <c r="E471">
        <v>8</v>
      </c>
      <c r="F471" t="s">
        <v>656</v>
      </c>
    </row>
    <row r="472" spans="1:6" x14ac:dyDescent="0.35">
      <c r="A472" t="s">
        <v>520</v>
      </c>
      <c r="B472" s="1">
        <v>46294</v>
      </c>
      <c r="C472" t="s">
        <v>59</v>
      </c>
      <c r="D472" t="s">
        <v>26</v>
      </c>
      <c r="E472">
        <v>13</v>
      </c>
      <c r="F472" t="s">
        <v>657</v>
      </c>
    </row>
    <row r="473" spans="1:6" x14ac:dyDescent="0.35">
      <c r="A473" t="s">
        <v>521</v>
      </c>
      <c r="B473" s="1">
        <v>46087</v>
      </c>
      <c r="C473" t="s">
        <v>54</v>
      </c>
      <c r="D473" t="s">
        <v>12</v>
      </c>
      <c r="E473">
        <v>4</v>
      </c>
      <c r="F473" t="s">
        <v>658</v>
      </c>
    </row>
    <row r="474" spans="1:6" x14ac:dyDescent="0.35">
      <c r="A474" t="s">
        <v>522</v>
      </c>
      <c r="B474" s="1">
        <v>46120</v>
      </c>
      <c r="C474" t="s">
        <v>84</v>
      </c>
      <c r="D474" t="s">
        <v>26</v>
      </c>
      <c r="E474">
        <v>19</v>
      </c>
      <c r="F474" t="s">
        <v>659</v>
      </c>
    </row>
    <row r="475" spans="1:6" x14ac:dyDescent="0.35">
      <c r="A475" t="s">
        <v>523</v>
      </c>
      <c r="B475" s="1">
        <v>46218</v>
      </c>
      <c r="C475" t="s">
        <v>14</v>
      </c>
      <c r="D475" t="s">
        <v>57</v>
      </c>
      <c r="E475">
        <v>17</v>
      </c>
      <c r="F475" t="s">
        <v>660</v>
      </c>
    </row>
    <row r="476" spans="1:6" x14ac:dyDescent="0.35">
      <c r="A476" t="s">
        <v>524</v>
      </c>
      <c r="B476" s="1">
        <v>46026</v>
      </c>
      <c r="C476" t="s">
        <v>56</v>
      </c>
      <c r="D476" t="s">
        <v>57</v>
      </c>
      <c r="E476">
        <v>13</v>
      </c>
      <c r="F476" t="s">
        <v>661</v>
      </c>
    </row>
    <row r="477" spans="1:6" x14ac:dyDescent="0.35">
      <c r="A477" t="s">
        <v>525</v>
      </c>
      <c r="B477" s="1">
        <v>46230</v>
      </c>
      <c r="C477" t="s">
        <v>156</v>
      </c>
      <c r="D477" t="s">
        <v>7</v>
      </c>
      <c r="E477">
        <v>20</v>
      </c>
      <c r="F477" t="s">
        <v>662</v>
      </c>
    </row>
    <row r="478" spans="1:6" x14ac:dyDescent="0.35">
      <c r="A478" t="s">
        <v>526</v>
      </c>
      <c r="B478" s="1">
        <v>46212</v>
      </c>
      <c r="C478" t="s">
        <v>51</v>
      </c>
      <c r="D478" t="s">
        <v>10</v>
      </c>
      <c r="E478">
        <v>13</v>
      </c>
      <c r="F478" t="s">
        <v>663</v>
      </c>
    </row>
    <row r="479" spans="1:6" x14ac:dyDescent="0.35">
      <c r="A479" t="s">
        <v>527</v>
      </c>
      <c r="B479" s="1">
        <v>46337</v>
      </c>
      <c r="C479" t="s">
        <v>47</v>
      </c>
      <c r="D479" t="s">
        <v>73</v>
      </c>
      <c r="E479">
        <v>8</v>
      </c>
      <c r="F479" t="s">
        <v>664</v>
      </c>
    </row>
    <row r="480" spans="1:6" x14ac:dyDescent="0.35">
      <c r="A480" t="s">
        <v>528</v>
      </c>
      <c r="B480" s="1">
        <v>46065</v>
      </c>
      <c r="C480" t="s">
        <v>28</v>
      </c>
      <c r="D480" t="s">
        <v>42</v>
      </c>
      <c r="E480">
        <v>12</v>
      </c>
      <c r="F480" t="s">
        <v>665</v>
      </c>
    </row>
    <row r="481" spans="1:6" x14ac:dyDescent="0.35">
      <c r="A481" t="s">
        <v>529</v>
      </c>
      <c r="B481" s="1">
        <v>46032</v>
      </c>
      <c r="C481" t="s">
        <v>35</v>
      </c>
      <c r="D481" t="s">
        <v>26</v>
      </c>
      <c r="E481">
        <v>16</v>
      </c>
      <c r="F481" t="s">
        <v>642</v>
      </c>
    </row>
    <row r="482" spans="1:6" x14ac:dyDescent="0.35">
      <c r="A482" t="s">
        <v>530</v>
      </c>
      <c r="B482" s="1">
        <v>46211</v>
      </c>
      <c r="C482" t="s">
        <v>6</v>
      </c>
      <c r="D482" t="s">
        <v>26</v>
      </c>
      <c r="E482">
        <v>19</v>
      </c>
      <c r="F482" t="s">
        <v>645</v>
      </c>
    </row>
    <row r="483" spans="1:6" x14ac:dyDescent="0.35">
      <c r="A483" t="s">
        <v>531</v>
      </c>
      <c r="B483" s="1">
        <v>46295</v>
      </c>
      <c r="C483" t="s">
        <v>70</v>
      </c>
      <c r="D483" t="s">
        <v>7</v>
      </c>
      <c r="E483">
        <v>14</v>
      </c>
      <c r="F483" t="s">
        <v>648</v>
      </c>
    </row>
    <row r="484" spans="1:6" x14ac:dyDescent="0.35">
      <c r="A484" t="s">
        <v>532</v>
      </c>
      <c r="B484" s="1">
        <v>46028</v>
      </c>
      <c r="C484" t="s">
        <v>101</v>
      </c>
      <c r="D484" t="s">
        <v>57</v>
      </c>
      <c r="E484">
        <v>11</v>
      </c>
      <c r="F484" t="s">
        <v>649</v>
      </c>
    </row>
    <row r="485" spans="1:6" x14ac:dyDescent="0.35">
      <c r="A485" t="s">
        <v>533</v>
      </c>
      <c r="B485" s="1">
        <v>46246</v>
      </c>
      <c r="C485" t="s">
        <v>101</v>
      </c>
      <c r="D485" t="s">
        <v>7</v>
      </c>
      <c r="E485">
        <v>3</v>
      </c>
      <c r="F485" t="s">
        <v>650</v>
      </c>
    </row>
    <row r="486" spans="1:6" x14ac:dyDescent="0.35">
      <c r="A486" t="s">
        <v>534</v>
      </c>
      <c r="B486" s="1">
        <v>46355</v>
      </c>
      <c r="C486" t="s">
        <v>41</v>
      </c>
      <c r="D486" t="s">
        <v>10</v>
      </c>
      <c r="E486">
        <v>20</v>
      </c>
      <c r="F486" t="s">
        <v>651</v>
      </c>
    </row>
    <row r="487" spans="1:6" x14ac:dyDescent="0.35">
      <c r="A487" t="s">
        <v>535</v>
      </c>
      <c r="B487" s="1">
        <v>46365</v>
      </c>
      <c r="C487" t="s">
        <v>86</v>
      </c>
      <c r="D487" t="s">
        <v>42</v>
      </c>
      <c r="E487">
        <v>1</v>
      </c>
      <c r="F487" t="s">
        <v>652</v>
      </c>
    </row>
    <row r="488" spans="1:6" x14ac:dyDescent="0.35">
      <c r="A488" t="s">
        <v>536</v>
      </c>
      <c r="B488" s="1">
        <v>46074</v>
      </c>
      <c r="C488" t="s">
        <v>54</v>
      </c>
      <c r="D488" t="s">
        <v>7</v>
      </c>
      <c r="E488">
        <v>11</v>
      </c>
      <c r="F488" t="s">
        <v>653</v>
      </c>
    </row>
    <row r="489" spans="1:6" x14ac:dyDescent="0.35">
      <c r="A489" t="s">
        <v>537</v>
      </c>
      <c r="B489" s="1">
        <v>46299</v>
      </c>
      <c r="C489" t="s">
        <v>70</v>
      </c>
      <c r="D489" t="s">
        <v>39</v>
      </c>
      <c r="E489">
        <v>6</v>
      </c>
      <c r="F489" t="s">
        <v>654</v>
      </c>
    </row>
    <row r="490" spans="1:6" x14ac:dyDescent="0.35">
      <c r="A490" t="s">
        <v>538</v>
      </c>
      <c r="B490" s="1">
        <v>46366</v>
      </c>
      <c r="C490" t="s">
        <v>82</v>
      </c>
      <c r="D490" t="s">
        <v>7</v>
      </c>
      <c r="E490">
        <v>19</v>
      </c>
      <c r="F490" t="s">
        <v>655</v>
      </c>
    </row>
    <row r="491" spans="1:6" x14ac:dyDescent="0.35">
      <c r="A491" t="s">
        <v>539</v>
      </c>
      <c r="B491" s="1">
        <v>46100</v>
      </c>
      <c r="C491" t="s">
        <v>14</v>
      </c>
      <c r="D491" t="s">
        <v>39</v>
      </c>
      <c r="E491">
        <v>9</v>
      </c>
      <c r="F491" t="s">
        <v>656</v>
      </c>
    </row>
    <row r="492" spans="1:6" x14ac:dyDescent="0.35">
      <c r="A492" t="s">
        <v>540</v>
      </c>
      <c r="B492" s="1">
        <v>46315</v>
      </c>
      <c r="C492" t="s">
        <v>47</v>
      </c>
      <c r="D492" t="s">
        <v>36</v>
      </c>
      <c r="E492">
        <v>18</v>
      </c>
      <c r="F492" t="s">
        <v>657</v>
      </c>
    </row>
    <row r="493" spans="1:6" x14ac:dyDescent="0.35">
      <c r="A493" t="s">
        <v>541</v>
      </c>
      <c r="B493" s="1">
        <v>46370</v>
      </c>
      <c r="C493" t="s">
        <v>156</v>
      </c>
      <c r="D493" t="s">
        <v>29</v>
      </c>
      <c r="E493">
        <v>15</v>
      </c>
      <c r="F493" t="s">
        <v>658</v>
      </c>
    </row>
    <row r="494" spans="1:6" x14ac:dyDescent="0.35">
      <c r="A494" t="s">
        <v>542</v>
      </c>
      <c r="B494" s="1">
        <v>46044</v>
      </c>
      <c r="C494" t="s">
        <v>75</v>
      </c>
      <c r="D494" t="s">
        <v>39</v>
      </c>
      <c r="E494">
        <v>7</v>
      </c>
      <c r="F494" t="s">
        <v>659</v>
      </c>
    </row>
    <row r="495" spans="1:6" x14ac:dyDescent="0.35">
      <c r="A495" t="s">
        <v>543</v>
      </c>
      <c r="B495" s="1">
        <v>46149</v>
      </c>
      <c r="C495" t="s">
        <v>33</v>
      </c>
      <c r="D495" t="s">
        <v>73</v>
      </c>
      <c r="E495">
        <v>8</v>
      </c>
      <c r="F495" t="s">
        <v>660</v>
      </c>
    </row>
    <row r="496" spans="1:6" x14ac:dyDescent="0.35">
      <c r="A496" t="s">
        <v>544</v>
      </c>
      <c r="B496" s="1">
        <v>46238</v>
      </c>
      <c r="C496" t="s">
        <v>70</v>
      </c>
      <c r="D496" t="s">
        <v>57</v>
      </c>
      <c r="E496">
        <v>2</v>
      </c>
      <c r="F496" t="s">
        <v>661</v>
      </c>
    </row>
    <row r="497" spans="1:6" x14ac:dyDescent="0.35">
      <c r="A497" t="s">
        <v>545</v>
      </c>
      <c r="B497" s="1">
        <v>46214</v>
      </c>
      <c r="C497" t="s">
        <v>82</v>
      </c>
      <c r="D497" t="s">
        <v>36</v>
      </c>
      <c r="E497">
        <v>6</v>
      </c>
      <c r="F497" t="s">
        <v>662</v>
      </c>
    </row>
    <row r="498" spans="1:6" x14ac:dyDescent="0.35">
      <c r="A498" t="s">
        <v>546</v>
      </c>
      <c r="B498" s="1">
        <v>46023</v>
      </c>
      <c r="C498" t="s">
        <v>41</v>
      </c>
      <c r="D498" t="s">
        <v>10</v>
      </c>
      <c r="E498">
        <v>14</v>
      </c>
      <c r="F498" t="s">
        <v>663</v>
      </c>
    </row>
    <row r="499" spans="1:6" x14ac:dyDescent="0.35">
      <c r="A499" t="s">
        <v>547</v>
      </c>
      <c r="B499" s="1">
        <v>46248</v>
      </c>
      <c r="C499" t="s">
        <v>14</v>
      </c>
      <c r="D499" t="s">
        <v>12</v>
      </c>
      <c r="E499">
        <v>16</v>
      </c>
      <c r="F499" t="s">
        <v>664</v>
      </c>
    </row>
    <row r="500" spans="1:6" x14ac:dyDescent="0.35">
      <c r="A500" t="s">
        <v>548</v>
      </c>
      <c r="B500" s="1">
        <v>46116</v>
      </c>
      <c r="C500" t="s">
        <v>86</v>
      </c>
      <c r="D500" t="s">
        <v>42</v>
      </c>
      <c r="E500">
        <v>12</v>
      </c>
      <c r="F500" t="s">
        <v>665</v>
      </c>
    </row>
    <row r="501" spans="1:6" x14ac:dyDescent="0.35">
      <c r="A501" t="s">
        <v>549</v>
      </c>
      <c r="B501" s="1">
        <v>46167</v>
      </c>
      <c r="C501" t="s">
        <v>82</v>
      </c>
      <c r="D501" t="s">
        <v>36</v>
      </c>
      <c r="E501">
        <v>3</v>
      </c>
      <c r="F501" t="s">
        <v>642</v>
      </c>
    </row>
    <row r="502" spans="1:6" x14ac:dyDescent="0.35">
      <c r="A502" t="s">
        <v>149</v>
      </c>
      <c r="B502" s="1">
        <v>46310</v>
      </c>
      <c r="C502" t="s">
        <v>550</v>
      </c>
      <c r="D502" t="s">
        <v>10</v>
      </c>
      <c r="E502">
        <v>2</v>
      </c>
      <c r="F502" t="s">
        <v>645</v>
      </c>
    </row>
    <row r="503" spans="1:6" x14ac:dyDescent="0.35">
      <c r="A503" t="s">
        <v>150</v>
      </c>
      <c r="B503" s="1">
        <v>46311</v>
      </c>
      <c r="C503" t="s">
        <v>101</v>
      </c>
      <c r="D503" t="s">
        <v>551</v>
      </c>
      <c r="E503">
        <v>3</v>
      </c>
      <c r="F503" t="s">
        <v>648</v>
      </c>
    </row>
    <row r="504" spans="1:6" x14ac:dyDescent="0.35">
      <c r="A504" t="s">
        <v>151</v>
      </c>
      <c r="B504" s="1">
        <v>46312</v>
      </c>
      <c r="C504" t="s">
        <v>156</v>
      </c>
      <c r="D504" t="s">
        <v>66</v>
      </c>
      <c r="F504" t="s">
        <v>649</v>
      </c>
    </row>
    <row r="505" spans="1:6" x14ac:dyDescent="0.35">
      <c r="A505" t="s">
        <v>152</v>
      </c>
      <c r="B505" s="1">
        <v>46313</v>
      </c>
      <c r="C505" t="s">
        <v>86</v>
      </c>
      <c r="D505" t="s">
        <v>552</v>
      </c>
      <c r="E505">
        <v>4</v>
      </c>
      <c r="F505" t="s">
        <v>650</v>
      </c>
    </row>
    <row r="506" spans="1:6" x14ac:dyDescent="0.35">
      <c r="A506" t="s">
        <v>155</v>
      </c>
      <c r="B506" s="1">
        <v>46316</v>
      </c>
      <c r="C506" t="s">
        <v>101</v>
      </c>
      <c r="D506" t="s">
        <v>66</v>
      </c>
      <c r="E506">
        <v>2</v>
      </c>
      <c r="F506" t="s">
        <v>653</v>
      </c>
    </row>
    <row r="507" spans="1:6" x14ac:dyDescent="0.35">
      <c r="A507" t="s">
        <v>157</v>
      </c>
      <c r="B507" s="1">
        <v>46317</v>
      </c>
      <c r="C507" t="s">
        <v>56</v>
      </c>
      <c r="D507" t="s">
        <v>39</v>
      </c>
      <c r="E507">
        <v>5</v>
      </c>
      <c r="F507" t="s">
        <v>654</v>
      </c>
    </row>
    <row r="508" spans="1:6" x14ac:dyDescent="0.35">
      <c r="A508" t="s">
        <v>158</v>
      </c>
      <c r="B508" s="1">
        <v>46318</v>
      </c>
      <c r="C508" t="s">
        <v>14</v>
      </c>
      <c r="D508" t="s">
        <v>20</v>
      </c>
      <c r="E508">
        <v>1</v>
      </c>
      <c r="F508" t="s">
        <v>655</v>
      </c>
    </row>
    <row r="509" spans="1:6" x14ac:dyDescent="0.35">
      <c r="A509" t="s">
        <v>159</v>
      </c>
      <c r="B509" s="1">
        <v>46319</v>
      </c>
      <c r="C509" t="s">
        <v>47</v>
      </c>
      <c r="D509" t="s">
        <v>42</v>
      </c>
      <c r="E509">
        <v>4</v>
      </c>
      <c r="F509" t="s">
        <v>656</v>
      </c>
    </row>
    <row r="510" spans="1:6" x14ac:dyDescent="0.35">
      <c r="A510" t="s">
        <v>160</v>
      </c>
      <c r="B510" s="1">
        <v>46320</v>
      </c>
      <c r="C510" t="s">
        <v>86</v>
      </c>
      <c r="D510" t="s">
        <v>57</v>
      </c>
      <c r="E510">
        <v>2</v>
      </c>
      <c r="F510" t="s">
        <v>657</v>
      </c>
    </row>
    <row r="511" spans="1:6" x14ac:dyDescent="0.35">
      <c r="A511" t="s">
        <v>161</v>
      </c>
      <c r="B511" s="1">
        <v>46321</v>
      </c>
      <c r="C511" t="s">
        <v>28</v>
      </c>
      <c r="D511" t="s">
        <v>12</v>
      </c>
      <c r="E511">
        <v>6</v>
      </c>
      <c r="F511" t="s">
        <v>658</v>
      </c>
    </row>
    <row r="512" spans="1:6" x14ac:dyDescent="0.35">
      <c r="A512" t="s">
        <v>162</v>
      </c>
      <c r="B512" s="1">
        <v>46322</v>
      </c>
      <c r="C512" t="s">
        <v>25</v>
      </c>
      <c r="D512" t="s">
        <v>26</v>
      </c>
      <c r="E512">
        <v>3</v>
      </c>
      <c r="F512" t="s">
        <v>659</v>
      </c>
    </row>
    <row r="513" spans="1:6" x14ac:dyDescent="0.35">
      <c r="A513" t="s">
        <v>163</v>
      </c>
      <c r="B513" s="1">
        <v>46323</v>
      </c>
      <c r="C513" t="s">
        <v>112</v>
      </c>
      <c r="D513" t="s">
        <v>68</v>
      </c>
      <c r="E513">
        <v>7</v>
      </c>
      <c r="F513" t="s">
        <v>660</v>
      </c>
    </row>
    <row r="514" spans="1:6" x14ac:dyDescent="0.35">
      <c r="A514" t="s">
        <v>164</v>
      </c>
      <c r="B514" s="1">
        <v>46324</v>
      </c>
      <c r="C514" t="s">
        <v>33</v>
      </c>
      <c r="D514" t="s">
        <v>73</v>
      </c>
      <c r="E514">
        <v>2</v>
      </c>
      <c r="F514" t="s">
        <v>661</v>
      </c>
    </row>
    <row r="515" spans="1:6" x14ac:dyDescent="0.35">
      <c r="A515" t="s">
        <v>165</v>
      </c>
      <c r="B515" s="1">
        <v>46325</v>
      </c>
      <c r="C515" t="s">
        <v>72</v>
      </c>
      <c r="D515" t="s">
        <v>7</v>
      </c>
      <c r="E515">
        <v>4</v>
      </c>
      <c r="F515" t="s">
        <v>662</v>
      </c>
    </row>
    <row r="516" spans="1:6" x14ac:dyDescent="0.35">
      <c r="A516" t="s">
        <v>166</v>
      </c>
      <c r="B516" s="1">
        <v>46326</v>
      </c>
      <c r="C516" t="s">
        <v>82</v>
      </c>
      <c r="D516" t="s">
        <v>36</v>
      </c>
      <c r="E516">
        <v>5</v>
      </c>
      <c r="F516" t="s">
        <v>663</v>
      </c>
    </row>
    <row r="517" spans="1:6" x14ac:dyDescent="0.35">
      <c r="A517" t="s">
        <v>167</v>
      </c>
      <c r="B517" s="1">
        <v>46327</v>
      </c>
      <c r="C517" t="s">
        <v>23</v>
      </c>
      <c r="D517" t="s">
        <v>15</v>
      </c>
      <c r="E517">
        <v>2</v>
      </c>
      <c r="F517" t="s">
        <v>664</v>
      </c>
    </row>
    <row r="518" spans="1:6" x14ac:dyDescent="0.35">
      <c r="A518" t="s">
        <v>168</v>
      </c>
      <c r="B518" s="1">
        <v>46328</v>
      </c>
      <c r="C518" t="s">
        <v>61</v>
      </c>
      <c r="D518" t="s">
        <v>48</v>
      </c>
      <c r="E518">
        <v>3</v>
      </c>
      <c r="F518" t="s">
        <v>665</v>
      </c>
    </row>
    <row r="519" spans="1:6" x14ac:dyDescent="0.35">
      <c r="A519" t="s">
        <v>169</v>
      </c>
      <c r="B519" s="1">
        <v>46329</v>
      </c>
      <c r="C519" t="s">
        <v>70</v>
      </c>
      <c r="D519" t="s">
        <v>20</v>
      </c>
      <c r="E519">
        <v>6</v>
      </c>
      <c r="F519" t="s">
        <v>642</v>
      </c>
    </row>
    <row r="520" spans="1:6" x14ac:dyDescent="0.35">
      <c r="A520" t="s">
        <v>170</v>
      </c>
      <c r="B520" s="1">
        <v>46330</v>
      </c>
      <c r="C520" t="s">
        <v>6</v>
      </c>
      <c r="D520" t="s">
        <v>10</v>
      </c>
      <c r="E520">
        <v>2</v>
      </c>
      <c r="F520" t="s">
        <v>645</v>
      </c>
    </row>
    <row r="521" spans="1:6" x14ac:dyDescent="0.35">
      <c r="A521" t="s">
        <v>171</v>
      </c>
      <c r="B521" s="1">
        <v>46331</v>
      </c>
      <c r="C521" t="s">
        <v>19</v>
      </c>
      <c r="D521" t="s">
        <v>39</v>
      </c>
      <c r="E521">
        <v>4</v>
      </c>
      <c r="F521" t="s">
        <v>648</v>
      </c>
    </row>
    <row r="522" spans="1:6" x14ac:dyDescent="0.35">
      <c r="A522" t="s">
        <v>172</v>
      </c>
      <c r="B522" s="1">
        <v>46332</v>
      </c>
      <c r="C522" t="s">
        <v>51</v>
      </c>
      <c r="D522" t="s">
        <v>66</v>
      </c>
      <c r="E522">
        <v>1</v>
      </c>
      <c r="F522" t="s">
        <v>649</v>
      </c>
    </row>
    <row r="523" spans="1:6" x14ac:dyDescent="0.35">
      <c r="A523" t="s">
        <v>173</v>
      </c>
      <c r="B523" s="1">
        <v>46333</v>
      </c>
      <c r="C523" t="s">
        <v>35</v>
      </c>
      <c r="D523" t="s">
        <v>42</v>
      </c>
      <c r="E523">
        <v>3</v>
      </c>
      <c r="F523" t="s">
        <v>650</v>
      </c>
    </row>
    <row r="524" spans="1:6" x14ac:dyDescent="0.35">
      <c r="A524" t="s">
        <v>174</v>
      </c>
      <c r="B524" s="1">
        <v>46334</v>
      </c>
      <c r="C524" t="s">
        <v>54</v>
      </c>
      <c r="D524" t="s">
        <v>57</v>
      </c>
      <c r="E524">
        <v>5</v>
      </c>
      <c r="F524" t="s">
        <v>651</v>
      </c>
    </row>
    <row r="525" spans="1:6" x14ac:dyDescent="0.35">
      <c r="A525" t="s">
        <v>175</v>
      </c>
      <c r="B525" s="1">
        <v>46335</v>
      </c>
      <c r="C525" t="s">
        <v>84</v>
      </c>
      <c r="D525" t="s">
        <v>12</v>
      </c>
      <c r="E525">
        <v>2</v>
      </c>
      <c r="F525" t="s">
        <v>652</v>
      </c>
    </row>
    <row r="526" spans="1:6" x14ac:dyDescent="0.35">
      <c r="A526" t="s">
        <v>176</v>
      </c>
      <c r="B526" s="1">
        <v>46336</v>
      </c>
      <c r="C526" t="s">
        <v>17</v>
      </c>
      <c r="D526" t="s">
        <v>26</v>
      </c>
      <c r="E526">
        <v>4</v>
      </c>
      <c r="F526" t="s">
        <v>653</v>
      </c>
    </row>
    <row r="527" spans="1:6" x14ac:dyDescent="0.35">
      <c r="A527" t="s">
        <v>177</v>
      </c>
      <c r="B527" s="1">
        <v>46337</v>
      </c>
      <c r="C527" t="s">
        <v>156</v>
      </c>
      <c r="D527" t="s">
        <v>68</v>
      </c>
      <c r="E527">
        <v>3</v>
      </c>
      <c r="F527" t="s">
        <v>654</v>
      </c>
    </row>
    <row r="528" spans="1:6" x14ac:dyDescent="0.35">
      <c r="A528" t="s">
        <v>178</v>
      </c>
      <c r="B528" s="1">
        <v>46338</v>
      </c>
      <c r="C528" t="s">
        <v>59</v>
      </c>
      <c r="D528" t="s">
        <v>73</v>
      </c>
      <c r="E528">
        <v>2</v>
      </c>
      <c r="F528" t="s">
        <v>655</v>
      </c>
    </row>
    <row r="529" spans="1:6" x14ac:dyDescent="0.35">
      <c r="A529" t="s">
        <v>179</v>
      </c>
      <c r="B529" s="1">
        <v>46339</v>
      </c>
      <c r="C529" t="s">
        <v>88</v>
      </c>
      <c r="D529" t="s">
        <v>7</v>
      </c>
      <c r="E529">
        <v>6</v>
      </c>
      <c r="F529" t="s">
        <v>656</v>
      </c>
    </row>
    <row r="530" spans="1:6" x14ac:dyDescent="0.35">
      <c r="A530" t="s">
        <v>180</v>
      </c>
      <c r="B530" s="1">
        <v>46340</v>
      </c>
      <c r="C530" t="s">
        <v>9</v>
      </c>
      <c r="D530" t="s">
        <v>36</v>
      </c>
      <c r="E530">
        <v>3</v>
      </c>
      <c r="F530" t="s">
        <v>657</v>
      </c>
    </row>
    <row r="531" spans="1:6" x14ac:dyDescent="0.35">
      <c r="A531" t="s">
        <v>181</v>
      </c>
      <c r="B531" s="1">
        <v>46341</v>
      </c>
      <c r="C531" t="s">
        <v>75</v>
      </c>
      <c r="D531" t="s">
        <v>15</v>
      </c>
      <c r="E531">
        <v>5</v>
      </c>
      <c r="F531" t="s">
        <v>658</v>
      </c>
    </row>
    <row r="532" spans="1:6" x14ac:dyDescent="0.35">
      <c r="A532" t="s">
        <v>182</v>
      </c>
      <c r="B532" s="1">
        <v>46342</v>
      </c>
      <c r="C532" t="s">
        <v>38</v>
      </c>
      <c r="D532" t="s">
        <v>48</v>
      </c>
      <c r="E532">
        <v>2</v>
      </c>
      <c r="F532" t="s">
        <v>659</v>
      </c>
    </row>
    <row r="533" spans="1:6" x14ac:dyDescent="0.35">
      <c r="A533" t="s">
        <v>183</v>
      </c>
      <c r="B533" s="1">
        <v>46343</v>
      </c>
      <c r="C533" t="s">
        <v>64</v>
      </c>
      <c r="D533" t="s">
        <v>20</v>
      </c>
      <c r="E533">
        <v>4</v>
      </c>
      <c r="F533" t="s">
        <v>660</v>
      </c>
    </row>
    <row r="534" spans="1:6" x14ac:dyDescent="0.35">
      <c r="A534" t="s">
        <v>184</v>
      </c>
      <c r="B534" s="1">
        <v>46344</v>
      </c>
      <c r="C534" t="s">
        <v>41</v>
      </c>
      <c r="D534" t="s">
        <v>10</v>
      </c>
      <c r="E534">
        <v>3</v>
      </c>
      <c r="F534" t="s">
        <v>661</v>
      </c>
    </row>
    <row r="535" spans="1:6" x14ac:dyDescent="0.35">
      <c r="A535" t="s">
        <v>185</v>
      </c>
      <c r="B535" s="1">
        <v>46345</v>
      </c>
      <c r="C535" t="s">
        <v>144</v>
      </c>
      <c r="D535" t="s">
        <v>68</v>
      </c>
      <c r="E535">
        <v>2</v>
      </c>
      <c r="F535" t="s">
        <v>662</v>
      </c>
    </row>
    <row r="536" spans="1:6" x14ac:dyDescent="0.35">
      <c r="A536" t="s">
        <v>186</v>
      </c>
      <c r="B536" s="1">
        <v>46346</v>
      </c>
      <c r="C536" t="s">
        <v>28</v>
      </c>
      <c r="D536" t="s">
        <v>73</v>
      </c>
      <c r="E536">
        <v>7</v>
      </c>
      <c r="F536" t="s">
        <v>663</v>
      </c>
    </row>
    <row r="537" spans="1:6" x14ac:dyDescent="0.35">
      <c r="A537" t="s">
        <v>187</v>
      </c>
      <c r="B537" s="1">
        <v>46347</v>
      </c>
      <c r="C537" t="s">
        <v>101</v>
      </c>
      <c r="D537" t="s">
        <v>7</v>
      </c>
      <c r="E537">
        <v>1</v>
      </c>
      <c r="F537" t="s">
        <v>664</v>
      </c>
    </row>
    <row r="538" spans="1:6" x14ac:dyDescent="0.35">
      <c r="A538" t="s">
        <v>188</v>
      </c>
      <c r="B538" s="1">
        <v>46348</v>
      </c>
      <c r="C538" t="s">
        <v>47</v>
      </c>
      <c r="D538" t="s">
        <v>36</v>
      </c>
      <c r="E538">
        <v>4</v>
      </c>
      <c r="F538" t="s">
        <v>665</v>
      </c>
    </row>
    <row r="539" spans="1:6" x14ac:dyDescent="0.35">
      <c r="A539" t="s">
        <v>189</v>
      </c>
      <c r="B539" s="1">
        <v>46349</v>
      </c>
      <c r="C539" t="s">
        <v>82</v>
      </c>
      <c r="D539" t="s">
        <v>29</v>
      </c>
      <c r="E539">
        <v>3</v>
      </c>
      <c r="F539" t="s">
        <v>642</v>
      </c>
    </row>
    <row r="540" spans="1:6" x14ac:dyDescent="0.35">
      <c r="A540" t="s">
        <v>190</v>
      </c>
      <c r="B540" s="1">
        <v>46350</v>
      </c>
      <c r="C540" t="s">
        <v>14</v>
      </c>
      <c r="D540" t="s">
        <v>66</v>
      </c>
      <c r="E540">
        <v>5</v>
      </c>
      <c r="F540" t="s">
        <v>645</v>
      </c>
    </row>
    <row r="541" spans="1:6" x14ac:dyDescent="0.35">
      <c r="A541" t="s">
        <v>191</v>
      </c>
      <c r="B541" s="1">
        <v>46351</v>
      </c>
      <c r="C541" t="s">
        <v>72</v>
      </c>
      <c r="D541" t="s">
        <v>42</v>
      </c>
      <c r="E541">
        <v>2</v>
      </c>
      <c r="F541" t="s">
        <v>648</v>
      </c>
    </row>
    <row r="542" spans="1:6" x14ac:dyDescent="0.35">
      <c r="A542" t="s">
        <v>192</v>
      </c>
      <c r="B542" s="1">
        <v>46352</v>
      </c>
      <c r="C542" t="s">
        <v>56</v>
      </c>
      <c r="D542" t="s">
        <v>57</v>
      </c>
      <c r="E542">
        <v>6</v>
      </c>
      <c r="F542" t="s">
        <v>649</v>
      </c>
    </row>
    <row r="543" spans="1:6" x14ac:dyDescent="0.35">
      <c r="A543" t="s">
        <v>193</v>
      </c>
      <c r="B543" s="1">
        <v>46353</v>
      </c>
      <c r="C543" t="s">
        <v>33</v>
      </c>
      <c r="D543" t="s">
        <v>12</v>
      </c>
      <c r="E543">
        <v>3</v>
      </c>
      <c r="F543" t="s">
        <v>650</v>
      </c>
    </row>
    <row r="544" spans="1:6" x14ac:dyDescent="0.35">
      <c r="A544" t="s">
        <v>194</v>
      </c>
      <c r="B544" s="1">
        <v>46354</v>
      </c>
      <c r="C544" t="s">
        <v>19</v>
      </c>
      <c r="D544" t="s">
        <v>26</v>
      </c>
      <c r="E544">
        <v>2</v>
      </c>
      <c r="F544" t="s">
        <v>651</v>
      </c>
    </row>
    <row r="545" spans="1:6" x14ac:dyDescent="0.35">
      <c r="A545" t="s">
        <v>195</v>
      </c>
      <c r="B545" s="1">
        <v>46355</v>
      </c>
      <c r="C545" t="s">
        <v>23</v>
      </c>
      <c r="D545" t="s">
        <v>39</v>
      </c>
      <c r="E545">
        <v>4</v>
      </c>
      <c r="F545" t="s">
        <v>652</v>
      </c>
    </row>
    <row r="546" spans="1:6" x14ac:dyDescent="0.35">
      <c r="A546" t="s">
        <v>196</v>
      </c>
      <c r="B546" s="1">
        <v>46356</v>
      </c>
      <c r="C546" t="s">
        <v>61</v>
      </c>
      <c r="D546" t="s">
        <v>15</v>
      </c>
      <c r="E546">
        <v>5</v>
      </c>
      <c r="F546" t="s">
        <v>653</v>
      </c>
    </row>
    <row r="547" spans="1:6" x14ac:dyDescent="0.35">
      <c r="A547" t="s">
        <v>197</v>
      </c>
      <c r="B547" s="1">
        <v>46357</v>
      </c>
      <c r="C547" t="s">
        <v>70</v>
      </c>
      <c r="D547" t="s">
        <v>48</v>
      </c>
      <c r="E547">
        <v>2</v>
      </c>
      <c r="F547" t="s">
        <v>654</v>
      </c>
    </row>
    <row r="548" spans="1:6" x14ac:dyDescent="0.35">
      <c r="A548" t="s">
        <v>198</v>
      </c>
      <c r="B548" s="1">
        <v>46358</v>
      </c>
      <c r="C548" t="s">
        <v>6</v>
      </c>
      <c r="D548" t="s">
        <v>20</v>
      </c>
      <c r="E548">
        <v>3</v>
      </c>
      <c r="F548" t="s">
        <v>655</v>
      </c>
    </row>
    <row r="549" spans="1:6" x14ac:dyDescent="0.35">
      <c r="A549" t="s">
        <v>199</v>
      </c>
      <c r="B549" s="1">
        <v>46359</v>
      </c>
      <c r="C549" t="s">
        <v>112</v>
      </c>
      <c r="D549" t="s">
        <v>68</v>
      </c>
      <c r="E549">
        <v>4</v>
      </c>
      <c r="F549" t="s">
        <v>656</v>
      </c>
    </row>
    <row r="550" spans="1:6" x14ac:dyDescent="0.35">
      <c r="A550" t="s">
        <v>200</v>
      </c>
      <c r="B550" s="1">
        <v>46360</v>
      </c>
      <c r="C550" t="s">
        <v>35</v>
      </c>
      <c r="D550" t="s">
        <v>73</v>
      </c>
      <c r="E550">
        <v>2</v>
      </c>
      <c r="F550" t="s">
        <v>657</v>
      </c>
    </row>
    <row r="551" spans="1:6" x14ac:dyDescent="0.35">
      <c r="A551" t="s">
        <v>201</v>
      </c>
      <c r="B551" s="1">
        <v>46361</v>
      </c>
      <c r="C551" t="s">
        <v>54</v>
      </c>
      <c r="D551" t="s">
        <v>7</v>
      </c>
      <c r="E551">
        <v>5</v>
      </c>
      <c r="F551" t="s">
        <v>658</v>
      </c>
    </row>
    <row r="552" spans="1:6" x14ac:dyDescent="0.35">
      <c r="A552" t="s">
        <v>202</v>
      </c>
      <c r="B552" s="1">
        <v>46362</v>
      </c>
      <c r="C552" t="s">
        <v>84</v>
      </c>
      <c r="D552" t="s">
        <v>36</v>
      </c>
      <c r="E552">
        <v>3</v>
      </c>
      <c r="F552" t="s">
        <v>659</v>
      </c>
    </row>
    <row r="553" spans="1:6" x14ac:dyDescent="0.35">
      <c r="A553" t="s">
        <v>203</v>
      </c>
      <c r="B553" s="1">
        <v>46363</v>
      </c>
      <c r="C553" t="s">
        <v>17</v>
      </c>
      <c r="D553" t="s">
        <v>29</v>
      </c>
      <c r="E553">
        <v>4</v>
      </c>
      <c r="F553" t="s">
        <v>660</v>
      </c>
    </row>
    <row r="554" spans="1:6" x14ac:dyDescent="0.35">
      <c r="A554" t="s">
        <v>204</v>
      </c>
      <c r="B554" s="1">
        <v>46364</v>
      </c>
      <c r="C554" t="s">
        <v>88</v>
      </c>
      <c r="D554" t="s">
        <v>10</v>
      </c>
      <c r="E554">
        <v>2</v>
      </c>
      <c r="F554" t="s">
        <v>661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2D1C-9624-4DD5-A8AD-82F6CC291044}">
  <dimension ref="A1:D31"/>
  <sheetViews>
    <sheetView showGridLines="0" workbookViewId="0">
      <selection activeCell="F4" sqref="F4"/>
    </sheetView>
  </sheetViews>
  <sheetFormatPr baseColWidth="10" defaultRowHeight="14.5" x14ac:dyDescent="0.35"/>
  <cols>
    <col min="1" max="1" width="11.81640625" bestFit="1" customWidth="1"/>
    <col min="2" max="2" width="18.453125" bestFit="1" customWidth="1"/>
    <col min="3" max="3" width="11.08984375" bestFit="1" customWidth="1"/>
    <col min="4" max="4" width="6.81640625" bestFit="1" customWidth="1"/>
  </cols>
  <sheetData>
    <row r="1" spans="1:4" x14ac:dyDescent="0.35">
      <c r="A1" t="s">
        <v>2</v>
      </c>
      <c r="B1" t="s">
        <v>574</v>
      </c>
      <c r="C1" t="s">
        <v>575</v>
      </c>
      <c r="D1" t="s">
        <v>576</v>
      </c>
    </row>
    <row r="2" spans="1:4" x14ac:dyDescent="0.35">
      <c r="A2" t="s">
        <v>144</v>
      </c>
      <c r="B2" t="s">
        <v>577</v>
      </c>
      <c r="C2" t="s">
        <v>578</v>
      </c>
      <c r="D2">
        <v>450000</v>
      </c>
    </row>
    <row r="3" spans="1:4" x14ac:dyDescent="0.35">
      <c r="A3" t="s">
        <v>54</v>
      </c>
      <c r="B3" t="s">
        <v>579</v>
      </c>
      <c r="C3" t="s">
        <v>580</v>
      </c>
      <c r="D3">
        <v>10000</v>
      </c>
    </row>
    <row r="4" spans="1:4" x14ac:dyDescent="0.35">
      <c r="A4" t="s">
        <v>28</v>
      </c>
      <c r="B4" t="s">
        <v>581</v>
      </c>
      <c r="C4" t="s">
        <v>578</v>
      </c>
      <c r="D4">
        <v>120000</v>
      </c>
    </row>
    <row r="5" spans="1:4" x14ac:dyDescent="0.35">
      <c r="A5" t="s">
        <v>9</v>
      </c>
      <c r="B5" t="s">
        <v>582</v>
      </c>
      <c r="C5" t="s">
        <v>580</v>
      </c>
      <c r="D5">
        <v>15000</v>
      </c>
    </row>
    <row r="6" spans="1:4" x14ac:dyDescent="0.35">
      <c r="A6" t="s">
        <v>101</v>
      </c>
      <c r="B6" t="s">
        <v>583</v>
      </c>
      <c r="C6" t="s">
        <v>584</v>
      </c>
      <c r="D6">
        <v>85000</v>
      </c>
    </row>
    <row r="7" spans="1:4" x14ac:dyDescent="0.35">
      <c r="A7" t="s">
        <v>6</v>
      </c>
      <c r="B7" t="s">
        <v>585</v>
      </c>
      <c r="C7" t="s">
        <v>578</v>
      </c>
      <c r="D7">
        <v>520000</v>
      </c>
    </row>
    <row r="8" spans="1:4" x14ac:dyDescent="0.35">
      <c r="A8" t="s">
        <v>72</v>
      </c>
      <c r="B8" t="s">
        <v>586</v>
      </c>
      <c r="C8" t="s">
        <v>578</v>
      </c>
      <c r="D8">
        <v>110000</v>
      </c>
    </row>
    <row r="9" spans="1:4" x14ac:dyDescent="0.35">
      <c r="A9" t="s">
        <v>47</v>
      </c>
      <c r="B9" t="s">
        <v>587</v>
      </c>
      <c r="C9" t="s">
        <v>580</v>
      </c>
      <c r="D9">
        <v>35000</v>
      </c>
    </row>
    <row r="10" spans="1:4" x14ac:dyDescent="0.35">
      <c r="A10" t="s">
        <v>61</v>
      </c>
      <c r="B10" t="s">
        <v>588</v>
      </c>
      <c r="C10" t="s">
        <v>578</v>
      </c>
      <c r="D10">
        <v>45000</v>
      </c>
    </row>
    <row r="11" spans="1:4" x14ac:dyDescent="0.35">
      <c r="A11" t="s">
        <v>156</v>
      </c>
      <c r="B11" t="s">
        <v>589</v>
      </c>
      <c r="C11" t="s">
        <v>584</v>
      </c>
      <c r="D11">
        <v>90000</v>
      </c>
    </row>
    <row r="12" spans="1:4" x14ac:dyDescent="0.35">
      <c r="A12" t="s">
        <v>51</v>
      </c>
      <c r="B12" t="s">
        <v>590</v>
      </c>
      <c r="C12" t="s">
        <v>584</v>
      </c>
      <c r="D12">
        <v>70000</v>
      </c>
    </row>
    <row r="13" spans="1:4" x14ac:dyDescent="0.35">
      <c r="A13" t="s">
        <v>56</v>
      </c>
      <c r="B13" t="s">
        <v>591</v>
      </c>
      <c r="C13" t="s">
        <v>578</v>
      </c>
      <c r="D13">
        <v>65000</v>
      </c>
    </row>
    <row r="14" spans="1:4" x14ac:dyDescent="0.35">
      <c r="A14" t="s">
        <v>88</v>
      </c>
      <c r="B14" t="s">
        <v>592</v>
      </c>
      <c r="C14" t="s">
        <v>578</v>
      </c>
      <c r="D14">
        <v>110000</v>
      </c>
    </row>
    <row r="15" spans="1:4" x14ac:dyDescent="0.35">
      <c r="A15" t="s">
        <v>82</v>
      </c>
      <c r="B15" t="s">
        <v>593</v>
      </c>
      <c r="C15" t="s">
        <v>580</v>
      </c>
      <c r="D15">
        <v>8000</v>
      </c>
    </row>
    <row r="16" spans="1:4" x14ac:dyDescent="0.35">
      <c r="A16" t="s">
        <v>86</v>
      </c>
      <c r="B16" t="s">
        <v>594</v>
      </c>
      <c r="C16" t="s">
        <v>580</v>
      </c>
      <c r="D16">
        <v>12000</v>
      </c>
    </row>
    <row r="17" spans="1:4" x14ac:dyDescent="0.35">
      <c r="A17" t="s">
        <v>84</v>
      </c>
      <c r="B17" t="s">
        <v>595</v>
      </c>
      <c r="C17" t="s">
        <v>596</v>
      </c>
      <c r="D17">
        <v>30000</v>
      </c>
    </row>
    <row r="18" spans="1:4" x14ac:dyDescent="0.35">
      <c r="A18" t="s">
        <v>38</v>
      </c>
      <c r="B18" t="s">
        <v>597</v>
      </c>
      <c r="C18" t="s">
        <v>596</v>
      </c>
      <c r="D18">
        <v>45000</v>
      </c>
    </row>
    <row r="19" spans="1:4" x14ac:dyDescent="0.35">
      <c r="A19" t="s">
        <v>19</v>
      </c>
      <c r="B19" t="s">
        <v>598</v>
      </c>
      <c r="C19" t="s">
        <v>580</v>
      </c>
      <c r="D19">
        <v>7000</v>
      </c>
    </row>
    <row r="20" spans="1:4" x14ac:dyDescent="0.35">
      <c r="A20" t="s">
        <v>112</v>
      </c>
      <c r="B20" t="s">
        <v>599</v>
      </c>
      <c r="C20" t="s">
        <v>596</v>
      </c>
      <c r="D20">
        <v>6000</v>
      </c>
    </row>
    <row r="21" spans="1:4" x14ac:dyDescent="0.35">
      <c r="A21" t="s">
        <v>64</v>
      </c>
      <c r="B21" t="s">
        <v>600</v>
      </c>
      <c r="C21" t="s">
        <v>578</v>
      </c>
      <c r="D21">
        <v>75000</v>
      </c>
    </row>
    <row r="22" spans="1:4" x14ac:dyDescent="0.35">
      <c r="A22" t="s">
        <v>14</v>
      </c>
      <c r="B22" t="s">
        <v>601</v>
      </c>
      <c r="C22" t="s">
        <v>602</v>
      </c>
      <c r="D22">
        <v>180000</v>
      </c>
    </row>
    <row r="23" spans="1:4" x14ac:dyDescent="0.35">
      <c r="A23" t="s">
        <v>23</v>
      </c>
      <c r="B23" t="s">
        <v>603</v>
      </c>
      <c r="C23" t="s">
        <v>602</v>
      </c>
      <c r="D23">
        <v>220000</v>
      </c>
    </row>
    <row r="24" spans="1:4" x14ac:dyDescent="0.35">
      <c r="A24" t="s">
        <v>59</v>
      </c>
      <c r="B24" t="s">
        <v>604</v>
      </c>
      <c r="C24" t="s">
        <v>602</v>
      </c>
      <c r="D24">
        <v>160000</v>
      </c>
    </row>
    <row r="25" spans="1:4" x14ac:dyDescent="0.35">
      <c r="A25" t="s">
        <v>70</v>
      </c>
      <c r="B25" t="s">
        <v>605</v>
      </c>
      <c r="C25" t="s">
        <v>580</v>
      </c>
      <c r="D25">
        <v>25000</v>
      </c>
    </row>
    <row r="26" spans="1:4" x14ac:dyDescent="0.35">
      <c r="A26" t="s">
        <v>35</v>
      </c>
      <c r="B26" t="s">
        <v>606</v>
      </c>
      <c r="C26" t="s">
        <v>580</v>
      </c>
      <c r="D26">
        <v>55000</v>
      </c>
    </row>
    <row r="27" spans="1:4" x14ac:dyDescent="0.35">
      <c r="A27" t="s">
        <v>41</v>
      </c>
      <c r="B27" t="s">
        <v>607</v>
      </c>
      <c r="C27" t="s">
        <v>580</v>
      </c>
      <c r="D27">
        <v>40000</v>
      </c>
    </row>
    <row r="28" spans="1:4" x14ac:dyDescent="0.35">
      <c r="A28" t="s">
        <v>25</v>
      </c>
      <c r="B28" t="s">
        <v>608</v>
      </c>
      <c r="C28" t="s">
        <v>580</v>
      </c>
      <c r="D28">
        <v>18000</v>
      </c>
    </row>
    <row r="29" spans="1:4" x14ac:dyDescent="0.35">
      <c r="A29" t="s">
        <v>17</v>
      </c>
      <c r="B29" t="s">
        <v>609</v>
      </c>
      <c r="C29" t="s">
        <v>580</v>
      </c>
      <c r="D29">
        <v>12000</v>
      </c>
    </row>
    <row r="30" spans="1:4" x14ac:dyDescent="0.35">
      <c r="A30" t="s">
        <v>75</v>
      </c>
      <c r="B30" t="s">
        <v>610</v>
      </c>
      <c r="C30" t="s">
        <v>580</v>
      </c>
      <c r="D30">
        <v>20000</v>
      </c>
    </row>
    <row r="31" spans="1:4" x14ac:dyDescent="0.35">
      <c r="A31" t="s">
        <v>33</v>
      </c>
      <c r="B31" t="s">
        <v>611</v>
      </c>
      <c r="C31" t="s">
        <v>578</v>
      </c>
      <c r="D31">
        <v>75000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B99A-D295-42F6-AD61-6B69C908B8E6}">
  <dimension ref="A2:K57"/>
  <sheetViews>
    <sheetView showGridLines="0" zoomScale="66" workbookViewId="0">
      <selection activeCell="H63" sqref="H63"/>
    </sheetView>
  </sheetViews>
  <sheetFormatPr baseColWidth="10" defaultRowHeight="14.5" x14ac:dyDescent="0.35"/>
  <cols>
    <col min="1" max="1" width="21.81640625" bestFit="1" customWidth="1"/>
    <col min="2" max="2" width="9.81640625" bestFit="1" customWidth="1"/>
    <col min="3" max="3" width="11.54296875" bestFit="1" customWidth="1"/>
    <col min="4" max="4" width="12.1796875" bestFit="1" customWidth="1"/>
    <col min="5" max="5" width="8.81640625" bestFit="1" customWidth="1"/>
    <col min="6" max="6" width="10.7265625" bestFit="1" customWidth="1"/>
    <col min="7" max="8" width="12.08984375" bestFit="1" customWidth="1"/>
    <col min="9" max="9" width="21.81640625" bestFit="1" customWidth="1"/>
    <col min="10" max="10" width="24.7265625" bestFit="1" customWidth="1"/>
    <col min="11" max="11" width="7.54296875" bestFit="1" customWidth="1"/>
    <col min="12" max="12" width="7" bestFit="1" customWidth="1"/>
    <col min="13" max="13" width="10.7265625" bestFit="1" customWidth="1"/>
    <col min="14" max="14" width="5.6328125" bestFit="1" customWidth="1"/>
    <col min="15" max="15" width="12.08984375" bestFit="1" customWidth="1"/>
    <col min="16" max="16" width="21.81640625" bestFit="1" customWidth="1"/>
    <col min="17" max="17" width="9.81640625" bestFit="1" customWidth="1"/>
  </cols>
  <sheetData>
    <row r="2" spans="1:11" x14ac:dyDescent="0.35">
      <c r="G2" s="25" t="s">
        <v>634</v>
      </c>
      <c r="H2" s="25"/>
      <c r="I2" s="25"/>
      <c r="J2" s="25"/>
      <c r="K2" s="25"/>
    </row>
    <row r="3" spans="1:11" x14ac:dyDescent="0.35">
      <c r="G3" s="25"/>
      <c r="H3" s="25"/>
      <c r="I3" s="25"/>
      <c r="J3" s="25"/>
      <c r="K3" s="25"/>
    </row>
    <row r="5" spans="1:11" x14ac:dyDescent="0.35">
      <c r="A5" s="2" t="s">
        <v>612</v>
      </c>
      <c r="B5" s="14" t="s">
        <v>667</v>
      </c>
    </row>
    <row r="6" spans="1:11" x14ac:dyDescent="0.35">
      <c r="A6" s="3" t="s">
        <v>580</v>
      </c>
      <c r="B6" s="16">
        <v>47429000</v>
      </c>
    </row>
    <row r="7" spans="1:11" x14ac:dyDescent="0.35">
      <c r="A7" s="3" t="s">
        <v>584</v>
      </c>
      <c r="B7" s="16">
        <v>51895000</v>
      </c>
    </row>
    <row r="8" spans="1:11" x14ac:dyDescent="0.35">
      <c r="A8" s="3" t="s">
        <v>578</v>
      </c>
      <c r="B8" s="16">
        <v>304975000</v>
      </c>
    </row>
    <row r="9" spans="1:11" x14ac:dyDescent="0.35">
      <c r="A9" s="3" t="s">
        <v>596</v>
      </c>
      <c r="B9" s="16">
        <v>13347000</v>
      </c>
    </row>
    <row r="10" spans="1:11" x14ac:dyDescent="0.35">
      <c r="A10" s="3" t="s">
        <v>602</v>
      </c>
      <c r="B10" s="16">
        <v>99120000</v>
      </c>
    </row>
    <row r="11" spans="1:11" x14ac:dyDescent="0.35">
      <c r="A11" s="3" t="s">
        <v>613</v>
      </c>
      <c r="B11" s="16">
        <v>516766000</v>
      </c>
    </row>
    <row r="18" spans="1:7" x14ac:dyDescent="0.35">
      <c r="A18" s="2" t="s">
        <v>612</v>
      </c>
      <c r="B18" s="14" t="s">
        <v>667</v>
      </c>
    </row>
    <row r="19" spans="1:7" x14ac:dyDescent="0.35">
      <c r="A19" s="3" t="s">
        <v>556</v>
      </c>
      <c r="B19" s="16">
        <v>199644000</v>
      </c>
    </row>
    <row r="20" spans="1:7" x14ac:dyDescent="0.35">
      <c r="A20" s="3" t="s">
        <v>563</v>
      </c>
      <c r="B20" s="16">
        <v>102549000</v>
      </c>
    </row>
    <row r="21" spans="1:7" x14ac:dyDescent="0.35">
      <c r="A21" s="3" t="s">
        <v>561</v>
      </c>
      <c r="B21" s="16">
        <v>110406000</v>
      </c>
    </row>
    <row r="22" spans="1:7" x14ac:dyDescent="0.35">
      <c r="A22" s="3" t="s">
        <v>558</v>
      </c>
      <c r="B22" s="16">
        <v>103864000</v>
      </c>
    </row>
    <row r="23" spans="1:7" x14ac:dyDescent="0.35">
      <c r="A23" s="3" t="s">
        <v>673</v>
      </c>
      <c r="B23" s="16">
        <v>303000</v>
      </c>
    </row>
    <row r="24" spans="1:7" x14ac:dyDescent="0.35">
      <c r="A24" s="3" t="s">
        <v>613</v>
      </c>
      <c r="B24" s="16">
        <v>516766000</v>
      </c>
    </row>
    <row r="31" spans="1:7" x14ac:dyDescent="0.35">
      <c r="A31" s="2" t="s">
        <v>667</v>
      </c>
      <c r="B31" s="2" t="s">
        <v>677</v>
      </c>
      <c r="C31" s="14"/>
      <c r="D31" s="14"/>
      <c r="E31" s="14"/>
      <c r="F31" s="14"/>
      <c r="G31" s="14"/>
    </row>
    <row r="32" spans="1:7" x14ac:dyDescent="0.35">
      <c r="A32" s="2" t="s">
        <v>612</v>
      </c>
      <c r="B32" s="14" t="s">
        <v>580</v>
      </c>
      <c r="C32" s="14" t="s">
        <v>584</v>
      </c>
      <c r="D32" s="14" t="s">
        <v>578</v>
      </c>
      <c r="E32" s="14" t="s">
        <v>596</v>
      </c>
      <c r="F32" s="14" t="s">
        <v>602</v>
      </c>
      <c r="G32" s="14" t="s">
        <v>613</v>
      </c>
    </row>
    <row r="33" spans="1:7" x14ac:dyDescent="0.35">
      <c r="A33" s="3" t="s">
        <v>556</v>
      </c>
      <c r="B33" s="16">
        <v>15850000</v>
      </c>
      <c r="C33" s="16">
        <v>11170000</v>
      </c>
      <c r="D33" s="16">
        <v>121160000</v>
      </c>
      <c r="E33" s="16">
        <v>5604000</v>
      </c>
      <c r="F33" s="16">
        <v>45860000</v>
      </c>
      <c r="G33" s="16">
        <v>199644000</v>
      </c>
    </row>
    <row r="34" spans="1:7" x14ac:dyDescent="0.35">
      <c r="A34" s="3" t="s">
        <v>563</v>
      </c>
      <c r="B34" s="16">
        <v>9979000</v>
      </c>
      <c r="C34" s="16">
        <v>13060000</v>
      </c>
      <c r="D34" s="16">
        <v>57555000</v>
      </c>
      <c r="E34" s="16">
        <v>1635000</v>
      </c>
      <c r="F34" s="16">
        <v>20320000</v>
      </c>
      <c r="G34" s="16">
        <v>102549000</v>
      </c>
    </row>
    <row r="35" spans="1:7" x14ac:dyDescent="0.35">
      <c r="A35" s="3" t="s">
        <v>561</v>
      </c>
      <c r="B35" s="16">
        <v>10003000</v>
      </c>
      <c r="C35" s="16">
        <v>14610000</v>
      </c>
      <c r="D35" s="16">
        <v>62020000</v>
      </c>
      <c r="E35" s="16">
        <v>2913000</v>
      </c>
      <c r="F35" s="16">
        <v>20860000</v>
      </c>
      <c r="G35" s="16">
        <v>110406000</v>
      </c>
    </row>
    <row r="36" spans="1:7" x14ac:dyDescent="0.35">
      <c r="A36" s="3" t="s">
        <v>558</v>
      </c>
      <c r="B36" s="16">
        <v>11549000</v>
      </c>
      <c r="C36" s="16">
        <v>12800000</v>
      </c>
      <c r="D36" s="16">
        <v>64240000</v>
      </c>
      <c r="E36" s="16">
        <v>3195000</v>
      </c>
      <c r="F36" s="16">
        <v>12080000</v>
      </c>
      <c r="G36" s="16">
        <v>103864000</v>
      </c>
    </row>
    <row r="37" spans="1:7" x14ac:dyDescent="0.35">
      <c r="A37" s="3" t="s">
        <v>673</v>
      </c>
      <c r="B37" s="16">
        <v>48000</v>
      </c>
      <c r="C37" s="16">
        <v>255000</v>
      </c>
      <c r="D37" s="16"/>
      <c r="E37" s="16"/>
      <c r="F37" s="16"/>
      <c r="G37" s="16">
        <v>303000</v>
      </c>
    </row>
    <row r="38" spans="1:7" x14ac:dyDescent="0.35">
      <c r="A38" s="3" t="s">
        <v>613</v>
      </c>
      <c r="B38" s="16">
        <v>47429000</v>
      </c>
      <c r="C38" s="16">
        <v>51895000</v>
      </c>
      <c r="D38" s="16">
        <v>304975000</v>
      </c>
      <c r="E38" s="16">
        <v>13347000</v>
      </c>
      <c r="F38" s="16">
        <v>99120000</v>
      </c>
      <c r="G38" s="16">
        <v>516766000</v>
      </c>
    </row>
    <row r="43" spans="1:7" ht="14.5" customHeight="1" x14ac:dyDescent="0.35"/>
    <row r="44" spans="1:7" ht="14.5" customHeight="1" x14ac:dyDescent="0.35">
      <c r="A44" s="2" t="s">
        <v>612</v>
      </c>
      <c r="B44" s="14" t="s">
        <v>667</v>
      </c>
    </row>
    <row r="45" spans="1:7" x14ac:dyDescent="0.35">
      <c r="A45" s="3" t="s">
        <v>621</v>
      </c>
      <c r="B45" s="16">
        <v>39270000</v>
      </c>
    </row>
    <row r="46" spans="1:7" x14ac:dyDescent="0.35">
      <c r="A46" s="3" t="s">
        <v>620</v>
      </c>
      <c r="B46" s="16">
        <v>40867000</v>
      </c>
    </row>
    <row r="47" spans="1:7" x14ac:dyDescent="0.35">
      <c r="A47" s="3" t="s">
        <v>625</v>
      </c>
      <c r="B47" s="16">
        <v>29056000</v>
      </c>
    </row>
    <row r="48" spans="1:7" x14ac:dyDescent="0.35">
      <c r="A48" s="3" t="s">
        <v>618</v>
      </c>
      <c r="B48" s="16">
        <v>28745000</v>
      </c>
    </row>
    <row r="49" spans="1:2" x14ac:dyDescent="0.35">
      <c r="A49" s="3" t="s">
        <v>624</v>
      </c>
      <c r="B49" s="16">
        <v>74465000</v>
      </c>
    </row>
    <row r="50" spans="1:2" x14ac:dyDescent="0.35">
      <c r="A50" s="3" t="s">
        <v>623</v>
      </c>
      <c r="B50" s="16">
        <v>39139000</v>
      </c>
    </row>
    <row r="51" spans="1:2" x14ac:dyDescent="0.35">
      <c r="A51" s="3" t="s">
        <v>622</v>
      </c>
      <c r="B51" s="16">
        <v>45697000</v>
      </c>
    </row>
    <row r="52" spans="1:2" x14ac:dyDescent="0.35">
      <c r="A52" s="3" t="s">
        <v>617</v>
      </c>
      <c r="B52" s="16">
        <v>59945000</v>
      </c>
    </row>
    <row r="53" spans="1:2" x14ac:dyDescent="0.35">
      <c r="A53" s="3" t="s">
        <v>628</v>
      </c>
      <c r="B53" s="16">
        <v>28371000</v>
      </c>
    </row>
    <row r="54" spans="1:2" x14ac:dyDescent="0.35">
      <c r="A54" s="3" t="s">
        <v>627</v>
      </c>
      <c r="B54" s="16">
        <v>50926000</v>
      </c>
    </row>
    <row r="55" spans="1:2" x14ac:dyDescent="0.35">
      <c r="A55" s="3" t="s">
        <v>626</v>
      </c>
      <c r="B55" s="16">
        <v>43027000</v>
      </c>
    </row>
    <row r="56" spans="1:2" x14ac:dyDescent="0.35">
      <c r="A56" s="3" t="s">
        <v>619</v>
      </c>
      <c r="B56" s="16">
        <v>37258000</v>
      </c>
    </row>
    <row r="57" spans="1:2" x14ac:dyDescent="0.35">
      <c r="A57" s="3" t="s">
        <v>613</v>
      </c>
      <c r="B57" s="16">
        <v>516766000</v>
      </c>
    </row>
  </sheetData>
  <mergeCells count="1">
    <mergeCell ref="G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1032-1BE8-43DB-9418-97BDAA038536}">
  <dimension ref="A1:R37"/>
  <sheetViews>
    <sheetView showGridLines="0" tabSelected="1" topLeftCell="A3" zoomScale="76" workbookViewId="0">
      <selection activeCell="R37" sqref="R37"/>
    </sheetView>
  </sheetViews>
  <sheetFormatPr baseColWidth="10" defaultRowHeight="14.5" x14ac:dyDescent="0.35"/>
  <sheetData>
    <row r="1" spans="1:13" x14ac:dyDescent="0.35">
      <c r="F1" s="19" t="s">
        <v>633</v>
      </c>
      <c r="G1" s="19"/>
      <c r="H1" s="19"/>
      <c r="I1" s="19"/>
      <c r="J1" s="19"/>
    </row>
    <row r="2" spans="1:13" x14ac:dyDescent="0.35">
      <c r="F2" s="19"/>
      <c r="G2" s="19"/>
      <c r="H2" s="19"/>
      <c r="I2" s="19"/>
      <c r="J2" s="19"/>
    </row>
    <row r="3" spans="1:13" ht="14.5" customHeight="1" x14ac:dyDescent="0.35">
      <c r="F3" s="19"/>
      <c r="G3" s="19"/>
      <c r="H3" s="19"/>
      <c r="I3" s="19"/>
      <c r="J3" s="19"/>
    </row>
    <row r="4" spans="1:13" ht="14.5" customHeight="1" x14ac:dyDescent="0.35">
      <c r="F4" s="19"/>
      <c r="G4" s="19"/>
      <c r="H4" s="19"/>
      <c r="I4" s="19"/>
      <c r="J4" s="19"/>
    </row>
    <row r="6" spans="1:13" ht="14.5" customHeight="1" x14ac:dyDescent="0.35">
      <c r="A6" s="22" t="s">
        <v>635</v>
      </c>
      <c r="B6" s="22"/>
      <c r="C6" s="22"/>
      <c r="F6" s="22" t="s">
        <v>636</v>
      </c>
      <c r="G6" s="22"/>
      <c r="H6" s="22"/>
      <c r="K6" s="22" t="s">
        <v>637</v>
      </c>
      <c r="L6" s="22"/>
      <c r="M6" s="22"/>
    </row>
    <row r="7" spans="1:13" ht="14.5" customHeight="1" x14ac:dyDescent="0.35">
      <c r="A7" s="22"/>
      <c r="B7" s="22"/>
      <c r="C7" s="22"/>
      <c r="F7" s="22"/>
      <c r="G7" s="22"/>
      <c r="H7" s="22"/>
      <c r="K7" s="22"/>
      <c r="L7" s="22"/>
      <c r="M7" s="22"/>
    </row>
    <row r="8" spans="1:13" x14ac:dyDescent="0.35">
      <c r="A8" s="23">
        <f>GETPIVOTDATA("[Measures].[CA_total]",'TCD jour 23'!$A$5)</f>
        <v>516766000</v>
      </c>
      <c r="B8" s="23"/>
      <c r="C8" s="23"/>
      <c r="F8" s="23">
        <f>SUM(Ventes!E:E)</f>
        <v>5463</v>
      </c>
      <c r="G8" s="23"/>
      <c r="H8" s="23"/>
      <c r="K8" s="23" cm="1">
        <f t="array" ref="K8">_xlfn.UNIQUE(COUNTA(Produits!B2:B31))</f>
        <v>30</v>
      </c>
      <c r="L8" s="23"/>
      <c r="M8" s="23"/>
    </row>
    <row r="9" spans="1:13" x14ac:dyDescent="0.35">
      <c r="A9" s="23"/>
      <c r="B9" s="23"/>
      <c r="C9" s="23"/>
      <c r="F9" s="23"/>
      <c r="G9" s="23"/>
      <c r="H9" s="23"/>
      <c r="K9" s="23"/>
      <c r="L9" s="23"/>
      <c r="M9" s="23"/>
    </row>
    <row r="12" spans="1:13" ht="14.5" customHeight="1" x14ac:dyDescent="0.35">
      <c r="A12" s="24" t="s">
        <v>629</v>
      </c>
      <c r="B12" s="24"/>
      <c r="C12" s="24"/>
      <c r="D12" s="24"/>
      <c r="E12" s="24"/>
      <c r="F12" s="24"/>
      <c r="H12" s="21" t="s">
        <v>630</v>
      </c>
      <c r="I12" s="21"/>
      <c r="J12" s="21"/>
      <c r="K12" s="21"/>
      <c r="L12" s="21"/>
      <c r="M12" s="21"/>
    </row>
    <row r="13" spans="1:13" ht="14.5" customHeight="1" x14ac:dyDescent="0.35">
      <c r="A13" s="24"/>
      <c r="B13" s="24"/>
      <c r="C13" s="24"/>
      <c r="D13" s="24"/>
      <c r="E13" s="24"/>
      <c r="F13" s="24"/>
      <c r="H13" s="21"/>
      <c r="I13" s="21"/>
      <c r="J13" s="21"/>
      <c r="K13" s="21"/>
      <c r="L13" s="21"/>
      <c r="M13" s="21"/>
    </row>
    <row r="31" spans="1:12" x14ac:dyDescent="0.35">
      <c r="A31" s="20" t="s">
        <v>631</v>
      </c>
      <c r="B31" s="20"/>
      <c r="C31" s="20"/>
      <c r="D31" s="20"/>
      <c r="E31" s="20"/>
      <c r="F31" s="20"/>
      <c r="H31" s="21" t="s">
        <v>632</v>
      </c>
      <c r="I31" s="21"/>
      <c r="J31" s="21"/>
      <c r="K31" s="21"/>
      <c r="L31" s="21"/>
    </row>
    <row r="32" spans="1:12" x14ac:dyDescent="0.35">
      <c r="A32" s="20"/>
      <c r="B32" s="20"/>
      <c r="C32" s="20"/>
      <c r="D32" s="20"/>
      <c r="E32" s="20"/>
      <c r="F32" s="20"/>
      <c r="H32" s="21"/>
      <c r="I32" s="21"/>
      <c r="J32" s="21"/>
      <c r="K32" s="21"/>
      <c r="L32" s="21"/>
    </row>
    <row r="37" spans="18:18" x14ac:dyDescent="0.35">
      <c r="R37" s="18"/>
    </row>
  </sheetData>
  <mergeCells count="11">
    <mergeCell ref="F1:J4"/>
    <mergeCell ref="A31:F32"/>
    <mergeCell ref="H31:L32"/>
    <mergeCell ref="K6:M7"/>
    <mergeCell ref="A6:C7"/>
    <mergeCell ref="F6:H7"/>
    <mergeCell ref="K8:M9"/>
    <mergeCell ref="A12:F13"/>
    <mergeCell ref="H12:M13"/>
    <mergeCell ref="F8:H9"/>
    <mergeCell ref="A8:C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323C-154C-4104-991F-D7966A641B0F}">
  <dimension ref="A1:E45"/>
  <sheetViews>
    <sheetView showGridLines="0" zoomScale="66" workbookViewId="0">
      <selection activeCell="A7" sqref="A7"/>
    </sheetView>
  </sheetViews>
  <sheetFormatPr baseColWidth="10" defaultRowHeight="14.5" x14ac:dyDescent="0.35"/>
  <cols>
    <col min="1" max="1" width="9.81640625" bestFit="1" customWidth="1"/>
    <col min="2" max="2" width="10.1796875" bestFit="1" customWidth="1"/>
    <col min="3" max="3" width="14.7265625" bestFit="1" customWidth="1"/>
    <col min="4" max="4" width="9.81640625" bestFit="1" customWidth="1"/>
    <col min="5" max="5" width="18.08984375" bestFit="1" customWidth="1"/>
  </cols>
  <sheetData>
    <row r="1" spans="1:5" ht="14.5" customHeight="1" x14ac:dyDescent="0.6">
      <c r="E1" s="15"/>
    </row>
    <row r="2" spans="1:5" ht="14.5" customHeight="1" x14ac:dyDescent="0.6">
      <c r="D2" s="15"/>
      <c r="E2" s="15"/>
    </row>
    <row r="3" spans="1:5" x14ac:dyDescent="0.35">
      <c r="A3" s="14" t="s">
        <v>671</v>
      </c>
      <c r="B3" s="14" t="s">
        <v>669</v>
      </c>
      <c r="C3" s="14" t="s">
        <v>668</v>
      </c>
      <c r="D3" s="14" t="s">
        <v>667</v>
      </c>
    </row>
    <row r="4" spans="1:5" x14ac:dyDescent="0.35">
      <c r="A4" s="14" t="s">
        <v>672</v>
      </c>
      <c r="B4" s="17">
        <v>9.8788426763110309</v>
      </c>
      <c r="C4" s="14">
        <v>553</v>
      </c>
      <c r="D4" s="16">
        <v>516766000</v>
      </c>
    </row>
    <row r="6" spans="1:5" x14ac:dyDescent="0.35">
      <c r="A6" s="2" t="s">
        <v>612</v>
      </c>
      <c r="B6" s="14" t="s">
        <v>667</v>
      </c>
      <c r="C6" s="14" t="s">
        <v>670</v>
      </c>
    </row>
    <row r="7" spans="1:5" x14ac:dyDescent="0.35">
      <c r="A7" s="3" t="s">
        <v>556</v>
      </c>
      <c r="B7" s="16">
        <v>199644000</v>
      </c>
      <c r="C7" s="14">
        <v>2054</v>
      </c>
    </row>
    <row r="8" spans="1:5" x14ac:dyDescent="0.35">
      <c r="A8" s="3" t="s">
        <v>563</v>
      </c>
      <c r="B8" s="16">
        <v>102549000</v>
      </c>
      <c r="C8" s="14">
        <v>1097</v>
      </c>
    </row>
    <row r="9" spans="1:5" x14ac:dyDescent="0.35">
      <c r="A9" s="3" t="s">
        <v>561</v>
      </c>
      <c r="B9" s="16">
        <v>110406000</v>
      </c>
      <c r="C9" s="14">
        <v>1205</v>
      </c>
    </row>
    <row r="10" spans="1:5" x14ac:dyDescent="0.35">
      <c r="A10" s="3" t="s">
        <v>558</v>
      </c>
      <c r="B10" s="16">
        <v>103864000</v>
      </c>
      <c r="C10" s="14">
        <v>1100</v>
      </c>
    </row>
    <row r="11" spans="1:5" x14ac:dyDescent="0.35">
      <c r="A11" s="3" t="s">
        <v>673</v>
      </c>
      <c r="B11" s="16">
        <v>303000</v>
      </c>
      <c r="C11" s="14">
        <v>7</v>
      </c>
    </row>
    <row r="12" spans="1:5" x14ac:dyDescent="0.35">
      <c r="A12" s="3" t="s">
        <v>613</v>
      </c>
      <c r="B12" s="16">
        <v>516766000</v>
      </c>
      <c r="C12" s="14">
        <v>5463</v>
      </c>
    </row>
    <row r="15" spans="1:5" x14ac:dyDescent="0.35">
      <c r="A15" s="2" t="s">
        <v>612</v>
      </c>
      <c r="B15" s="14" t="s">
        <v>667</v>
      </c>
    </row>
    <row r="16" spans="1:5" x14ac:dyDescent="0.35">
      <c r="A16" s="3" t="s">
        <v>580</v>
      </c>
      <c r="B16" s="16">
        <v>47429000</v>
      </c>
    </row>
    <row r="17" spans="1:2" x14ac:dyDescent="0.35">
      <c r="A17" s="3" t="s">
        <v>584</v>
      </c>
      <c r="B17" s="16">
        <v>51895000</v>
      </c>
    </row>
    <row r="18" spans="1:2" x14ac:dyDescent="0.35">
      <c r="A18" s="3" t="s">
        <v>578</v>
      </c>
      <c r="B18" s="16">
        <v>304975000</v>
      </c>
    </row>
    <row r="19" spans="1:2" x14ac:dyDescent="0.35">
      <c r="A19" s="3" t="s">
        <v>596</v>
      </c>
      <c r="B19" s="16">
        <v>13347000</v>
      </c>
    </row>
    <row r="20" spans="1:2" x14ac:dyDescent="0.35">
      <c r="A20" s="3" t="s">
        <v>602</v>
      </c>
      <c r="B20" s="16">
        <v>99120000</v>
      </c>
    </row>
    <row r="21" spans="1:2" x14ac:dyDescent="0.35">
      <c r="A21" s="3" t="s">
        <v>613</v>
      </c>
      <c r="B21" s="16">
        <v>516766000</v>
      </c>
    </row>
    <row r="24" spans="1:2" x14ac:dyDescent="0.35">
      <c r="A24" s="14" t="s">
        <v>667</v>
      </c>
    </row>
    <row r="25" spans="1:2" x14ac:dyDescent="0.35">
      <c r="A25" s="16">
        <v>516766000</v>
      </c>
    </row>
    <row r="44" spans="1:4" x14ac:dyDescent="0.35">
      <c r="A44" s="14" t="s">
        <v>676</v>
      </c>
      <c r="B44" s="14" t="s">
        <v>675</v>
      </c>
      <c r="C44" s="14" t="s">
        <v>667</v>
      </c>
      <c r="D44" s="14" t="s">
        <v>674</v>
      </c>
    </row>
    <row r="45" spans="1:4" x14ac:dyDescent="0.35">
      <c r="A45" s="14">
        <v>199644000</v>
      </c>
      <c r="B45" s="14">
        <v>304975000</v>
      </c>
      <c r="C45" s="16">
        <v>516766000</v>
      </c>
      <c r="D45" s="14">
        <v>413329000</v>
      </c>
    </row>
  </sheetData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4B4B-F78F-4F37-AFF7-1B8D7350005A}">
  <dimension ref="A1:D366"/>
  <sheetViews>
    <sheetView showGridLines="0" workbookViewId="0">
      <selection activeCell="V11" sqref="V11"/>
    </sheetView>
  </sheetViews>
  <sheetFormatPr baseColWidth="10" defaultRowHeight="14.5" x14ac:dyDescent="0.35"/>
  <cols>
    <col min="1" max="1" width="15.6328125" customWidth="1"/>
    <col min="3" max="3" width="14.7265625" customWidth="1"/>
    <col min="4" max="4" width="12.26953125" customWidth="1"/>
  </cols>
  <sheetData>
    <row r="1" spans="1:4" ht="16.5" thickBot="1" x14ac:dyDescent="0.4">
      <c r="A1" s="7" t="s">
        <v>1</v>
      </c>
      <c r="B1" s="7" t="s">
        <v>614</v>
      </c>
      <c r="C1" s="7" t="s">
        <v>615</v>
      </c>
      <c r="D1" s="8" t="s">
        <v>616</v>
      </c>
    </row>
    <row r="2" spans="1:4" ht="16.5" thickBot="1" x14ac:dyDescent="0.4">
      <c r="A2" s="5">
        <f>DATE(2026,1,1)</f>
        <v>46023</v>
      </c>
      <c r="B2" s="4">
        <f>YEAR(A2)</f>
        <v>2026</v>
      </c>
      <c r="C2" s="4" t="str">
        <f>TEXT(A2,"mmmm")</f>
        <v>janvier</v>
      </c>
      <c r="D2" s="6" t="str">
        <f>"T"&amp;ROUNDUP(MONTH(A2)/3,0)</f>
        <v>T1</v>
      </c>
    </row>
    <row r="3" spans="1:4" ht="16.5" thickBot="1" x14ac:dyDescent="0.4">
      <c r="A3" s="5">
        <f>A2+1</f>
        <v>46024</v>
      </c>
      <c r="B3" s="4">
        <f t="shared" ref="B3:B66" si="0">YEAR(A3)</f>
        <v>2026</v>
      </c>
      <c r="C3" s="4" t="str">
        <f t="shared" ref="C3:C66" si="1">TEXT(A3,"mmmm")</f>
        <v>janvier</v>
      </c>
      <c r="D3" s="6" t="str">
        <f>"T"&amp;ROUNDUP(MONTH(A3)/3,0)</f>
        <v>T1</v>
      </c>
    </row>
    <row r="4" spans="1:4" ht="16.5" thickBot="1" x14ac:dyDescent="0.4">
      <c r="A4" s="5">
        <f t="shared" ref="A4" si="2">A3+1</f>
        <v>46025</v>
      </c>
      <c r="B4" s="4">
        <f t="shared" si="0"/>
        <v>2026</v>
      </c>
      <c r="C4" s="4" t="str">
        <f t="shared" si="1"/>
        <v>janvier</v>
      </c>
      <c r="D4" s="6" t="str">
        <f t="shared" ref="D4:D67" si="3">"T"&amp;ROUNDUP(MONTH(A4)/3,0)</f>
        <v>T1</v>
      </c>
    </row>
    <row r="5" spans="1:4" ht="16.5" thickBot="1" x14ac:dyDescent="0.4">
      <c r="A5" s="5">
        <f t="shared" ref="A5:A36" si="4">A4+1</f>
        <v>46026</v>
      </c>
      <c r="B5" s="4">
        <f t="shared" si="0"/>
        <v>2026</v>
      </c>
      <c r="C5" s="4" t="str">
        <f t="shared" si="1"/>
        <v>janvier</v>
      </c>
      <c r="D5" s="6" t="str">
        <f t="shared" si="3"/>
        <v>T1</v>
      </c>
    </row>
    <row r="6" spans="1:4" ht="16.5" thickBot="1" x14ac:dyDescent="0.4">
      <c r="A6" s="5">
        <f t="shared" si="4"/>
        <v>46027</v>
      </c>
      <c r="B6" s="4">
        <f t="shared" si="0"/>
        <v>2026</v>
      </c>
      <c r="C6" s="4" t="str">
        <f t="shared" si="1"/>
        <v>janvier</v>
      </c>
      <c r="D6" s="6" t="str">
        <f t="shared" si="3"/>
        <v>T1</v>
      </c>
    </row>
    <row r="7" spans="1:4" ht="16.5" thickBot="1" x14ac:dyDescent="0.4">
      <c r="A7" s="5">
        <f t="shared" si="4"/>
        <v>46028</v>
      </c>
      <c r="B7" s="4">
        <f t="shared" si="0"/>
        <v>2026</v>
      </c>
      <c r="C7" s="4" t="str">
        <f t="shared" si="1"/>
        <v>janvier</v>
      </c>
      <c r="D7" s="6" t="str">
        <f t="shared" si="3"/>
        <v>T1</v>
      </c>
    </row>
    <row r="8" spans="1:4" ht="16.5" thickBot="1" x14ac:dyDescent="0.4">
      <c r="A8" s="5">
        <f t="shared" si="4"/>
        <v>46029</v>
      </c>
      <c r="B8" s="4">
        <f t="shared" si="0"/>
        <v>2026</v>
      </c>
      <c r="C8" s="4" t="str">
        <f t="shared" si="1"/>
        <v>janvier</v>
      </c>
      <c r="D8" s="6" t="str">
        <f t="shared" si="3"/>
        <v>T1</v>
      </c>
    </row>
    <row r="9" spans="1:4" ht="16.5" thickBot="1" x14ac:dyDescent="0.4">
      <c r="A9" s="5">
        <f t="shared" si="4"/>
        <v>46030</v>
      </c>
      <c r="B9" s="4">
        <f t="shared" si="0"/>
        <v>2026</v>
      </c>
      <c r="C9" s="4" t="str">
        <f t="shared" si="1"/>
        <v>janvier</v>
      </c>
      <c r="D9" s="6" t="str">
        <f t="shared" si="3"/>
        <v>T1</v>
      </c>
    </row>
    <row r="10" spans="1:4" ht="16.5" thickBot="1" x14ac:dyDescent="0.4">
      <c r="A10" s="5">
        <f t="shared" si="4"/>
        <v>46031</v>
      </c>
      <c r="B10" s="4">
        <f t="shared" si="0"/>
        <v>2026</v>
      </c>
      <c r="C10" s="4" t="str">
        <f t="shared" si="1"/>
        <v>janvier</v>
      </c>
      <c r="D10" s="6" t="str">
        <f t="shared" si="3"/>
        <v>T1</v>
      </c>
    </row>
    <row r="11" spans="1:4" ht="16.5" thickBot="1" x14ac:dyDescent="0.4">
      <c r="A11" s="5">
        <f t="shared" si="4"/>
        <v>46032</v>
      </c>
      <c r="B11" s="4">
        <f t="shared" si="0"/>
        <v>2026</v>
      </c>
      <c r="C11" s="4" t="str">
        <f t="shared" si="1"/>
        <v>janvier</v>
      </c>
      <c r="D11" s="6" t="str">
        <f t="shared" si="3"/>
        <v>T1</v>
      </c>
    </row>
    <row r="12" spans="1:4" ht="16.5" thickBot="1" x14ac:dyDescent="0.4">
      <c r="A12" s="5">
        <f t="shared" si="4"/>
        <v>46033</v>
      </c>
      <c r="B12" s="4">
        <f t="shared" si="0"/>
        <v>2026</v>
      </c>
      <c r="C12" s="4" t="str">
        <f t="shared" si="1"/>
        <v>janvier</v>
      </c>
      <c r="D12" s="6" t="str">
        <f t="shared" si="3"/>
        <v>T1</v>
      </c>
    </row>
    <row r="13" spans="1:4" ht="16.5" thickBot="1" x14ac:dyDescent="0.4">
      <c r="A13" s="5">
        <f t="shared" si="4"/>
        <v>46034</v>
      </c>
      <c r="B13" s="4">
        <f t="shared" si="0"/>
        <v>2026</v>
      </c>
      <c r="C13" s="4" t="str">
        <f t="shared" si="1"/>
        <v>janvier</v>
      </c>
      <c r="D13" s="6" t="str">
        <f t="shared" si="3"/>
        <v>T1</v>
      </c>
    </row>
    <row r="14" spans="1:4" ht="16.5" thickBot="1" x14ac:dyDescent="0.4">
      <c r="A14" s="5">
        <f t="shared" si="4"/>
        <v>46035</v>
      </c>
      <c r="B14" s="4">
        <f t="shared" si="0"/>
        <v>2026</v>
      </c>
      <c r="C14" s="4" t="str">
        <f t="shared" si="1"/>
        <v>janvier</v>
      </c>
      <c r="D14" s="6" t="str">
        <f t="shared" si="3"/>
        <v>T1</v>
      </c>
    </row>
    <row r="15" spans="1:4" ht="16.5" thickBot="1" x14ac:dyDescent="0.4">
      <c r="A15" s="5">
        <f t="shared" si="4"/>
        <v>46036</v>
      </c>
      <c r="B15" s="4">
        <f t="shared" si="0"/>
        <v>2026</v>
      </c>
      <c r="C15" s="4" t="str">
        <f t="shared" si="1"/>
        <v>janvier</v>
      </c>
      <c r="D15" s="6" t="str">
        <f t="shared" si="3"/>
        <v>T1</v>
      </c>
    </row>
    <row r="16" spans="1:4" ht="16.5" thickBot="1" x14ac:dyDescent="0.4">
      <c r="A16" s="5">
        <f t="shared" si="4"/>
        <v>46037</v>
      </c>
      <c r="B16" s="4">
        <f t="shared" si="0"/>
        <v>2026</v>
      </c>
      <c r="C16" s="4" t="str">
        <f t="shared" si="1"/>
        <v>janvier</v>
      </c>
      <c r="D16" s="6" t="str">
        <f t="shared" si="3"/>
        <v>T1</v>
      </c>
    </row>
    <row r="17" spans="1:4" ht="16.5" thickBot="1" x14ac:dyDescent="0.4">
      <c r="A17" s="5">
        <f t="shared" si="4"/>
        <v>46038</v>
      </c>
      <c r="B17" s="4">
        <f t="shared" si="0"/>
        <v>2026</v>
      </c>
      <c r="C17" s="4" t="str">
        <f t="shared" si="1"/>
        <v>janvier</v>
      </c>
      <c r="D17" s="6" t="str">
        <f t="shared" si="3"/>
        <v>T1</v>
      </c>
    </row>
    <row r="18" spans="1:4" ht="16.5" thickBot="1" x14ac:dyDescent="0.4">
      <c r="A18" s="5">
        <f t="shared" si="4"/>
        <v>46039</v>
      </c>
      <c r="B18" s="4">
        <f t="shared" si="0"/>
        <v>2026</v>
      </c>
      <c r="C18" s="4" t="str">
        <f t="shared" si="1"/>
        <v>janvier</v>
      </c>
      <c r="D18" s="6" t="str">
        <f t="shared" si="3"/>
        <v>T1</v>
      </c>
    </row>
    <row r="19" spans="1:4" ht="16.5" thickBot="1" x14ac:dyDescent="0.4">
      <c r="A19" s="5">
        <f t="shared" si="4"/>
        <v>46040</v>
      </c>
      <c r="B19" s="4">
        <f t="shared" si="0"/>
        <v>2026</v>
      </c>
      <c r="C19" s="4" t="str">
        <f t="shared" si="1"/>
        <v>janvier</v>
      </c>
      <c r="D19" s="6" t="str">
        <f t="shared" si="3"/>
        <v>T1</v>
      </c>
    </row>
    <row r="20" spans="1:4" ht="16.5" thickBot="1" x14ac:dyDescent="0.4">
      <c r="A20" s="5">
        <f t="shared" si="4"/>
        <v>46041</v>
      </c>
      <c r="B20" s="4">
        <f t="shared" si="0"/>
        <v>2026</v>
      </c>
      <c r="C20" s="4" t="str">
        <f t="shared" si="1"/>
        <v>janvier</v>
      </c>
      <c r="D20" s="6" t="str">
        <f t="shared" si="3"/>
        <v>T1</v>
      </c>
    </row>
    <row r="21" spans="1:4" ht="16.5" thickBot="1" x14ac:dyDescent="0.4">
      <c r="A21" s="5">
        <f t="shared" si="4"/>
        <v>46042</v>
      </c>
      <c r="B21" s="4">
        <f t="shared" si="0"/>
        <v>2026</v>
      </c>
      <c r="C21" s="4" t="str">
        <f t="shared" si="1"/>
        <v>janvier</v>
      </c>
      <c r="D21" s="6" t="str">
        <f t="shared" si="3"/>
        <v>T1</v>
      </c>
    </row>
    <row r="22" spans="1:4" ht="16.5" thickBot="1" x14ac:dyDescent="0.4">
      <c r="A22" s="5">
        <f t="shared" si="4"/>
        <v>46043</v>
      </c>
      <c r="B22" s="4">
        <f t="shared" si="0"/>
        <v>2026</v>
      </c>
      <c r="C22" s="4" t="str">
        <f t="shared" si="1"/>
        <v>janvier</v>
      </c>
      <c r="D22" s="6" t="str">
        <f t="shared" si="3"/>
        <v>T1</v>
      </c>
    </row>
    <row r="23" spans="1:4" ht="16.5" thickBot="1" x14ac:dyDescent="0.4">
      <c r="A23" s="5">
        <f t="shared" si="4"/>
        <v>46044</v>
      </c>
      <c r="B23" s="4">
        <f t="shared" si="0"/>
        <v>2026</v>
      </c>
      <c r="C23" s="4" t="str">
        <f t="shared" si="1"/>
        <v>janvier</v>
      </c>
      <c r="D23" s="6" t="str">
        <f t="shared" si="3"/>
        <v>T1</v>
      </c>
    </row>
    <row r="24" spans="1:4" ht="16.5" thickBot="1" x14ac:dyDescent="0.4">
      <c r="A24" s="5">
        <f t="shared" si="4"/>
        <v>46045</v>
      </c>
      <c r="B24" s="4">
        <f t="shared" si="0"/>
        <v>2026</v>
      </c>
      <c r="C24" s="4" t="str">
        <f t="shared" si="1"/>
        <v>janvier</v>
      </c>
      <c r="D24" s="6" t="str">
        <f t="shared" si="3"/>
        <v>T1</v>
      </c>
    </row>
    <row r="25" spans="1:4" ht="16.5" thickBot="1" x14ac:dyDescent="0.4">
      <c r="A25" s="5">
        <f t="shared" si="4"/>
        <v>46046</v>
      </c>
      <c r="B25" s="4">
        <f t="shared" si="0"/>
        <v>2026</v>
      </c>
      <c r="C25" s="4" t="str">
        <f t="shared" si="1"/>
        <v>janvier</v>
      </c>
      <c r="D25" s="6" t="str">
        <f t="shared" si="3"/>
        <v>T1</v>
      </c>
    </row>
    <row r="26" spans="1:4" ht="16.5" thickBot="1" x14ac:dyDescent="0.4">
      <c r="A26" s="5">
        <f t="shared" si="4"/>
        <v>46047</v>
      </c>
      <c r="B26" s="4">
        <f t="shared" si="0"/>
        <v>2026</v>
      </c>
      <c r="C26" s="4" t="str">
        <f t="shared" si="1"/>
        <v>janvier</v>
      </c>
      <c r="D26" s="6" t="str">
        <f t="shared" si="3"/>
        <v>T1</v>
      </c>
    </row>
    <row r="27" spans="1:4" ht="16.5" thickBot="1" x14ac:dyDescent="0.4">
      <c r="A27" s="5">
        <f t="shared" si="4"/>
        <v>46048</v>
      </c>
      <c r="B27" s="4">
        <f t="shared" si="0"/>
        <v>2026</v>
      </c>
      <c r="C27" s="4" t="str">
        <f t="shared" si="1"/>
        <v>janvier</v>
      </c>
      <c r="D27" s="6" t="str">
        <f t="shared" si="3"/>
        <v>T1</v>
      </c>
    </row>
    <row r="28" spans="1:4" ht="16.5" thickBot="1" x14ac:dyDescent="0.4">
      <c r="A28" s="5">
        <f t="shared" si="4"/>
        <v>46049</v>
      </c>
      <c r="B28" s="4">
        <f t="shared" si="0"/>
        <v>2026</v>
      </c>
      <c r="C28" s="4" t="str">
        <f t="shared" si="1"/>
        <v>janvier</v>
      </c>
      <c r="D28" s="6" t="str">
        <f t="shared" si="3"/>
        <v>T1</v>
      </c>
    </row>
    <row r="29" spans="1:4" ht="16.5" thickBot="1" x14ac:dyDescent="0.4">
      <c r="A29" s="5">
        <f t="shared" si="4"/>
        <v>46050</v>
      </c>
      <c r="B29" s="4">
        <f t="shared" si="0"/>
        <v>2026</v>
      </c>
      <c r="C29" s="4" t="str">
        <f t="shared" si="1"/>
        <v>janvier</v>
      </c>
      <c r="D29" s="6" t="str">
        <f t="shared" si="3"/>
        <v>T1</v>
      </c>
    </row>
    <row r="30" spans="1:4" ht="16.5" thickBot="1" x14ac:dyDescent="0.4">
      <c r="A30" s="5">
        <f t="shared" si="4"/>
        <v>46051</v>
      </c>
      <c r="B30" s="4">
        <f t="shared" si="0"/>
        <v>2026</v>
      </c>
      <c r="C30" s="4" t="str">
        <f t="shared" si="1"/>
        <v>janvier</v>
      </c>
      <c r="D30" s="6" t="str">
        <f t="shared" si="3"/>
        <v>T1</v>
      </c>
    </row>
    <row r="31" spans="1:4" ht="16.5" thickBot="1" x14ac:dyDescent="0.4">
      <c r="A31" s="5">
        <f t="shared" si="4"/>
        <v>46052</v>
      </c>
      <c r="B31" s="4">
        <f t="shared" si="0"/>
        <v>2026</v>
      </c>
      <c r="C31" s="4" t="str">
        <f t="shared" si="1"/>
        <v>janvier</v>
      </c>
      <c r="D31" s="6" t="str">
        <f t="shared" si="3"/>
        <v>T1</v>
      </c>
    </row>
    <row r="32" spans="1:4" ht="16.5" thickBot="1" x14ac:dyDescent="0.4">
      <c r="A32" s="5">
        <f t="shared" si="4"/>
        <v>46053</v>
      </c>
      <c r="B32" s="4">
        <f t="shared" si="0"/>
        <v>2026</v>
      </c>
      <c r="C32" s="4" t="str">
        <f t="shared" si="1"/>
        <v>janvier</v>
      </c>
      <c r="D32" s="6" t="str">
        <f t="shared" si="3"/>
        <v>T1</v>
      </c>
    </row>
    <row r="33" spans="1:4" ht="16.5" thickBot="1" x14ac:dyDescent="0.4">
      <c r="A33" s="5">
        <f t="shared" si="4"/>
        <v>46054</v>
      </c>
      <c r="B33" s="4">
        <f t="shared" si="0"/>
        <v>2026</v>
      </c>
      <c r="C33" s="4" t="str">
        <f t="shared" si="1"/>
        <v>février</v>
      </c>
      <c r="D33" s="6" t="str">
        <f t="shared" si="3"/>
        <v>T1</v>
      </c>
    </row>
    <row r="34" spans="1:4" ht="16.5" thickBot="1" x14ac:dyDescent="0.4">
      <c r="A34" s="5">
        <f t="shared" si="4"/>
        <v>46055</v>
      </c>
      <c r="B34" s="4">
        <f t="shared" si="0"/>
        <v>2026</v>
      </c>
      <c r="C34" s="4" t="str">
        <f t="shared" si="1"/>
        <v>février</v>
      </c>
      <c r="D34" s="6" t="str">
        <f t="shared" si="3"/>
        <v>T1</v>
      </c>
    </row>
    <row r="35" spans="1:4" ht="16.5" thickBot="1" x14ac:dyDescent="0.4">
      <c r="A35" s="5">
        <f t="shared" si="4"/>
        <v>46056</v>
      </c>
      <c r="B35" s="4">
        <f t="shared" si="0"/>
        <v>2026</v>
      </c>
      <c r="C35" s="4" t="str">
        <f t="shared" si="1"/>
        <v>février</v>
      </c>
      <c r="D35" s="6" t="str">
        <f t="shared" si="3"/>
        <v>T1</v>
      </c>
    </row>
    <row r="36" spans="1:4" ht="16.5" thickBot="1" x14ac:dyDescent="0.4">
      <c r="A36" s="5">
        <f t="shared" si="4"/>
        <v>46057</v>
      </c>
      <c r="B36" s="4">
        <f t="shared" si="0"/>
        <v>2026</v>
      </c>
      <c r="C36" s="4" t="str">
        <f t="shared" si="1"/>
        <v>février</v>
      </c>
      <c r="D36" s="6" t="str">
        <f t="shared" si="3"/>
        <v>T1</v>
      </c>
    </row>
    <row r="37" spans="1:4" ht="16.5" thickBot="1" x14ac:dyDescent="0.4">
      <c r="A37" s="5">
        <f t="shared" ref="A37:A67" si="5">A36+1</f>
        <v>46058</v>
      </c>
      <c r="B37" s="4">
        <f t="shared" si="0"/>
        <v>2026</v>
      </c>
      <c r="C37" s="4" t="str">
        <f t="shared" si="1"/>
        <v>février</v>
      </c>
      <c r="D37" s="6" t="str">
        <f t="shared" si="3"/>
        <v>T1</v>
      </c>
    </row>
    <row r="38" spans="1:4" ht="16.5" thickBot="1" x14ac:dyDescent="0.4">
      <c r="A38" s="5">
        <f t="shared" si="5"/>
        <v>46059</v>
      </c>
      <c r="B38" s="4">
        <f t="shared" si="0"/>
        <v>2026</v>
      </c>
      <c r="C38" s="4" t="str">
        <f t="shared" si="1"/>
        <v>février</v>
      </c>
      <c r="D38" s="6" t="str">
        <f t="shared" si="3"/>
        <v>T1</v>
      </c>
    </row>
    <row r="39" spans="1:4" ht="16.5" thickBot="1" x14ac:dyDescent="0.4">
      <c r="A39" s="5">
        <f t="shared" si="5"/>
        <v>46060</v>
      </c>
      <c r="B39" s="4">
        <f t="shared" si="0"/>
        <v>2026</v>
      </c>
      <c r="C39" s="4" t="str">
        <f t="shared" si="1"/>
        <v>février</v>
      </c>
      <c r="D39" s="6" t="str">
        <f t="shared" si="3"/>
        <v>T1</v>
      </c>
    </row>
    <row r="40" spans="1:4" ht="16.5" thickBot="1" x14ac:dyDescent="0.4">
      <c r="A40" s="5">
        <f t="shared" si="5"/>
        <v>46061</v>
      </c>
      <c r="B40" s="4">
        <f t="shared" si="0"/>
        <v>2026</v>
      </c>
      <c r="C40" s="4" t="str">
        <f t="shared" si="1"/>
        <v>février</v>
      </c>
      <c r="D40" s="6" t="str">
        <f t="shared" si="3"/>
        <v>T1</v>
      </c>
    </row>
    <row r="41" spans="1:4" ht="16.5" thickBot="1" x14ac:dyDescent="0.4">
      <c r="A41" s="5">
        <f t="shared" si="5"/>
        <v>46062</v>
      </c>
      <c r="B41" s="4">
        <f t="shared" si="0"/>
        <v>2026</v>
      </c>
      <c r="C41" s="4" t="str">
        <f t="shared" si="1"/>
        <v>février</v>
      </c>
      <c r="D41" s="6" t="str">
        <f t="shared" si="3"/>
        <v>T1</v>
      </c>
    </row>
    <row r="42" spans="1:4" ht="16.5" thickBot="1" x14ac:dyDescent="0.4">
      <c r="A42" s="5">
        <f t="shared" si="5"/>
        <v>46063</v>
      </c>
      <c r="B42" s="4">
        <f t="shared" si="0"/>
        <v>2026</v>
      </c>
      <c r="C42" s="4" t="str">
        <f t="shared" si="1"/>
        <v>février</v>
      </c>
      <c r="D42" s="6" t="str">
        <f t="shared" si="3"/>
        <v>T1</v>
      </c>
    </row>
    <row r="43" spans="1:4" ht="16.5" thickBot="1" x14ac:dyDescent="0.4">
      <c r="A43" s="5">
        <f t="shared" si="5"/>
        <v>46064</v>
      </c>
      <c r="B43" s="4">
        <f t="shared" si="0"/>
        <v>2026</v>
      </c>
      <c r="C43" s="4" t="str">
        <f t="shared" si="1"/>
        <v>février</v>
      </c>
      <c r="D43" s="6" t="str">
        <f t="shared" si="3"/>
        <v>T1</v>
      </c>
    </row>
    <row r="44" spans="1:4" ht="16.5" thickBot="1" x14ac:dyDescent="0.4">
      <c r="A44" s="5">
        <f t="shared" si="5"/>
        <v>46065</v>
      </c>
      <c r="B44" s="4">
        <f t="shared" si="0"/>
        <v>2026</v>
      </c>
      <c r="C44" s="4" t="str">
        <f t="shared" si="1"/>
        <v>février</v>
      </c>
      <c r="D44" s="6" t="str">
        <f t="shared" si="3"/>
        <v>T1</v>
      </c>
    </row>
    <row r="45" spans="1:4" ht="16.5" thickBot="1" x14ac:dyDescent="0.4">
      <c r="A45" s="5">
        <f t="shared" si="5"/>
        <v>46066</v>
      </c>
      <c r="B45" s="4">
        <f t="shared" si="0"/>
        <v>2026</v>
      </c>
      <c r="C45" s="4" t="str">
        <f t="shared" si="1"/>
        <v>février</v>
      </c>
      <c r="D45" s="6" t="str">
        <f t="shared" si="3"/>
        <v>T1</v>
      </c>
    </row>
    <row r="46" spans="1:4" ht="16.5" thickBot="1" x14ac:dyDescent="0.4">
      <c r="A46" s="5">
        <f t="shared" si="5"/>
        <v>46067</v>
      </c>
      <c r="B46" s="4">
        <f t="shared" si="0"/>
        <v>2026</v>
      </c>
      <c r="C46" s="4" t="str">
        <f t="shared" si="1"/>
        <v>février</v>
      </c>
      <c r="D46" s="6" t="str">
        <f t="shared" si="3"/>
        <v>T1</v>
      </c>
    </row>
    <row r="47" spans="1:4" ht="16.5" thickBot="1" x14ac:dyDescent="0.4">
      <c r="A47" s="5">
        <f t="shared" si="5"/>
        <v>46068</v>
      </c>
      <c r="B47" s="4">
        <f t="shared" si="0"/>
        <v>2026</v>
      </c>
      <c r="C47" s="4" t="str">
        <f t="shared" si="1"/>
        <v>février</v>
      </c>
      <c r="D47" s="6" t="str">
        <f t="shared" si="3"/>
        <v>T1</v>
      </c>
    </row>
    <row r="48" spans="1:4" ht="16.5" thickBot="1" x14ac:dyDescent="0.4">
      <c r="A48" s="5">
        <f t="shared" si="5"/>
        <v>46069</v>
      </c>
      <c r="B48" s="4">
        <f t="shared" si="0"/>
        <v>2026</v>
      </c>
      <c r="C48" s="4" t="str">
        <f t="shared" si="1"/>
        <v>février</v>
      </c>
      <c r="D48" s="6" t="str">
        <f t="shared" si="3"/>
        <v>T1</v>
      </c>
    </row>
    <row r="49" spans="1:4" ht="16.5" thickBot="1" x14ac:dyDescent="0.4">
      <c r="A49" s="5">
        <f t="shared" si="5"/>
        <v>46070</v>
      </c>
      <c r="B49" s="4">
        <f t="shared" si="0"/>
        <v>2026</v>
      </c>
      <c r="C49" s="4" t="str">
        <f t="shared" si="1"/>
        <v>février</v>
      </c>
      <c r="D49" s="6" t="str">
        <f t="shared" si="3"/>
        <v>T1</v>
      </c>
    </row>
    <row r="50" spans="1:4" ht="16.5" thickBot="1" x14ac:dyDescent="0.4">
      <c r="A50" s="5">
        <f t="shared" si="5"/>
        <v>46071</v>
      </c>
      <c r="B50" s="4">
        <f t="shared" si="0"/>
        <v>2026</v>
      </c>
      <c r="C50" s="4" t="str">
        <f t="shared" si="1"/>
        <v>février</v>
      </c>
      <c r="D50" s="6" t="str">
        <f t="shared" si="3"/>
        <v>T1</v>
      </c>
    </row>
    <row r="51" spans="1:4" ht="16.5" thickBot="1" x14ac:dyDescent="0.4">
      <c r="A51" s="5">
        <f t="shared" si="5"/>
        <v>46072</v>
      </c>
      <c r="B51" s="4">
        <f t="shared" si="0"/>
        <v>2026</v>
      </c>
      <c r="C51" s="4" t="str">
        <f t="shared" si="1"/>
        <v>février</v>
      </c>
      <c r="D51" s="6" t="str">
        <f t="shared" si="3"/>
        <v>T1</v>
      </c>
    </row>
    <row r="52" spans="1:4" ht="16.5" thickBot="1" x14ac:dyDescent="0.4">
      <c r="A52" s="5">
        <f t="shared" si="5"/>
        <v>46073</v>
      </c>
      <c r="B52" s="4">
        <f t="shared" si="0"/>
        <v>2026</v>
      </c>
      <c r="C52" s="4" t="str">
        <f t="shared" si="1"/>
        <v>février</v>
      </c>
      <c r="D52" s="6" t="str">
        <f t="shared" si="3"/>
        <v>T1</v>
      </c>
    </row>
    <row r="53" spans="1:4" ht="16.5" thickBot="1" x14ac:dyDescent="0.4">
      <c r="A53" s="5">
        <f t="shared" si="5"/>
        <v>46074</v>
      </c>
      <c r="B53" s="4">
        <f t="shared" si="0"/>
        <v>2026</v>
      </c>
      <c r="C53" s="4" t="str">
        <f t="shared" si="1"/>
        <v>février</v>
      </c>
      <c r="D53" s="6" t="str">
        <f t="shared" si="3"/>
        <v>T1</v>
      </c>
    </row>
    <row r="54" spans="1:4" ht="16.5" thickBot="1" x14ac:dyDescent="0.4">
      <c r="A54" s="5">
        <f t="shared" si="5"/>
        <v>46075</v>
      </c>
      <c r="B54" s="4">
        <f t="shared" si="0"/>
        <v>2026</v>
      </c>
      <c r="C54" s="4" t="str">
        <f t="shared" si="1"/>
        <v>février</v>
      </c>
      <c r="D54" s="6" t="str">
        <f t="shared" si="3"/>
        <v>T1</v>
      </c>
    </row>
    <row r="55" spans="1:4" ht="16.5" thickBot="1" x14ac:dyDescent="0.4">
      <c r="A55" s="5">
        <f t="shared" si="5"/>
        <v>46076</v>
      </c>
      <c r="B55" s="4">
        <f t="shared" si="0"/>
        <v>2026</v>
      </c>
      <c r="C55" s="4" t="str">
        <f t="shared" si="1"/>
        <v>février</v>
      </c>
      <c r="D55" s="6" t="str">
        <f t="shared" si="3"/>
        <v>T1</v>
      </c>
    </row>
    <row r="56" spans="1:4" ht="16.5" thickBot="1" x14ac:dyDescent="0.4">
      <c r="A56" s="5">
        <f t="shared" si="5"/>
        <v>46077</v>
      </c>
      <c r="B56" s="4">
        <f t="shared" si="0"/>
        <v>2026</v>
      </c>
      <c r="C56" s="4" t="str">
        <f t="shared" si="1"/>
        <v>février</v>
      </c>
      <c r="D56" s="6" t="str">
        <f t="shared" si="3"/>
        <v>T1</v>
      </c>
    </row>
    <row r="57" spans="1:4" ht="16.5" thickBot="1" x14ac:dyDescent="0.4">
      <c r="A57" s="5">
        <f t="shared" si="5"/>
        <v>46078</v>
      </c>
      <c r="B57" s="4">
        <f t="shared" si="0"/>
        <v>2026</v>
      </c>
      <c r="C57" s="4" t="str">
        <f t="shared" si="1"/>
        <v>février</v>
      </c>
      <c r="D57" s="6" t="str">
        <f t="shared" si="3"/>
        <v>T1</v>
      </c>
    </row>
    <row r="58" spans="1:4" ht="16.5" thickBot="1" x14ac:dyDescent="0.4">
      <c r="A58" s="5">
        <f t="shared" si="5"/>
        <v>46079</v>
      </c>
      <c r="B58" s="4">
        <f t="shared" si="0"/>
        <v>2026</v>
      </c>
      <c r="C58" s="4" t="str">
        <f t="shared" si="1"/>
        <v>février</v>
      </c>
      <c r="D58" s="6" t="str">
        <f t="shared" si="3"/>
        <v>T1</v>
      </c>
    </row>
    <row r="59" spans="1:4" ht="16.5" thickBot="1" x14ac:dyDescent="0.4">
      <c r="A59" s="5">
        <f t="shared" si="5"/>
        <v>46080</v>
      </c>
      <c r="B59" s="4">
        <f t="shared" si="0"/>
        <v>2026</v>
      </c>
      <c r="C59" s="4" t="str">
        <f t="shared" si="1"/>
        <v>février</v>
      </c>
      <c r="D59" s="6" t="str">
        <f t="shared" si="3"/>
        <v>T1</v>
      </c>
    </row>
    <row r="60" spans="1:4" ht="16.5" thickBot="1" x14ac:dyDescent="0.4">
      <c r="A60" s="5">
        <f t="shared" si="5"/>
        <v>46081</v>
      </c>
      <c r="B60" s="4">
        <f t="shared" si="0"/>
        <v>2026</v>
      </c>
      <c r="C60" s="4" t="str">
        <f t="shared" si="1"/>
        <v>février</v>
      </c>
      <c r="D60" s="6" t="str">
        <f t="shared" si="3"/>
        <v>T1</v>
      </c>
    </row>
    <row r="61" spans="1:4" ht="16.5" thickBot="1" x14ac:dyDescent="0.4">
      <c r="A61" s="5">
        <f t="shared" si="5"/>
        <v>46082</v>
      </c>
      <c r="B61" s="4">
        <f t="shared" si="0"/>
        <v>2026</v>
      </c>
      <c r="C61" s="4" t="str">
        <f t="shared" si="1"/>
        <v>mars</v>
      </c>
      <c r="D61" s="6" t="str">
        <f t="shared" si="3"/>
        <v>T1</v>
      </c>
    </row>
    <row r="62" spans="1:4" ht="16.5" thickBot="1" x14ac:dyDescent="0.4">
      <c r="A62" s="5">
        <f t="shared" si="5"/>
        <v>46083</v>
      </c>
      <c r="B62" s="4">
        <f t="shared" si="0"/>
        <v>2026</v>
      </c>
      <c r="C62" s="4" t="str">
        <f t="shared" si="1"/>
        <v>mars</v>
      </c>
      <c r="D62" s="6" t="str">
        <f t="shared" si="3"/>
        <v>T1</v>
      </c>
    </row>
    <row r="63" spans="1:4" ht="16.5" thickBot="1" x14ac:dyDescent="0.4">
      <c r="A63" s="5">
        <f t="shared" si="5"/>
        <v>46084</v>
      </c>
      <c r="B63" s="4">
        <f t="shared" si="0"/>
        <v>2026</v>
      </c>
      <c r="C63" s="4" t="str">
        <f t="shared" si="1"/>
        <v>mars</v>
      </c>
      <c r="D63" s="6" t="str">
        <f t="shared" si="3"/>
        <v>T1</v>
      </c>
    </row>
    <row r="64" spans="1:4" ht="16.5" thickBot="1" x14ac:dyDescent="0.4">
      <c r="A64" s="5">
        <f t="shared" si="5"/>
        <v>46085</v>
      </c>
      <c r="B64" s="4">
        <f t="shared" si="0"/>
        <v>2026</v>
      </c>
      <c r="C64" s="4" t="str">
        <f t="shared" si="1"/>
        <v>mars</v>
      </c>
      <c r="D64" s="6" t="str">
        <f t="shared" si="3"/>
        <v>T1</v>
      </c>
    </row>
    <row r="65" spans="1:4" ht="16.5" thickBot="1" x14ac:dyDescent="0.4">
      <c r="A65" s="5">
        <f t="shared" si="5"/>
        <v>46086</v>
      </c>
      <c r="B65" s="4">
        <f t="shared" si="0"/>
        <v>2026</v>
      </c>
      <c r="C65" s="4" t="str">
        <f t="shared" si="1"/>
        <v>mars</v>
      </c>
      <c r="D65" s="6" t="str">
        <f t="shared" si="3"/>
        <v>T1</v>
      </c>
    </row>
    <row r="66" spans="1:4" ht="16.5" thickBot="1" x14ac:dyDescent="0.4">
      <c r="A66" s="5">
        <f t="shared" si="5"/>
        <v>46087</v>
      </c>
      <c r="B66" s="4">
        <f t="shared" si="0"/>
        <v>2026</v>
      </c>
      <c r="C66" s="4" t="str">
        <f t="shared" si="1"/>
        <v>mars</v>
      </c>
      <c r="D66" s="6" t="str">
        <f t="shared" si="3"/>
        <v>T1</v>
      </c>
    </row>
    <row r="67" spans="1:4" ht="16.5" thickBot="1" x14ac:dyDescent="0.4">
      <c r="A67" s="5">
        <f t="shared" si="5"/>
        <v>46088</v>
      </c>
      <c r="B67" s="4">
        <f t="shared" ref="B67:B130" si="6">YEAR(A67)</f>
        <v>2026</v>
      </c>
      <c r="C67" s="4" t="str">
        <f t="shared" ref="C67:C130" si="7">TEXT(A67,"mmmm")</f>
        <v>mars</v>
      </c>
      <c r="D67" s="6" t="str">
        <f t="shared" si="3"/>
        <v>T1</v>
      </c>
    </row>
    <row r="68" spans="1:4" ht="16.5" thickBot="1" x14ac:dyDescent="0.4">
      <c r="A68" s="5">
        <f t="shared" ref="A68:A131" si="8">A67+1</f>
        <v>46089</v>
      </c>
      <c r="B68" s="4">
        <f t="shared" si="6"/>
        <v>2026</v>
      </c>
      <c r="C68" s="4" t="str">
        <f t="shared" si="7"/>
        <v>mars</v>
      </c>
      <c r="D68" s="6" t="str">
        <f t="shared" ref="D68:D131" si="9">"T"&amp;ROUNDUP(MONTH(A68)/3,0)</f>
        <v>T1</v>
      </c>
    </row>
    <row r="69" spans="1:4" ht="16.5" thickBot="1" x14ac:dyDescent="0.4">
      <c r="A69" s="5">
        <f t="shared" si="8"/>
        <v>46090</v>
      </c>
      <c r="B69" s="4">
        <f t="shared" si="6"/>
        <v>2026</v>
      </c>
      <c r="C69" s="4" t="str">
        <f t="shared" si="7"/>
        <v>mars</v>
      </c>
      <c r="D69" s="6" t="str">
        <f t="shared" si="9"/>
        <v>T1</v>
      </c>
    </row>
    <row r="70" spans="1:4" ht="16.5" thickBot="1" x14ac:dyDescent="0.4">
      <c r="A70" s="5">
        <f t="shared" si="8"/>
        <v>46091</v>
      </c>
      <c r="B70" s="4">
        <f t="shared" si="6"/>
        <v>2026</v>
      </c>
      <c r="C70" s="4" t="str">
        <f t="shared" si="7"/>
        <v>mars</v>
      </c>
      <c r="D70" s="6" t="str">
        <f t="shared" si="9"/>
        <v>T1</v>
      </c>
    </row>
    <row r="71" spans="1:4" ht="16.5" thickBot="1" x14ac:dyDescent="0.4">
      <c r="A71" s="5">
        <f t="shared" si="8"/>
        <v>46092</v>
      </c>
      <c r="B71" s="4">
        <f t="shared" si="6"/>
        <v>2026</v>
      </c>
      <c r="C71" s="4" t="str">
        <f t="shared" si="7"/>
        <v>mars</v>
      </c>
      <c r="D71" s="6" t="str">
        <f t="shared" si="9"/>
        <v>T1</v>
      </c>
    </row>
    <row r="72" spans="1:4" ht="16.5" thickBot="1" x14ac:dyDescent="0.4">
      <c r="A72" s="5">
        <f t="shared" si="8"/>
        <v>46093</v>
      </c>
      <c r="B72" s="4">
        <f t="shared" si="6"/>
        <v>2026</v>
      </c>
      <c r="C72" s="4" t="str">
        <f t="shared" si="7"/>
        <v>mars</v>
      </c>
      <c r="D72" s="6" t="str">
        <f t="shared" si="9"/>
        <v>T1</v>
      </c>
    </row>
    <row r="73" spans="1:4" ht="16.5" thickBot="1" x14ac:dyDescent="0.4">
      <c r="A73" s="5">
        <f t="shared" si="8"/>
        <v>46094</v>
      </c>
      <c r="B73" s="4">
        <f t="shared" si="6"/>
        <v>2026</v>
      </c>
      <c r="C73" s="4" t="str">
        <f t="shared" si="7"/>
        <v>mars</v>
      </c>
      <c r="D73" s="6" t="str">
        <f t="shared" si="9"/>
        <v>T1</v>
      </c>
    </row>
    <row r="74" spans="1:4" ht="16.5" thickBot="1" x14ac:dyDescent="0.4">
      <c r="A74" s="5">
        <f t="shared" si="8"/>
        <v>46095</v>
      </c>
      <c r="B74" s="4">
        <f t="shared" si="6"/>
        <v>2026</v>
      </c>
      <c r="C74" s="4" t="str">
        <f t="shared" si="7"/>
        <v>mars</v>
      </c>
      <c r="D74" s="6" t="str">
        <f t="shared" si="9"/>
        <v>T1</v>
      </c>
    </row>
    <row r="75" spans="1:4" ht="16.5" thickBot="1" x14ac:dyDescent="0.4">
      <c r="A75" s="5">
        <f t="shared" si="8"/>
        <v>46096</v>
      </c>
      <c r="B75" s="4">
        <f t="shared" si="6"/>
        <v>2026</v>
      </c>
      <c r="C75" s="4" t="str">
        <f t="shared" si="7"/>
        <v>mars</v>
      </c>
      <c r="D75" s="6" t="str">
        <f t="shared" si="9"/>
        <v>T1</v>
      </c>
    </row>
    <row r="76" spans="1:4" ht="16.5" thickBot="1" x14ac:dyDescent="0.4">
      <c r="A76" s="5">
        <f t="shared" si="8"/>
        <v>46097</v>
      </c>
      <c r="B76" s="4">
        <f t="shared" si="6"/>
        <v>2026</v>
      </c>
      <c r="C76" s="4" t="str">
        <f t="shared" si="7"/>
        <v>mars</v>
      </c>
      <c r="D76" s="6" t="str">
        <f t="shared" si="9"/>
        <v>T1</v>
      </c>
    </row>
    <row r="77" spans="1:4" ht="16.5" thickBot="1" x14ac:dyDescent="0.4">
      <c r="A77" s="5">
        <f t="shared" si="8"/>
        <v>46098</v>
      </c>
      <c r="B77" s="4">
        <f t="shared" si="6"/>
        <v>2026</v>
      </c>
      <c r="C77" s="4" t="str">
        <f t="shared" si="7"/>
        <v>mars</v>
      </c>
      <c r="D77" s="6" t="str">
        <f t="shared" si="9"/>
        <v>T1</v>
      </c>
    </row>
    <row r="78" spans="1:4" ht="16.5" thickBot="1" x14ac:dyDescent="0.4">
      <c r="A78" s="5">
        <f t="shared" si="8"/>
        <v>46099</v>
      </c>
      <c r="B78" s="4">
        <f t="shared" si="6"/>
        <v>2026</v>
      </c>
      <c r="C78" s="4" t="str">
        <f t="shared" si="7"/>
        <v>mars</v>
      </c>
      <c r="D78" s="6" t="str">
        <f t="shared" si="9"/>
        <v>T1</v>
      </c>
    </row>
    <row r="79" spans="1:4" ht="16.5" thickBot="1" x14ac:dyDescent="0.4">
      <c r="A79" s="5">
        <f t="shared" si="8"/>
        <v>46100</v>
      </c>
      <c r="B79" s="4">
        <f t="shared" si="6"/>
        <v>2026</v>
      </c>
      <c r="C79" s="4" t="str">
        <f t="shared" si="7"/>
        <v>mars</v>
      </c>
      <c r="D79" s="6" t="str">
        <f t="shared" si="9"/>
        <v>T1</v>
      </c>
    </row>
    <row r="80" spans="1:4" ht="16.5" thickBot="1" x14ac:dyDescent="0.4">
      <c r="A80" s="5">
        <f t="shared" si="8"/>
        <v>46101</v>
      </c>
      <c r="B80" s="4">
        <f t="shared" si="6"/>
        <v>2026</v>
      </c>
      <c r="C80" s="4" t="str">
        <f t="shared" si="7"/>
        <v>mars</v>
      </c>
      <c r="D80" s="6" t="str">
        <f t="shared" si="9"/>
        <v>T1</v>
      </c>
    </row>
    <row r="81" spans="1:4" ht="16.5" thickBot="1" x14ac:dyDescent="0.4">
      <c r="A81" s="5">
        <f t="shared" si="8"/>
        <v>46102</v>
      </c>
      <c r="B81" s="4">
        <f t="shared" si="6"/>
        <v>2026</v>
      </c>
      <c r="C81" s="4" t="str">
        <f t="shared" si="7"/>
        <v>mars</v>
      </c>
      <c r="D81" s="6" t="str">
        <f t="shared" si="9"/>
        <v>T1</v>
      </c>
    </row>
    <row r="82" spans="1:4" ht="16.5" thickBot="1" x14ac:dyDescent="0.4">
      <c r="A82" s="5">
        <f t="shared" si="8"/>
        <v>46103</v>
      </c>
      <c r="B82" s="4">
        <f t="shared" si="6"/>
        <v>2026</v>
      </c>
      <c r="C82" s="4" t="str">
        <f t="shared" si="7"/>
        <v>mars</v>
      </c>
      <c r="D82" s="6" t="str">
        <f t="shared" si="9"/>
        <v>T1</v>
      </c>
    </row>
    <row r="83" spans="1:4" ht="16.5" thickBot="1" x14ac:dyDescent="0.4">
      <c r="A83" s="5">
        <f t="shared" si="8"/>
        <v>46104</v>
      </c>
      <c r="B83" s="4">
        <f t="shared" si="6"/>
        <v>2026</v>
      </c>
      <c r="C83" s="4" t="str">
        <f t="shared" si="7"/>
        <v>mars</v>
      </c>
      <c r="D83" s="6" t="str">
        <f t="shared" si="9"/>
        <v>T1</v>
      </c>
    </row>
    <row r="84" spans="1:4" ht="16.5" thickBot="1" x14ac:dyDescent="0.4">
      <c r="A84" s="5">
        <f t="shared" si="8"/>
        <v>46105</v>
      </c>
      <c r="B84" s="4">
        <f t="shared" si="6"/>
        <v>2026</v>
      </c>
      <c r="C84" s="4" t="str">
        <f t="shared" si="7"/>
        <v>mars</v>
      </c>
      <c r="D84" s="6" t="str">
        <f t="shared" si="9"/>
        <v>T1</v>
      </c>
    </row>
    <row r="85" spans="1:4" ht="16.5" thickBot="1" x14ac:dyDescent="0.4">
      <c r="A85" s="5">
        <f t="shared" si="8"/>
        <v>46106</v>
      </c>
      <c r="B85" s="4">
        <f t="shared" si="6"/>
        <v>2026</v>
      </c>
      <c r="C85" s="4" t="str">
        <f t="shared" si="7"/>
        <v>mars</v>
      </c>
      <c r="D85" s="6" t="str">
        <f t="shared" si="9"/>
        <v>T1</v>
      </c>
    </row>
    <row r="86" spans="1:4" ht="16.5" thickBot="1" x14ac:dyDescent="0.4">
      <c r="A86" s="5">
        <f t="shared" si="8"/>
        <v>46107</v>
      </c>
      <c r="B86" s="4">
        <f t="shared" si="6"/>
        <v>2026</v>
      </c>
      <c r="C86" s="4" t="str">
        <f t="shared" si="7"/>
        <v>mars</v>
      </c>
      <c r="D86" s="6" t="str">
        <f t="shared" si="9"/>
        <v>T1</v>
      </c>
    </row>
    <row r="87" spans="1:4" ht="16.5" thickBot="1" x14ac:dyDescent="0.4">
      <c r="A87" s="5">
        <f t="shared" si="8"/>
        <v>46108</v>
      </c>
      <c r="B87" s="4">
        <f t="shared" si="6"/>
        <v>2026</v>
      </c>
      <c r="C87" s="4" t="str">
        <f t="shared" si="7"/>
        <v>mars</v>
      </c>
      <c r="D87" s="6" t="str">
        <f t="shared" si="9"/>
        <v>T1</v>
      </c>
    </row>
    <row r="88" spans="1:4" ht="16.5" thickBot="1" x14ac:dyDescent="0.4">
      <c r="A88" s="5">
        <f t="shared" si="8"/>
        <v>46109</v>
      </c>
      <c r="B88" s="4">
        <f t="shared" si="6"/>
        <v>2026</v>
      </c>
      <c r="C88" s="4" t="str">
        <f t="shared" si="7"/>
        <v>mars</v>
      </c>
      <c r="D88" s="6" t="str">
        <f t="shared" si="9"/>
        <v>T1</v>
      </c>
    </row>
    <row r="89" spans="1:4" ht="16.5" thickBot="1" x14ac:dyDescent="0.4">
      <c r="A89" s="5">
        <f t="shared" si="8"/>
        <v>46110</v>
      </c>
      <c r="B89" s="4">
        <f t="shared" si="6"/>
        <v>2026</v>
      </c>
      <c r="C89" s="4" t="str">
        <f t="shared" si="7"/>
        <v>mars</v>
      </c>
      <c r="D89" s="6" t="str">
        <f t="shared" si="9"/>
        <v>T1</v>
      </c>
    </row>
    <row r="90" spans="1:4" ht="16.5" thickBot="1" x14ac:dyDescent="0.4">
      <c r="A90" s="5">
        <f t="shared" si="8"/>
        <v>46111</v>
      </c>
      <c r="B90" s="4">
        <f t="shared" si="6"/>
        <v>2026</v>
      </c>
      <c r="C90" s="4" t="str">
        <f t="shared" si="7"/>
        <v>mars</v>
      </c>
      <c r="D90" s="6" t="str">
        <f t="shared" si="9"/>
        <v>T1</v>
      </c>
    </row>
    <row r="91" spans="1:4" ht="16.5" thickBot="1" x14ac:dyDescent="0.4">
      <c r="A91" s="5">
        <f t="shared" si="8"/>
        <v>46112</v>
      </c>
      <c r="B91" s="4">
        <f t="shared" si="6"/>
        <v>2026</v>
      </c>
      <c r="C91" s="4" t="str">
        <f t="shared" si="7"/>
        <v>mars</v>
      </c>
      <c r="D91" s="6" t="str">
        <f t="shared" si="9"/>
        <v>T1</v>
      </c>
    </row>
    <row r="92" spans="1:4" ht="16.5" thickBot="1" x14ac:dyDescent="0.4">
      <c r="A92" s="5">
        <f t="shared" si="8"/>
        <v>46113</v>
      </c>
      <c r="B92" s="4">
        <f t="shared" si="6"/>
        <v>2026</v>
      </c>
      <c r="C92" s="4" t="str">
        <f t="shared" si="7"/>
        <v>avril</v>
      </c>
      <c r="D92" s="6" t="str">
        <f t="shared" si="9"/>
        <v>T2</v>
      </c>
    </row>
    <row r="93" spans="1:4" ht="16.5" thickBot="1" x14ac:dyDescent="0.4">
      <c r="A93" s="5">
        <f t="shared" si="8"/>
        <v>46114</v>
      </c>
      <c r="B93" s="4">
        <f t="shared" si="6"/>
        <v>2026</v>
      </c>
      <c r="C93" s="4" t="str">
        <f t="shared" si="7"/>
        <v>avril</v>
      </c>
      <c r="D93" s="6" t="str">
        <f t="shared" si="9"/>
        <v>T2</v>
      </c>
    </row>
    <row r="94" spans="1:4" ht="16.5" thickBot="1" x14ac:dyDescent="0.4">
      <c r="A94" s="5">
        <f t="shared" si="8"/>
        <v>46115</v>
      </c>
      <c r="B94" s="4">
        <f t="shared" si="6"/>
        <v>2026</v>
      </c>
      <c r="C94" s="4" t="str">
        <f t="shared" si="7"/>
        <v>avril</v>
      </c>
      <c r="D94" s="6" t="str">
        <f t="shared" si="9"/>
        <v>T2</v>
      </c>
    </row>
    <row r="95" spans="1:4" ht="16.5" thickBot="1" x14ac:dyDescent="0.4">
      <c r="A95" s="5">
        <f t="shared" si="8"/>
        <v>46116</v>
      </c>
      <c r="B95" s="4">
        <f t="shared" si="6"/>
        <v>2026</v>
      </c>
      <c r="C95" s="4" t="str">
        <f t="shared" si="7"/>
        <v>avril</v>
      </c>
      <c r="D95" s="6" t="str">
        <f t="shared" si="9"/>
        <v>T2</v>
      </c>
    </row>
    <row r="96" spans="1:4" ht="16.5" thickBot="1" x14ac:dyDescent="0.4">
      <c r="A96" s="5">
        <f t="shared" si="8"/>
        <v>46117</v>
      </c>
      <c r="B96" s="4">
        <f t="shared" si="6"/>
        <v>2026</v>
      </c>
      <c r="C96" s="4" t="str">
        <f t="shared" si="7"/>
        <v>avril</v>
      </c>
      <c r="D96" s="6" t="str">
        <f t="shared" si="9"/>
        <v>T2</v>
      </c>
    </row>
    <row r="97" spans="1:4" ht="16.5" thickBot="1" x14ac:dyDescent="0.4">
      <c r="A97" s="5">
        <f t="shared" si="8"/>
        <v>46118</v>
      </c>
      <c r="B97" s="4">
        <f t="shared" si="6"/>
        <v>2026</v>
      </c>
      <c r="C97" s="4" t="str">
        <f t="shared" si="7"/>
        <v>avril</v>
      </c>
      <c r="D97" s="6" t="str">
        <f t="shared" si="9"/>
        <v>T2</v>
      </c>
    </row>
    <row r="98" spans="1:4" ht="16.5" thickBot="1" x14ac:dyDescent="0.4">
      <c r="A98" s="5">
        <f t="shared" si="8"/>
        <v>46119</v>
      </c>
      <c r="B98" s="4">
        <f t="shared" si="6"/>
        <v>2026</v>
      </c>
      <c r="C98" s="4" t="str">
        <f t="shared" si="7"/>
        <v>avril</v>
      </c>
      <c r="D98" s="6" t="str">
        <f t="shared" si="9"/>
        <v>T2</v>
      </c>
    </row>
    <row r="99" spans="1:4" ht="16.5" thickBot="1" x14ac:dyDescent="0.4">
      <c r="A99" s="5">
        <f t="shared" si="8"/>
        <v>46120</v>
      </c>
      <c r="B99" s="4">
        <f t="shared" si="6"/>
        <v>2026</v>
      </c>
      <c r="C99" s="4" t="str">
        <f t="shared" si="7"/>
        <v>avril</v>
      </c>
      <c r="D99" s="6" t="str">
        <f t="shared" si="9"/>
        <v>T2</v>
      </c>
    </row>
    <row r="100" spans="1:4" ht="16.5" thickBot="1" x14ac:dyDescent="0.4">
      <c r="A100" s="5">
        <f t="shared" si="8"/>
        <v>46121</v>
      </c>
      <c r="B100" s="4">
        <f t="shared" si="6"/>
        <v>2026</v>
      </c>
      <c r="C100" s="4" t="str">
        <f t="shared" si="7"/>
        <v>avril</v>
      </c>
      <c r="D100" s="6" t="str">
        <f t="shared" si="9"/>
        <v>T2</v>
      </c>
    </row>
    <row r="101" spans="1:4" ht="16.5" thickBot="1" x14ac:dyDescent="0.4">
      <c r="A101" s="5">
        <f t="shared" si="8"/>
        <v>46122</v>
      </c>
      <c r="B101" s="4">
        <f t="shared" si="6"/>
        <v>2026</v>
      </c>
      <c r="C101" s="4" t="str">
        <f t="shared" si="7"/>
        <v>avril</v>
      </c>
      <c r="D101" s="6" t="str">
        <f t="shared" si="9"/>
        <v>T2</v>
      </c>
    </row>
    <row r="102" spans="1:4" ht="16.5" thickBot="1" x14ac:dyDescent="0.4">
      <c r="A102" s="5">
        <f t="shared" si="8"/>
        <v>46123</v>
      </c>
      <c r="B102" s="4">
        <f t="shared" si="6"/>
        <v>2026</v>
      </c>
      <c r="C102" s="4" t="str">
        <f t="shared" si="7"/>
        <v>avril</v>
      </c>
      <c r="D102" s="6" t="str">
        <f t="shared" si="9"/>
        <v>T2</v>
      </c>
    </row>
    <row r="103" spans="1:4" ht="16.5" thickBot="1" x14ac:dyDescent="0.4">
      <c r="A103" s="5">
        <f t="shared" si="8"/>
        <v>46124</v>
      </c>
      <c r="B103" s="4">
        <f t="shared" si="6"/>
        <v>2026</v>
      </c>
      <c r="C103" s="4" t="str">
        <f t="shared" si="7"/>
        <v>avril</v>
      </c>
      <c r="D103" s="6" t="str">
        <f t="shared" si="9"/>
        <v>T2</v>
      </c>
    </row>
    <row r="104" spans="1:4" ht="16.5" thickBot="1" x14ac:dyDescent="0.4">
      <c r="A104" s="5">
        <f t="shared" si="8"/>
        <v>46125</v>
      </c>
      <c r="B104" s="4">
        <f t="shared" si="6"/>
        <v>2026</v>
      </c>
      <c r="C104" s="4" t="str">
        <f t="shared" si="7"/>
        <v>avril</v>
      </c>
      <c r="D104" s="6" t="str">
        <f t="shared" si="9"/>
        <v>T2</v>
      </c>
    </row>
    <row r="105" spans="1:4" ht="16.5" thickBot="1" x14ac:dyDescent="0.4">
      <c r="A105" s="5">
        <f t="shared" si="8"/>
        <v>46126</v>
      </c>
      <c r="B105" s="4">
        <f t="shared" si="6"/>
        <v>2026</v>
      </c>
      <c r="C105" s="4" t="str">
        <f t="shared" si="7"/>
        <v>avril</v>
      </c>
      <c r="D105" s="6" t="str">
        <f t="shared" si="9"/>
        <v>T2</v>
      </c>
    </row>
    <row r="106" spans="1:4" ht="16.5" thickBot="1" x14ac:dyDescent="0.4">
      <c r="A106" s="5">
        <f t="shared" si="8"/>
        <v>46127</v>
      </c>
      <c r="B106" s="4">
        <f t="shared" si="6"/>
        <v>2026</v>
      </c>
      <c r="C106" s="4" t="str">
        <f t="shared" si="7"/>
        <v>avril</v>
      </c>
      <c r="D106" s="6" t="str">
        <f t="shared" si="9"/>
        <v>T2</v>
      </c>
    </row>
    <row r="107" spans="1:4" ht="16.5" thickBot="1" x14ac:dyDescent="0.4">
      <c r="A107" s="5">
        <f t="shared" si="8"/>
        <v>46128</v>
      </c>
      <c r="B107" s="4">
        <f t="shared" si="6"/>
        <v>2026</v>
      </c>
      <c r="C107" s="4" t="str">
        <f t="shared" si="7"/>
        <v>avril</v>
      </c>
      <c r="D107" s="6" t="str">
        <f t="shared" si="9"/>
        <v>T2</v>
      </c>
    </row>
    <row r="108" spans="1:4" ht="16.5" thickBot="1" x14ac:dyDescent="0.4">
      <c r="A108" s="5">
        <f t="shared" si="8"/>
        <v>46129</v>
      </c>
      <c r="B108" s="4">
        <f t="shared" si="6"/>
        <v>2026</v>
      </c>
      <c r="C108" s="4" t="str">
        <f t="shared" si="7"/>
        <v>avril</v>
      </c>
      <c r="D108" s="6" t="str">
        <f t="shared" si="9"/>
        <v>T2</v>
      </c>
    </row>
    <row r="109" spans="1:4" ht="16.5" thickBot="1" x14ac:dyDescent="0.4">
      <c r="A109" s="5">
        <f t="shared" si="8"/>
        <v>46130</v>
      </c>
      <c r="B109" s="4">
        <f t="shared" si="6"/>
        <v>2026</v>
      </c>
      <c r="C109" s="4" t="str">
        <f t="shared" si="7"/>
        <v>avril</v>
      </c>
      <c r="D109" s="6" t="str">
        <f t="shared" si="9"/>
        <v>T2</v>
      </c>
    </row>
    <row r="110" spans="1:4" ht="16.5" thickBot="1" x14ac:dyDescent="0.4">
      <c r="A110" s="5">
        <f t="shared" si="8"/>
        <v>46131</v>
      </c>
      <c r="B110" s="4">
        <f t="shared" si="6"/>
        <v>2026</v>
      </c>
      <c r="C110" s="4" t="str">
        <f t="shared" si="7"/>
        <v>avril</v>
      </c>
      <c r="D110" s="6" t="str">
        <f t="shared" si="9"/>
        <v>T2</v>
      </c>
    </row>
    <row r="111" spans="1:4" ht="16.5" thickBot="1" x14ac:dyDescent="0.4">
      <c r="A111" s="5">
        <f t="shared" si="8"/>
        <v>46132</v>
      </c>
      <c r="B111" s="4">
        <f t="shared" si="6"/>
        <v>2026</v>
      </c>
      <c r="C111" s="4" t="str">
        <f t="shared" si="7"/>
        <v>avril</v>
      </c>
      <c r="D111" s="6" t="str">
        <f t="shared" si="9"/>
        <v>T2</v>
      </c>
    </row>
    <row r="112" spans="1:4" ht="16.5" thickBot="1" x14ac:dyDescent="0.4">
      <c r="A112" s="5">
        <f t="shared" si="8"/>
        <v>46133</v>
      </c>
      <c r="B112" s="4">
        <f t="shared" si="6"/>
        <v>2026</v>
      </c>
      <c r="C112" s="4" t="str">
        <f t="shared" si="7"/>
        <v>avril</v>
      </c>
      <c r="D112" s="6" t="str">
        <f t="shared" si="9"/>
        <v>T2</v>
      </c>
    </row>
    <row r="113" spans="1:4" ht="16.5" thickBot="1" x14ac:dyDescent="0.4">
      <c r="A113" s="5">
        <f t="shared" si="8"/>
        <v>46134</v>
      </c>
      <c r="B113" s="4">
        <f t="shared" si="6"/>
        <v>2026</v>
      </c>
      <c r="C113" s="4" t="str">
        <f t="shared" si="7"/>
        <v>avril</v>
      </c>
      <c r="D113" s="6" t="str">
        <f t="shared" si="9"/>
        <v>T2</v>
      </c>
    </row>
    <row r="114" spans="1:4" ht="16.5" thickBot="1" x14ac:dyDescent="0.4">
      <c r="A114" s="5">
        <f t="shared" si="8"/>
        <v>46135</v>
      </c>
      <c r="B114" s="4">
        <f t="shared" si="6"/>
        <v>2026</v>
      </c>
      <c r="C114" s="4" t="str">
        <f t="shared" si="7"/>
        <v>avril</v>
      </c>
      <c r="D114" s="6" t="str">
        <f t="shared" si="9"/>
        <v>T2</v>
      </c>
    </row>
    <row r="115" spans="1:4" ht="16.5" thickBot="1" x14ac:dyDescent="0.4">
      <c r="A115" s="5">
        <f t="shared" si="8"/>
        <v>46136</v>
      </c>
      <c r="B115" s="4">
        <f t="shared" si="6"/>
        <v>2026</v>
      </c>
      <c r="C115" s="4" t="str">
        <f t="shared" si="7"/>
        <v>avril</v>
      </c>
      <c r="D115" s="6" t="str">
        <f t="shared" si="9"/>
        <v>T2</v>
      </c>
    </row>
    <row r="116" spans="1:4" ht="16.5" thickBot="1" x14ac:dyDescent="0.4">
      <c r="A116" s="5">
        <f t="shared" si="8"/>
        <v>46137</v>
      </c>
      <c r="B116" s="4">
        <f t="shared" si="6"/>
        <v>2026</v>
      </c>
      <c r="C116" s="4" t="str">
        <f t="shared" si="7"/>
        <v>avril</v>
      </c>
      <c r="D116" s="6" t="str">
        <f t="shared" si="9"/>
        <v>T2</v>
      </c>
    </row>
    <row r="117" spans="1:4" ht="16.5" thickBot="1" x14ac:dyDescent="0.4">
      <c r="A117" s="5">
        <f t="shared" si="8"/>
        <v>46138</v>
      </c>
      <c r="B117" s="4">
        <f t="shared" si="6"/>
        <v>2026</v>
      </c>
      <c r="C117" s="4" t="str">
        <f t="shared" si="7"/>
        <v>avril</v>
      </c>
      <c r="D117" s="6" t="str">
        <f t="shared" si="9"/>
        <v>T2</v>
      </c>
    </row>
    <row r="118" spans="1:4" ht="16.5" thickBot="1" x14ac:dyDescent="0.4">
      <c r="A118" s="5">
        <f t="shared" si="8"/>
        <v>46139</v>
      </c>
      <c r="B118" s="4">
        <f t="shared" si="6"/>
        <v>2026</v>
      </c>
      <c r="C118" s="4" t="str">
        <f t="shared" si="7"/>
        <v>avril</v>
      </c>
      <c r="D118" s="6" t="str">
        <f t="shared" si="9"/>
        <v>T2</v>
      </c>
    </row>
    <row r="119" spans="1:4" ht="16.5" thickBot="1" x14ac:dyDescent="0.4">
      <c r="A119" s="5">
        <f t="shared" si="8"/>
        <v>46140</v>
      </c>
      <c r="B119" s="4">
        <f t="shared" si="6"/>
        <v>2026</v>
      </c>
      <c r="C119" s="4" t="str">
        <f t="shared" si="7"/>
        <v>avril</v>
      </c>
      <c r="D119" s="6" t="str">
        <f t="shared" si="9"/>
        <v>T2</v>
      </c>
    </row>
    <row r="120" spans="1:4" ht="16.5" thickBot="1" x14ac:dyDescent="0.4">
      <c r="A120" s="5">
        <f t="shared" si="8"/>
        <v>46141</v>
      </c>
      <c r="B120" s="4">
        <f t="shared" si="6"/>
        <v>2026</v>
      </c>
      <c r="C120" s="4" t="str">
        <f t="shared" si="7"/>
        <v>avril</v>
      </c>
      <c r="D120" s="6" t="str">
        <f t="shared" si="9"/>
        <v>T2</v>
      </c>
    </row>
    <row r="121" spans="1:4" ht="16.5" thickBot="1" x14ac:dyDescent="0.4">
      <c r="A121" s="5">
        <f t="shared" si="8"/>
        <v>46142</v>
      </c>
      <c r="B121" s="4">
        <f t="shared" si="6"/>
        <v>2026</v>
      </c>
      <c r="C121" s="4" t="str">
        <f t="shared" si="7"/>
        <v>avril</v>
      </c>
      <c r="D121" s="6" t="str">
        <f t="shared" si="9"/>
        <v>T2</v>
      </c>
    </row>
    <row r="122" spans="1:4" ht="16.5" thickBot="1" x14ac:dyDescent="0.4">
      <c r="A122" s="5">
        <f t="shared" si="8"/>
        <v>46143</v>
      </c>
      <c r="B122" s="4">
        <f t="shared" si="6"/>
        <v>2026</v>
      </c>
      <c r="C122" s="4" t="str">
        <f t="shared" si="7"/>
        <v>mai</v>
      </c>
      <c r="D122" s="6" t="str">
        <f t="shared" si="9"/>
        <v>T2</v>
      </c>
    </row>
    <row r="123" spans="1:4" ht="16.5" thickBot="1" x14ac:dyDescent="0.4">
      <c r="A123" s="5">
        <f t="shared" si="8"/>
        <v>46144</v>
      </c>
      <c r="B123" s="4">
        <f t="shared" si="6"/>
        <v>2026</v>
      </c>
      <c r="C123" s="4" t="str">
        <f t="shared" si="7"/>
        <v>mai</v>
      </c>
      <c r="D123" s="6" t="str">
        <f t="shared" si="9"/>
        <v>T2</v>
      </c>
    </row>
    <row r="124" spans="1:4" ht="16.5" thickBot="1" x14ac:dyDescent="0.4">
      <c r="A124" s="5">
        <f t="shared" si="8"/>
        <v>46145</v>
      </c>
      <c r="B124" s="4">
        <f t="shared" si="6"/>
        <v>2026</v>
      </c>
      <c r="C124" s="4" t="str">
        <f t="shared" si="7"/>
        <v>mai</v>
      </c>
      <c r="D124" s="6" t="str">
        <f t="shared" si="9"/>
        <v>T2</v>
      </c>
    </row>
    <row r="125" spans="1:4" ht="16.5" thickBot="1" x14ac:dyDescent="0.4">
      <c r="A125" s="5">
        <f t="shared" si="8"/>
        <v>46146</v>
      </c>
      <c r="B125" s="4">
        <f t="shared" si="6"/>
        <v>2026</v>
      </c>
      <c r="C125" s="4" t="str">
        <f t="shared" si="7"/>
        <v>mai</v>
      </c>
      <c r="D125" s="6" t="str">
        <f t="shared" si="9"/>
        <v>T2</v>
      </c>
    </row>
    <row r="126" spans="1:4" ht="16.5" thickBot="1" x14ac:dyDescent="0.4">
      <c r="A126" s="5">
        <f t="shared" si="8"/>
        <v>46147</v>
      </c>
      <c r="B126" s="4">
        <f t="shared" si="6"/>
        <v>2026</v>
      </c>
      <c r="C126" s="4" t="str">
        <f t="shared" si="7"/>
        <v>mai</v>
      </c>
      <c r="D126" s="6" t="str">
        <f t="shared" si="9"/>
        <v>T2</v>
      </c>
    </row>
    <row r="127" spans="1:4" ht="16.5" thickBot="1" x14ac:dyDescent="0.4">
      <c r="A127" s="5">
        <f t="shared" si="8"/>
        <v>46148</v>
      </c>
      <c r="B127" s="4">
        <f t="shared" si="6"/>
        <v>2026</v>
      </c>
      <c r="C127" s="4" t="str">
        <f t="shared" si="7"/>
        <v>mai</v>
      </c>
      <c r="D127" s="6" t="str">
        <f t="shared" si="9"/>
        <v>T2</v>
      </c>
    </row>
    <row r="128" spans="1:4" ht="16.5" thickBot="1" x14ac:dyDescent="0.4">
      <c r="A128" s="5">
        <f t="shared" si="8"/>
        <v>46149</v>
      </c>
      <c r="B128" s="4">
        <f t="shared" si="6"/>
        <v>2026</v>
      </c>
      <c r="C128" s="4" t="str">
        <f t="shared" si="7"/>
        <v>mai</v>
      </c>
      <c r="D128" s="6" t="str">
        <f t="shared" si="9"/>
        <v>T2</v>
      </c>
    </row>
    <row r="129" spans="1:4" ht="16.5" thickBot="1" x14ac:dyDescent="0.4">
      <c r="A129" s="5">
        <f t="shared" si="8"/>
        <v>46150</v>
      </c>
      <c r="B129" s="4">
        <f t="shared" si="6"/>
        <v>2026</v>
      </c>
      <c r="C129" s="4" t="str">
        <f t="shared" si="7"/>
        <v>mai</v>
      </c>
      <c r="D129" s="6" t="str">
        <f t="shared" si="9"/>
        <v>T2</v>
      </c>
    </row>
    <row r="130" spans="1:4" ht="16.5" thickBot="1" x14ac:dyDescent="0.4">
      <c r="A130" s="5">
        <f t="shared" si="8"/>
        <v>46151</v>
      </c>
      <c r="B130" s="4">
        <f t="shared" si="6"/>
        <v>2026</v>
      </c>
      <c r="C130" s="4" t="str">
        <f t="shared" si="7"/>
        <v>mai</v>
      </c>
      <c r="D130" s="6" t="str">
        <f t="shared" si="9"/>
        <v>T2</v>
      </c>
    </row>
    <row r="131" spans="1:4" ht="16.5" thickBot="1" x14ac:dyDescent="0.4">
      <c r="A131" s="5">
        <f t="shared" si="8"/>
        <v>46152</v>
      </c>
      <c r="B131" s="4">
        <f t="shared" ref="B131:B194" si="10">YEAR(A131)</f>
        <v>2026</v>
      </c>
      <c r="C131" s="4" t="str">
        <f t="shared" ref="C131:C194" si="11">TEXT(A131,"mmmm")</f>
        <v>mai</v>
      </c>
      <c r="D131" s="6" t="str">
        <f t="shared" si="9"/>
        <v>T2</v>
      </c>
    </row>
    <row r="132" spans="1:4" ht="16.5" thickBot="1" x14ac:dyDescent="0.4">
      <c r="A132" s="5">
        <f t="shared" ref="A132:A195" si="12">A131+1</f>
        <v>46153</v>
      </c>
      <c r="B132" s="4">
        <f t="shared" si="10"/>
        <v>2026</v>
      </c>
      <c r="C132" s="4" t="str">
        <f t="shared" si="11"/>
        <v>mai</v>
      </c>
      <c r="D132" s="6" t="str">
        <f t="shared" ref="D132:D195" si="13">"T"&amp;ROUNDUP(MONTH(A132)/3,0)</f>
        <v>T2</v>
      </c>
    </row>
    <row r="133" spans="1:4" ht="16.5" thickBot="1" x14ac:dyDescent="0.4">
      <c r="A133" s="5">
        <f t="shared" si="12"/>
        <v>46154</v>
      </c>
      <c r="B133" s="4">
        <f t="shared" si="10"/>
        <v>2026</v>
      </c>
      <c r="C133" s="4" t="str">
        <f t="shared" si="11"/>
        <v>mai</v>
      </c>
      <c r="D133" s="6" t="str">
        <f t="shared" si="13"/>
        <v>T2</v>
      </c>
    </row>
    <row r="134" spans="1:4" ht="16.5" thickBot="1" x14ac:dyDescent="0.4">
      <c r="A134" s="5">
        <f t="shared" si="12"/>
        <v>46155</v>
      </c>
      <c r="B134" s="4">
        <f t="shared" si="10"/>
        <v>2026</v>
      </c>
      <c r="C134" s="4" t="str">
        <f t="shared" si="11"/>
        <v>mai</v>
      </c>
      <c r="D134" s="6" t="str">
        <f t="shared" si="13"/>
        <v>T2</v>
      </c>
    </row>
    <row r="135" spans="1:4" ht="16.5" thickBot="1" x14ac:dyDescent="0.4">
      <c r="A135" s="5">
        <f t="shared" si="12"/>
        <v>46156</v>
      </c>
      <c r="B135" s="4">
        <f t="shared" si="10"/>
        <v>2026</v>
      </c>
      <c r="C135" s="4" t="str">
        <f t="shared" si="11"/>
        <v>mai</v>
      </c>
      <c r="D135" s="6" t="str">
        <f t="shared" si="13"/>
        <v>T2</v>
      </c>
    </row>
    <row r="136" spans="1:4" ht="16.5" thickBot="1" x14ac:dyDescent="0.4">
      <c r="A136" s="5">
        <f t="shared" si="12"/>
        <v>46157</v>
      </c>
      <c r="B136" s="4">
        <f t="shared" si="10"/>
        <v>2026</v>
      </c>
      <c r="C136" s="4" t="str">
        <f t="shared" si="11"/>
        <v>mai</v>
      </c>
      <c r="D136" s="6" t="str">
        <f t="shared" si="13"/>
        <v>T2</v>
      </c>
    </row>
    <row r="137" spans="1:4" ht="16.5" thickBot="1" x14ac:dyDescent="0.4">
      <c r="A137" s="5">
        <f t="shared" si="12"/>
        <v>46158</v>
      </c>
      <c r="B137" s="4">
        <f t="shared" si="10"/>
        <v>2026</v>
      </c>
      <c r="C137" s="4" t="str">
        <f t="shared" si="11"/>
        <v>mai</v>
      </c>
      <c r="D137" s="6" t="str">
        <f t="shared" si="13"/>
        <v>T2</v>
      </c>
    </row>
    <row r="138" spans="1:4" ht="16.5" thickBot="1" x14ac:dyDescent="0.4">
      <c r="A138" s="5">
        <f t="shared" si="12"/>
        <v>46159</v>
      </c>
      <c r="B138" s="4">
        <f t="shared" si="10"/>
        <v>2026</v>
      </c>
      <c r="C138" s="4" t="str">
        <f t="shared" si="11"/>
        <v>mai</v>
      </c>
      <c r="D138" s="6" t="str">
        <f t="shared" si="13"/>
        <v>T2</v>
      </c>
    </row>
    <row r="139" spans="1:4" ht="16.5" thickBot="1" x14ac:dyDescent="0.4">
      <c r="A139" s="5">
        <f t="shared" si="12"/>
        <v>46160</v>
      </c>
      <c r="B139" s="4">
        <f t="shared" si="10"/>
        <v>2026</v>
      </c>
      <c r="C139" s="4" t="str">
        <f t="shared" si="11"/>
        <v>mai</v>
      </c>
      <c r="D139" s="6" t="str">
        <f t="shared" si="13"/>
        <v>T2</v>
      </c>
    </row>
    <row r="140" spans="1:4" ht="16.5" thickBot="1" x14ac:dyDescent="0.4">
      <c r="A140" s="5">
        <f t="shared" si="12"/>
        <v>46161</v>
      </c>
      <c r="B140" s="4">
        <f t="shared" si="10"/>
        <v>2026</v>
      </c>
      <c r="C140" s="4" t="str">
        <f t="shared" si="11"/>
        <v>mai</v>
      </c>
      <c r="D140" s="6" t="str">
        <f t="shared" si="13"/>
        <v>T2</v>
      </c>
    </row>
    <row r="141" spans="1:4" ht="16.5" thickBot="1" x14ac:dyDescent="0.4">
      <c r="A141" s="5">
        <f t="shared" si="12"/>
        <v>46162</v>
      </c>
      <c r="B141" s="4">
        <f t="shared" si="10"/>
        <v>2026</v>
      </c>
      <c r="C141" s="4" t="str">
        <f t="shared" si="11"/>
        <v>mai</v>
      </c>
      <c r="D141" s="6" t="str">
        <f t="shared" si="13"/>
        <v>T2</v>
      </c>
    </row>
    <row r="142" spans="1:4" ht="16.5" thickBot="1" x14ac:dyDescent="0.4">
      <c r="A142" s="5">
        <f t="shared" si="12"/>
        <v>46163</v>
      </c>
      <c r="B142" s="4">
        <f t="shared" si="10"/>
        <v>2026</v>
      </c>
      <c r="C142" s="4" t="str">
        <f t="shared" si="11"/>
        <v>mai</v>
      </c>
      <c r="D142" s="6" t="str">
        <f t="shared" si="13"/>
        <v>T2</v>
      </c>
    </row>
    <row r="143" spans="1:4" ht="16.5" thickBot="1" x14ac:dyDescent="0.4">
      <c r="A143" s="5">
        <f t="shared" si="12"/>
        <v>46164</v>
      </c>
      <c r="B143" s="4">
        <f t="shared" si="10"/>
        <v>2026</v>
      </c>
      <c r="C143" s="4" t="str">
        <f t="shared" si="11"/>
        <v>mai</v>
      </c>
      <c r="D143" s="6" t="str">
        <f t="shared" si="13"/>
        <v>T2</v>
      </c>
    </row>
    <row r="144" spans="1:4" ht="16.5" thickBot="1" x14ac:dyDescent="0.4">
      <c r="A144" s="5">
        <f t="shared" si="12"/>
        <v>46165</v>
      </c>
      <c r="B144" s="4">
        <f t="shared" si="10"/>
        <v>2026</v>
      </c>
      <c r="C144" s="4" t="str">
        <f t="shared" si="11"/>
        <v>mai</v>
      </c>
      <c r="D144" s="6" t="str">
        <f t="shared" si="13"/>
        <v>T2</v>
      </c>
    </row>
    <row r="145" spans="1:4" ht="16.5" thickBot="1" x14ac:dyDescent="0.4">
      <c r="A145" s="5">
        <f t="shared" si="12"/>
        <v>46166</v>
      </c>
      <c r="B145" s="4">
        <f t="shared" si="10"/>
        <v>2026</v>
      </c>
      <c r="C145" s="4" t="str">
        <f t="shared" si="11"/>
        <v>mai</v>
      </c>
      <c r="D145" s="6" t="str">
        <f t="shared" si="13"/>
        <v>T2</v>
      </c>
    </row>
    <row r="146" spans="1:4" ht="16.5" thickBot="1" x14ac:dyDescent="0.4">
      <c r="A146" s="5">
        <f t="shared" si="12"/>
        <v>46167</v>
      </c>
      <c r="B146" s="4">
        <f t="shared" si="10"/>
        <v>2026</v>
      </c>
      <c r="C146" s="4" t="str">
        <f t="shared" si="11"/>
        <v>mai</v>
      </c>
      <c r="D146" s="6" t="str">
        <f t="shared" si="13"/>
        <v>T2</v>
      </c>
    </row>
    <row r="147" spans="1:4" ht="16.5" thickBot="1" x14ac:dyDescent="0.4">
      <c r="A147" s="5">
        <f t="shared" si="12"/>
        <v>46168</v>
      </c>
      <c r="B147" s="4">
        <f t="shared" si="10"/>
        <v>2026</v>
      </c>
      <c r="C147" s="4" t="str">
        <f t="shared" si="11"/>
        <v>mai</v>
      </c>
      <c r="D147" s="6" t="str">
        <f t="shared" si="13"/>
        <v>T2</v>
      </c>
    </row>
    <row r="148" spans="1:4" ht="16.5" thickBot="1" x14ac:dyDescent="0.4">
      <c r="A148" s="5">
        <f t="shared" si="12"/>
        <v>46169</v>
      </c>
      <c r="B148" s="4">
        <f t="shared" si="10"/>
        <v>2026</v>
      </c>
      <c r="C148" s="4" t="str">
        <f t="shared" si="11"/>
        <v>mai</v>
      </c>
      <c r="D148" s="6" t="str">
        <f t="shared" si="13"/>
        <v>T2</v>
      </c>
    </row>
    <row r="149" spans="1:4" ht="16.5" thickBot="1" x14ac:dyDescent="0.4">
      <c r="A149" s="5">
        <f t="shared" si="12"/>
        <v>46170</v>
      </c>
      <c r="B149" s="4">
        <f t="shared" si="10"/>
        <v>2026</v>
      </c>
      <c r="C149" s="4" t="str">
        <f t="shared" si="11"/>
        <v>mai</v>
      </c>
      <c r="D149" s="6" t="str">
        <f t="shared" si="13"/>
        <v>T2</v>
      </c>
    </row>
    <row r="150" spans="1:4" ht="16.5" thickBot="1" x14ac:dyDescent="0.4">
      <c r="A150" s="5">
        <f t="shared" si="12"/>
        <v>46171</v>
      </c>
      <c r="B150" s="4">
        <f t="shared" si="10"/>
        <v>2026</v>
      </c>
      <c r="C150" s="4" t="str">
        <f t="shared" si="11"/>
        <v>mai</v>
      </c>
      <c r="D150" s="6" t="str">
        <f t="shared" si="13"/>
        <v>T2</v>
      </c>
    </row>
    <row r="151" spans="1:4" ht="16.5" thickBot="1" x14ac:dyDescent="0.4">
      <c r="A151" s="5">
        <f t="shared" si="12"/>
        <v>46172</v>
      </c>
      <c r="B151" s="4">
        <f t="shared" si="10"/>
        <v>2026</v>
      </c>
      <c r="C151" s="4" t="str">
        <f t="shared" si="11"/>
        <v>mai</v>
      </c>
      <c r="D151" s="6" t="str">
        <f t="shared" si="13"/>
        <v>T2</v>
      </c>
    </row>
    <row r="152" spans="1:4" ht="16.5" thickBot="1" x14ac:dyDescent="0.4">
      <c r="A152" s="5">
        <f t="shared" si="12"/>
        <v>46173</v>
      </c>
      <c r="B152" s="4">
        <f t="shared" si="10"/>
        <v>2026</v>
      </c>
      <c r="C152" s="4" t="str">
        <f t="shared" si="11"/>
        <v>mai</v>
      </c>
      <c r="D152" s="6" t="str">
        <f t="shared" si="13"/>
        <v>T2</v>
      </c>
    </row>
    <row r="153" spans="1:4" ht="16.5" thickBot="1" x14ac:dyDescent="0.4">
      <c r="A153" s="5">
        <f t="shared" si="12"/>
        <v>46174</v>
      </c>
      <c r="B153" s="4">
        <f t="shared" si="10"/>
        <v>2026</v>
      </c>
      <c r="C153" s="4" t="str">
        <f t="shared" si="11"/>
        <v>juin</v>
      </c>
      <c r="D153" s="6" t="str">
        <f t="shared" si="13"/>
        <v>T2</v>
      </c>
    </row>
    <row r="154" spans="1:4" ht="16.5" thickBot="1" x14ac:dyDescent="0.4">
      <c r="A154" s="5">
        <f t="shared" si="12"/>
        <v>46175</v>
      </c>
      <c r="B154" s="4">
        <f t="shared" si="10"/>
        <v>2026</v>
      </c>
      <c r="C154" s="4" t="str">
        <f t="shared" si="11"/>
        <v>juin</v>
      </c>
      <c r="D154" s="6" t="str">
        <f t="shared" si="13"/>
        <v>T2</v>
      </c>
    </row>
    <row r="155" spans="1:4" ht="16.5" thickBot="1" x14ac:dyDescent="0.4">
      <c r="A155" s="5">
        <f t="shared" si="12"/>
        <v>46176</v>
      </c>
      <c r="B155" s="4">
        <f t="shared" si="10"/>
        <v>2026</v>
      </c>
      <c r="C155" s="4" t="str">
        <f t="shared" si="11"/>
        <v>juin</v>
      </c>
      <c r="D155" s="6" t="str">
        <f t="shared" si="13"/>
        <v>T2</v>
      </c>
    </row>
    <row r="156" spans="1:4" ht="16.5" thickBot="1" x14ac:dyDescent="0.4">
      <c r="A156" s="5">
        <f t="shared" si="12"/>
        <v>46177</v>
      </c>
      <c r="B156" s="4">
        <f t="shared" si="10"/>
        <v>2026</v>
      </c>
      <c r="C156" s="4" t="str">
        <f t="shared" si="11"/>
        <v>juin</v>
      </c>
      <c r="D156" s="6" t="str">
        <f t="shared" si="13"/>
        <v>T2</v>
      </c>
    </row>
    <row r="157" spans="1:4" ht="16.5" thickBot="1" x14ac:dyDescent="0.4">
      <c r="A157" s="5">
        <f t="shared" si="12"/>
        <v>46178</v>
      </c>
      <c r="B157" s="4">
        <f t="shared" si="10"/>
        <v>2026</v>
      </c>
      <c r="C157" s="4" t="str">
        <f t="shared" si="11"/>
        <v>juin</v>
      </c>
      <c r="D157" s="6" t="str">
        <f t="shared" si="13"/>
        <v>T2</v>
      </c>
    </row>
    <row r="158" spans="1:4" ht="16.5" thickBot="1" x14ac:dyDescent="0.4">
      <c r="A158" s="5">
        <f t="shared" si="12"/>
        <v>46179</v>
      </c>
      <c r="B158" s="4">
        <f t="shared" si="10"/>
        <v>2026</v>
      </c>
      <c r="C158" s="4" t="str">
        <f t="shared" si="11"/>
        <v>juin</v>
      </c>
      <c r="D158" s="6" t="str">
        <f t="shared" si="13"/>
        <v>T2</v>
      </c>
    </row>
    <row r="159" spans="1:4" ht="16.5" thickBot="1" x14ac:dyDescent="0.4">
      <c r="A159" s="5">
        <f t="shared" si="12"/>
        <v>46180</v>
      </c>
      <c r="B159" s="4">
        <f t="shared" si="10"/>
        <v>2026</v>
      </c>
      <c r="C159" s="4" t="str">
        <f t="shared" si="11"/>
        <v>juin</v>
      </c>
      <c r="D159" s="6" t="str">
        <f t="shared" si="13"/>
        <v>T2</v>
      </c>
    </row>
    <row r="160" spans="1:4" ht="16.5" thickBot="1" x14ac:dyDescent="0.4">
      <c r="A160" s="5">
        <f t="shared" si="12"/>
        <v>46181</v>
      </c>
      <c r="B160" s="4">
        <f t="shared" si="10"/>
        <v>2026</v>
      </c>
      <c r="C160" s="4" t="str">
        <f t="shared" si="11"/>
        <v>juin</v>
      </c>
      <c r="D160" s="6" t="str">
        <f t="shared" si="13"/>
        <v>T2</v>
      </c>
    </row>
    <row r="161" spans="1:4" ht="16.5" thickBot="1" x14ac:dyDescent="0.4">
      <c r="A161" s="5">
        <f t="shared" si="12"/>
        <v>46182</v>
      </c>
      <c r="B161" s="4">
        <f t="shared" si="10"/>
        <v>2026</v>
      </c>
      <c r="C161" s="4" t="str">
        <f t="shared" si="11"/>
        <v>juin</v>
      </c>
      <c r="D161" s="6" t="str">
        <f t="shared" si="13"/>
        <v>T2</v>
      </c>
    </row>
    <row r="162" spans="1:4" ht="16.5" thickBot="1" x14ac:dyDescent="0.4">
      <c r="A162" s="5">
        <f t="shared" si="12"/>
        <v>46183</v>
      </c>
      <c r="B162" s="4">
        <f t="shared" si="10"/>
        <v>2026</v>
      </c>
      <c r="C162" s="4" t="str">
        <f t="shared" si="11"/>
        <v>juin</v>
      </c>
      <c r="D162" s="6" t="str">
        <f t="shared" si="13"/>
        <v>T2</v>
      </c>
    </row>
    <row r="163" spans="1:4" ht="16.5" thickBot="1" x14ac:dyDescent="0.4">
      <c r="A163" s="5">
        <f t="shared" si="12"/>
        <v>46184</v>
      </c>
      <c r="B163" s="4">
        <f t="shared" si="10"/>
        <v>2026</v>
      </c>
      <c r="C163" s="4" t="str">
        <f t="shared" si="11"/>
        <v>juin</v>
      </c>
      <c r="D163" s="6" t="str">
        <f t="shared" si="13"/>
        <v>T2</v>
      </c>
    </row>
    <row r="164" spans="1:4" ht="16.5" thickBot="1" x14ac:dyDescent="0.4">
      <c r="A164" s="5">
        <f t="shared" si="12"/>
        <v>46185</v>
      </c>
      <c r="B164" s="4">
        <f t="shared" si="10"/>
        <v>2026</v>
      </c>
      <c r="C164" s="4" t="str">
        <f t="shared" si="11"/>
        <v>juin</v>
      </c>
      <c r="D164" s="6" t="str">
        <f t="shared" si="13"/>
        <v>T2</v>
      </c>
    </row>
    <row r="165" spans="1:4" ht="16.5" thickBot="1" x14ac:dyDescent="0.4">
      <c r="A165" s="5">
        <f t="shared" si="12"/>
        <v>46186</v>
      </c>
      <c r="B165" s="4">
        <f t="shared" si="10"/>
        <v>2026</v>
      </c>
      <c r="C165" s="4" t="str">
        <f t="shared" si="11"/>
        <v>juin</v>
      </c>
      <c r="D165" s="6" t="str">
        <f t="shared" si="13"/>
        <v>T2</v>
      </c>
    </row>
    <row r="166" spans="1:4" ht="16.5" thickBot="1" x14ac:dyDescent="0.4">
      <c r="A166" s="5">
        <f t="shared" si="12"/>
        <v>46187</v>
      </c>
      <c r="B166" s="4">
        <f t="shared" si="10"/>
        <v>2026</v>
      </c>
      <c r="C166" s="4" t="str">
        <f t="shared" si="11"/>
        <v>juin</v>
      </c>
      <c r="D166" s="6" t="str">
        <f t="shared" si="13"/>
        <v>T2</v>
      </c>
    </row>
    <row r="167" spans="1:4" ht="16.5" thickBot="1" x14ac:dyDescent="0.4">
      <c r="A167" s="5">
        <f t="shared" si="12"/>
        <v>46188</v>
      </c>
      <c r="B167" s="4">
        <f t="shared" si="10"/>
        <v>2026</v>
      </c>
      <c r="C167" s="4" t="str">
        <f t="shared" si="11"/>
        <v>juin</v>
      </c>
      <c r="D167" s="6" t="str">
        <f t="shared" si="13"/>
        <v>T2</v>
      </c>
    </row>
    <row r="168" spans="1:4" ht="16.5" thickBot="1" x14ac:dyDescent="0.4">
      <c r="A168" s="5">
        <f t="shared" si="12"/>
        <v>46189</v>
      </c>
      <c r="B168" s="4">
        <f t="shared" si="10"/>
        <v>2026</v>
      </c>
      <c r="C168" s="4" t="str">
        <f t="shared" si="11"/>
        <v>juin</v>
      </c>
      <c r="D168" s="6" t="str">
        <f t="shared" si="13"/>
        <v>T2</v>
      </c>
    </row>
    <row r="169" spans="1:4" ht="16.5" thickBot="1" x14ac:dyDescent="0.4">
      <c r="A169" s="5">
        <f t="shared" si="12"/>
        <v>46190</v>
      </c>
      <c r="B169" s="4">
        <f t="shared" si="10"/>
        <v>2026</v>
      </c>
      <c r="C169" s="4" t="str">
        <f t="shared" si="11"/>
        <v>juin</v>
      </c>
      <c r="D169" s="6" t="str">
        <f t="shared" si="13"/>
        <v>T2</v>
      </c>
    </row>
    <row r="170" spans="1:4" ht="16.5" thickBot="1" x14ac:dyDescent="0.4">
      <c r="A170" s="5">
        <f t="shared" si="12"/>
        <v>46191</v>
      </c>
      <c r="B170" s="4">
        <f t="shared" si="10"/>
        <v>2026</v>
      </c>
      <c r="C170" s="4" t="str">
        <f t="shared" si="11"/>
        <v>juin</v>
      </c>
      <c r="D170" s="6" t="str">
        <f t="shared" si="13"/>
        <v>T2</v>
      </c>
    </row>
    <row r="171" spans="1:4" ht="16.5" thickBot="1" x14ac:dyDescent="0.4">
      <c r="A171" s="5">
        <f t="shared" si="12"/>
        <v>46192</v>
      </c>
      <c r="B171" s="4">
        <f t="shared" si="10"/>
        <v>2026</v>
      </c>
      <c r="C171" s="4" t="str">
        <f t="shared" si="11"/>
        <v>juin</v>
      </c>
      <c r="D171" s="6" t="str">
        <f t="shared" si="13"/>
        <v>T2</v>
      </c>
    </row>
    <row r="172" spans="1:4" ht="16.5" thickBot="1" x14ac:dyDescent="0.4">
      <c r="A172" s="5">
        <f t="shared" si="12"/>
        <v>46193</v>
      </c>
      <c r="B172" s="4">
        <f t="shared" si="10"/>
        <v>2026</v>
      </c>
      <c r="C172" s="4" t="str">
        <f t="shared" si="11"/>
        <v>juin</v>
      </c>
      <c r="D172" s="6" t="str">
        <f t="shared" si="13"/>
        <v>T2</v>
      </c>
    </row>
    <row r="173" spans="1:4" ht="16.5" thickBot="1" x14ac:dyDescent="0.4">
      <c r="A173" s="5">
        <f t="shared" si="12"/>
        <v>46194</v>
      </c>
      <c r="B173" s="4">
        <f t="shared" si="10"/>
        <v>2026</v>
      </c>
      <c r="C173" s="4" t="str">
        <f t="shared" si="11"/>
        <v>juin</v>
      </c>
      <c r="D173" s="6" t="str">
        <f t="shared" si="13"/>
        <v>T2</v>
      </c>
    </row>
    <row r="174" spans="1:4" ht="16.5" thickBot="1" x14ac:dyDescent="0.4">
      <c r="A174" s="5">
        <f t="shared" si="12"/>
        <v>46195</v>
      </c>
      <c r="B174" s="4">
        <f t="shared" si="10"/>
        <v>2026</v>
      </c>
      <c r="C174" s="4" t="str">
        <f t="shared" si="11"/>
        <v>juin</v>
      </c>
      <c r="D174" s="6" t="str">
        <f t="shared" si="13"/>
        <v>T2</v>
      </c>
    </row>
    <row r="175" spans="1:4" ht="16.5" thickBot="1" x14ac:dyDescent="0.4">
      <c r="A175" s="5">
        <f t="shared" si="12"/>
        <v>46196</v>
      </c>
      <c r="B175" s="4">
        <f t="shared" si="10"/>
        <v>2026</v>
      </c>
      <c r="C175" s="4" t="str">
        <f t="shared" si="11"/>
        <v>juin</v>
      </c>
      <c r="D175" s="6" t="str">
        <f t="shared" si="13"/>
        <v>T2</v>
      </c>
    </row>
    <row r="176" spans="1:4" ht="16.5" thickBot="1" x14ac:dyDescent="0.4">
      <c r="A176" s="5">
        <f t="shared" si="12"/>
        <v>46197</v>
      </c>
      <c r="B176" s="4">
        <f t="shared" si="10"/>
        <v>2026</v>
      </c>
      <c r="C176" s="4" t="str">
        <f t="shared" si="11"/>
        <v>juin</v>
      </c>
      <c r="D176" s="6" t="str">
        <f t="shared" si="13"/>
        <v>T2</v>
      </c>
    </row>
    <row r="177" spans="1:4" ht="16.5" thickBot="1" x14ac:dyDescent="0.4">
      <c r="A177" s="5">
        <f t="shared" si="12"/>
        <v>46198</v>
      </c>
      <c r="B177" s="4">
        <f t="shared" si="10"/>
        <v>2026</v>
      </c>
      <c r="C177" s="4" t="str">
        <f t="shared" si="11"/>
        <v>juin</v>
      </c>
      <c r="D177" s="6" t="str">
        <f t="shared" si="13"/>
        <v>T2</v>
      </c>
    </row>
    <row r="178" spans="1:4" ht="16.5" thickBot="1" x14ac:dyDescent="0.4">
      <c r="A178" s="5">
        <f t="shared" si="12"/>
        <v>46199</v>
      </c>
      <c r="B178" s="4">
        <f t="shared" si="10"/>
        <v>2026</v>
      </c>
      <c r="C178" s="4" t="str">
        <f t="shared" si="11"/>
        <v>juin</v>
      </c>
      <c r="D178" s="6" t="str">
        <f t="shared" si="13"/>
        <v>T2</v>
      </c>
    </row>
    <row r="179" spans="1:4" ht="16.5" thickBot="1" x14ac:dyDescent="0.4">
      <c r="A179" s="5">
        <f t="shared" si="12"/>
        <v>46200</v>
      </c>
      <c r="B179" s="4">
        <f t="shared" si="10"/>
        <v>2026</v>
      </c>
      <c r="C179" s="4" t="str">
        <f t="shared" si="11"/>
        <v>juin</v>
      </c>
      <c r="D179" s="6" t="str">
        <f t="shared" si="13"/>
        <v>T2</v>
      </c>
    </row>
    <row r="180" spans="1:4" ht="16.5" thickBot="1" x14ac:dyDescent="0.4">
      <c r="A180" s="5">
        <f t="shared" si="12"/>
        <v>46201</v>
      </c>
      <c r="B180" s="4">
        <f t="shared" si="10"/>
        <v>2026</v>
      </c>
      <c r="C180" s="4" t="str">
        <f t="shared" si="11"/>
        <v>juin</v>
      </c>
      <c r="D180" s="6" t="str">
        <f t="shared" si="13"/>
        <v>T2</v>
      </c>
    </row>
    <row r="181" spans="1:4" ht="16.5" thickBot="1" x14ac:dyDescent="0.4">
      <c r="A181" s="5">
        <f t="shared" si="12"/>
        <v>46202</v>
      </c>
      <c r="B181" s="4">
        <f t="shared" si="10"/>
        <v>2026</v>
      </c>
      <c r="C181" s="4" t="str">
        <f t="shared" si="11"/>
        <v>juin</v>
      </c>
      <c r="D181" s="6" t="str">
        <f t="shared" si="13"/>
        <v>T2</v>
      </c>
    </row>
    <row r="182" spans="1:4" ht="16.5" thickBot="1" x14ac:dyDescent="0.4">
      <c r="A182" s="5">
        <f t="shared" si="12"/>
        <v>46203</v>
      </c>
      <c r="B182" s="4">
        <f t="shared" si="10"/>
        <v>2026</v>
      </c>
      <c r="C182" s="4" t="str">
        <f t="shared" si="11"/>
        <v>juin</v>
      </c>
      <c r="D182" s="6" t="str">
        <f t="shared" si="13"/>
        <v>T2</v>
      </c>
    </row>
    <row r="183" spans="1:4" ht="16.5" thickBot="1" x14ac:dyDescent="0.4">
      <c r="A183" s="5">
        <f t="shared" si="12"/>
        <v>46204</v>
      </c>
      <c r="B183" s="4">
        <f t="shared" si="10"/>
        <v>2026</v>
      </c>
      <c r="C183" s="4" t="str">
        <f t="shared" si="11"/>
        <v>juillet</v>
      </c>
      <c r="D183" s="6" t="str">
        <f t="shared" si="13"/>
        <v>T3</v>
      </c>
    </row>
    <row r="184" spans="1:4" ht="16.5" thickBot="1" x14ac:dyDescent="0.4">
      <c r="A184" s="5">
        <f t="shared" si="12"/>
        <v>46205</v>
      </c>
      <c r="B184" s="4">
        <f t="shared" si="10"/>
        <v>2026</v>
      </c>
      <c r="C184" s="4" t="str">
        <f t="shared" si="11"/>
        <v>juillet</v>
      </c>
      <c r="D184" s="6" t="str">
        <f t="shared" si="13"/>
        <v>T3</v>
      </c>
    </row>
    <row r="185" spans="1:4" ht="16.5" thickBot="1" x14ac:dyDescent="0.4">
      <c r="A185" s="5">
        <f t="shared" si="12"/>
        <v>46206</v>
      </c>
      <c r="B185" s="4">
        <f t="shared" si="10"/>
        <v>2026</v>
      </c>
      <c r="C185" s="4" t="str">
        <f t="shared" si="11"/>
        <v>juillet</v>
      </c>
      <c r="D185" s="6" t="str">
        <f t="shared" si="13"/>
        <v>T3</v>
      </c>
    </row>
    <row r="186" spans="1:4" ht="16.5" thickBot="1" x14ac:dyDescent="0.4">
      <c r="A186" s="5">
        <f t="shared" si="12"/>
        <v>46207</v>
      </c>
      <c r="B186" s="4">
        <f t="shared" si="10"/>
        <v>2026</v>
      </c>
      <c r="C186" s="4" t="str">
        <f t="shared" si="11"/>
        <v>juillet</v>
      </c>
      <c r="D186" s="6" t="str">
        <f t="shared" si="13"/>
        <v>T3</v>
      </c>
    </row>
    <row r="187" spans="1:4" ht="16.5" thickBot="1" x14ac:dyDescent="0.4">
      <c r="A187" s="5">
        <f t="shared" si="12"/>
        <v>46208</v>
      </c>
      <c r="B187" s="4">
        <f t="shared" si="10"/>
        <v>2026</v>
      </c>
      <c r="C187" s="4" t="str">
        <f t="shared" si="11"/>
        <v>juillet</v>
      </c>
      <c r="D187" s="6" t="str">
        <f t="shared" si="13"/>
        <v>T3</v>
      </c>
    </row>
    <row r="188" spans="1:4" ht="16.5" thickBot="1" x14ac:dyDescent="0.4">
      <c r="A188" s="5">
        <f t="shared" si="12"/>
        <v>46209</v>
      </c>
      <c r="B188" s="4">
        <f t="shared" si="10"/>
        <v>2026</v>
      </c>
      <c r="C188" s="4" t="str">
        <f t="shared" si="11"/>
        <v>juillet</v>
      </c>
      <c r="D188" s="6" t="str">
        <f t="shared" si="13"/>
        <v>T3</v>
      </c>
    </row>
    <row r="189" spans="1:4" ht="16.5" thickBot="1" x14ac:dyDescent="0.4">
      <c r="A189" s="5">
        <f t="shared" si="12"/>
        <v>46210</v>
      </c>
      <c r="B189" s="4">
        <f t="shared" si="10"/>
        <v>2026</v>
      </c>
      <c r="C189" s="4" t="str">
        <f t="shared" si="11"/>
        <v>juillet</v>
      </c>
      <c r="D189" s="6" t="str">
        <f t="shared" si="13"/>
        <v>T3</v>
      </c>
    </row>
    <row r="190" spans="1:4" ht="16.5" thickBot="1" x14ac:dyDescent="0.4">
      <c r="A190" s="5">
        <f t="shared" si="12"/>
        <v>46211</v>
      </c>
      <c r="B190" s="4">
        <f t="shared" si="10"/>
        <v>2026</v>
      </c>
      <c r="C190" s="4" t="str">
        <f t="shared" si="11"/>
        <v>juillet</v>
      </c>
      <c r="D190" s="6" t="str">
        <f t="shared" si="13"/>
        <v>T3</v>
      </c>
    </row>
    <row r="191" spans="1:4" ht="16.5" thickBot="1" x14ac:dyDescent="0.4">
      <c r="A191" s="5">
        <f t="shared" si="12"/>
        <v>46212</v>
      </c>
      <c r="B191" s="4">
        <f t="shared" si="10"/>
        <v>2026</v>
      </c>
      <c r="C191" s="4" t="str">
        <f t="shared" si="11"/>
        <v>juillet</v>
      </c>
      <c r="D191" s="6" t="str">
        <f t="shared" si="13"/>
        <v>T3</v>
      </c>
    </row>
    <row r="192" spans="1:4" ht="16.5" thickBot="1" x14ac:dyDescent="0.4">
      <c r="A192" s="5">
        <f t="shared" si="12"/>
        <v>46213</v>
      </c>
      <c r="B192" s="4">
        <f t="shared" si="10"/>
        <v>2026</v>
      </c>
      <c r="C192" s="4" t="str">
        <f t="shared" si="11"/>
        <v>juillet</v>
      </c>
      <c r="D192" s="6" t="str">
        <f t="shared" si="13"/>
        <v>T3</v>
      </c>
    </row>
    <row r="193" spans="1:4" ht="16.5" thickBot="1" x14ac:dyDescent="0.4">
      <c r="A193" s="5">
        <f t="shared" si="12"/>
        <v>46214</v>
      </c>
      <c r="B193" s="4">
        <f t="shared" si="10"/>
        <v>2026</v>
      </c>
      <c r="C193" s="4" t="str">
        <f t="shared" si="11"/>
        <v>juillet</v>
      </c>
      <c r="D193" s="6" t="str">
        <f t="shared" si="13"/>
        <v>T3</v>
      </c>
    </row>
    <row r="194" spans="1:4" ht="16.5" thickBot="1" x14ac:dyDescent="0.4">
      <c r="A194" s="5">
        <f t="shared" si="12"/>
        <v>46215</v>
      </c>
      <c r="B194" s="4">
        <f t="shared" si="10"/>
        <v>2026</v>
      </c>
      <c r="C194" s="4" t="str">
        <f t="shared" si="11"/>
        <v>juillet</v>
      </c>
      <c r="D194" s="6" t="str">
        <f t="shared" si="13"/>
        <v>T3</v>
      </c>
    </row>
    <row r="195" spans="1:4" ht="16.5" thickBot="1" x14ac:dyDescent="0.4">
      <c r="A195" s="5">
        <f t="shared" si="12"/>
        <v>46216</v>
      </c>
      <c r="B195" s="4">
        <f t="shared" ref="B195:B258" si="14">YEAR(A195)</f>
        <v>2026</v>
      </c>
      <c r="C195" s="4" t="str">
        <f t="shared" ref="C195:C258" si="15">TEXT(A195,"mmmm")</f>
        <v>juillet</v>
      </c>
      <c r="D195" s="6" t="str">
        <f t="shared" si="13"/>
        <v>T3</v>
      </c>
    </row>
    <row r="196" spans="1:4" ht="16.5" thickBot="1" x14ac:dyDescent="0.4">
      <c r="A196" s="5">
        <f t="shared" ref="A196:A259" si="16">A195+1</f>
        <v>46217</v>
      </c>
      <c r="B196" s="4">
        <f t="shared" si="14"/>
        <v>2026</v>
      </c>
      <c r="C196" s="4" t="str">
        <f t="shared" si="15"/>
        <v>juillet</v>
      </c>
      <c r="D196" s="6" t="str">
        <f t="shared" ref="D196:D259" si="17">"T"&amp;ROUNDUP(MONTH(A196)/3,0)</f>
        <v>T3</v>
      </c>
    </row>
    <row r="197" spans="1:4" ht="16.5" thickBot="1" x14ac:dyDescent="0.4">
      <c r="A197" s="5">
        <f t="shared" si="16"/>
        <v>46218</v>
      </c>
      <c r="B197" s="4">
        <f t="shared" si="14"/>
        <v>2026</v>
      </c>
      <c r="C197" s="4" t="str">
        <f t="shared" si="15"/>
        <v>juillet</v>
      </c>
      <c r="D197" s="6" t="str">
        <f t="shared" si="17"/>
        <v>T3</v>
      </c>
    </row>
    <row r="198" spans="1:4" ht="16.5" thickBot="1" x14ac:dyDescent="0.4">
      <c r="A198" s="5">
        <f t="shared" si="16"/>
        <v>46219</v>
      </c>
      <c r="B198" s="4">
        <f t="shared" si="14"/>
        <v>2026</v>
      </c>
      <c r="C198" s="4" t="str">
        <f t="shared" si="15"/>
        <v>juillet</v>
      </c>
      <c r="D198" s="6" t="str">
        <f t="shared" si="17"/>
        <v>T3</v>
      </c>
    </row>
    <row r="199" spans="1:4" ht="16.5" thickBot="1" x14ac:dyDescent="0.4">
      <c r="A199" s="5">
        <f t="shared" si="16"/>
        <v>46220</v>
      </c>
      <c r="B199" s="4">
        <f t="shared" si="14"/>
        <v>2026</v>
      </c>
      <c r="C199" s="4" t="str">
        <f t="shared" si="15"/>
        <v>juillet</v>
      </c>
      <c r="D199" s="6" t="str">
        <f t="shared" si="17"/>
        <v>T3</v>
      </c>
    </row>
    <row r="200" spans="1:4" ht="16.5" thickBot="1" x14ac:dyDescent="0.4">
      <c r="A200" s="5">
        <f t="shared" si="16"/>
        <v>46221</v>
      </c>
      <c r="B200" s="4">
        <f t="shared" si="14"/>
        <v>2026</v>
      </c>
      <c r="C200" s="4" t="str">
        <f t="shared" si="15"/>
        <v>juillet</v>
      </c>
      <c r="D200" s="6" t="str">
        <f t="shared" si="17"/>
        <v>T3</v>
      </c>
    </row>
    <row r="201" spans="1:4" ht="16.5" thickBot="1" x14ac:dyDescent="0.4">
      <c r="A201" s="5">
        <f t="shared" si="16"/>
        <v>46222</v>
      </c>
      <c r="B201" s="4">
        <f t="shared" si="14"/>
        <v>2026</v>
      </c>
      <c r="C201" s="4" t="str">
        <f t="shared" si="15"/>
        <v>juillet</v>
      </c>
      <c r="D201" s="6" t="str">
        <f t="shared" si="17"/>
        <v>T3</v>
      </c>
    </row>
    <row r="202" spans="1:4" ht="16.5" thickBot="1" x14ac:dyDescent="0.4">
      <c r="A202" s="5">
        <f t="shared" si="16"/>
        <v>46223</v>
      </c>
      <c r="B202" s="4">
        <f t="shared" si="14"/>
        <v>2026</v>
      </c>
      <c r="C202" s="4" t="str">
        <f t="shared" si="15"/>
        <v>juillet</v>
      </c>
      <c r="D202" s="6" t="str">
        <f t="shared" si="17"/>
        <v>T3</v>
      </c>
    </row>
    <row r="203" spans="1:4" ht="16.5" thickBot="1" x14ac:dyDescent="0.4">
      <c r="A203" s="5">
        <f t="shared" si="16"/>
        <v>46224</v>
      </c>
      <c r="B203" s="4">
        <f t="shared" si="14"/>
        <v>2026</v>
      </c>
      <c r="C203" s="4" t="str">
        <f t="shared" si="15"/>
        <v>juillet</v>
      </c>
      <c r="D203" s="6" t="str">
        <f t="shared" si="17"/>
        <v>T3</v>
      </c>
    </row>
    <row r="204" spans="1:4" ht="16.5" thickBot="1" x14ac:dyDescent="0.4">
      <c r="A204" s="5">
        <f t="shared" si="16"/>
        <v>46225</v>
      </c>
      <c r="B204" s="4">
        <f t="shared" si="14"/>
        <v>2026</v>
      </c>
      <c r="C204" s="4" t="str">
        <f t="shared" si="15"/>
        <v>juillet</v>
      </c>
      <c r="D204" s="6" t="str">
        <f t="shared" si="17"/>
        <v>T3</v>
      </c>
    </row>
    <row r="205" spans="1:4" ht="16.5" thickBot="1" x14ac:dyDescent="0.4">
      <c r="A205" s="5">
        <f t="shared" si="16"/>
        <v>46226</v>
      </c>
      <c r="B205" s="4">
        <f t="shared" si="14"/>
        <v>2026</v>
      </c>
      <c r="C205" s="4" t="str">
        <f t="shared" si="15"/>
        <v>juillet</v>
      </c>
      <c r="D205" s="6" t="str">
        <f t="shared" si="17"/>
        <v>T3</v>
      </c>
    </row>
    <row r="206" spans="1:4" ht="16.5" thickBot="1" x14ac:dyDescent="0.4">
      <c r="A206" s="5">
        <f t="shared" si="16"/>
        <v>46227</v>
      </c>
      <c r="B206" s="4">
        <f t="shared" si="14"/>
        <v>2026</v>
      </c>
      <c r="C206" s="4" t="str">
        <f t="shared" si="15"/>
        <v>juillet</v>
      </c>
      <c r="D206" s="6" t="str">
        <f t="shared" si="17"/>
        <v>T3</v>
      </c>
    </row>
    <row r="207" spans="1:4" ht="16.5" thickBot="1" x14ac:dyDescent="0.4">
      <c r="A207" s="5">
        <f t="shared" si="16"/>
        <v>46228</v>
      </c>
      <c r="B207" s="4">
        <f t="shared" si="14"/>
        <v>2026</v>
      </c>
      <c r="C207" s="4" t="str">
        <f t="shared" si="15"/>
        <v>juillet</v>
      </c>
      <c r="D207" s="6" t="str">
        <f t="shared" si="17"/>
        <v>T3</v>
      </c>
    </row>
    <row r="208" spans="1:4" ht="16.5" thickBot="1" x14ac:dyDescent="0.4">
      <c r="A208" s="5">
        <f t="shared" si="16"/>
        <v>46229</v>
      </c>
      <c r="B208" s="4">
        <f t="shared" si="14"/>
        <v>2026</v>
      </c>
      <c r="C208" s="4" t="str">
        <f t="shared" si="15"/>
        <v>juillet</v>
      </c>
      <c r="D208" s="6" t="str">
        <f t="shared" si="17"/>
        <v>T3</v>
      </c>
    </row>
    <row r="209" spans="1:4" ht="16.5" thickBot="1" x14ac:dyDescent="0.4">
      <c r="A209" s="5">
        <f t="shared" si="16"/>
        <v>46230</v>
      </c>
      <c r="B209" s="4">
        <f t="shared" si="14"/>
        <v>2026</v>
      </c>
      <c r="C209" s="4" t="str">
        <f t="shared" si="15"/>
        <v>juillet</v>
      </c>
      <c r="D209" s="6" t="str">
        <f t="shared" si="17"/>
        <v>T3</v>
      </c>
    </row>
    <row r="210" spans="1:4" ht="16.5" thickBot="1" x14ac:dyDescent="0.4">
      <c r="A210" s="5">
        <f t="shared" si="16"/>
        <v>46231</v>
      </c>
      <c r="B210" s="4">
        <f t="shared" si="14"/>
        <v>2026</v>
      </c>
      <c r="C210" s="4" t="str">
        <f t="shared" si="15"/>
        <v>juillet</v>
      </c>
      <c r="D210" s="6" t="str">
        <f t="shared" si="17"/>
        <v>T3</v>
      </c>
    </row>
    <row r="211" spans="1:4" ht="16.5" thickBot="1" x14ac:dyDescent="0.4">
      <c r="A211" s="5">
        <f t="shared" si="16"/>
        <v>46232</v>
      </c>
      <c r="B211" s="4">
        <f t="shared" si="14"/>
        <v>2026</v>
      </c>
      <c r="C211" s="4" t="str">
        <f t="shared" si="15"/>
        <v>juillet</v>
      </c>
      <c r="D211" s="6" t="str">
        <f t="shared" si="17"/>
        <v>T3</v>
      </c>
    </row>
    <row r="212" spans="1:4" ht="16.5" thickBot="1" x14ac:dyDescent="0.4">
      <c r="A212" s="5">
        <f t="shared" si="16"/>
        <v>46233</v>
      </c>
      <c r="B212" s="4">
        <f t="shared" si="14"/>
        <v>2026</v>
      </c>
      <c r="C212" s="4" t="str">
        <f t="shared" si="15"/>
        <v>juillet</v>
      </c>
      <c r="D212" s="6" t="str">
        <f t="shared" si="17"/>
        <v>T3</v>
      </c>
    </row>
    <row r="213" spans="1:4" ht="16.5" thickBot="1" x14ac:dyDescent="0.4">
      <c r="A213" s="5">
        <f t="shared" si="16"/>
        <v>46234</v>
      </c>
      <c r="B213" s="4">
        <f t="shared" si="14"/>
        <v>2026</v>
      </c>
      <c r="C213" s="4" t="str">
        <f t="shared" si="15"/>
        <v>juillet</v>
      </c>
      <c r="D213" s="6" t="str">
        <f t="shared" si="17"/>
        <v>T3</v>
      </c>
    </row>
    <row r="214" spans="1:4" ht="16.5" thickBot="1" x14ac:dyDescent="0.4">
      <c r="A214" s="5">
        <f t="shared" si="16"/>
        <v>46235</v>
      </c>
      <c r="B214" s="4">
        <f t="shared" si="14"/>
        <v>2026</v>
      </c>
      <c r="C214" s="4" t="str">
        <f t="shared" si="15"/>
        <v>août</v>
      </c>
      <c r="D214" s="6" t="str">
        <f t="shared" si="17"/>
        <v>T3</v>
      </c>
    </row>
    <row r="215" spans="1:4" ht="16.5" thickBot="1" x14ac:dyDescent="0.4">
      <c r="A215" s="5">
        <f t="shared" si="16"/>
        <v>46236</v>
      </c>
      <c r="B215" s="4">
        <f t="shared" si="14"/>
        <v>2026</v>
      </c>
      <c r="C215" s="4" t="str">
        <f t="shared" si="15"/>
        <v>août</v>
      </c>
      <c r="D215" s="6" t="str">
        <f t="shared" si="17"/>
        <v>T3</v>
      </c>
    </row>
    <row r="216" spans="1:4" ht="16.5" thickBot="1" x14ac:dyDescent="0.4">
      <c r="A216" s="5">
        <f t="shared" si="16"/>
        <v>46237</v>
      </c>
      <c r="B216" s="4">
        <f t="shared" si="14"/>
        <v>2026</v>
      </c>
      <c r="C216" s="4" t="str">
        <f t="shared" si="15"/>
        <v>août</v>
      </c>
      <c r="D216" s="6" t="str">
        <f t="shared" si="17"/>
        <v>T3</v>
      </c>
    </row>
    <row r="217" spans="1:4" ht="16.5" thickBot="1" x14ac:dyDescent="0.4">
      <c r="A217" s="5">
        <f t="shared" si="16"/>
        <v>46238</v>
      </c>
      <c r="B217" s="4">
        <f t="shared" si="14"/>
        <v>2026</v>
      </c>
      <c r="C217" s="4" t="str">
        <f t="shared" si="15"/>
        <v>août</v>
      </c>
      <c r="D217" s="6" t="str">
        <f t="shared" si="17"/>
        <v>T3</v>
      </c>
    </row>
    <row r="218" spans="1:4" ht="16.5" thickBot="1" x14ac:dyDescent="0.4">
      <c r="A218" s="5">
        <f t="shared" si="16"/>
        <v>46239</v>
      </c>
      <c r="B218" s="4">
        <f t="shared" si="14"/>
        <v>2026</v>
      </c>
      <c r="C218" s="4" t="str">
        <f t="shared" si="15"/>
        <v>août</v>
      </c>
      <c r="D218" s="6" t="str">
        <f t="shared" si="17"/>
        <v>T3</v>
      </c>
    </row>
    <row r="219" spans="1:4" ht="16.5" thickBot="1" x14ac:dyDescent="0.4">
      <c r="A219" s="5">
        <f t="shared" si="16"/>
        <v>46240</v>
      </c>
      <c r="B219" s="4">
        <f t="shared" si="14"/>
        <v>2026</v>
      </c>
      <c r="C219" s="4" t="str">
        <f t="shared" si="15"/>
        <v>août</v>
      </c>
      <c r="D219" s="6" t="str">
        <f t="shared" si="17"/>
        <v>T3</v>
      </c>
    </row>
    <row r="220" spans="1:4" ht="16.5" thickBot="1" x14ac:dyDescent="0.4">
      <c r="A220" s="5">
        <f t="shared" si="16"/>
        <v>46241</v>
      </c>
      <c r="B220" s="4">
        <f t="shared" si="14"/>
        <v>2026</v>
      </c>
      <c r="C220" s="4" t="str">
        <f t="shared" si="15"/>
        <v>août</v>
      </c>
      <c r="D220" s="6" t="str">
        <f t="shared" si="17"/>
        <v>T3</v>
      </c>
    </row>
    <row r="221" spans="1:4" ht="16.5" thickBot="1" x14ac:dyDescent="0.4">
      <c r="A221" s="5">
        <f t="shared" si="16"/>
        <v>46242</v>
      </c>
      <c r="B221" s="4">
        <f t="shared" si="14"/>
        <v>2026</v>
      </c>
      <c r="C221" s="4" t="str">
        <f t="shared" si="15"/>
        <v>août</v>
      </c>
      <c r="D221" s="6" t="str">
        <f t="shared" si="17"/>
        <v>T3</v>
      </c>
    </row>
    <row r="222" spans="1:4" ht="16.5" thickBot="1" x14ac:dyDescent="0.4">
      <c r="A222" s="5">
        <f t="shared" si="16"/>
        <v>46243</v>
      </c>
      <c r="B222" s="4">
        <f t="shared" si="14"/>
        <v>2026</v>
      </c>
      <c r="C222" s="4" t="str">
        <f t="shared" si="15"/>
        <v>août</v>
      </c>
      <c r="D222" s="6" t="str">
        <f t="shared" si="17"/>
        <v>T3</v>
      </c>
    </row>
    <row r="223" spans="1:4" ht="16.5" thickBot="1" x14ac:dyDescent="0.4">
      <c r="A223" s="5">
        <f t="shared" si="16"/>
        <v>46244</v>
      </c>
      <c r="B223" s="4">
        <f t="shared" si="14"/>
        <v>2026</v>
      </c>
      <c r="C223" s="4" t="str">
        <f t="shared" si="15"/>
        <v>août</v>
      </c>
      <c r="D223" s="6" t="str">
        <f t="shared" si="17"/>
        <v>T3</v>
      </c>
    </row>
    <row r="224" spans="1:4" ht="16.5" thickBot="1" x14ac:dyDescent="0.4">
      <c r="A224" s="5">
        <f t="shared" si="16"/>
        <v>46245</v>
      </c>
      <c r="B224" s="4">
        <f t="shared" si="14"/>
        <v>2026</v>
      </c>
      <c r="C224" s="4" t="str">
        <f t="shared" si="15"/>
        <v>août</v>
      </c>
      <c r="D224" s="6" t="str">
        <f t="shared" si="17"/>
        <v>T3</v>
      </c>
    </row>
    <row r="225" spans="1:4" ht="16.5" thickBot="1" x14ac:dyDescent="0.4">
      <c r="A225" s="5">
        <f t="shared" si="16"/>
        <v>46246</v>
      </c>
      <c r="B225" s="4">
        <f t="shared" si="14"/>
        <v>2026</v>
      </c>
      <c r="C225" s="4" t="str">
        <f t="shared" si="15"/>
        <v>août</v>
      </c>
      <c r="D225" s="6" t="str">
        <f t="shared" si="17"/>
        <v>T3</v>
      </c>
    </row>
    <row r="226" spans="1:4" ht="16.5" thickBot="1" x14ac:dyDescent="0.4">
      <c r="A226" s="5">
        <f t="shared" si="16"/>
        <v>46247</v>
      </c>
      <c r="B226" s="4">
        <f t="shared" si="14"/>
        <v>2026</v>
      </c>
      <c r="C226" s="4" t="str">
        <f t="shared" si="15"/>
        <v>août</v>
      </c>
      <c r="D226" s="6" t="str">
        <f t="shared" si="17"/>
        <v>T3</v>
      </c>
    </row>
    <row r="227" spans="1:4" ht="16.5" thickBot="1" x14ac:dyDescent="0.4">
      <c r="A227" s="5">
        <f t="shared" si="16"/>
        <v>46248</v>
      </c>
      <c r="B227" s="4">
        <f t="shared" si="14"/>
        <v>2026</v>
      </c>
      <c r="C227" s="4" t="str">
        <f t="shared" si="15"/>
        <v>août</v>
      </c>
      <c r="D227" s="6" t="str">
        <f t="shared" si="17"/>
        <v>T3</v>
      </c>
    </row>
    <row r="228" spans="1:4" ht="16.5" thickBot="1" x14ac:dyDescent="0.4">
      <c r="A228" s="5">
        <f t="shared" si="16"/>
        <v>46249</v>
      </c>
      <c r="B228" s="4">
        <f t="shared" si="14"/>
        <v>2026</v>
      </c>
      <c r="C228" s="4" t="str">
        <f t="shared" si="15"/>
        <v>août</v>
      </c>
      <c r="D228" s="6" t="str">
        <f t="shared" si="17"/>
        <v>T3</v>
      </c>
    </row>
    <row r="229" spans="1:4" ht="16.5" thickBot="1" x14ac:dyDescent="0.4">
      <c r="A229" s="5">
        <f t="shared" si="16"/>
        <v>46250</v>
      </c>
      <c r="B229" s="4">
        <f t="shared" si="14"/>
        <v>2026</v>
      </c>
      <c r="C229" s="4" t="str">
        <f t="shared" si="15"/>
        <v>août</v>
      </c>
      <c r="D229" s="6" t="str">
        <f t="shared" si="17"/>
        <v>T3</v>
      </c>
    </row>
    <row r="230" spans="1:4" ht="16.5" thickBot="1" x14ac:dyDescent="0.4">
      <c r="A230" s="5">
        <f t="shared" si="16"/>
        <v>46251</v>
      </c>
      <c r="B230" s="4">
        <f t="shared" si="14"/>
        <v>2026</v>
      </c>
      <c r="C230" s="4" t="str">
        <f t="shared" si="15"/>
        <v>août</v>
      </c>
      <c r="D230" s="6" t="str">
        <f t="shared" si="17"/>
        <v>T3</v>
      </c>
    </row>
    <row r="231" spans="1:4" ht="16.5" thickBot="1" x14ac:dyDescent="0.4">
      <c r="A231" s="5">
        <f t="shared" si="16"/>
        <v>46252</v>
      </c>
      <c r="B231" s="4">
        <f t="shared" si="14"/>
        <v>2026</v>
      </c>
      <c r="C231" s="4" t="str">
        <f t="shared" si="15"/>
        <v>août</v>
      </c>
      <c r="D231" s="6" t="str">
        <f t="shared" si="17"/>
        <v>T3</v>
      </c>
    </row>
    <row r="232" spans="1:4" ht="16.5" thickBot="1" x14ac:dyDescent="0.4">
      <c r="A232" s="5">
        <f t="shared" si="16"/>
        <v>46253</v>
      </c>
      <c r="B232" s="4">
        <f t="shared" si="14"/>
        <v>2026</v>
      </c>
      <c r="C232" s="4" t="str">
        <f t="shared" si="15"/>
        <v>août</v>
      </c>
      <c r="D232" s="6" t="str">
        <f t="shared" si="17"/>
        <v>T3</v>
      </c>
    </row>
    <row r="233" spans="1:4" ht="16.5" thickBot="1" x14ac:dyDescent="0.4">
      <c r="A233" s="5">
        <f t="shared" si="16"/>
        <v>46254</v>
      </c>
      <c r="B233" s="4">
        <f t="shared" si="14"/>
        <v>2026</v>
      </c>
      <c r="C233" s="4" t="str">
        <f t="shared" si="15"/>
        <v>août</v>
      </c>
      <c r="D233" s="6" t="str">
        <f t="shared" si="17"/>
        <v>T3</v>
      </c>
    </row>
    <row r="234" spans="1:4" ht="16.5" thickBot="1" x14ac:dyDescent="0.4">
      <c r="A234" s="5">
        <f t="shared" si="16"/>
        <v>46255</v>
      </c>
      <c r="B234" s="4">
        <f t="shared" si="14"/>
        <v>2026</v>
      </c>
      <c r="C234" s="4" t="str">
        <f t="shared" si="15"/>
        <v>août</v>
      </c>
      <c r="D234" s="6" t="str">
        <f t="shared" si="17"/>
        <v>T3</v>
      </c>
    </row>
    <row r="235" spans="1:4" ht="16.5" thickBot="1" x14ac:dyDescent="0.4">
      <c r="A235" s="5">
        <f t="shared" si="16"/>
        <v>46256</v>
      </c>
      <c r="B235" s="4">
        <f t="shared" si="14"/>
        <v>2026</v>
      </c>
      <c r="C235" s="4" t="str">
        <f t="shared" si="15"/>
        <v>août</v>
      </c>
      <c r="D235" s="6" t="str">
        <f t="shared" si="17"/>
        <v>T3</v>
      </c>
    </row>
    <row r="236" spans="1:4" ht="16.5" thickBot="1" x14ac:dyDescent="0.4">
      <c r="A236" s="5">
        <f t="shared" si="16"/>
        <v>46257</v>
      </c>
      <c r="B236" s="4">
        <f t="shared" si="14"/>
        <v>2026</v>
      </c>
      <c r="C236" s="4" t="str">
        <f t="shared" si="15"/>
        <v>août</v>
      </c>
      <c r="D236" s="6" t="str">
        <f t="shared" si="17"/>
        <v>T3</v>
      </c>
    </row>
    <row r="237" spans="1:4" ht="16.5" thickBot="1" x14ac:dyDescent="0.4">
      <c r="A237" s="5">
        <f t="shared" si="16"/>
        <v>46258</v>
      </c>
      <c r="B237" s="4">
        <f t="shared" si="14"/>
        <v>2026</v>
      </c>
      <c r="C237" s="4" t="str">
        <f t="shared" si="15"/>
        <v>août</v>
      </c>
      <c r="D237" s="6" t="str">
        <f t="shared" si="17"/>
        <v>T3</v>
      </c>
    </row>
    <row r="238" spans="1:4" ht="16.5" thickBot="1" x14ac:dyDescent="0.4">
      <c r="A238" s="5">
        <f t="shared" si="16"/>
        <v>46259</v>
      </c>
      <c r="B238" s="4">
        <f t="shared" si="14"/>
        <v>2026</v>
      </c>
      <c r="C238" s="4" t="str">
        <f t="shared" si="15"/>
        <v>août</v>
      </c>
      <c r="D238" s="6" t="str">
        <f t="shared" si="17"/>
        <v>T3</v>
      </c>
    </row>
    <row r="239" spans="1:4" ht="16.5" thickBot="1" x14ac:dyDescent="0.4">
      <c r="A239" s="5">
        <f t="shared" si="16"/>
        <v>46260</v>
      </c>
      <c r="B239" s="4">
        <f t="shared" si="14"/>
        <v>2026</v>
      </c>
      <c r="C239" s="4" t="str">
        <f t="shared" si="15"/>
        <v>août</v>
      </c>
      <c r="D239" s="6" t="str">
        <f t="shared" si="17"/>
        <v>T3</v>
      </c>
    </row>
    <row r="240" spans="1:4" ht="16.5" thickBot="1" x14ac:dyDescent="0.4">
      <c r="A240" s="5">
        <f t="shared" si="16"/>
        <v>46261</v>
      </c>
      <c r="B240" s="4">
        <f t="shared" si="14"/>
        <v>2026</v>
      </c>
      <c r="C240" s="4" t="str">
        <f t="shared" si="15"/>
        <v>août</v>
      </c>
      <c r="D240" s="6" t="str">
        <f t="shared" si="17"/>
        <v>T3</v>
      </c>
    </row>
    <row r="241" spans="1:4" ht="16.5" thickBot="1" x14ac:dyDescent="0.4">
      <c r="A241" s="5">
        <f t="shared" si="16"/>
        <v>46262</v>
      </c>
      <c r="B241" s="4">
        <f t="shared" si="14"/>
        <v>2026</v>
      </c>
      <c r="C241" s="4" t="str">
        <f t="shared" si="15"/>
        <v>août</v>
      </c>
      <c r="D241" s="6" t="str">
        <f t="shared" si="17"/>
        <v>T3</v>
      </c>
    </row>
    <row r="242" spans="1:4" ht="16.5" thickBot="1" x14ac:dyDescent="0.4">
      <c r="A242" s="5">
        <f t="shared" si="16"/>
        <v>46263</v>
      </c>
      <c r="B242" s="4">
        <f t="shared" si="14"/>
        <v>2026</v>
      </c>
      <c r="C242" s="4" t="str">
        <f t="shared" si="15"/>
        <v>août</v>
      </c>
      <c r="D242" s="6" t="str">
        <f t="shared" si="17"/>
        <v>T3</v>
      </c>
    </row>
    <row r="243" spans="1:4" ht="16.5" thickBot="1" x14ac:dyDescent="0.4">
      <c r="A243" s="5">
        <f t="shared" si="16"/>
        <v>46264</v>
      </c>
      <c r="B243" s="4">
        <f t="shared" si="14"/>
        <v>2026</v>
      </c>
      <c r="C243" s="4" t="str">
        <f t="shared" si="15"/>
        <v>août</v>
      </c>
      <c r="D243" s="6" t="str">
        <f t="shared" si="17"/>
        <v>T3</v>
      </c>
    </row>
    <row r="244" spans="1:4" ht="16.5" thickBot="1" x14ac:dyDescent="0.4">
      <c r="A244" s="5">
        <f t="shared" si="16"/>
        <v>46265</v>
      </c>
      <c r="B244" s="4">
        <f t="shared" si="14"/>
        <v>2026</v>
      </c>
      <c r="C244" s="4" t="str">
        <f t="shared" si="15"/>
        <v>août</v>
      </c>
      <c r="D244" s="6" t="str">
        <f t="shared" si="17"/>
        <v>T3</v>
      </c>
    </row>
    <row r="245" spans="1:4" ht="16.5" thickBot="1" x14ac:dyDescent="0.4">
      <c r="A245" s="5">
        <f t="shared" si="16"/>
        <v>46266</v>
      </c>
      <c r="B245" s="4">
        <f t="shared" si="14"/>
        <v>2026</v>
      </c>
      <c r="C245" s="4" t="str">
        <f t="shared" si="15"/>
        <v>septembre</v>
      </c>
      <c r="D245" s="6" t="str">
        <f t="shared" si="17"/>
        <v>T3</v>
      </c>
    </row>
    <row r="246" spans="1:4" ht="16.5" thickBot="1" x14ac:dyDescent="0.4">
      <c r="A246" s="5">
        <f t="shared" si="16"/>
        <v>46267</v>
      </c>
      <c r="B246" s="4">
        <f t="shared" si="14"/>
        <v>2026</v>
      </c>
      <c r="C246" s="4" t="str">
        <f t="shared" si="15"/>
        <v>septembre</v>
      </c>
      <c r="D246" s="6" t="str">
        <f t="shared" si="17"/>
        <v>T3</v>
      </c>
    </row>
    <row r="247" spans="1:4" ht="16.5" thickBot="1" x14ac:dyDescent="0.4">
      <c r="A247" s="5">
        <f t="shared" si="16"/>
        <v>46268</v>
      </c>
      <c r="B247" s="4">
        <f t="shared" si="14"/>
        <v>2026</v>
      </c>
      <c r="C247" s="4" t="str">
        <f t="shared" si="15"/>
        <v>septembre</v>
      </c>
      <c r="D247" s="6" t="str">
        <f t="shared" si="17"/>
        <v>T3</v>
      </c>
    </row>
    <row r="248" spans="1:4" ht="16.5" thickBot="1" x14ac:dyDescent="0.4">
      <c r="A248" s="5">
        <f t="shared" si="16"/>
        <v>46269</v>
      </c>
      <c r="B248" s="4">
        <f t="shared" si="14"/>
        <v>2026</v>
      </c>
      <c r="C248" s="4" t="str">
        <f t="shared" si="15"/>
        <v>septembre</v>
      </c>
      <c r="D248" s="6" t="str">
        <f t="shared" si="17"/>
        <v>T3</v>
      </c>
    </row>
    <row r="249" spans="1:4" ht="16.5" thickBot="1" x14ac:dyDescent="0.4">
      <c r="A249" s="5">
        <f t="shared" si="16"/>
        <v>46270</v>
      </c>
      <c r="B249" s="4">
        <f t="shared" si="14"/>
        <v>2026</v>
      </c>
      <c r="C249" s="4" t="str">
        <f t="shared" si="15"/>
        <v>septembre</v>
      </c>
      <c r="D249" s="6" t="str">
        <f t="shared" si="17"/>
        <v>T3</v>
      </c>
    </row>
    <row r="250" spans="1:4" ht="16.5" thickBot="1" x14ac:dyDescent="0.4">
      <c r="A250" s="5">
        <f t="shared" si="16"/>
        <v>46271</v>
      </c>
      <c r="B250" s="4">
        <f t="shared" si="14"/>
        <v>2026</v>
      </c>
      <c r="C250" s="4" t="str">
        <f t="shared" si="15"/>
        <v>septembre</v>
      </c>
      <c r="D250" s="6" t="str">
        <f t="shared" si="17"/>
        <v>T3</v>
      </c>
    </row>
    <row r="251" spans="1:4" ht="16.5" thickBot="1" x14ac:dyDescent="0.4">
      <c r="A251" s="5">
        <f t="shared" si="16"/>
        <v>46272</v>
      </c>
      <c r="B251" s="4">
        <f t="shared" si="14"/>
        <v>2026</v>
      </c>
      <c r="C251" s="4" t="str">
        <f t="shared" si="15"/>
        <v>septembre</v>
      </c>
      <c r="D251" s="6" t="str">
        <f t="shared" si="17"/>
        <v>T3</v>
      </c>
    </row>
    <row r="252" spans="1:4" ht="16.5" thickBot="1" x14ac:dyDescent="0.4">
      <c r="A252" s="5">
        <f t="shared" si="16"/>
        <v>46273</v>
      </c>
      <c r="B252" s="4">
        <f t="shared" si="14"/>
        <v>2026</v>
      </c>
      <c r="C252" s="4" t="str">
        <f t="shared" si="15"/>
        <v>septembre</v>
      </c>
      <c r="D252" s="6" t="str">
        <f t="shared" si="17"/>
        <v>T3</v>
      </c>
    </row>
    <row r="253" spans="1:4" ht="16.5" thickBot="1" x14ac:dyDescent="0.4">
      <c r="A253" s="5">
        <f t="shared" si="16"/>
        <v>46274</v>
      </c>
      <c r="B253" s="4">
        <f t="shared" si="14"/>
        <v>2026</v>
      </c>
      <c r="C253" s="4" t="str">
        <f t="shared" si="15"/>
        <v>septembre</v>
      </c>
      <c r="D253" s="6" t="str">
        <f t="shared" si="17"/>
        <v>T3</v>
      </c>
    </row>
    <row r="254" spans="1:4" ht="16.5" thickBot="1" x14ac:dyDescent="0.4">
      <c r="A254" s="5">
        <f t="shared" si="16"/>
        <v>46275</v>
      </c>
      <c r="B254" s="4">
        <f t="shared" si="14"/>
        <v>2026</v>
      </c>
      <c r="C254" s="4" t="str">
        <f t="shared" si="15"/>
        <v>septembre</v>
      </c>
      <c r="D254" s="6" t="str">
        <f t="shared" si="17"/>
        <v>T3</v>
      </c>
    </row>
    <row r="255" spans="1:4" ht="16.5" thickBot="1" x14ac:dyDescent="0.4">
      <c r="A255" s="5">
        <f t="shared" si="16"/>
        <v>46276</v>
      </c>
      <c r="B255" s="4">
        <f t="shared" si="14"/>
        <v>2026</v>
      </c>
      <c r="C255" s="4" t="str">
        <f t="shared" si="15"/>
        <v>septembre</v>
      </c>
      <c r="D255" s="6" t="str">
        <f t="shared" si="17"/>
        <v>T3</v>
      </c>
    </row>
    <row r="256" spans="1:4" ht="16.5" thickBot="1" x14ac:dyDescent="0.4">
      <c r="A256" s="5">
        <f t="shared" si="16"/>
        <v>46277</v>
      </c>
      <c r="B256" s="4">
        <f t="shared" si="14"/>
        <v>2026</v>
      </c>
      <c r="C256" s="4" t="str">
        <f t="shared" si="15"/>
        <v>septembre</v>
      </c>
      <c r="D256" s="6" t="str">
        <f t="shared" si="17"/>
        <v>T3</v>
      </c>
    </row>
    <row r="257" spans="1:4" ht="16.5" thickBot="1" x14ac:dyDescent="0.4">
      <c r="A257" s="5">
        <f t="shared" si="16"/>
        <v>46278</v>
      </c>
      <c r="B257" s="4">
        <f t="shared" si="14"/>
        <v>2026</v>
      </c>
      <c r="C257" s="4" t="str">
        <f t="shared" si="15"/>
        <v>septembre</v>
      </c>
      <c r="D257" s="6" t="str">
        <f t="shared" si="17"/>
        <v>T3</v>
      </c>
    </row>
    <row r="258" spans="1:4" ht="16.5" thickBot="1" x14ac:dyDescent="0.4">
      <c r="A258" s="5">
        <f t="shared" si="16"/>
        <v>46279</v>
      </c>
      <c r="B258" s="4">
        <f t="shared" si="14"/>
        <v>2026</v>
      </c>
      <c r="C258" s="4" t="str">
        <f t="shared" si="15"/>
        <v>septembre</v>
      </c>
      <c r="D258" s="6" t="str">
        <f t="shared" si="17"/>
        <v>T3</v>
      </c>
    </row>
    <row r="259" spans="1:4" ht="16.5" thickBot="1" x14ac:dyDescent="0.4">
      <c r="A259" s="5">
        <f t="shared" si="16"/>
        <v>46280</v>
      </c>
      <c r="B259" s="4">
        <f t="shared" ref="B259:B322" si="18">YEAR(A259)</f>
        <v>2026</v>
      </c>
      <c r="C259" s="4" t="str">
        <f t="shared" ref="C259:C322" si="19">TEXT(A259,"mmmm")</f>
        <v>septembre</v>
      </c>
      <c r="D259" s="6" t="str">
        <f t="shared" si="17"/>
        <v>T3</v>
      </c>
    </row>
    <row r="260" spans="1:4" ht="16.5" thickBot="1" x14ac:dyDescent="0.4">
      <c r="A260" s="5">
        <f t="shared" ref="A260:A323" si="20">A259+1</f>
        <v>46281</v>
      </c>
      <c r="B260" s="4">
        <f t="shared" si="18"/>
        <v>2026</v>
      </c>
      <c r="C260" s="4" t="str">
        <f t="shared" si="19"/>
        <v>septembre</v>
      </c>
      <c r="D260" s="6" t="str">
        <f t="shared" ref="D260:D323" si="21">"T"&amp;ROUNDUP(MONTH(A260)/3,0)</f>
        <v>T3</v>
      </c>
    </row>
    <row r="261" spans="1:4" ht="16.5" thickBot="1" x14ac:dyDescent="0.4">
      <c r="A261" s="5">
        <f t="shared" si="20"/>
        <v>46282</v>
      </c>
      <c r="B261" s="4">
        <f t="shared" si="18"/>
        <v>2026</v>
      </c>
      <c r="C261" s="4" t="str">
        <f t="shared" si="19"/>
        <v>septembre</v>
      </c>
      <c r="D261" s="6" t="str">
        <f t="shared" si="21"/>
        <v>T3</v>
      </c>
    </row>
    <row r="262" spans="1:4" ht="16.5" thickBot="1" x14ac:dyDescent="0.4">
      <c r="A262" s="5">
        <f t="shared" si="20"/>
        <v>46283</v>
      </c>
      <c r="B262" s="4">
        <f t="shared" si="18"/>
        <v>2026</v>
      </c>
      <c r="C262" s="4" t="str">
        <f t="shared" si="19"/>
        <v>septembre</v>
      </c>
      <c r="D262" s="6" t="str">
        <f t="shared" si="21"/>
        <v>T3</v>
      </c>
    </row>
    <row r="263" spans="1:4" ht="16.5" thickBot="1" x14ac:dyDescent="0.4">
      <c r="A263" s="5">
        <f t="shared" si="20"/>
        <v>46284</v>
      </c>
      <c r="B263" s="4">
        <f t="shared" si="18"/>
        <v>2026</v>
      </c>
      <c r="C263" s="4" t="str">
        <f t="shared" si="19"/>
        <v>septembre</v>
      </c>
      <c r="D263" s="6" t="str">
        <f t="shared" si="21"/>
        <v>T3</v>
      </c>
    </row>
    <row r="264" spans="1:4" ht="16.5" thickBot="1" x14ac:dyDescent="0.4">
      <c r="A264" s="5">
        <f t="shared" si="20"/>
        <v>46285</v>
      </c>
      <c r="B264" s="4">
        <f t="shared" si="18"/>
        <v>2026</v>
      </c>
      <c r="C264" s="4" t="str">
        <f t="shared" si="19"/>
        <v>septembre</v>
      </c>
      <c r="D264" s="6" t="str">
        <f t="shared" si="21"/>
        <v>T3</v>
      </c>
    </row>
    <row r="265" spans="1:4" ht="16.5" thickBot="1" x14ac:dyDescent="0.4">
      <c r="A265" s="5">
        <f t="shared" si="20"/>
        <v>46286</v>
      </c>
      <c r="B265" s="4">
        <f t="shared" si="18"/>
        <v>2026</v>
      </c>
      <c r="C265" s="4" t="str">
        <f t="shared" si="19"/>
        <v>septembre</v>
      </c>
      <c r="D265" s="6" t="str">
        <f t="shared" si="21"/>
        <v>T3</v>
      </c>
    </row>
    <row r="266" spans="1:4" ht="16.5" thickBot="1" x14ac:dyDescent="0.4">
      <c r="A266" s="5">
        <f t="shared" si="20"/>
        <v>46287</v>
      </c>
      <c r="B266" s="4">
        <f t="shared" si="18"/>
        <v>2026</v>
      </c>
      <c r="C266" s="4" t="str">
        <f t="shared" si="19"/>
        <v>septembre</v>
      </c>
      <c r="D266" s="6" t="str">
        <f t="shared" si="21"/>
        <v>T3</v>
      </c>
    </row>
    <row r="267" spans="1:4" ht="16.5" thickBot="1" x14ac:dyDescent="0.4">
      <c r="A267" s="5">
        <f t="shared" si="20"/>
        <v>46288</v>
      </c>
      <c r="B267" s="4">
        <f t="shared" si="18"/>
        <v>2026</v>
      </c>
      <c r="C267" s="4" t="str">
        <f t="shared" si="19"/>
        <v>septembre</v>
      </c>
      <c r="D267" s="6" t="str">
        <f t="shared" si="21"/>
        <v>T3</v>
      </c>
    </row>
    <row r="268" spans="1:4" ht="16.5" thickBot="1" x14ac:dyDescent="0.4">
      <c r="A268" s="5">
        <f t="shared" si="20"/>
        <v>46289</v>
      </c>
      <c r="B268" s="4">
        <f t="shared" si="18"/>
        <v>2026</v>
      </c>
      <c r="C268" s="4" t="str">
        <f t="shared" si="19"/>
        <v>septembre</v>
      </c>
      <c r="D268" s="6" t="str">
        <f t="shared" si="21"/>
        <v>T3</v>
      </c>
    </row>
    <row r="269" spans="1:4" ht="16.5" thickBot="1" x14ac:dyDescent="0.4">
      <c r="A269" s="5">
        <f t="shared" si="20"/>
        <v>46290</v>
      </c>
      <c r="B269" s="4">
        <f t="shared" si="18"/>
        <v>2026</v>
      </c>
      <c r="C269" s="4" t="str">
        <f t="shared" si="19"/>
        <v>septembre</v>
      </c>
      <c r="D269" s="6" t="str">
        <f t="shared" si="21"/>
        <v>T3</v>
      </c>
    </row>
    <row r="270" spans="1:4" ht="16.5" thickBot="1" x14ac:dyDescent="0.4">
      <c r="A270" s="5">
        <f t="shared" si="20"/>
        <v>46291</v>
      </c>
      <c r="B270" s="4">
        <f t="shared" si="18"/>
        <v>2026</v>
      </c>
      <c r="C270" s="4" t="str">
        <f t="shared" si="19"/>
        <v>septembre</v>
      </c>
      <c r="D270" s="6" t="str">
        <f t="shared" si="21"/>
        <v>T3</v>
      </c>
    </row>
    <row r="271" spans="1:4" ht="16.5" thickBot="1" x14ac:dyDescent="0.4">
      <c r="A271" s="5">
        <f t="shared" si="20"/>
        <v>46292</v>
      </c>
      <c r="B271" s="4">
        <f t="shared" si="18"/>
        <v>2026</v>
      </c>
      <c r="C271" s="4" t="str">
        <f t="shared" si="19"/>
        <v>septembre</v>
      </c>
      <c r="D271" s="6" t="str">
        <f t="shared" si="21"/>
        <v>T3</v>
      </c>
    </row>
    <row r="272" spans="1:4" ht="16.5" thickBot="1" x14ac:dyDescent="0.4">
      <c r="A272" s="5">
        <f t="shared" si="20"/>
        <v>46293</v>
      </c>
      <c r="B272" s="4">
        <f t="shared" si="18"/>
        <v>2026</v>
      </c>
      <c r="C272" s="4" t="str">
        <f t="shared" si="19"/>
        <v>septembre</v>
      </c>
      <c r="D272" s="6" t="str">
        <f t="shared" si="21"/>
        <v>T3</v>
      </c>
    </row>
    <row r="273" spans="1:4" ht="16.5" thickBot="1" x14ac:dyDescent="0.4">
      <c r="A273" s="5">
        <f t="shared" si="20"/>
        <v>46294</v>
      </c>
      <c r="B273" s="4">
        <f t="shared" si="18"/>
        <v>2026</v>
      </c>
      <c r="C273" s="4" t="str">
        <f t="shared" si="19"/>
        <v>septembre</v>
      </c>
      <c r="D273" s="6" t="str">
        <f t="shared" si="21"/>
        <v>T3</v>
      </c>
    </row>
    <row r="274" spans="1:4" ht="16.5" thickBot="1" x14ac:dyDescent="0.4">
      <c r="A274" s="5">
        <f t="shared" si="20"/>
        <v>46295</v>
      </c>
      <c r="B274" s="4">
        <f t="shared" si="18"/>
        <v>2026</v>
      </c>
      <c r="C274" s="4" t="str">
        <f t="shared" si="19"/>
        <v>septembre</v>
      </c>
      <c r="D274" s="6" t="str">
        <f t="shared" si="21"/>
        <v>T3</v>
      </c>
    </row>
    <row r="275" spans="1:4" ht="16.5" thickBot="1" x14ac:dyDescent="0.4">
      <c r="A275" s="5">
        <f t="shared" si="20"/>
        <v>46296</v>
      </c>
      <c r="B275" s="4">
        <f t="shared" si="18"/>
        <v>2026</v>
      </c>
      <c r="C275" s="4" t="str">
        <f t="shared" si="19"/>
        <v>octobre</v>
      </c>
      <c r="D275" s="6" t="str">
        <f t="shared" si="21"/>
        <v>T4</v>
      </c>
    </row>
    <row r="276" spans="1:4" ht="16.5" thickBot="1" x14ac:dyDescent="0.4">
      <c r="A276" s="5">
        <f t="shared" si="20"/>
        <v>46297</v>
      </c>
      <c r="B276" s="4">
        <f t="shared" si="18"/>
        <v>2026</v>
      </c>
      <c r="C276" s="4" t="str">
        <f t="shared" si="19"/>
        <v>octobre</v>
      </c>
      <c r="D276" s="6" t="str">
        <f t="shared" si="21"/>
        <v>T4</v>
      </c>
    </row>
    <row r="277" spans="1:4" ht="16.5" thickBot="1" x14ac:dyDescent="0.4">
      <c r="A277" s="5">
        <f t="shared" si="20"/>
        <v>46298</v>
      </c>
      <c r="B277" s="4">
        <f t="shared" si="18"/>
        <v>2026</v>
      </c>
      <c r="C277" s="4" t="str">
        <f t="shared" si="19"/>
        <v>octobre</v>
      </c>
      <c r="D277" s="6" t="str">
        <f t="shared" si="21"/>
        <v>T4</v>
      </c>
    </row>
    <row r="278" spans="1:4" ht="16.5" thickBot="1" x14ac:dyDescent="0.4">
      <c r="A278" s="5">
        <f t="shared" si="20"/>
        <v>46299</v>
      </c>
      <c r="B278" s="4">
        <f t="shared" si="18"/>
        <v>2026</v>
      </c>
      <c r="C278" s="4" t="str">
        <f t="shared" si="19"/>
        <v>octobre</v>
      </c>
      <c r="D278" s="6" t="str">
        <f t="shared" si="21"/>
        <v>T4</v>
      </c>
    </row>
    <row r="279" spans="1:4" ht="16.5" thickBot="1" x14ac:dyDescent="0.4">
      <c r="A279" s="5">
        <f t="shared" si="20"/>
        <v>46300</v>
      </c>
      <c r="B279" s="4">
        <f t="shared" si="18"/>
        <v>2026</v>
      </c>
      <c r="C279" s="4" t="str">
        <f t="shared" si="19"/>
        <v>octobre</v>
      </c>
      <c r="D279" s="6" t="str">
        <f t="shared" si="21"/>
        <v>T4</v>
      </c>
    </row>
    <row r="280" spans="1:4" ht="16.5" thickBot="1" x14ac:dyDescent="0.4">
      <c r="A280" s="5">
        <f t="shared" si="20"/>
        <v>46301</v>
      </c>
      <c r="B280" s="4">
        <f t="shared" si="18"/>
        <v>2026</v>
      </c>
      <c r="C280" s="4" t="str">
        <f t="shared" si="19"/>
        <v>octobre</v>
      </c>
      <c r="D280" s="6" t="str">
        <f t="shared" si="21"/>
        <v>T4</v>
      </c>
    </row>
    <row r="281" spans="1:4" ht="16.5" thickBot="1" x14ac:dyDescent="0.4">
      <c r="A281" s="5">
        <f t="shared" si="20"/>
        <v>46302</v>
      </c>
      <c r="B281" s="4">
        <f t="shared" si="18"/>
        <v>2026</v>
      </c>
      <c r="C281" s="4" t="str">
        <f t="shared" si="19"/>
        <v>octobre</v>
      </c>
      <c r="D281" s="6" t="str">
        <f t="shared" si="21"/>
        <v>T4</v>
      </c>
    </row>
    <row r="282" spans="1:4" ht="16.5" thickBot="1" x14ac:dyDescent="0.4">
      <c r="A282" s="5">
        <f t="shared" si="20"/>
        <v>46303</v>
      </c>
      <c r="B282" s="4">
        <f t="shared" si="18"/>
        <v>2026</v>
      </c>
      <c r="C282" s="4" t="str">
        <f t="shared" si="19"/>
        <v>octobre</v>
      </c>
      <c r="D282" s="6" t="str">
        <f t="shared" si="21"/>
        <v>T4</v>
      </c>
    </row>
    <row r="283" spans="1:4" ht="16.5" thickBot="1" x14ac:dyDescent="0.4">
      <c r="A283" s="5">
        <f t="shared" si="20"/>
        <v>46304</v>
      </c>
      <c r="B283" s="4">
        <f t="shared" si="18"/>
        <v>2026</v>
      </c>
      <c r="C283" s="4" t="str">
        <f t="shared" si="19"/>
        <v>octobre</v>
      </c>
      <c r="D283" s="6" t="str">
        <f t="shared" si="21"/>
        <v>T4</v>
      </c>
    </row>
    <row r="284" spans="1:4" ht="16.5" thickBot="1" x14ac:dyDescent="0.4">
      <c r="A284" s="5">
        <f t="shared" si="20"/>
        <v>46305</v>
      </c>
      <c r="B284" s="4">
        <f t="shared" si="18"/>
        <v>2026</v>
      </c>
      <c r="C284" s="4" t="str">
        <f t="shared" si="19"/>
        <v>octobre</v>
      </c>
      <c r="D284" s="6" t="str">
        <f t="shared" si="21"/>
        <v>T4</v>
      </c>
    </row>
    <row r="285" spans="1:4" ht="16.5" thickBot="1" x14ac:dyDescent="0.4">
      <c r="A285" s="5">
        <f t="shared" si="20"/>
        <v>46306</v>
      </c>
      <c r="B285" s="4">
        <f t="shared" si="18"/>
        <v>2026</v>
      </c>
      <c r="C285" s="4" t="str">
        <f t="shared" si="19"/>
        <v>octobre</v>
      </c>
      <c r="D285" s="6" t="str">
        <f t="shared" si="21"/>
        <v>T4</v>
      </c>
    </row>
    <row r="286" spans="1:4" ht="16.5" thickBot="1" x14ac:dyDescent="0.4">
      <c r="A286" s="5">
        <f t="shared" si="20"/>
        <v>46307</v>
      </c>
      <c r="B286" s="4">
        <f t="shared" si="18"/>
        <v>2026</v>
      </c>
      <c r="C286" s="4" t="str">
        <f t="shared" si="19"/>
        <v>octobre</v>
      </c>
      <c r="D286" s="6" t="str">
        <f t="shared" si="21"/>
        <v>T4</v>
      </c>
    </row>
    <row r="287" spans="1:4" ht="16.5" thickBot="1" x14ac:dyDescent="0.4">
      <c r="A287" s="5">
        <f t="shared" si="20"/>
        <v>46308</v>
      </c>
      <c r="B287" s="4">
        <f t="shared" si="18"/>
        <v>2026</v>
      </c>
      <c r="C287" s="4" t="str">
        <f t="shared" si="19"/>
        <v>octobre</v>
      </c>
      <c r="D287" s="6" t="str">
        <f t="shared" si="21"/>
        <v>T4</v>
      </c>
    </row>
    <row r="288" spans="1:4" ht="16.5" thickBot="1" x14ac:dyDescent="0.4">
      <c r="A288" s="5">
        <f t="shared" si="20"/>
        <v>46309</v>
      </c>
      <c r="B288" s="4">
        <f t="shared" si="18"/>
        <v>2026</v>
      </c>
      <c r="C288" s="4" t="str">
        <f t="shared" si="19"/>
        <v>octobre</v>
      </c>
      <c r="D288" s="6" t="str">
        <f t="shared" si="21"/>
        <v>T4</v>
      </c>
    </row>
    <row r="289" spans="1:4" ht="16.5" thickBot="1" x14ac:dyDescent="0.4">
      <c r="A289" s="5">
        <f t="shared" si="20"/>
        <v>46310</v>
      </c>
      <c r="B289" s="4">
        <f t="shared" si="18"/>
        <v>2026</v>
      </c>
      <c r="C289" s="4" t="str">
        <f t="shared" si="19"/>
        <v>octobre</v>
      </c>
      <c r="D289" s="6" t="str">
        <f t="shared" si="21"/>
        <v>T4</v>
      </c>
    </row>
    <row r="290" spans="1:4" ht="16.5" thickBot="1" x14ac:dyDescent="0.4">
      <c r="A290" s="5">
        <f t="shared" si="20"/>
        <v>46311</v>
      </c>
      <c r="B290" s="4">
        <f t="shared" si="18"/>
        <v>2026</v>
      </c>
      <c r="C290" s="4" t="str">
        <f t="shared" si="19"/>
        <v>octobre</v>
      </c>
      <c r="D290" s="6" t="str">
        <f t="shared" si="21"/>
        <v>T4</v>
      </c>
    </row>
    <row r="291" spans="1:4" ht="16.5" thickBot="1" x14ac:dyDescent="0.4">
      <c r="A291" s="5">
        <f t="shared" si="20"/>
        <v>46312</v>
      </c>
      <c r="B291" s="4">
        <f t="shared" si="18"/>
        <v>2026</v>
      </c>
      <c r="C291" s="4" t="str">
        <f t="shared" si="19"/>
        <v>octobre</v>
      </c>
      <c r="D291" s="6" t="str">
        <f t="shared" si="21"/>
        <v>T4</v>
      </c>
    </row>
    <row r="292" spans="1:4" ht="16.5" thickBot="1" x14ac:dyDescent="0.4">
      <c r="A292" s="5">
        <f t="shared" si="20"/>
        <v>46313</v>
      </c>
      <c r="B292" s="4">
        <f t="shared" si="18"/>
        <v>2026</v>
      </c>
      <c r="C292" s="4" t="str">
        <f t="shared" si="19"/>
        <v>octobre</v>
      </c>
      <c r="D292" s="6" t="str">
        <f t="shared" si="21"/>
        <v>T4</v>
      </c>
    </row>
    <row r="293" spans="1:4" ht="16.5" thickBot="1" x14ac:dyDescent="0.4">
      <c r="A293" s="5">
        <f t="shared" si="20"/>
        <v>46314</v>
      </c>
      <c r="B293" s="4">
        <f t="shared" si="18"/>
        <v>2026</v>
      </c>
      <c r="C293" s="4" t="str">
        <f t="shared" si="19"/>
        <v>octobre</v>
      </c>
      <c r="D293" s="6" t="str">
        <f t="shared" si="21"/>
        <v>T4</v>
      </c>
    </row>
    <row r="294" spans="1:4" ht="16.5" thickBot="1" x14ac:dyDescent="0.4">
      <c r="A294" s="5">
        <f t="shared" si="20"/>
        <v>46315</v>
      </c>
      <c r="B294" s="4">
        <f t="shared" si="18"/>
        <v>2026</v>
      </c>
      <c r="C294" s="4" t="str">
        <f t="shared" si="19"/>
        <v>octobre</v>
      </c>
      <c r="D294" s="6" t="str">
        <f t="shared" si="21"/>
        <v>T4</v>
      </c>
    </row>
    <row r="295" spans="1:4" ht="16.5" thickBot="1" x14ac:dyDescent="0.4">
      <c r="A295" s="5">
        <f t="shared" si="20"/>
        <v>46316</v>
      </c>
      <c r="B295" s="4">
        <f t="shared" si="18"/>
        <v>2026</v>
      </c>
      <c r="C295" s="4" t="str">
        <f t="shared" si="19"/>
        <v>octobre</v>
      </c>
      <c r="D295" s="6" t="str">
        <f t="shared" si="21"/>
        <v>T4</v>
      </c>
    </row>
    <row r="296" spans="1:4" ht="16.5" thickBot="1" x14ac:dyDescent="0.4">
      <c r="A296" s="5">
        <f t="shared" si="20"/>
        <v>46317</v>
      </c>
      <c r="B296" s="4">
        <f t="shared" si="18"/>
        <v>2026</v>
      </c>
      <c r="C296" s="4" t="str">
        <f t="shared" si="19"/>
        <v>octobre</v>
      </c>
      <c r="D296" s="6" t="str">
        <f t="shared" si="21"/>
        <v>T4</v>
      </c>
    </row>
    <row r="297" spans="1:4" ht="16.5" thickBot="1" x14ac:dyDescent="0.4">
      <c r="A297" s="5">
        <f t="shared" si="20"/>
        <v>46318</v>
      </c>
      <c r="B297" s="4">
        <f t="shared" si="18"/>
        <v>2026</v>
      </c>
      <c r="C297" s="4" t="str">
        <f t="shared" si="19"/>
        <v>octobre</v>
      </c>
      <c r="D297" s="6" t="str">
        <f t="shared" si="21"/>
        <v>T4</v>
      </c>
    </row>
    <row r="298" spans="1:4" ht="16.5" thickBot="1" x14ac:dyDescent="0.4">
      <c r="A298" s="5">
        <f t="shared" si="20"/>
        <v>46319</v>
      </c>
      <c r="B298" s="4">
        <f t="shared" si="18"/>
        <v>2026</v>
      </c>
      <c r="C298" s="4" t="str">
        <f t="shared" si="19"/>
        <v>octobre</v>
      </c>
      <c r="D298" s="6" t="str">
        <f t="shared" si="21"/>
        <v>T4</v>
      </c>
    </row>
    <row r="299" spans="1:4" ht="16.5" thickBot="1" x14ac:dyDescent="0.4">
      <c r="A299" s="5">
        <f t="shared" si="20"/>
        <v>46320</v>
      </c>
      <c r="B299" s="4">
        <f t="shared" si="18"/>
        <v>2026</v>
      </c>
      <c r="C299" s="4" t="str">
        <f t="shared" si="19"/>
        <v>octobre</v>
      </c>
      <c r="D299" s="6" t="str">
        <f t="shared" si="21"/>
        <v>T4</v>
      </c>
    </row>
    <row r="300" spans="1:4" ht="16.5" thickBot="1" x14ac:dyDescent="0.4">
      <c r="A300" s="5">
        <f t="shared" si="20"/>
        <v>46321</v>
      </c>
      <c r="B300" s="4">
        <f t="shared" si="18"/>
        <v>2026</v>
      </c>
      <c r="C300" s="4" t="str">
        <f t="shared" si="19"/>
        <v>octobre</v>
      </c>
      <c r="D300" s="6" t="str">
        <f t="shared" si="21"/>
        <v>T4</v>
      </c>
    </row>
    <row r="301" spans="1:4" ht="16.5" thickBot="1" x14ac:dyDescent="0.4">
      <c r="A301" s="5">
        <f t="shared" si="20"/>
        <v>46322</v>
      </c>
      <c r="B301" s="4">
        <f t="shared" si="18"/>
        <v>2026</v>
      </c>
      <c r="C301" s="4" t="str">
        <f t="shared" si="19"/>
        <v>octobre</v>
      </c>
      <c r="D301" s="6" t="str">
        <f t="shared" si="21"/>
        <v>T4</v>
      </c>
    </row>
    <row r="302" spans="1:4" ht="16.5" thickBot="1" x14ac:dyDescent="0.4">
      <c r="A302" s="5">
        <f t="shared" si="20"/>
        <v>46323</v>
      </c>
      <c r="B302" s="4">
        <f t="shared" si="18"/>
        <v>2026</v>
      </c>
      <c r="C302" s="4" t="str">
        <f t="shared" si="19"/>
        <v>octobre</v>
      </c>
      <c r="D302" s="6" t="str">
        <f t="shared" si="21"/>
        <v>T4</v>
      </c>
    </row>
    <row r="303" spans="1:4" ht="16.5" thickBot="1" x14ac:dyDescent="0.4">
      <c r="A303" s="5">
        <f t="shared" si="20"/>
        <v>46324</v>
      </c>
      <c r="B303" s="4">
        <f t="shared" si="18"/>
        <v>2026</v>
      </c>
      <c r="C303" s="4" t="str">
        <f t="shared" si="19"/>
        <v>octobre</v>
      </c>
      <c r="D303" s="6" t="str">
        <f t="shared" si="21"/>
        <v>T4</v>
      </c>
    </row>
    <row r="304" spans="1:4" ht="16.5" thickBot="1" x14ac:dyDescent="0.4">
      <c r="A304" s="5">
        <f t="shared" si="20"/>
        <v>46325</v>
      </c>
      <c r="B304" s="4">
        <f t="shared" si="18"/>
        <v>2026</v>
      </c>
      <c r="C304" s="4" t="str">
        <f t="shared" si="19"/>
        <v>octobre</v>
      </c>
      <c r="D304" s="6" t="str">
        <f t="shared" si="21"/>
        <v>T4</v>
      </c>
    </row>
    <row r="305" spans="1:4" ht="16.5" thickBot="1" x14ac:dyDescent="0.4">
      <c r="A305" s="5">
        <f t="shared" si="20"/>
        <v>46326</v>
      </c>
      <c r="B305" s="4">
        <f t="shared" si="18"/>
        <v>2026</v>
      </c>
      <c r="C305" s="4" t="str">
        <f t="shared" si="19"/>
        <v>octobre</v>
      </c>
      <c r="D305" s="6" t="str">
        <f t="shared" si="21"/>
        <v>T4</v>
      </c>
    </row>
    <row r="306" spans="1:4" ht="16.5" thickBot="1" x14ac:dyDescent="0.4">
      <c r="A306" s="5">
        <f t="shared" si="20"/>
        <v>46327</v>
      </c>
      <c r="B306" s="4">
        <f t="shared" si="18"/>
        <v>2026</v>
      </c>
      <c r="C306" s="4" t="str">
        <f t="shared" si="19"/>
        <v>novembre</v>
      </c>
      <c r="D306" s="6" t="str">
        <f t="shared" si="21"/>
        <v>T4</v>
      </c>
    </row>
    <row r="307" spans="1:4" ht="16.5" thickBot="1" x14ac:dyDescent="0.4">
      <c r="A307" s="5">
        <f t="shared" si="20"/>
        <v>46328</v>
      </c>
      <c r="B307" s="4">
        <f t="shared" si="18"/>
        <v>2026</v>
      </c>
      <c r="C307" s="4" t="str">
        <f t="shared" si="19"/>
        <v>novembre</v>
      </c>
      <c r="D307" s="6" t="str">
        <f t="shared" si="21"/>
        <v>T4</v>
      </c>
    </row>
    <row r="308" spans="1:4" ht="16.5" thickBot="1" x14ac:dyDescent="0.4">
      <c r="A308" s="5">
        <f t="shared" si="20"/>
        <v>46329</v>
      </c>
      <c r="B308" s="4">
        <f t="shared" si="18"/>
        <v>2026</v>
      </c>
      <c r="C308" s="4" t="str">
        <f t="shared" si="19"/>
        <v>novembre</v>
      </c>
      <c r="D308" s="6" t="str">
        <f t="shared" si="21"/>
        <v>T4</v>
      </c>
    </row>
    <row r="309" spans="1:4" ht="16.5" thickBot="1" x14ac:dyDescent="0.4">
      <c r="A309" s="5">
        <f t="shared" si="20"/>
        <v>46330</v>
      </c>
      <c r="B309" s="4">
        <f t="shared" si="18"/>
        <v>2026</v>
      </c>
      <c r="C309" s="4" t="str">
        <f t="shared" si="19"/>
        <v>novembre</v>
      </c>
      <c r="D309" s="6" t="str">
        <f t="shared" si="21"/>
        <v>T4</v>
      </c>
    </row>
    <row r="310" spans="1:4" ht="16.5" thickBot="1" x14ac:dyDescent="0.4">
      <c r="A310" s="5">
        <f t="shared" si="20"/>
        <v>46331</v>
      </c>
      <c r="B310" s="4">
        <f t="shared" si="18"/>
        <v>2026</v>
      </c>
      <c r="C310" s="4" t="str">
        <f t="shared" si="19"/>
        <v>novembre</v>
      </c>
      <c r="D310" s="6" t="str">
        <f t="shared" si="21"/>
        <v>T4</v>
      </c>
    </row>
    <row r="311" spans="1:4" ht="16.5" thickBot="1" x14ac:dyDescent="0.4">
      <c r="A311" s="5">
        <f t="shared" si="20"/>
        <v>46332</v>
      </c>
      <c r="B311" s="4">
        <f t="shared" si="18"/>
        <v>2026</v>
      </c>
      <c r="C311" s="4" t="str">
        <f t="shared" si="19"/>
        <v>novembre</v>
      </c>
      <c r="D311" s="6" t="str">
        <f t="shared" si="21"/>
        <v>T4</v>
      </c>
    </row>
    <row r="312" spans="1:4" ht="16.5" thickBot="1" x14ac:dyDescent="0.4">
      <c r="A312" s="5">
        <f t="shared" si="20"/>
        <v>46333</v>
      </c>
      <c r="B312" s="4">
        <f t="shared" si="18"/>
        <v>2026</v>
      </c>
      <c r="C312" s="4" t="str">
        <f t="shared" si="19"/>
        <v>novembre</v>
      </c>
      <c r="D312" s="6" t="str">
        <f t="shared" si="21"/>
        <v>T4</v>
      </c>
    </row>
    <row r="313" spans="1:4" ht="16.5" thickBot="1" x14ac:dyDescent="0.4">
      <c r="A313" s="5">
        <f t="shared" si="20"/>
        <v>46334</v>
      </c>
      <c r="B313" s="4">
        <f t="shared" si="18"/>
        <v>2026</v>
      </c>
      <c r="C313" s="4" t="str">
        <f t="shared" si="19"/>
        <v>novembre</v>
      </c>
      <c r="D313" s="6" t="str">
        <f t="shared" si="21"/>
        <v>T4</v>
      </c>
    </row>
    <row r="314" spans="1:4" ht="16.5" thickBot="1" x14ac:dyDescent="0.4">
      <c r="A314" s="5">
        <f t="shared" si="20"/>
        <v>46335</v>
      </c>
      <c r="B314" s="4">
        <f t="shared" si="18"/>
        <v>2026</v>
      </c>
      <c r="C314" s="4" t="str">
        <f t="shared" si="19"/>
        <v>novembre</v>
      </c>
      <c r="D314" s="6" t="str">
        <f t="shared" si="21"/>
        <v>T4</v>
      </c>
    </row>
    <row r="315" spans="1:4" ht="16.5" thickBot="1" x14ac:dyDescent="0.4">
      <c r="A315" s="5">
        <f t="shared" si="20"/>
        <v>46336</v>
      </c>
      <c r="B315" s="4">
        <f t="shared" si="18"/>
        <v>2026</v>
      </c>
      <c r="C315" s="4" t="str">
        <f t="shared" si="19"/>
        <v>novembre</v>
      </c>
      <c r="D315" s="6" t="str">
        <f t="shared" si="21"/>
        <v>T4</v>
      </c>
    </row>
    <row r="316" spans="1:4" ht="16.5" thickBot="1" x14ac:dyDescent="0.4">
      <c r="A316" s="5">
        <f t="shared" si="20"/>
        <v>46337</v>
      </c>
      <c r="B316" s="4">
        <f t="shared" si="18"/>
        <v>2026</v>
      </c>
      <c r="C316" s="4" t="str">
        <f t="shared" si="19"/>
        <v>novembre</v>
      </c>
      <c r="D316" s="6" t="str">
        <f t="shared" si="21"/>
        <v>T4</v>
      </c>
    </row>
    <row r="317" spans="1:4" ht="16.5" thickBot="1" x14ac:dyDescent="0.4">
      <c r="A317" s="5">
        <f t="shared" si="20"/>
        <v>46338</v>
      </c>
      <c r="B317" s="4">
        <f t="shared" si="18"/>
        <v>2026</v>
      </c>
      <c r="C317" s="4" t="str">
        <f t="shared" si="19"/>
        <v>novembre</v>
      </c>
      <c r="D317" s="6" t="str">
        <f t="shared" si="21"/>
        <v>T4</v>
      </c>
    </row>
    <row r="318" spans="1:4" ht="16.5" thickBot="1" x14ac:dyDescent="0.4">
      <c r="A318" s="5">
        <f t="shared" si="20"/>
        <v>46339</v>
      </c>
      <c r="B318" s="4">
        <f t="shared" si="18"/>
        <v>2026</v>
      </c>
      <c r="C318" s="4" t="str">
        <f t="shared" si="19"/>
        <v>novembre</v>
      </c>
      <c r="D318" s="6" t="str">
        <f t="shared" si="21"/>
        <v>T4</v>
      </c>
    </row>
    <row r="319" spans="1:4" ht="16.5" thickBot="1" x14ac:dyDescent="0.4">
      <c r="A319" s="5">
        <f t="shared" si="20"/>
        <v>46340</v>
      </c>
      <c r="B319" s="4">
        <f t="shared" si="18"/>
        <v>2026</v>
      </c>
      <c r="C319" s="4" t="str">
        <f t="shared" si="19"/>
        <v>novembre</v>
      </c>
      <c r="D319" s="6" t="str">
        <f t="shared" si="21"/>
        <v>T4</v>
      </c>
    </row>
    <row r="320" spans="1:4" ht="16.5" thickBot="1" x14ac:dyDescent="0.4">
      <c r="A320" s="5">
        <f t="shared" si="20"/>
        <v>46341</v>
      </c>
      <c r="B320" s="4">
        <f t="shared" si="18"/>
        <v>2026</v>
      </c>
      <c r="C320" s="4" t="str">
        <f t="shared" si="19"/>
        <v>novembre</v>
      </c>
      <c r="D320" s="6" t="str">
        <f t="shared" si="21"/>
        <v>T4</v>
      </c>
    </row>
    <row r="321" spans="1:4" ht="16.5" thickBot="1" x14ac:dyDescent="0.4">
      <c r="A321" s="5">
        <f t="shared" si="20"/>
        <v>46342</v>
      </c>
      <c r="B321" s="4">
        <f t="shared" si="18"/>
        <v>2026</v>
      </c>
      <c r="C321" s="4" t="str">
        <f t="shared" si="19"/>
        <v>novembre</v>
      </c>
      <c r="D321" s="6" t="str">
        <f t="shared" si="21"/>
        <v>T4</v>
      </c>
    </row>
    <row r="322" spans="1:4" ht="16.5" thickBot="1" x14ac:dyDescent="0.4">
      <c r="A322" s="5">
        <f t="shared" si="20"/>
        <v>46343</v>
      </c>
      <c r="B322" s="4">
        <f t="shared" si="18"/>
        <v>2026</v>
      </c>
      <c r="C322" s="4" t="str">
        <f t="shared" si="19"/>
        <v>novembre</v>
      </c>
      <c r="D322" s="6" t="str">
        <f t="shared" si="21"/>
        <v>T4</v>
      </c>
    </row>
    <row r="323" spans="1:4" ht="16.5" thickBot="1" x14ac:dyDescent="0.4">
      <c r="A323" s="5">
        <f t="shared" si="20"/>
        <v>46344</v>
      </c>
      <c r="B323" s="4">
        <f t="shared" ref="B323:B366" si="22">YEAR(A323)</f>
        <v>2026</v>
      </c>
      <c r="C323" s="4" t="str">
        <f t="shared" ref="C323:C366" si="23">TEXT(A323,"mmmm")</f>
        <v>novembre</v>
      </c>
      <c r="D323" s="6" t="str">
        <f t="shared" si="21"/>
        <v>T4</v>
      </c>
    </row>
    <row r="324" spans="1:4" ht="16.5" thickBot="1" x14ac:dyDescent="0.4">
      <c r="A324" s="5">
        <f t="shared" ref="A324:A366" si="24">A323+1</f>
        <v>46345</v>
      </c>
      <c r="B324" s="4">
        <f t="shared" si="22"/>
        <v>2026</v>
      </c>
      <c r="C324" s="4" t="str">
        <f t="shared" si="23"/>
        <v>novembre</v>
      </c>
      <c r="D324" s="6" t="str">
        <f t="shared" ref="D324:D366" si="25">"T"&amp;ROUNDUP(MONTH(A324)/3,0)</f>
        <v>T4</v>
      </c>
    </row>
    <row r="325" spans="1:4" ht="16.5" thickBot="1" x14ac:dyDescent="0.4">
      <c r="A325" s="5">
        <f t="shared" si="24"/>
        <v>46346</v>
      </c>
      <c r="B325" s="4">
        <f t="shared" si="22"/>
        <v>2026</v>
      </c>
      <c r="C325" s="4" t="str">
        <f t="shared" si="23"/>
        <v>novembre</v>
      </c>
      <c r="D325" s="6" t="str">
        <f t="shared" si="25"/>
        <v>T4</v>
      </c>
    </row>
    <row r="326" spans="1:4" ht="16.5" thickBot="1" x14ac:dyDescent="0.4">
      <c r="A326" s="5">
        <f t="shared" si="24"/>
        <v>46347</v>
      </c>
      <c r="B326" s="4">
        <f t="shared" si="22"/>
        <v>2026</v>
      </c>
      <c r="C326" s="4" t="str">
        <f t="shared" si="23"/>
        <v>novembre</v>
      </c>
      <c r="D326" s="6" t="str">
        <f t="shared" si="25"/>
        <v>T4</v>
      </c>
    </row>
    <row r="327" spans="1:4" ht="16.5" thickBot="1" x14ac:dyDescent="0.4">
      <c r="A327" s="5">
        <f t="shared" si="24"/>
        <v>46348</v>
      </c>
      <c r="B327" s="4">
        <f t="shared" si="22"/>
        <v>2026</v>
      </c>
      <c r="C327" s="4" t="str">
        <f t="shared" si="23"/>
        <v>novembre</v>
      </c>
      <c r="D327" s="6" t="str">
        <f t="shared" si="25"/>
        <v>T4</v>
      </c>
    </row>
    <row r="328" spans="1:4" ht="16.5" thickBot="1" x14ac:dyDescent="0.4">
      <c r="A328" s="5">
        <f t="shared" si="24"/>
        <v>46349</v>
      </c>
      <c r="B328" s="4">
        <f t="shared" si="22"/>
        <v>2026</v>
      </c>
      <c r="C328" s="4" t="str">
        <f t="shared" si="23"/>
        <v>novembre</v>
      </c>
      <c r="D328" s="6" t="str">
        <f t="shared" si="25"/>
        <v>T4</v>
      </c>
    </row>
    <row r="329" spans="1:4" ht="16.5" thickBot="1" x14ac:dyDescent="0.4">
      <c r="A329" s="5">
        <f t="shared" si="24"/>
        <v>46350</v>
      </c>
      <c r="B329" s="4">
        <f t="shared" si="22"/>
        <v>2026</v>
      </c>
      <c r="C329" s="4" t="str">
        <f t="shared" si="23"/>
        <v>novembre</v>
      </c>
      <c r="D329" s="6" t="str">
        <f t="shared" si="25"/>
        <v>T4</v>
      </c>
    </row>
    <row r="330" spans="1:4" ht="16.5" thickBot="1" x14ac:dyDescent="0.4">
      <c r="A330" s="5">
        <f t="shared" si="24"/>
        <v>46351</v>
      </c>
      <c r="B330" s="4">
        <f t="shared" si="22"/>
        <v>2026</v>
      </c>
      <c r="C330" s="4" t="str">
        <f t="shared" si="23"/>
        <v>novembre</v>
      </c>
      <c r="D330" s="6" t="str">
        <f t="shared" si="25"/>
        <v>T4</v>
      </c>
    </row>
    <row r="331" spans="1:4" ht="16.5" thickBot="1" x14ac:dyDescent="0.4">
      <c r="A331" s="5">
        <f t="shared" si="24"/>
        <v>46352</v>
      </c>
      <c r="B331" s="4">
        <f t="shared" si="22"/>
        <v>2026</v>
      </c>
      <c r="C331" s="4" t="str">
        <f t="shared" si="23"/>
        <v>novembre</v>
      </c>
      <c r="D331" s="6" t="str">
        <f t="shared" si="25"/>
        <v>T4</v>
      </c>
    </row>
    <row r="332" spans="1:4" ht="16.5" thickBot="1" x14ac:dyDescent="0.4">
      <c r="A332" s="5">
        <f t="shared" si="24"/>
        <v>46353</v>
      </c>
      <c r="B332" s="4">
        <f t="shared" si="22"/>
        <v>2026</v>
      </c>
      <c r="C332" s="4" t="str">
        <f t="shared" si="23"/>
        <v>novembre</v>
      </c>
      <c r="D332" s="6" t="str">
        <f t="shared" si="25"/>
        <v>T4</v>
      </c>
    </row>
    <row r="333" spans="1:4" ht="16.5" thickBot="1" x14ac:dyDescent="0.4">
      <c r="A333" s="5">
        <f t="shared" si="24"/>
        <v>46354</v>
      </c>
      <c r="B333" s="4">
        <f t="shared" si="22"/>
        <v>2026</v>
      </c>
      <c r="C333" s="4" t="str">
        <f t="shared" si="23"/>
        <v>novembre</v>
      </c>
      <c r="D333" s="6" t="str">
        <f t="shared" si="25"/>
        <v>T4</v>
      </c>
    </row>
    <row r="334" spans="1:4" ht="16.5" thickBot="1" x14ac:dyDescent="0.4">
      <c r="A334" s="5">
        <f t="shared" si="24"/>
        <v>46355</v>
      </c>
      <c r="B334" s="4">
        <f t="shared" si="22"/>
        <v>2026</v>
      </c>
      <c r="C334" s="4" t="str">
        <f t="shared" si="23"/>
        <v>novembre</v>
      </c>
      <c r="D334" s="6" t="str">
        <f t="shared" si="25"/>
        <v>T4</v>
      </c>
    </row>
    <row r="335" spans="1:4" ht="16.5" thickBot="1" x14ac:dyDescent="0.4">
      <c r="A335" s="5">
        <f t="shared" si="24"/>
        <v>46356</v>
      </c>
      <c r="B335" s="4">
        <f t="shared" si="22"/>
        <v>2026</v>
      </c>
      <c r="C335" s="4" t="str">
        <f t="shared" si="23"/>
        <v>novembre</v>
      </c>
      <c r="D335" s="6" t="str">
        <f t="shared" si="25"/>
        <v>T4</v>
      </c>
    </row>
    <row r="336" spans="1:4" ht="16.5" thickBot="1" x14ac:dyDescent="0.4">
      <c r="A336" s="5">
        <f t="shared" si="24"/>
        <v>46357</v>
      </c>
      <c r="B336" s="4">
        <f t="shared" si="22"/>
        <v>2026</v>
      </c>
      <c r="C336" s="4" t="str">
        <f t="shared" si="23"/>
        <v>décembre</v>
      </c>
      <c r="D336" s="6" t="str">
        <f t="shared" si="25"/>
        <v>T4</v>
      </c>
    </row>
    <row r="337" spans="1:4" ht="16.5" thickBot="1" x14ac:dyDescent="0.4">
      <c r="A337" s="5">
        <f t="shared" si="24"/>
        <v>46358</v>
      </c>
      <c r="B337" s="4">
        <f t="shared" si="22"/>
        <v>2026</v>
      </c>
      <c r="C337" s="4" t="str">
        <f t="shared" si="23"/>
        <v>décembre</v>
      </c>
      <c r="D337" s="6" t="str">
        <f t="shared" si="25"/>
        <v>T4</v>
      </c>
    </row>
    <row r="338" spans="1:4" ht="16.5" thickBot="1" x14ac:dyDescent="0.4">
      <c r="A338" s="5">
        <f t="shared" si="24"/>
        <v>46359</v>
      </c>
      <c r="B338" s="4">
        <f t="shared" si="22"/>
        <v>2026</v>
      </c>
      <c r="C338" s="4" t="str">
        <f t="shared" si="23"/>
        <v>décembre</v>
      </c>
      <c r="D338" s="6" t="str">
        <f t="shared" si="25"/>
        <v>T4</v>
      </c>
    </row>
    <row r="339" spans="1:4" ht="16.5" thickBot="1" x14ac:dyDescent="0.4">
      <c r="A339" s="5">
        <f t="shared" si="24"/>
        <v>46360</v>
      </c>
      <c r="B339" s="4">
        <f t="shared" si="22"/>
        <v>2026</v>
      </c>
      <c r="C339" s="4" t="str">
        <f t="shared" si="23"/>
        <v>décembre</v>
      </c>
      <c r="D339" s="6" t="str">
        <f t="shared" si="25"/>
        <v>T4</v>
      </c>
    </row>
    <row r="340" spans="1:4" ht="16.5" thickBot="1" x14ac:dyDescent="0.4">
      <c r="A340" s="5">
        <f t="shared" si="24"/>
        <v>46361</v>
      </c>
      <c r="B340" s="4">
        <f t="shared" si="22"/>
        <v>2026</v>
      </c>
      <c r="C340" s="4" t="str">
        <f t="shared" si="23"/>
        <v>décembre</v>
      </c>
      <c r="D340" s="6" t="str">
        <f t="shared" si="25"/>
        <v>T4</v>
      </c>
    </row>
    <row r="341" spans="1:4" ht="16.5" thickBot="1" x14ac:dyDescent="0.4">
      <c r="A341" s="5">
        <f t="shared" si="24"/>
        <v>46362</v>
      </c>
      <c r="B341" s="4">
        <f t="shared" si="22"/>
        <v>2026</v>
      </c>
      <c r="C341" s="4" t="str">
        <f t="shared" si="23"/>
        <v>décembre</v>
      </c>
      <c r="D341" s="6" t="str">
        <f t="shared" si="25"/>
        <v>T4</v>
      </c>
    </row>
    <row r="342" spans="1:4" ht="16.5" thickBot="1" x14ac:dyDescent="0.4">
      <c r="A342" s="5">
        <f t="shared" si="24"/>
        <v>46363</v>
      </c>
      <c r="B342" s="4">
        <f t="shared" si="22"/>
        <v>2026</v>
      </c>
      <c r="C342" s="4" t="str">
        <f t="shared" si="23"/>
        <v>décembre</v>
      </c>
      <c r="D342" s="6" t="str">
        <f t="shared" si="25"/>
        <v>T4</v>
      </c>
    </row>
    <row r="343" spans="1:4" ht="16.5" thickBot="1" x14ac:dyDescent="0.4">
      <c r="A343" s="5">
        <f t="shared" si="24"/>
        <v>46364</v>
      </c>
      <c r="B343" s="4">
        <f t="shared" si="22"/>
        <v>2026</v>
      </c>
      <c r="C343" s="4" t="str">
        <f t="shared" si="23"/>
        <v>décembre</v>
      </c>
      <c r="D343" s="6" t="str">
        <f t="shared" si="25"/>
        <v>T4</v>
      </c>
    </row>
    <row r="344" spans="1:4" ht="16.5" thickBot="1" x14ac:dyDescent="0.4">
      <c r="A344" s="5">
        <f t="shared" si="24"/>
        <v>46365</v>
      </c>
      <c r="B344" s="4">
        <f t="shared" si="22"/>
        <v>2026</v>
      </c>
      <c r="C344" s="4" t="str">
        <f t="shared" si="23"/>
        <v>décembre</v>
      </c>
      <c r="D344" s="6" t="str">
        <f t="shared" si="25"/>
        <v>T4</v>
      </c>
    </row>
    <row r="345" spans="1:4" ht="16.5" thickBot="1" x14ac:dyDescent="0.4">
      <c r="A345" s="5">
        <f t="shared" si="24"/>
        <v>46366</v>
      </c>
      <c r="B345" s="4">
        <f t="shared" si="22"/>
        <v>2026</v>
      </c>
      <c r="C345" s="4" t="str">
        <f t="shared" si="23"/>
        <v>décembre</v>
      </c>
      <c r="D345" s="6" t="str">
        <f t="shared" si="25"/>
        <v>T4</v>
      </c>
    </row>
    <row r="346" spans="1:4" ht="16.5" thickBot="1" x14ac:dyDescent="0.4">
      <c r="A346" s="5">
        <f t="shared" si="24"/>
        <v>46367</v>
      </c>
      <c r="B346" s="4">
        <f t="shared" si="22"/>
        <v>2026</v>
      </c>
      <c r="C346" s="4" t="str">
        <f t="shared" si="23"/>
        <v>décembre</v>
      </c>
      <c r="D346" s="6" t="str">
        <f t="shared" si="25"/>
        <v>T4</v>
      </c>
    </row>
    <row r="347" spans="1:4" ht="16.5" thickBot="1" x14ac:dyDescent="0.4">
      <c r="A347" s="5">
        <f t="shared" si="24"/>
        <v>46368</v>
      </c>
      <c r="B347" s="4">
        <f t="shared" si="22"/>
        <v>2026</v>
      </c>
      <c r="C347" s="4" t="str">
        <f t="shared" si="23"/>
        <v>décembre</v>
      </c>
      <c r="D347" s="6" t="str">
        <f t="shared" si="25"/>
        <v>T4</v>
      </c>
    </row>
    <row r="348" spans="1:4" ht="16.5" thickBot="1" x14ac:dyDescent="0.4">
      <c r="A348" s="5">
        <f t="shared" si="24"/>
        <v>46369</v>
      </c>
      <c r="B348" s="4">
        <f t="shared" si="22"/>
        <v>2026</v>
      </c>
      <c r="C348" s="4" t="str">
        <f t="shared" si="23"/>
        <v>décembre</v>
      </c>
      <c r="D348" s="6" t="str">
        <f t="shared" si="25"/>
        <v>T4</v>
      </c>
    </row>
    <row r="349" spans="1:4" ht="16.5" thickBot="1" x14ac:dyDescent="0.4">
      <c r="A349" s="5">
        <f t="shared" si="24"/>
        <v>46370</v>
      </c>
      <c r="B349" s="4">
        <f t="shared" si="22"/>
        <v>2026</v>
      </c>
      <c r="C349" s="4" t="str">
        <f t="shared" si="23"/>
        <v>décembre</v>
      </c>
      <c r="D349" s="6" t="str">
        <f t="shared" si="25"/>
        <v>T4</v>
      </c>
    </row>
    <row r="350" spans="1:4" ht="16.5" thickBot="1" x14ac:dyDescent="0.4">
      <c r="A350" s="5">
        <f t="shared" si="24"/>
        <v>46371</v>
      </c>
      <c r="B350" s="4">
        <f t="shared" si="22"/>
        <v>2026</v>
      </c>
      <c r="C350" s="4" t="str">
        <f t="shared" si="23"/>
        <v>décembre</v>
      </c>
      <c r="D350" s="6" t="str">
        <f t="shared" si="25"/>
        <v>T4</v>
      </c>
    </row>
    <row r="351" spans="1:4" ht="16.5" thickBot="1" x14ac:dyDescent="0.4">
      <c r="A351" s="5">
        <f t="shared" si="24"/>
        <v>46372</v>
      </c>
      <c r="B351" s="4">
        <f t="shared" si="22"/>
        <v>2026</v>
      </c>
      <c r="C351" s="4" t="str">
        <f t="shared" si="23"/>
        <v>décembre</v>
      </c>
      <c r="D351" s="6" t="str">
        <f t="shared" si="25"/>
        <v>T4</v>
      </c>
    </row>
    <row r="352" spans="1:4" ht="16.5" thickBot="1" x14ac:dyDescent="0.4">
      <c r="A352" s="5">
        <f t="shared" si="24"/>
        <v>46373</v>
      </c>
      <c r="B352" s="4">
        <f t="shared" si="22"/>
        <v>2026</v>
      </c>
      <c r="C352" s="4" t="str">
        <f t="shared" si="23"/>
        <v>décembre</v>
      </c>
      <c r="D352" s="6" t="str">
        <f t="shared" si="25"/>
        <v>T4</v>
      </c>
    </row>
    <row r="353" spans="1:4" ht="16.5" thickBot="1" x14ac:dyDescent="0.4">
      <c r="A353" s="5">
        <f t="shared" si="24"/>
        <v>46374</v>
      </c>
      <c r="B353" s="4">
        <f t="shared" si="22"/>
        <v>2026</v>
      </c>
      <c r="C353" s="4" t="str">
        <f t="shared" si="23"/>
        <v>décembre</v>
      </c>
      <c r="D353" s="6" t="str">
        <f t="shared" si="25"/>
        <v>T4</v>
      </c>
    </row>
    <row r="354" spans="1:4" ht="16.5" thickBot="1" x14ac:dyDescent="0.4">
      <c r="A354" s="5">
        <f t="shared" si="24"/>
        <v>46375</v>
      </c>
      <c r="B354" s="4">
        <f t="shared" si="22"/>
        <v>2026</v>
      </c>
      <c r="C354" s="4" t="str">
        <f t="shared" si="23"/>
        <v>décembre</v>
      </c>
      <c r="D354" s="6" t="str">
        <f t="shared" si="25"/>
        <v>T4</v>
      </c>
    </row>
    <row r="355" spans="1:4" ht="16.5" thickBot="1" x14ac:dyDescent="0.4">
      <c r="A355" s="5">
        <f t="shared" si="24"/>
        <v>46376</v>
      </c>
      <c r="B355" s="4">
        <f t="shared" si="22"/>
        <v>2026</v>
      </c>
      <c r="C355" s="4" t="str">
        <f t="shared" si="23"/>
        <v>décembre</v>
      </c>
      <c r="D355" s="6" t="str">
        <f t="shared" si="25"/>
        <v>T4</v>
      </c>
    </row>
    <row r="356" spans="1:4" ht="16.5" thickBot="1" x14ac:dyDescent="0.4">
      <c r="A356" s="5">
        <f t="shared" si="24"/>
        <v>46377</v>
      </c>
      <c r="B356" s="4">
        <f t="shared" si="22"/>
        <v>2026</v>
      </c>
      <c r="C356" s="4" t="str">
        <f t="shared" si="23"/>
        <v>décembre</v>
      </c>
      <c r="D356" s="6" t="str">
        <f t="shared" si="25"/>
        <v>T4</v>
      </c>
    </row>
    <row r="357" spans="1:4" ht="16.5" thickBot="1" x14ac:dyDescent="0.4">
      <c r="A357" s="5">
        <f t="shared" si="24"/>
        <v>46378</v>
      </c>
      <c r="B357" s="4">
        <f t="shared" si="22"/>
        <v>2026</v>
      </c>
      <c r="C357" s="4" t="str">
        <f t="shared" si="23"/>
        <v>décembre</v>
      </c>
      <c r="D357" s="6" t="str">
        <f t="shared" si="25"/>
        <v>T4</v>
      </c>
    </row>
    <row r="358" spans="1:4" ht="16.5" thickBot="1" x14ac:dyDescent="0.4">
      <c r="A358" s="5">
        <f t="shared" si="24"/>
        <v>46379</v>
      </c>
      <c r="B358" s="4">
        <f t="shared" si="22"/>
        <v>2026</v>
      </c>
      <c r="C358" s="4" t="str">
        <f t="shared" si="23"/>
        <v>décembre</v>
      </c>
      <c r="D358" s="6" t="str">
        <f t="shared" si="25"/>
        <v>T4</v>
      </c>
    </row>
    <row r="359" spans="1:4" ht="16.5" thickBot="1" x14ac:dyDescent="0.4">
      <c r="A359" s="5">
        <f t="shared" si="24"/>
        <v>46380</v>
      </c>
      <c r="B359" s="4">
        <f t="shared" si="22"/>
        <v>2026</v>
      </c>
      <c r="C359" s="4" t="str">
        <f t="shared" si="23"/>
        <v>décembre</v>
      </c>
      <c r="D359" s="6" t="str">
        <f t="shared" si="25"/>
        <v>T4</v>
      </c>
    </row>
    <row r="360" spans="1:4" ht="16.5" thickBot="1" x14ac:dyDescent="0.4">
      <c r="A360" s="5">
        <f t="shared" si="24"/>
        <v>46381</v>
      </c>
      <c r="B360" s="4">
        <f t="shared" si="22"/>
        <v>2026</v>
      </c>
      <c r="C360" s="4" t="str">
        <f t="shared" si="23"/>
        <v>décembre</v>
      </c>
      <c r="D360" s="6" t="str">
        <f t="shared" si="25"/>
        <v>T4</v>
      </c>
    </row>
    <row r="361" spans="1:4" ht="16.5" thickBot="1" x14ac:dyDescent="0.4">
      <c r="A361" s="5">
        <f t="shared" si="24"/>
        <v>46382</v>
      </c>
      <c r="B361" s="4">
        <f t="shared" si="22"/>
        <v>2026</v>
      </c>
      <c r="C361" s="4" t="str">
        <f t="shared" si="23"/>
        <v>décembre</v>
      </c>
      <c r="D361" s="6" t="str">
        <f t="shared" si="25"/>
        <v>T4</v>
      </c>
    </row>
    <row r="362" spans="1:4" ht="16.5" thickBot="1" x14ac:dyDescent="0.4">
      <c r="A362" s="5">
        <f t="shared" si="24"/>
        <v>46383</v>
      </c>
      <c r="B362" s="4">
        <f t="shared" si="22"/>
        <v>2026</v>
      </c>
      <c r="C362" s="4" t="str">
        <f t="shared" si="23"/>
        <v>décembre</v>
      </c>
      <c r="D362" s="6" t="str">
        <f t="shared" si="25"/>
        <v>T4</v>
      </c>
    </row>
    <row r="363" spans="1:4" ht="16.5" thickBot="1" x14ac:dyDescent="0.4">
      <c r="A363" s="5">
        <f t="shared" si="24"/>
        <v>46384</v>
      </c>
      <c r="B363" s="4">
        <f t="shared" si="22"/>
        <v>2026</v>
      </c>
      <c r="C363" s="4" t="str">
        <f t="shared" si="23"/>
        <v>décembre</v>
      </c>
      <c r="D363" s="6" t="str">
        <f t="shared" si="25"/>
        <v>T4</v>
      </c>
    </row>
    <row r="364" spans="1:4" ht="16.5" thickBot="1" x14ac:dyDescent="0.4">
      <c r="A364" s="5">
        <f t="shared" si="24"/>
        <v>46385</v>
      </c>
      <c r="B364" s="4">
        <f t="shared" si="22"/>
        <v>2026</v>
      </c>
      <c r="C364" s="4" t="str">
        <f t="shared" si="23"/>
        <v>décembre</v>
      </c>
      <c r="D364" s="6" t="str">
        <f t="shared" si="25"/>
        <v>T4</v>
      </c>
    </row>
    <row r="365" spans="1:4" ht="16.5" thickBot="1" x14ac:dyDescent="0.4">
      <c r="A365" s="5">
        <f t="shared" si="24"/>
        <v>46386</v>
      </c>
      <c r="B365" s="4">
        <f t="shared" si="22"/>
        <v>2026</v>
      </c>
      <c r="C365" s="4" t="str">
        <f t="shared" si="23"/>
        <v>décembre</v>
      </c>
      <c r="D365" s="6" t="str">
        <f t="shared" si="25"/>
        <v>T4</v>
      </c>
    </row>
    <row r="366" spans="1:4" ht="16" x14ac:dyDescent="0.35">
      <c r="A366" s="9">
        <f t="shared" si="24"/>
        <v>46387</v>
      </c>
      <c r="B366" s="10">
        <f t="shared" si="22"/>
        <v>2026</v>
      </c>
      <c r="C366" s="10" t="str">
        <f t="shared" si="23"/>
        <v>décembre</v>
      </c>
      <c r="D366" s="11" t="str">
        <f t="shared" si="25"/>
        <v>T4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7936-A4FD-4AE2-98E5-631F92919456}">
  <dimension ref="A1:D3"/>
  <sheetViews>
    <sheetView showGridLines="0" workbookViewId="0">
      <selection activeCell="I12" sqref="I12"/>
    </sheetView>
  </sheetViews>
  <sheetFormatPr baseColWidth="10" defaultRowHeight="14.5" x14ac:dyDescent="0.35"/>
  <cols>
    <col min="1" max="1" width="12" customWidth="1"/>
    <col min="3" max="3" width="11.54296875" customWidth="1"/>
  </cols>
  <sheetData>
    <row r="1" spans="1:4" ht="16.5" thickBot="1" x14ac:dyDescent="0.4">
      <c r="A1" s="7" t="s">
        <v>638</v>
      </c>
      <c r="B1" s="7" t="s">
        <v>639</v>
      </c>
      <c r="C1" s="7" t="s">
        <v>640</v>
      </c>
      <c r="D1" s="8" t="s">
        <v>641</v>
      </c>
    </row>
    <row r="2" spans="1:4" ht="16.5" thickBot="1" x14ac:dyDescent="0.4">
      <c r="A2" s="4" t="s">
        <v>642</v>
      </c>
      <c r="B2" s="4" t="s">
        <v>643</v>
      </c>
      <c r="C2" s="4" t="s">
        <v>644</v>
      </c>
      <c r="D2" s="12" t="s">
        <v>556</v>
      </c>
    </row>
    <row r="3" spans="1:4" ht="16" x14ac:dyDescent="0.35">
      <c r="A3" s="10" t="s">
        <v>645</v>
      </c>
      <c r="B3" s="10" t="s">
        <v>646</v>
      </c>
      <c r="C3" s="10" t="s">
        <v>647</v>
      </c>
      <c r="D3" s="13" t="s">
        <v>558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07775971-1F75-4627-9B9A-716E7C8A80F2}">
  <ds:schemaRefs/>
</ds:datastoreItem>
</file>

<file path=customXml/itemProps2.xml><?xml version="1.0" encoding="utf-8"?>
<ds:datastoreItem xmlns:ds="http://schemas.openxmlformats.org/officeDocument/2006/customXml" ds:itemID="{041670B1-E5BB-4931-B6F9-1B7D41D122C6}">
  <ds:schemaRefs/>
</ds:datastoreItem>
</file>

<file path=customXml/itemProps3.xml><?xml version="1.0" encoding="utf-8"?>
<ds:datastoreItem xmlns:ds="http://schemas.openxmlformats.org/officeDocument/2006/customXml" ds:itemID="{FCAB768B-87D3-4DFD-8F72-A4989830EBBB}">
  <ds:schemaRefs/>
</ds:datastoreItem>
</file>

<file path=customXml/itemProps4.xml><?xml version="1.0" encoding="utf-8"?>
<ds:datastoreItem xmlns:ds="http://schemas.openxmlformats.org/officeDocument/2006/customXml" ds:itemID="{BCC77B3F-CF80-4216-BDBA-87548A397385}">
  <ds:schemaRefs/>
</ds:datastoreItem>
</file>

<file path=customXml/itemProps5.xml><?xml version="1.0" encoding="utf-8"?>
<ds:datastoreItem xmlns:ds="http://schemas.openxmlformats.org/officeDocument/2006/customXml" ds:itemID="{92063583-0255-48E6-A0C6-B6E5B84206FD}">
  <ds:schemaRefs/>
</ds:datastoreItem>
</file>

<file path=customXml/itemProps6.xml><?xml version="1.0" encoding="utf-8"?>
<ds:datastoreItem xmlns:ds="http://schemas.openxmlformats.org/officeDocument/2006/customXml" ds:itemID="{527D9C49-0DA5-4FB0-8BE3-AD4E4093D96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ADC7CADB-8493-4F0A-917D-65FB6A44D3D7}">
  <ds:schemaRefs/>
</ds:datastoreItem>
</file>

<file path=customXml/itemProps8.xml><?xml version="1.0" encoding="utf-8"?>
<ds:datastoreItem xmlns:ds="http://schemas.openxmlformats.org/officeDocument/2006/customXml" ds:itemID="{85E2465A-D6EB-4484-AEFF-673E16F7A95E}">
  <ds:schemaRefs/>
</ds:datastoreItem>
</file>

<file path=customXml/itemProps9.xml><?xml version="1.0" encoding="utf-8"?>
<ds:datastoreItem xmlns:ds="http://schemas.openxmlformats.org/officeDocument/2006/customXml" ds:itemID="{CAE5D8B3-FD71-4166-8333-0FA1307AB9CD}">
  <ds:schemaRefs/>
</ds:datastoreItem>
</file>

<file path=customXml/itemProps10.xml><?xml version="1.0" encoding="utf-8"?>
<ds:datastoreItem xmlns:ds="http://schemas.openxmlformats.org/officeDocument/2006/customXml" ds:itemID="{D0342DA2-8FAD-428F-9316-7E5D008E157F}">
  <ds:schemaRefs/>
</ds:datastoreItem>
</file>

<file path=customXml/itemProps11.xml><?xml version="1.0" encoding="utf-8"?>
<ds:datastoreItem xmlns:ds="http://schemas.openxmlformats.org/officeDocument/2006/customXml" ds:itemID="{D4F9D369-7698-4B61-8B60-F1AFD9847BDE}">
  <ds:schemaRefs/>
</ds:datastoreItem>
</file>

<file path=customXml/itemProps12.xml><?xml version="1.0" encoding="utf-8"?>
<ds:datastoreItem xmlns:ds="http://schemas.openxmlformats.org/officeDocument/2006/customXml" ds:itemID="{DB7E3372-572F-4B3C-99EF-DA6B344C7411}">
  <ds:schemaRefs/>
</ds:datastoreItem>
</file>

<file path=customXml/itemProps13.xml><?xml version="1.0" encoding="utf-8"?>
<ds:datastoreItem xmlns:ds="http://schemas.openxmlformats.org/officeDocument/2006/customXml" ds:itemID="{0F4C4A61-95DC-4CDD-9CDC-A1F790F369B2}">
  <ds:schemaRefs/>
</ds:datastoreItem>
</file>

<file path=customXml/itemProps14.xml><?xml version="1.0" encoding="utf-8"?>
<ds:datastoreItem xmlns:ds="http://schemas.openxmlformats.org/officeDocument/2006/customXml" ds:itemID="{28500178-F4DC-44D2-A67C-5539449F7122}">
  <ds:schemaRefs/>
</ds:datastoreItem>
</file>

<file path=customXml/itemProps15.xml><?xml version="1.0" encoding="utf-8"?>
<ds:datastoreItem xmlns:ds="http://schemas.openxmlformats.org/officeDocument/2006/customXml" ds:itemID="{DF606E99-459A-426C-A07E-D9E7A4BB9EF3}">
  <ds:schemaRefs/>
</ds:datastoreItem>
</file>

<file path=customXml/itemProps16.xml><?xml version="1.0" encoding="utf-8"?>
<ds:datastoreItem xmlns:ds="http://schemas.openxmlformats.org/officeDocument/2006/customXml" ds:itemID="{24C7344F-4B13-4877-972A-7AF4B81918AB}">
  <ds:schemaRefs/>
</ds:datastoreItem>
</file>

<file path=customXml/itemProps17.xml><?xml version="1.0" encoding="utf-8"?>
<ds:datastoreItem xmlns:ds="http://schemas.openxmlformats.org/officeDocument/2006/customXml" ds:itemID="{6B2F4EEC-353E-443C-A37C-BCF1D6E411B9}">
  <ds:schemaRefs/>
</ds:datastoreItem>
</file>

<file path=customXml/itemProps18.xml><?xml version="1.0" encoding="utf-8"?>
<ds:datastoreItem xmlns:ds="http://schemas.openxmlformats.org/officeDocument/2006/customXml" ds:itemID="{9E3367B8-1F52-4A3F-B5C5-8AC2BD2D31D3}">
  <ds:schemaRefs/>
</ds:datastoreItem>
</file>

<file path=customXml/itemProps19.xml><?xml version="1.0" encoding="utf-8"?>
<ds:datastoreItem xmlns:ds="http://schemas.openxmlformats.org/officeDocument/2006/customXml" ds:itemID="{53E1BEF3-1F47-42A1-98C0-D1A1F247C8D7}">
  <ds:schemaRefs/>
</ds:datastoreItem>
</file>

<file path=customXml/itemProps20.xml><?xml version="1.0" encoding="utf-8"?>
<ds:datastoreItem xmlns:ds="http://schemas.openxmlformats.org/officeDocument/2006/customXml" ds:itemID="{EE86291C-25CE-433C-B2A5-4E6A277E67B5}">
  <ds:schemaRefs/>
</ds:datastoreItem>
</file>

<file path=customXml/itemProps21.xml><?xml version="1.0" encoding="utf-8"?>
<ds:datastoreItem xmlns:ds="http://schemas.openxmlformats.org/officeDocument/2006/customXml" ds:itemID="{7BC83B35-2CF8-4506-A6C4-8A9446B66338}">
  <ds:schemaRefs/>
</ds:datastoreItem>
</file>

<file path=customXml/itemProps22.xml><?xml version="1.0" encoding="utf-8"?>
<ds:datastoreItem xmlns:ds="http://schemas.openxmlformats.org/officeDocument/2006/customXml" ds:itemID="{F7AF6DA8-BE80-4EA4-BC68-C5BA1F8B158D}">
  <ds:schemaRefs/>
</ds:datastoreItem>
</file>

<file path=customXml/itemProps23.xml><?xml version="1.0" encoding="utf-8"?>
<ds:datastoreItem xmlns:ds="http://schemas.openxmlformats.org/officeDocument/2006/customXml" ds:itemID="{6BE5AC84-E935-41E8-882F-0B2AC6E753C5}">
  <ds:schemaRefs/>
</ds:datastoreItem>
</file>

<file path=customXml/itemProps24.xml><?xml version="1.0" encoding="utf-8"?>
<ds:datastoreItem xmlns:ds="http://schemas.openxmlformats.org/officeDocument/2006/customXml" ds:itemID="{1531BA4B-9413-44DB-9974-5CAAA0DE75F1}">
  <ds:schemaRefs/>
</ds:datastoreItem>
</file>

<file path=customXml/itemProps25.xml><?xml version="1.0" encoding="utf-8"?>
<ds:datastoreItem xmlns:ds="http://schemas.openxmlformats.org/officeDocument/2006/customXml" ds:itemID="{D227CFF8-214C-4C58-B16A-AA226B3479F4}">
  <ds:schemaRefs/>
</ds:datastoreItem>
</file>

<file path=customXml/itemProps26.xml><?xml version="1.0" encoding="utf-8"?>
<ds:datastoreItem xmlns:ds="http://schemas.openxmlformats.org/officeDocument/2006/customXml" ds:itemID="{F433539A-1CAC-4E9C-9CC1-4B580B682DC0}">
  <ds:schemaRefs/>
</ds:datastoreItem>
</file>

<file path=customXml/itemProps27.xml><?xml version="1.0" encoding="utf-8"?>
<ds:datastoreItem xmlns:ds="http://schemas.openxmlformats.org/officeDocument/2006/customXml" ds:itemID="{C8CF2F9C-C846-43A3-BFC9-1557334B5BB0}">
  <ds:schemaRefs/>
</ds:datastoreItem>
</file>

<file path=customXml/itemProps28.xml><?xml version="1.0" encoding="utf-8"?>
<ds:datastoreItem xmlns:ds="http://schemas.openxmlformats.org/officeDocument/2006/customXml" ds:itemID="{0977A8E0-80DD-4AEE-8439-50A2DAD5C5AD}">
  <ds:schemaRefs/>
</ds:datastoreItem>
</file>

<file path=customXml/itemProps29.xml><?xml version="1.0" encoding="utf-8"?>
<ds:datastoreItem xmlns:ds="http://schemas.openxmlformats.org/officeDocument/2006/customXml" ds:itemID="{597705CF-A717-4099-A569-3BC80F9EA313}">
  <ds:schemaRefs/>
</ds:datastoreItem>
</file>

<file path=customXml/itemProps30.xml><?xml version="1.0" encoding="utf-8"?>
<ds:datastoreItem xmlns:ds="http://schemas.openxmlformats.org/officeDocument/2006/customXml" ds:itemID="{FDF28DB5-F99F-4703-B62D-E6FAD70F54F7}">
  <ds:schemaRefs/>
</ds:datastoreItem>
</file>

<file path=customXml/itemProps31.xml><?xml version="1.0" encoding="utf-8"?>
<ds:datastoreItem xmlns:ds="http://schemas.openxmlformats.org/officeDocument/2006/customXml" ds:itemID="{1FE54639-5C4B-41DD-BECB-90A6E468CA7B}">
  <ds:schemaRefs/>
</ds:datastoreItem>
</file>

<file path=customXml/itemProps32.xml><?xml version="1.0" encoding="utf-8"?>
<ds:datastoreItem xmlns:ds="http://schemas.openxmlformats.org/officeDocument/2006/customXml" ds:itemID="{AB663E61-3DB7-4A6B-A36C-BA36E95267CC}">
  <ds:schemaRefs/>
</ds:datastoreItem>
</file>

<file path=customXml/itemProps33.xml><?xml version="1.0" encoding="utf-8"?>
<ds:datastoreItem xmlns:ds="http://schemas.openxmlformats.org/officeDocument/2006/customXml" ds:itemID="{F8BA4590-C992-45F8-AD82-417F1F3B7108}">
  <ds:schemaRefs/>
</ds:datastoreItem>
</file>

<file path=customXml/itemProps34.xml><?xml version="1.0" encoding="utf-8"?>
<ds:datastoreItem xmlns:ds="http://schemas.openxmlformats.org/officeDocument/2006/customXml" ds:itemID="{A1D76952-0920-4E42-84F6-0F7736A8FC52}">
  <ds:schemaRefs/>
</ds:datastoreItem>
</file>

<file path=customXml/itemProps35.xml><?xml version="1.0" encoding="utf-8"?>
<ds:datastoreItem xmlns:ds="http://schemas.openxmlformats.org/officeDocument/2006/customXml" ds:itemID="{6C4D3F06-E241-4CCF-A72A-E6D1675EBD32}">
  <ds:schemaRefs/>
</ds:datastoreItem>
</file>

<file path=customXml/itemProps36.xml><?xml version="1.0" encoding="utf-8"?>
<ds:datastoreItem xmlns:ds="http://schemas.openxmlformats.org/officeDocument/2006/customXml" ds:itemID="{BC3F4A97-A217-43D4-9716-33600A47153F}">
  <ds:schemaRefs/>
</ds:datastoreItem>
</file>

<file path=customXml/itemProps37.xml><?xml version="1.0" encoding="utf-8"?>
<ds:datastoreItem xmlns:ds="http://schemas.openxmlformats.org/officeDocument/2006/customXml" ds:itemID="{5F521A6A-2FF9-4E9B-8ED3-782AB37D37DC}">
  <ds:schemaRefs/>
</ds:datastoreItem>
</file>

<file path=customXml/itemProps38.xml><?xml version="1.0" encoding="utf-8"?>
<ds:datastoreItem xmlns:ds="http://schemas.openxmlformats.org/officeDocument/2006/customXml" ds:itemID="{4FFF384C-4B3F-4B8D-AE51-66FA2138BB8E}">
  <ds:schemaRefs/>
</ds:datastoreItem>
</file>

<file path=customXml/itemProps39.xml><?xml version="1.0" encoding="utf-8"?>
<ds:datastoreItem xmlns:ds="http://schemas.openxmlformats.org/officeDocument/2006/customXml" ds:itemID="{684FA755-E61D-46BB-B0F1-5C36DEFC9691}">
  <ds:schemaRefs/>
</ds:datastoreItem>
</file>

<file path=customXml/itemProps40.xml><?xml version="1.0" encoding="utf-8"?>
<ds:datastoreItem xmlns:ds="http://schemas.openxmlformats.org/officeDocument/2006/customXml" ds:itemID="{B7BBEDEC-99BF-4A7F-B6FE-9509A3B51639}">
  <ds:schemaRefs/>
</ds:datastoreItem>
</file>

<file path=customXml/itemProps41.xml><?xml version="1.0" encoding="utf-8"?>
<ds:datastoreItem xmlns:ds="http://schemas.openxmlformats.org/officeDocument/2006/customXml" ds:itemID="{17E8FD43-6B6F-4B41-A052-AFD64B0DBC62}">
  <ds:schemaRefs/>
</ds:datastoreItem>
</file>

<file path=customXml/itemProps42.xml><?xml version="1.0" encoding="utf-8"?>
<ds:datastoreItem xmlns:ds="http://schemas.openxmlformats.org/officeDocument/2006/customXml" ds:itemID="{6413ADAC-219A-42BF-BE7F-3A801E7F99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Vendeurs</vt:lpstr>
      <vt:lpstr>Ventes</vt:lpstr>
      <vt:lpstr>Produits</vt:lpstr>
      <vt:lpstr>TCD jour 23</vt:lpstr>
      <vt:lpstr>Dashboard</vt:lpstr>
      <vt:lpstr>TCD jour_24</vt:lpstr>
      <vt:lpstr>Dates</vt:lpstr>
      <vt:lpstr>Dim_clients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2026-09-22T15:16:27Z</dcterms:created>
  <dcterms:modified xsi:type="dcterms:W3CDTF">2026-09-28T16:18:10Z</dcterms:modified>
</cp:coreProperties>
</file>